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YandexDisk\ShareDoc\"/>
    </mc:Choice>
  </mc:AlternateContent>
  <xr:revisionPtr revIDLastSave="0" documentId="13_ncr:1_{BDD6FEDA-A4E4-4C0A-8626-48D6EC0626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татистика" sheetId="1" r:id="rId1"/>
    <sheet name="Данные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O289" i="2" l="1"/>
  <c r="CN289" i="2"/>
  <c r="CM289" i="2"/>
  <c r="CL289" i="2"/>
  <c r="CK289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CO288" i="2"/>
  <c r="CN288" i="2"/>
  <c r="CM288" i="2"/>
  <c r="CL288" i="2"/>
  <c r="CK288" i="2"/>
  <c r="CJ288" i="2"/>
  <c r="CI288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CO287" i="2"/>
  <c r="CN287" i="2"/>
  <c r="CM287" i="2"/>
  <c r="CL287" i="2"/>
  <c r="CK287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CO286" i="2"/>
  <c r="CN286" i="2"/>
  <c r="CM286" i="2"/>
  <c r="CL286" i="2"/>
  <c r="CK286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CO285" i="2"/>
  <c r="CN285" i="2"/>
  <c r="CM285" i="2"/>
  <c r="CL285" i="2"/>
  <c r="CK285" i="2"/>
  <c r="CJ285" i="2"/>
  <c r="CI285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CO284" i="2"/>
  <c r="CN284" i="2"/>
  <c r="CM284" i="2"/>
  <c r="CL284" i="2"/>
  <c r="CK284" i="2"/>
  <c r="CJ284" i="2"/>
  <c r="CI284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CO283" i="2"/>
  <c r="CN283" i="2"/>
  <c r="CM283" i="2"/>
  <c r="CL283" i="2"/>
  <c r="CK283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CO282" i="2"/>
  <c r="CN282" i="2"/>
  <c r="CM282" i="2"/>
  <c r="CL282" i="2"/>
  <c r="CK282" i="2"/>
  <c r="CJ282" i="2"/>
  <c r="CI282" i="2"/>
  <c r="CH282" i="2"/>
  <c r="CG282" i="2"/>
  <c r="CF282" i="2"/>
  <c r="CE282" i="2"/>
  <c r="CD282" i="2"/>
  <c r="CC282" i="2"/>
  <c r="CB282" i="2"/>
  <c r="CA282" i="2"/>
  <c r="BZ282" i="2"/>
  <c r="BY282" i="2"/>
  <c r="BX282" i="2"/>
  <c r="BW282" i="2"/>
  <c r="BV282" i="2"/>
  <c r="BU282" i="2"/>
  <c r="BT282" i="2"/>
  <c r="BR282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CO281" i="2"/>
  <c r="CN281" i="2"/>
  <c r="CM281" i="2"/>
  <c r="CL281" i="2"/>
  <c r="CK281" i="2"/>
  <c r="CJ281" i="2"/>
  <c r="CI281" i="2"/>
  <c r="CH281" i="2"/>
  <c r="CG281" i="2"/>
  <c r="CF281" i="2"/>
  <c r="CE281" i="2"/>
  <c r="CD281" i="2"/>
  <c r="CC281" i="2"/>
  <c r="CB281" i="2"/>
  <c r="CA281" i="2"/>
  <c r="BZ281" i="2"/>
  <c r="BY281" i="2"/>
  <c r="BX281" i="2"/>
  <c r="BW281" i="2"/>
  <c r="BV281" i="2"/>
  <c r="BU281" i="2"/>
  <c r="BT281" i="2"/>
  <c r="BR281" i="2"/>
  <c r="BQ281" i="2"/>
  <c r="BP281" i="2"/>
  <c r="BO281" i="2"/>
  <c r="BN281" i="2"/>
  <c r="BM281" i="2"/>
  <c r="BL281" i="2"/>
  <c r="BK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AX281" i="2"/>
  <c r="AW281" i="2"/>
  <c r="CO280" i="2"/>
  <c r="CN280" i="2"/>
  <c r="CM280" i="2"/>
  <c r="CL280" i="2"/>
  <c r="CK280" i="2"/>
  <c r="CJ280" i="2"/>
  <c r="CI280" i="2"/>
  <c r="CH280" i="2"/>
  <c r="CG280" i="2"/>
  <c r="CF280" i="2"/>
  <c r="CE280" i="2"/>
  <c r="CD280" i="2"/>
  <c r="CC280" i="2"/>
  <c r="CB280" i="2"/>
  <c r="CA280" i="2"/>
  <c r="BZ280" i="2"/>
  <c r="BY280" i="2"/>
  <c r="BX280" i="2"/>
  <c r="BW280" i="2"/>
  <c r="BV280" i="2"/>
  <c r="BU280" i="2"/>
  <c r="BT280" i="2"/>
  <c r="BR280" i="2"/>
  <c r="BQ280" i="2"/>
  <c r="BP280" i="2"/>
  <c r="BO280" i="2"/>
  <c r="BN280" i="2"/>
  <c r="BM280" i="2"/>
  <c r="BL280" i="2"/>
  <c r="BK280" i="2"/>
  <c r="BJ280" i="2"/>
  <c r="BI280" i="2"/>
  <c r="BH280" i="2"/>
  <c r="BG280" i="2"/>
  <c r="BF280" i="2"/>
  <c r="BE280" i="2"/>
  <c r="BD280" i="2"/>
  <c r="BC280" i="2"/>
  <c r="BB280" i="2"/>
  <c r="BA280" i="2"/>
  <c r="AZ280" i="2"/>
  <c r="AY280" i="2"/>
  <c r="AX280" i="2"/>
  <c r="AW280" i="2"/>
  <c r="CO279" i="2"/>
  <c r="CN279" i="2"/>
  <c r="CM279" i="2"/>
  <c r="CL279" i="2"/>
  <c r="CK279" i="2"/>
  <c r="CJ279" i="2"/>
  <c r="CI279" i="2"/>
  <c r="CH279" i="2"/>
  <c r="CG279" i="2"/>
  <c r="CF279" i="2"/>
  <c r="CE279" i="2"/>
  <c r="CD279" i="2"/>
  <c r="CC279" i="2"/>
  <c r="CB279" i="2"/>
  <c r="CA279" i="2"/>
  <c r="BZ279" i="2"/>
  <c r="BY279" i="2"/>
  <c r="BX279" i="2"/>
  <c r="BW279" i="2"/>
  <c r="BV279" i="2"/>
  <c r="BU279" i="2"/>
  <c r="BT279" i="2"/>
  <c r="BR279" i="2"/>
  <c r="BQ279" i="2"/>
  <c r="BP279" i="2"/>
  <c r="BO279" i="2"/>
  <c r="BN279" i="2"/>
  <c r="BM279" i="2"/>
  <c r="BL279" i="2"/>
  <c r="BK279" i="2"/>
  <c r="BJ279" i="2"/>
  <c r="BI279" i="2"/>
  <c r="BH279" i="2"/>
  <c r="BG279" i="2"/>
  <c r="BF279" i="2"/>
  <c r="BE279" i="2"/>
  <c r="BD279" i="2"/>
  <c r="BC279" i="2"/>
  <c r="BB279" i="2"/>
  <c r="BA279" i="2"/>
  <c r="AZ279" i="2"/>
  <c r="AY279" i="2"/>
  <c r="AX279" i="2"/>
  <c r="AW279" i="2"/>
  <c r="CO278" i="2"/>
  <c r="CN278" i="2"/>
  <c r="CM278" i="2"/>
  <c r="CL278" i="2"/>
  <c r="CK278" i="2"/>
  <c r="CJ278" i="2"/>
  <c r="CI278" i="2"/>
  <c r="CH278" i="2"/>
  <c r="CG278" i="2"/>
  <c r="CF278" i="2"/>
  <c r="CE278" i="2"/>
  <c r="CD278" i="2"/>
  <c r="CC278" i="2"/>
  <c r="CB278" i="2"/>
  <c r="CA278" i="2"/>
  <c r="BZ278" i="2"/>
  <c r="BY278" i="2"/>
  <c r="BX278" i="2"/>
  <c r="BW278" i="2"/>
  <c r="BV278" i="2"/>
  <c r="BU278" i="2"/>
  <c r="BT278" i="2"/>
  <c r="BR278" i="2"/>
  <c r="BQ278" i="2"/>
  <c r="BP278" i="2"/>
  <c r="BO278" i="2"/>
  <c r="BN278" i="2"/>
  <c r="BM278" i="2"/>
  <c r="BL278" i="2"/>
  <c r="BK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AX278" i="2"/>
  <c r="AW278" i="2"/>
  <c r="CO277" i="2"/>
  <c r="CN277" i="2"/>
  <c r="CM277" i="2"/>
  <c r="CL277" i="2"/>
  <c r="CK277" i="2"/>
  <c r="CJ277" i="2"/>
  <c r="CI277" i="2"/>
  <c r="CH277" i="2"/>
  <c r="CG277" i="2"/>
  <c r="CF277" i="2"/>
  <c r="CE277" i="2"/>
  <c r="CD277" i="2"/>
  <c r="CC277" i="2"/>
  <c r="CB277" i="2"/>
  <c r="CA277" i="2"/>
  <c r="BZ277" i="2"/>
  <c r="BY277" i="2"/>
  <c r="BX277" i="2"/>
  <c r="BW277" i="2"/>
  <c r="BV277" i="2"/>
  <c r="BU277" i="2"/>
  <c r="BT277" i="2"/>
  <c r="BR277" i="2"/>
  <c r="BQ277" i="2"/>
  <c r="BP277" i="2"/>
  <c r="BO277" i="2"/>
  <c r="BN277" i="2"/>
  <c r="BM277" i="2"/>
  <c r="BL277" i="2"/>
  <c r="BK277" i="2"/>
  <c r="BJ277" i="2"/>
  <c r="BI277" i="2"/>
  <c r="BH277" i="2"/>
  <c r="BG277" i="2"/>
  <c r="BF277" i="2"/>
  <c r="BE277" i="2"/>
  <c r="BD277" i="2"/>
  <c r="BC277" i="2"/>
  <c r="BB277" i="2"/>
  <c r="BA277" i="2"/>
  <c r="AZ277" i="2"/>
  <c r="AY277" i="2"/>
  <c r="AX277" i="2"/>
  <c r="AW277" i="2"/>
  <c r="CO276" i="2"/>
  <c r="CN276" i="2"/>
  <c r="CM276" i="2"/>
  <c r="CL276" i="2"/>
  <c r="CK276" i="2"/>
  <c r="CJ276" i="2"/>
  <c r="CI276" i="2"/>
  <c r="CH276" i="2"/>
  <c r="CG276" i="2"/>
  <c r="CF276" i="2"/>
  <c r="CE276" i="2"/>
  <c r="CD276" i="2"/>
  <c r="CC276" i="2"/>
  <c r="CB276" i="2"/>
  <c r="CA276" i="2"/>
  <c r="BZ276" i="2"/>
  <c r="BY276" i="2"/>
  <c r="BX276" i="2"/>
  <c r="BW276" i="2"/>
  <c r="BV276" i="2"/>
  <c r="BU276" i="2"/>
  <c r="BT276" i="2"/>
  <c r="BR276" i="2"/>
  <c r="BQ276" i="2"/>
  <c r="BP276" i="2"/>
  <c r="BO276" i="2"/>
  <c r="BN276" i="2"/>
  <c r="BM276" i="2"/>
  <c r="BL276" i="2"/>
  <c r="BK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AX276" i="2"/>
  <c r="AW276" i="2"/>
  <c r="CO275" i="2"/>
  <c r="CN275" i="2"/>
  <c r="CM275" i="2"/>
  <c r="CL275" i="2"/>
  <c r="CK275" i="2"/>
  <c r="CJ275" i="2"/>
  <c r="CI275" i="2"/>
  <c r="CH275" i="2"/>
  <c r="CG275" i="2"/>
  <c r="CF275" i="2"/>
  <c r="CE275" i="2"/>
  <c r="CD275" i="2"/>
  <c r="CC275" i="2"/>
  <c r="CB275" i="2"/>
  <c r="CA275" i="2"/>
  <c r="BZ275" i="2"/>
  <c r="BY275" i="2"/>
  <c r="BX275" i="2"/>
  <c r="BW275" i="2"/>
  <c r="BV275" i="2"/>
  <c r="BU275" i="2"/>
  <c r="BT275" i="2"/>
  <c r="BR275" i="2"/>
  <c r="BQ275" i="2"/>
  <c r="BP275" i="2"/>
  <c r="BO275" i="2"/>
  <c r="BN275" i="2"/>
  <c r="BM275" i="2"/>
  <c r="BL275" i="2"/>
  <c r="BK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AX275" i="2"/>
  <c r="AW275" i="2"/>
  <c r="CO274" i="2"/>
  <c r="CN274" i="2"/>
  <c r="CM274" i="2"/>
  <c r="CL274" i="2"/>
  <c r="CK274" i="2"/>
  <c r="CJ274" i="2"/>
  <c r="CI274" i="2"/>
  <c r="CH274" i="2"/>
  <c r="CG274" i="2"/>
  <c r="CF274" i="2"/>
  <c r="CE274" i="2"/>
  <c r="CD274" i="2"/>
  <c r="CC274" i="2"/>
  <c r="CB274" i="2"/>
  <c r="CA274" i="2"/>
  <c r="BZ274" i="2"/>
  <c r="BY274" i="2"/>
  <c r="BX274" i="2"/>
  <c r="BW274" i="2"/>
  <c r="BV274" i="2"/>
  <c r="BU274" i="2"/>
  <c r="BT274" i="2"/>
  <c r="BR274" i="2"/>
  <c r="BQ274" i="2"/>
  <c r="BP274" i="2"/>
  <c r="BO274" i="2"/>
  <c r="BN274" i="2"/>
  <c r="BM274" i="2"/>
  <c r="BL274" i="2"/>
  <c r="BK274" i="2"/>
  <c r="BJ274" i="2"/>
  <c r="BI274" i="2"/>
  <c r="BH274" i="2"/>
  <c r="BG274" i="2"/>
  <c r="BF274" i="2"/>
  <c r="BE274" i="2"/>
  <c r="BD274" i="2"/>
  <c r="BC274" i="2"/>
  <c r="BB274" i="2"/>
  <c r="BA274" i="2"/>
  <c r="AZ274" i="2"/>
  <c r="AY274" i="2"/>
  <c r="AX274" i="2"/>
  <c r="AW274" i="2"/>
  <c r="CO273" i="2"/>
  <c r="CN273" i="2"/>
  <c r="CM273" i="2"/>
  <c r="CL273" i="2"/>
  <c r="CK273" i="2"/>
  <c r="CJ273" i="2"/>
  <c r="CI273" i="2"/>
  <c r="CH273" i="2"/>
  <c r="CG273" i="2"/>
  <c r="CF273" i="2"/>
  <c r="CE273" i="2"/>
  <c r="CD273" i="2"/>
  <c r="CC273" i="2"/>
  <c r="CB273" i="2"/>
  <c r="CA273" i="2"/>
  <c r="BZ273" i="2"/>
  <c r="BY273" i="2"/>
  <c r="BX273" i="2"/>
  <c r="BW273" i="2"/>
  <c r="BV273" i="2"/>
  <c r="BU273" i="2"/>
  <c r="BT273" i="2"/>
  <c r="BR273" i="2"/>
  <c r="BQ273" i="2"/>
  <c r="BP273" i="2"/>
  <c r="BO273" i="2"/>
  <c r="BN273" i="2"/>
  <c r="BM273" i="2"/>
  <c r="BL273" i="2"/>
  <c r="BK273" i="2"/>
  <c r="BJ273" i="2"/>
  <c r="BI273" i="2"/>
  <c r="BH273" i="2"/>
  <c r="BG273" i="2"/>
  <c r="BF273" i="2"/>
  <c r="BE273" i="2"/>
  <c r="BD273" i="2"/>
  <c r="BC273" i="2"/>
  <c r="BB273" i="2"/>
  <c r="BA273" i="2"/>
  <c r="AZ273" i="2"/>
  <c r="AY273" i="2"/>
  <c r="AX273" i="2"/>
  <c r="AW273" i="2"/>
  <c r="CO272" i="2"/>
  <c r="CN272" i="2"/>
  <c r="CM272" i="2"/>
  <c r="CL272" i="2"/>
  <c r="CK272" i="2"/>
  <c r="CJ272" i="2"/>
  <c r="CI272" i="2"/>
  <c r="CH272" i="2"/>
  <c r="CG272" i="2"/>
  <c r="CF272" i="2"/>
  <c r="CE272" i="2"/>
  <c r="CD272" i="2"/>
  <c r="CC272" i="2"/>
  <c r="CB272" i="2"/>
  <c r="CA272" i="2"/>
  <c r="BZ272" i="2"/>
  <c r="BY272" i="2"/>
  <c r="BX272" i="2"/>
  <c r="BW272" i="2"/>
  <c r="BV272" i="2"/>
  <c r="BU272" i="2"/>
  <c r="BT272" i="2"/>
  <c r="BR272" i="2"/>
  <c r="BQ272" i="2"/>
  <c r="BP272" i="2"/>
  <c r="BO272" i="2"/>
  <c r="BN272" i="2"/>
  <c r="BM272" i="2"/>
  <c r="BL272" i="2"/>
  <c r="BK272" i="2"/>
  <c r="BJ272" i="2"/>
  <c r="BI272" i="2"/>
  <c r="BH272" i="2"/>
  <c r="BG272" i="2"/>
  <c r="BF272" i="2"/>
  <c r="BE272" i="2"/>
  <c r="BD272" i="2"/>
  <c r="BC272" i="2"/>
  <c r="BB272" i="2"/>
  <c r="BA272" i="2"/>
  <c r="AZ272" i="2"/>
  <c r="AY272" i="2"/>
  <c r="AX272" i="2"/>
  <c r="AW272" i="2"/>
  <c r="CO271" i="2"/>
  <c r="CN271" i="2"/>
  <c r="CM271" i="2"/>
  <c r="CL271" i="2"/>
  <c r="CK271" i="2"/>
  <c r="CJ271" i="2"/>
  <c r="CI271" i="2"/>
  <c r="CH271" i="2"/>
  <c r="CG271" i="2"/>
  <c r="CF271" i="2"/>
  <c r="CE271" i="2"/>
  <c r="CD271" i="2"/>
  <c r="CC271" i="2"/>
  <c r="CB271" i="2"/>
  <c r="CA271" i="2"/>
  <c r="BZ271" i="2"/>
  <c r="BY271" i="2"/>
  <c r="BX271" i="2"/>
  <c r="BW271" i="2"/>
  <c r="BV271" i="2"/>
  <c r="BU271" i="2"/>
  <c r="BT271" i="2"/>
  <c r="BR271" i="2"/>
  <c r="BQ271" i="2"/>
  <c r="BP271" i="2"/>
  <c r="BO271" i="2"/>
  <c r="BN271" i="2"/>
  <c r="BM271" i="2"/>
  <c r="BL271" i="2"/>
  <c r="BK271" i="2"/>
  <c r="BJ271" i="2"/>
  <c r="BI271" i="2"/>
  <c r="BH271" i="2"/>
  <c r="BG271" i="2"/>
  <c r="BF271" i="2"/>
  <c r="BE271" i="2"/>
  <c r="BD271" i="2"/>
  <c r="BC271" i="2"/>
  <c r="BB271" i="2"/>
  <c r="BA271" i="2"/>
  <c r="AZ271" i="2"/>
  <c r="AY271" i="2"/>
  <c r="AX271" i="2"/>
  <c r="AW271" i="2"/>
  <c r="CO270" i="2"/>
  <c r="CN270" i="2"/>
  <c r="CM270" i="2"/>
  <c r="CL270" i="2"/>
  <c r="CK270" i="2"/>
  <c r="CJ270" i="2"/>
  <c r="CI270" i="2"/>
  <c r="CH270" i="2"/>
  <c r="CG270" i="2"/>
  <c r="CF270" i="2"/>
  <c r="CE270" i="2"/>
  <c r="CD270" i="2"/>
  <c r="CC270" i="2"/>
  <c r="CB270" i="2"/>
  <c r="CA270" i="2"/>
  <c r="BZ270" i="2"/>
  <c r="BY270" i="2"/>
  <c r="BX270" i="2"/>
  <c r="BW270" i="2"/>
  <c r="BV270" i="2"/>
  <c r="BU270" i="2"/>
  <c r="BT270" i="2"/>
  <c r="BR270" i="2"/>
  <c r="BQ270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CO269" i="2"/>
  <c r="CN269" i="2"/>
  <c r="CM269" i="2"/>
  <c r="CL269" i="2"/>
  <c r="CK269" i="2"/>
  <c r="CJ269" i="2"/>
  <c r="CI269" i="2"/>
  <c r="CH269" i="2"/>
  <c r="CG269" i="2"/>
  <c r="CF269" i="2"/>
  <c r="CE269" i="2"/>
  <c r="CD269" i="2"/>
  <c r="CC269" i="2"/>
  <c r="CB269" i="2"/>
  <c r="CA269" i="2"/>
  <c r="BZ269" i="2"/>
  <c r="BY269" i="2"/>
  <c r="BX269" i="2"/>
  <c r="BW269" i="2"/>
  <c r="BV269" i="2"/>
  <c r="BU269" i="2"/>
  <c r="BT269" i="2"/>
  <c r="BR269" i="2"/>
  <c r="BQ269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CO268" i="2"/>
  <c r="CN268" i="2"/>
  <c r="CM268" i="2"/>
  <c r="CL268" i="2"/>
  <c r="CK268" i="2"/>
  <c r="CJ268" i="2"/>
  <c r="CI268" i="2"/>
  <c r="CH268" i="2"/>
  <c r="CG268" i="2"/>
  <c r="CF268" i="2"/>
  <c r="CE268" i="2"/>
  <c r="CD268" i="2"/>
  <c r="CC268" i="2"/>
  <c r="CB268" i="2"/>
  <c r="CA268" i="2"/>
  <c r="BZ268" i="2"/>
  <c r="BY268" i="2"/>
  <c r="BX268" i="2"/>
  <c r="BW268" i="2"/>
  <c r="BV268" i="2"/>
  <c r="BU268" i="2"/>
  <c r="BT268" i="2"/>
  <c r="BR268" i="2"/>
  <c r="BQ268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CO267" i="2"/>
  <c r="CN267" i="2"/>
  <c r="CM267" i="2"/>
  <c r="CL267" i="2"/>
  <c r="CK267" i="2"/>
  <c r="CJ267" i="2"/>
  <c r="CI267" i="2"/>
  <c r="CH267" i="2"/>
  <c r="CG267" i="2"/>
  <c r="CF267" i="2"/>
  <c r="CE267" i="2"/>
  <c r="CD267" i="2"/>
  <c r="CC267" i="2"/>
  <c r="CB267" i="2"/>
  <c r="CA267" i="2"/>
  <c r="BZ267" i="2"/>
  <c r="BY267" i="2"/>
  <c r="BX267" i="2"/>
  <c r="BW267" i="2"/>
  <c r="BV267" i="2"/>
  <c r="BU267" i="2"/>
  <c r="BT267" i="2"/>
  <c r="BR267" i="2"/>
  <c r="BQ267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CO266" i="2"/>
  <c r="CN266" i="2"/>
  <c r="CM266" i="2"/>
  <c r="CL266" i="2"/>
  <c r="CK266" i="2"/>
  <c r="CJ266" i="2"/>
  <c r="CI266" i="2"/>
  <c r="CH266" i="2"/>
  <c r="CG266" i="2"/>
  <c r="CF266" i="2"/>
  <c r="CE266" i="2"/>
  <c r="CD266" i="2"/>
  <c r="CC266" i="2"/>
  <c r="CB266" i="2"/>
  <c r="CA266" i="2"/>
  <c r="BZ266" i="2"/>
  <c r="BY266" i="2"/>
  <c r="BX266" i="2"/>
  <c r="BW266" i="2"/>
  <c r="BV266" i="2"/>
  <c r="BU266" i="2"/>
  <c r="BT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CO265" i="2"/>
  <c r="CN265" i="2"/>
  <c r="CM265" i="2"/>
  <c r="CL265" i="2"/>
  <c r="CK265" i="2"/>
  <c r="CJ265" i="2"/>
  <c r="CI265" i="2"/>
  <c r="CH265" i="2"/>
  <c r="CG265" i="2"/>
  <c r="CF265" i="2"/>
  <c r="CE265" i="2"/>
  <c r="CD265" i="2"/>
  <c r="CC265" i="2"/>
  <c r="CB265" i="2"/>
  <c r="CA265" i="2"/>
  <c r="BZ265" i="2"/>
  <c r="BY265" i="2"/>
  <c r="BX265" i="2"/>
  <c r="BW265" i="2"/>
  <c r="BV265" i="2"/>
  <c r="BU265" i="2"/>
  <c r="BT265" i="2"/>
  <c r="BR265" i="2"/>
  <c r="BQ265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CO264" i="2"/>
  <c r="CN264" i="2"/>
  <c r="CM264" i="2"/>
  <c r="CL264" i="2"/>
  <c r="CK264" i="2"/>
  <c r="CJ264" i="2"/>
  <c r="CI264" i="2"/>
  <c r="CH264" i="2"/>
  <c r="CG264" i="2"/>
  <c r="CF264" i="2"/>
  <c r="CE264" i="2"/>
  <c r="CD264" i="2"/>
  <c r="CC264" i="2"/>
  <c r="CB264" i="2"/>
  <c r="CA264" i="2"/>
  <c r="BZ264" i="2"/>
  <c r="BY264" i="2"/>
  <c r="BX264" i="2"/>
  <c r="BW264" i="2"/>
  <c r="BV264" i="2"/>
  <c r="BU264" i="2"/>
  <c r="BT264" i="2"/>
  <c r="BR264" i="2"/>
  <c r="BQ264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CO263" i="2"/>
  <c r="CN263" i="2"/>
  <c r="CM263" i="2"/>
  <c r="CL263" i="2"/>
  <c r="CK263" i="2"/>
  <c r="CJ263" i="2"/>
  <c r="CI263" i="2"/>
  <c r="CH263" i="2"/>
  <c r="CG263" i="2"/>
  <c r="CF263" i="2"/>
  <c r="CE263" i="2"/>
  <c r="CD263" i="2"/>
  <c r="CC263" i="2"/>
  <c r="CB263" i="2"/>
  <c r="CA263" i="2"/>
  <c r="BZ263" i="2"/>
  <c r="BY263" i="2"/>
  <c r="BX263" i="2"/>
  <c r="BW263" i="2"/>
  <c r="BV263" i="2"/>
  <c r="BU263" i="2"/>
  <c r="BT263" i="2"/>
  <c r="BR263" i="2"/>
  <c r="BQ263" i="2"/>
  <c r="BP263" i="2"/>
  <c r="BO263" i="2"/>
  <c r="BN263" i="2"/>
  <c r="BM263" i="2"/>
  <c r="BL263" i="2"/>
  <c r="BK263" i="2"/>
  <c r="BJ263" i="2"/>
  <c r="BI263" i="2"/>
  <c r="BH263" i="2"/>
  <c r="BG263" i="2"/>
  <c r="BF263" i="2"/>
  <c r="BE263" i="2"/>
  <c r="BD263" i="2"/>
  <c r="BC263" i="2"/>
  <c r="BB263" i="2"/>
  <c r="BA263" i="2"/>
  <c r="AZ263" i="2"/>
  <c r="AY263" i="2"/>
  <c r="AX263" i="2"/>
  <c r="AW263" i="2"/>
  <c r="CO262" i="2"/>
  <c r="CN262" i="2"/>
  <c r="CM262" i="2"/>
  <c r="CL262" i="2"/>
  <c r="CK262" i="2"/>
  <c r="CJ262" i="2"/>
  <c r="CI262" i="2"/>
  <c r="CH262" i="2"/>
  <c r="CG262" i="2"/>
  <c r="CF262" i="2"/>
  <c r="CE262" i="2"/>
  <c r="CD262" i="2"/>
  <c r="CC262" i="2"/>
  <c r="CB262" i="2"/>
  <c r="CA262" i="2"/>
  <c r="BZ262" i="2"/>
  <c r="BY262" i="2"/>
  <c r="BX262" i="2"/>
  <c r="BW262" i="2"/>
  <c r="BV262" i="2"/>
  <c r="BU262" i="2"/>
  <c r="BT262" i="2"/>
  <c r="BR262" i="2"/>
  <c r="BQ262" i="2"/>
  <c r="BP262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AX262" i="2"/>
  <c r="AW262" i="2"/>
  <c r="CO261" i="2"/>
  <c r="CN261" i="2"/>
  <c r="CM261" i="2"/>
  <c r="CL261" i="2"/>
  <c r="CK261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CO260" i="2"/>
  <c r="CN260" i="2"/>
  <c r="CM260" i="2"/>
  <c r="CL260" i="2"/>
  <c r="CK260" i="2"/>
  <c r="CJ260" i="2"/>
  <c r="CI260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CO259" i="2"/>
  <c r="CN259" i="2"/>
  <c r="CM259" i="2"/>
  <c r="CL259" i="2"/>
  <c r="CK259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CO258" i="2"/>
  <c r="CN258" i="2"/>
  <c r="CM258" i="2"/>
  <c r="CL258" i="2"/>
  <c r="CK258" i="2"/>
  <c r="CJ258" i="2"/>
  <c r="CI258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CO257" i="2"/>
  <c r="CN257" i="2"/>
  <c r="CM257" i="2"/>
  <c r="CL257" i="2"/>
  <c r="CK257" i="2"/>
  <c r="CJ257" i="2"/>
  <c r="CI257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CO256" i="2"/>
  <c r="CN256" i="2"/>
  <c r="CM256" i="2"/>
  <c r="CL256" i="2"/>
  <c r="CK256" i="2"/>
  <c r="CJ256" i="2"/>
  <c r="CI256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CO255" i="2"/>
  <c r="CN255" i="2"/>
  <c r="CM255" i="2"/>
  <c r="CL255" i="2"/>
  <c r="CK255" i="2"/>
  <c r="CJ255" i="2"/>
  <c r="CI255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BV255" i="2"/>
  <c r="BU255" i="2"/>
  <c r="BT255" i="2"/>
  <c r="BR255" i="2"/>
  <c r="BQ255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CO254" i="2"/>
  <c r="CN254" i="2"/>
  <c r="CM254" i="2"/>
  <c r="CL254" i="2"/>
  <c r="CK254" i="2"/>
  <c r="CJ254" i="2"/>
  <c r="CI254" i="2"/>
  <c r="CH254" i="2"/>
  <c r="CG254" i="2"/>
  <c r="CF254" i="2"/>
  <c r="CE254" i="2"/>
  <c r="CD254" i="2"/>
  <c r="CC254" i="2"/>
  <c r="CB254" i="2"/>
  <c r="CA254" i="2"/>
  <c r="BZ254" i="2"/>
  <c r="BY254" i="2"/>
  <c r="BX254" i="2"/>
  <c r="BW254" i="2"/>
  <c r="BV254" i="2"/>
  <c r="BU254" i="2"/>
  <c r="BT254" i="2"/>
  <c r="BR254" i="2"/>
  <c r="BQ254" i="2"/>
  <c r="BP254" i="2"/>
  <c r="BO254" i="2"/>
  <c r="BN254" i="2"/>
  <c r="BM254" i="2"/>
  <c r="BL254" i="2"/>
  <c r="BK254" i="2"/>
  <c r="BJ254" i="2"/>
  <c r="BI254" i="2"/>
  <c r="BH254" i="2"/>
  <c r="BG254" i="2"/>
  <c r="BF254" i="2"/>
  <c r="BE254" i="2"/>
  <c r="BD254" i="2"/>
  <c r="BC254" i="2"/>
  <c r="BB254" i="2"/>
  <c r="BA254" i="2"/>
  <c r="AZ254" i="2"/>
  <c r="AY254" i="2"/>
  <c r="AX254" i="2"/>
  <c r="AW254" i="2"/>
  <c r="CO253" i="2"/>
  <c r="CN253" i="2"/>
  <c r="CM253" i="2"/>
  <c r="CL253" i="2"/>
  <c r="CK253" i="2"/>
  <c r="CJ253" i="2"/>
  <c r="CI253" i="2"/>
  <c r="CH253" i="2"/>
  <c r="CG253" i="2"/>
  <c r="CF253" i="2"/>
  <c r="CE253" i="2"/>
  <c r="CD253" i="2"/>
  <c r="CC253" i="2"/>
  <c r="CB253" i="2"/>
  <c r="CA253" i="2"/>
  <c r="BZ253" i="2"/>
  <c r="BY253" i="2"/>
  <c r="BX253" i="2"/>
  <c r="BW253" i="2"/>
  <c r="BV253" i="2"/>
  <c r="BU253" i="2"/>
  <c r="BT253" i="2"/>
  <c r="BR253" i="2"/>
  <c r="BQ253" i="2"/>
  <c r="BP253" i="2"/>
  <c r="BO253" i="2"/>
  <c r="BN253" i="2"/>
  <c r="BM253" i="2"/>
  <c r="BL253" i="2"/>
  <c r="BK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CO252" i="2"/>
  <c r="CN252" i="2"/>
  <c r="CM252" i="2"/>
  <c r="CL252" i="2"/>
  <c r="CK252" i="2"/>
  <c r="CJ252" i="2"/>
  <c r="CI252" i="2"/>
  <c r="CH252" i="2"/>
  <c r="CG252" i="2"/>
  <c r="CF252" i="2"/>
  <c r="CE252" i="2"/>
  <c r="CD252" i="2"/>
  <c r="CC252" i="2"/>
  <c r="CB252" i="2"/>
  <c r="CA252" i="2"/>
  <c r="BZ252" i="2"/>
  <c r="BY252" i="2"/>
  <c r="BX252" i="2"/>
  <c r="BW252" i="2"/>
  <c r="BV252" i="2"/>
  <c r="BU252" i="2"/>
  <c r="BT252" i="2"/>
  <c r="BR252" i="2"/>
  <c r="BQ252" i="2"/>
  <c r="BP252" i="2"/>
  <c r="BO252" i="2"/>
  <c r="BN252" i="2"/>
  <c r="BM252" i="2"/>
  <c r="BL252" i="2"/>
  <c r="BK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AX252" i="2"/>
  <c r="AW252" i="2"/>
  <c r="CO251" i="2"/>
  <c r="CN251" i="2"/>
  <c r="CM251" i="2"/>
  <c r="CL251" i="2"/>
  <c r="CK251" i="2"/>
  <c r="CJ251" i="2"/>
  <c r="CI251" i="2"/>
  <c r="CH251" i="2"/>
  <c r="CG251" i="2"/>
  <c r="CF251" i="2"/>
  <c r="CE251" i="2"/>
  <c r="CD251" i="2"/>
  <c r="CC251" i="2"/>
  <c r="CB251" i="2"/>
  <c r="CA251" i="2"/>
  <c r="BZ251" i="2"/>
  <c r="BY251" i="2"/>
  <c r="BX251" i="2"/>
  <c r="BW251" i="2"/>
  <c r="BV251" i="2"/>
  <c r="BU251" i="2"/>
  <c r="BT251" i="2"/>
  <c r="BR251" i="2"/>
  <c r="BQ251" i="2"/>
  <c r="BP251" i="2"/>
  <c r="BO251" i="2"/>
  <c r="BN251" i="2"/>
  <c r="BM251" i="2"/>
  <c r="BL251" i="2"/>
  <c r="BK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AX251" i="2"/>
  <c r="AW251" i="2"/>
  <c r="CO250" i="2"/>
  <c r="CN250" i="2"/>
  <c r="CM250" i="2"/>
  <c r="CL250" i="2"/>
  <c r="CK250" i="2"/>
  <c r="CJ250" i="2"/>
  <c r="CI250" i="2"/>
  <c r="CH250" i="2"/>
  <c r="CG250" i="2"/>
  <c r="CF250" i="2"/>
  <c r="CE250" i="2"/>
  <c r="CD250" i="2"/>
  <c r="CC250" i="2"/>
  <c r="CB250" i="2"/>
  <c r="CA250" i="2"/>
  <c r="BZ250" i="2"/>
  <c r="BY250" i="2"/>
  <c r="BX250" i="2"/>
  <c r="BW250" i="2"/>
  <c r="BV250" i="2"/>
  <c r="BU250" i="2"/>
  <c r="BT250" i="2"/>
  <c r="BR250" i="2"/>
  <c r="BQ250" i="2"/>
  <c r="BP250" i="2"/>
  <c r="BO250" i="2"/>
  <c r="BN250" i="2"/>
  <c r="BM250" i="2"/>
  <c r="BL250" i="2"/>
  <c r="BK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CO249" i="2"/>
  <c r="CN249" i="2"/>
  <c r="CM249" i="2"/>
  <c r="CL249" i="2"/>
  <c r="CK249" i="2"/>
  <c r="CJ249" i="2"/>
  <c r="CI249" i="2"/>
  <c r="CH249" i="2"/>
  <c r="CG249" i="2"/>
  <c r="CF249" i="2"/>
  <c r="CE249" i="2"/>
  <c r="CD249" i="2"/>
  <c r="CC249" i="2"/>
  <c r="CB249" i="2"/>
  <c r="CA249" i="2"/>
  <c r="BZ249" i="2"/>
  <c r="BY249" i="2"/>
  <c r="BX249" i="2"/>
  <c r="BW249" i="2"/>
  <c r="BV249" i="2"/>
  <c r="BU249" i="2"/>
  <c r="BT249" i="2"/>
  <c r="BR249" i="2"/>
  <c r="BQ249" i="2"/>
  <c r="BP249" i="2"/>
  <c r="BO249" i="2"/>
  <c r="BN249" i="2"/>
  <c r="BM249" i="2"/>
  <c r="BL249" i="2"/>
  <c r="BK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AX249" i="2"/>
  <c r="AW249" i="2"/>
  <c r="CO248" i="2"/>
  <c r="CN248" i="2"/>
  <c r="CM248" i="2"/>
  <c r="CL248" i="2"/>
  <c r="CK248" i="2"/>
  <c r="CJ248" i="2"/>
  <c r="CI248" i="2"/>
  <c r="CH248" i="2"/>
  <c r="CG248" i="2"/>
  <c r="CF248" i="2"/>
  <c r="CE248" i="2"/>
  <c r="CD248" i="2"/>
  <c r="CC248" i="2"/>
  <c r="CB248" i="2"/>
  <c r="CA248" i="2"/>
  <c r="BZ248" i="2"/>
  <c r="BY248" i="2"/>
  <c r="BX248" i="2"/>
  <c r="BW248" i="2"/>
  <c r="BV248" i="2"/>
  <c r="BU248" i="2"/>
  <c r="BT248" i="2"/>
  <c r="BR248" i="2"/>
  <c r="BQ248" i="2"/>
  <c r="BP248" i="2"/>
  <c r="BO248" i="2"/>
  <c r="BN248" i="2"/>
  <c r="BM248" i="2"/>
  <c r="BL248" i="2"/>
  <c r="BK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AX248" i="2"/>
  <c r="AW248" i="2"/>
  <c r="CO247" i="2"/>
  <c r="CN247" i="2"/>
  <c r="CM247" i="2"/>
  <c r="CL247" i="2"/>
  <c r="CK247" i="2"/>
  <c r="CJ247" i="2"/>
  <c r="CI247" i="2"/>
  <c r="CH247" i="2"/>
  <c r="CG247" i="2"/>
  <c r="CF247" i="2"/>
  <c r="CE247" i="2"/>
  <c r="CD247" i="2"/>
  <c r="CC247" i="2"/>
  <c r="CB247" i="2"/>
  <c r="CA247" i="2"/>
  <c r="BZ247" i="2"/>
  <c r="BY247" i="2"/>
  <c r="BX247" i="2"/>
  <c r="BW247" i="2"/>
  <c r="BV247" i="2"/>
  <c r="BU247" i="2"/>
  <c r="BT247" i="2"/>
  <c r="BR247" i="2"/>
  <c r="BQ247" i="2"/>
  <c r="BP247" i="2"/>
  <c r="BO247" i="2"/>
  <c r="BN247" i="2"/>
  <c r="BM247" i="2"/>
  <c r="BL247" i="2"/>
  <c r="BK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CO246" i="2"/>
  <c r="CN246" i="2"/>
  <c r="CM246" i="2"/>
  <c r="CL246" i="2"/>
  <c r="CK246" i="2"/>
  <c r="CJ246" i="2"/>
  <c r="CI246" i="2"/>
  <c r="CH246" i="2"/>
  <c r="CG246" i="2"/>
  <c r="CF246" i="2"/>
  <c r="CE246" i="2"/>
  <c r="CD246" i="2"/>
  <c r="CC246" i="2"/>
  <c r="CB246" i="2"/>
  <c r="CA246" i="2"/>
  <c r="BZ246" i="2"/>
  <c r="BY246" i="2"/>
  <c r="BX246" i="2"/>
  <c r="BW246" i="2"/>
  <c r="BV246" i="2"/>
  <c r="BU246" i="2"/>
  <c r="BT246" i="2"/>
  <c r="BR246" i="2"/>
  <c r="BQ246" i="2"/>
  <c r="BP246" i="2"/>
  <c r="BO246" i="2"/>
  <c r="BN246" i="2"/>
  <c r="BM246" i="2"/>
  <c r="BL246" i="2"/>
  <c r="BK246" i="2"/>
  <c r="BJ246" i="2"/>
  <c r="BI246" i="2"/>
  <c r="BH246" i="2"/>
  <c r="BG246" i="2"/>
  <c r="BF246" i="2"/>
  <c r="BE246" i="2"/>
  <c r="BD246" i="2"/>
  <c r="BC246" i="2"/>
  <c r="BB246" i="2"/>
  <c r="BA246" i="2"/>
  <c r="AZ246" i="2"/>
  <c r="AY246" i="2"/>
  <c r="AX246" i="2"/>
  <c r="AW246" i="2"/>
  <c r="CO245" i="2"/>
  <c r="CN245" i="2"/>
  <c r="CM245" i="2"/>
  <c r="CL245" i="2"/>
  <c r="CK245" i="2"/>
  <c r="CJ245" i="2"/>
  <c r="CI245" i="2"/>
  <c r="CH245" i="2"/>
  <c r="CG245" i="2"/>
  <c r="CF245" i="2"/>
  <c r="CE245" i="2"/>
  <c r="CD245" i="2"/>
  <c r="CC245" i="2"/>
  <c r="CB245" i="2"/>
  <c r="CA245" i="2"/>
  <c r="BZ245" i="2"/>
  <c r="BY245" i="2"/>
  <c r="BX245" i="2"/>
  <c r="BW245" i="2"/>
  <c r="BV245" i="2"/>
  <c r="BU245" i="2"/>
  <c r="BT245" i="2"/>
  <c r="BR245" i="2"/>
  <c r="BQ245" i="2"/>
  <c r="BP245" i="2"/>
  <c r="BO245" i="2"/>
  <c r="BN245" i="2"/>
  <c r="BM245" i="2"/>
  <c r="BL245" i="2"/>
  <c r="BK245" i="2"/>
  <c r="BJ245" i="2"/>
  <c r="BI245" i="2"/>
  <c r="BH245" i="2"/>
  <c r="BG245" i="2"/>
  <c r="BF245" i="2"/>
  <c r="BE245" i="2"/>
  <c r="BD245" i="2"/>
  <c r="BC245" i="2"/>
  <c r="BB245" i="2"/>
  <c r="BA245" i="2"/>
  <c r="AZ245" i="2"/>
  <c r="AY245" i="2"/>
  <c r="AX245" i="2"/>
  <c r="AW245" i="2"/>
  <c r="CO244" i="2"/>
  <c r="CN244" i="2"/>
  <c r="CM244" i="2"/>
  <c r="CL244" i="2"/>
  <c r="CK244" i="2"/>
  <c r="CJ244" i="2"/>
  <c r="CI244" i="2"/>
  <c r="CH244" i="2"/>
  <c r="CG244" i="2"/>
  <c r="CF244" i="2"/>
  <c r="CE244" i="2"/>
  <c r="CD244" i="2"/>
  <c r="CC244" i="2"/>
  <c r="CB244" i="2"/>
  <c r="CA244" i="2"/>
  <c r="BZ244" i="2"/>
  <c r="BY244" i="2"/>
  <c r="BX244" i="2"/>
  <c r="BW244" i="2"/>
  <c r="BV244" i="2"/>
  <c r="BU244" i="2"/>
  <c r="BT244" i="2"/>
  <c r="BR244" i="2"/>
  <c r="BQ244" i="2"/>
  <c r="BP244" i="2"/>
  <c r="BO244" i="2"/>
  <c r="BN244" i="2"/>
  <c r="BM244" i="2"/>
  <c r="BL244" i="2"/>
  <c r="BK244" i="2"/>
  <c r="BJ244" i="2"/>
  <c r="BI244" i="2"/>
  <c r="BH244" i="2"/>
  <c r="BG244" i="2"/>
  <c r="BF244" i="2"/>
  <c r="BE244" i="2"/>
  <c r="BD244" i="2"/>
  <c r="BC244" i="2"/>
  <c r="BB244" i="2"/>
  <c r="BA244" i="2"/>
  <c r="AZ244" i="2"/>
  <c r="AY244" i="2"/>
  <c r="AX244" i="2"/>
  <c r="AW244" i="2"/>
  <c r="CO243" i="2"/>
  <c r="CN243" i="2"/>
  <c r="CM243" i="2"/>
  <c r="CL243" i="2"/>
  <c r="CK243" i="2"/>
  <c r="CJ243" i="2"/>
  <c r="CI243" i="2"/>
  <c r="CH243" i="2"/>
  <c r="CG243" i="2"/>
  <c r="CF243" i="2"/>
  <c r="CE243" i="2"/>
  <c r="CD243" i="2"/>
  <c r="CC243" i="2"/>
  <c r="CB243" i="2"/>
  <c r="CA243" i="2"/>
  <c r="BZ243" i="2"/>
  <c r="BY243" i="2"/>
  <c r="BX243" i="2"/>
  <c r="BW243" i="2"/>
  <c r="BV243" i="2"/>
  <c r="BU243" i="2"/>
  <c r="BT243" i="2"/>
  <c r="BR243" i="2"/>
  <c r="BQ243" i="2"/>
  <c r="BP243" i="2"/>
  <c r="BO243" i="2"/>
  <c r="BN243" i="2"/>
  <c r="BM243" i="2"/>
  <c r="BL243" i="2"/>
  <c r="BK243" i="2"/>
  <c r="BJ243" i="2"/>
  <c r="BI243" i="2"/>
  <c r="BH243" i="2"/>
  <c r="BG243" i="2"/>
  <c r="BF243" i="2"/>
  <c r="BE243" i="2"/>
  <c r="BD243" i="2"/>
  <c r="BC243" i="2"/>
  <c r="BB243" i="2"/>
  <c r="BA243" i="2"/>
  <c r="AZ243" i="2"/>
  <c r="AY243" i="2"/>
  <c r="AX243" i="2"/>
  <c r="AW243" i="2"/>
  <c r="CO242" i="2"/>
  <c r="CN242" i="2"/>
  <c r="CM242" i="2"/>
  <c r="CL242" i="2"/>
  <c r="CK242" i="2"/>
  <c r="CJ242" i="2"/>
  <c r="CI242" i="2"/>
  <c r="CH242" i="2"/>
  <c r="CG242" i="2"/>
  <c r="CF242" i="2"/>
  <c r="CE242" i="2"/>
  <c r="CD242" i="2"/>
  <c r="CC242" i="2"/>
  <c r="CB242" i="2"/>
  <c r="CA242" i="2"/>
  <c r="BZ242" i="2"/>
  <c r="BY242" i="2"/>
  <c r="BX242" i="2"/>
  <c r="BW242" i="2"/>
  <c r="BV242" i="2"/>
  <c r="BU242" i="2"/>
  <c r="BT242" i="2"/>
  <c r="BR242" i="2"/>
  <c r="BQ242" i="2"/>
  <c r="BP242" i="2"/>
  <c r="BO242" i="2"/>
  <c r="BN242" i="2"/>
  <c r="BM242" i="2"/>
  <c r="BL242" i="2"/>
  <c r="BK242" i="2"/>
  <c r="BJ242" i="2"/>
  <c r="BI242" i="2"/>
  <c r="BH242" i="2"/>
  <c r="BG242" i="2"/>
  <c r="BF242" i="2"/>
  <c r="BE242" i="2"/>
  <c r="BD242" i="2"/>
  <c r="BC242" i="2"/>
  <c r="BB242" i="2"/>
  <c r="BA242" i="2"/>
  <c r="AZ242" i="2"/>
  <c r="AY242" i="2"/>
  <c r="AX242" i="2"/>
  <c r="AW242" i="2"/>
  <c r="CO241" i="2"/>
  <c r="CN241" i="2"/>
  <c r="CM241" i="2"/>
  <c r="CL241" i="2"/>
  <c r="CK241" i="2"/>
  <c r="CJ241" i="2"/>
  <c r="CI241" i="2"/>
  <c r="CH241" i="2"/>
  <c r="CG241" i="2"/>
  <c r="CF241" i="2"/>
  <c r="CE241" i="2"/>
  <c r="CD241" i="2"/>
  <c r="CC241" i="2"/>
  <c r="CB241" i="2"/>
  <c r="CA241" i="2"/>
  <c r="BZ241" i="2"/>
  <c r="BY241" i="2"/>
  <c r="BX241" i="2"/>
  <c r="BW241" i="2"/>
  <c r="BV241" i="2"/>
  <c r="BU241" i="2"/>
  <c r="BT241" i="2"/>
  <c r="BR241" i="2"/>
  <c r="BQ241" i="2"/>
  <c r="BP241" i="2"/>
  <c r="BO241" i="2"/>
  <c r="BN241" i="2"/>
  <c r="BM241" i="2"/>
  <c r="BL241" i="2"/>
  <c r="BK241" i="2"/>
  <c r="BJ241" i="2"/>
  <c r="BI241" i="2"/>
  <c r="BH241" i="2"/>
  <c r="BG241" i="2"/>
  <c r="BF241" i="2"/>
  <c r="BE241" i="2"/>
  <c r="BD241" i="2"/>
  <c r="BC241" i="2"/>
  <c r="BB241" i="2"/>
  <c r="BA241" i="2"/>
  <c r="AZ241" i="2"/>
  <c r="AY241" i="2"/>
  <c r="AX241" i="2"/>
  <c r="AW241" i="2"/>
  <c r="CO240" i="2"/>
  <c r="CN240" i="2"/>
  <c r="CM240" i="2"/>
  <c r="CL240" i="2"/>
  <c r="CK240" i="2"/>
  <c r="CJ240" i="2"/>
  <c r="CI240" i="2"/>
  <c r="CH240" i="2"/>
  <c r="CG240" i="2"/>
  <c r="CF240" i="2"/>
  <c r="CE240" i="2"/>
  <c r="CD240" i="2"/>
  <c r="CC240" i="2"/>
  <c r="CB240" i="2"/>
  <c r="CA240" i="2"/>
  <c r="BZ240" i="2"/>
  <c r="BY240" i="2"/>
  <c r="BX240" i="2"/>
  <c r="BW240" i="2"/>
  <c r="BV240" i="2"/>
  <c r="BU240" i="2"/>
  <c r="BT240" i="2"/>
  <c r="BR240" i="2"/>
  <c r="BQ240" i="2"/>
  <c r="BP240" i="2"/>
  <c r="BO240" i="2"/>
  <c r="BN240" i="2"/>
  <c r="BM240" i="2"/>
  <c r="BL240" i="2"/>
  <c r="BK240" i="2"/>
  <c r="BJ240" i="2"/>
  <c r="BI240" i="2"/>
  <c r="BH240" i="2"/>
  <c r="BG240" i="2"/>
  <c r="BF240" i="2"/>
  <c r="BE240" i="2"/>
  <c r="BD240" i="2"/>
  <c r="BC240" i="2"/>
  <c r="BB240" i="2"/>
  <c r="BA240" i="2"/>
  <c r="AZ240" i="2"/>
  <c r="AY240" i="2"/>
  <c r="AX240" i="2"/>
  <c r="AW240" i="2"/>
  <c r="CO239" i="2"/>
  <c r="CN239" i="2"/>
  <c r="CM239" i="2"/>
  <c r="CL239" i="2"/>
  <c r="CK239" i="2"/>
  <c r="CJ239" i="2"/>
  <c r="CI239" i="2"/>
  <c r="CH239" i="2"/>
  <c r="CG239" i="2"/>
  <c r="CF239" i="2"/>
  <c r="CE239" i="2"/>
  <c r="CD239" i="2"/>
  <c r="CC239" i="2"/>
  <c r="CB239" i="2"/>
  <c r="CA239" i="2"/>
  <c r="BZ239" i="2"/>
  <c r="BY239" i="2"/>
  <c r="BX239" i="2"/>
  <c r="BW239" i="2"/>
  <c r="BV239" i="2"/>
  <c r="BU239" i="2"/>
  <c r="BT239" i="2"/>
  <c r="BR239" i="2"/>
  <c r="BQ239" i="2"/>
  <c r="BP239" i="2"/>
  <c r="BO239" i="2"/>
  <c r="BN239" i="2"/>
  <c r="BM239" i="2"/>
  <c r="BL239" i="2"/>
  <c r="BK239" i="2"/>
  <c r="BJ239" i="2"/>
  <c r="BI239" i="2"/>
  <c r="BH239" i="2"/>
  <c r="BG239" i="2"/>
  <c r="BF239" i="2"/>
  <c r="BE239" i="2"/>
  <c r="BD239" i="2"/>
  <c r="BC239" i="2"/>
  <c r="BB239" i="2"/>
  <c r="BA239" i="2"/>
  <c r="AZ239" i="2"/>
  <c r="AY239" i="2"/>
  <c r="AX239" i="2"/>
  <c r="AW239" i="2"/>
  <c r="CO238" i="2"/>
  <c r="CN238" i="2"/>
  <c r="CM238" i="2"/>
  <c r="CL238" i="2"/>
  <c r="CK238" i="2"/>
  <c r="CJ238" i="2"/>
  <c r="CI238" i="2"/>
  <c r="CH238" i="2"/>
  <c r="CG238" i="2"/>
  <c r="CF238" i="2"/>
  <c r="CE238" i="2"/>
  <c r="CD238" i="2"/>
  <c r="CC238" i="2"/>
  <c r="CB238" i="2"/>
  <c r="CA238" i="2"/>
  <c r="BZ238" i="2"/>
  <c r="BY238" i="2"/>
  <c r="BX238" i="2"/>
  <c r="BW238" i="2"/>
  <c r="BV238" i="2"/>
  <c r="BU238" i="2"/>
  <c r="BT238" i="2"/>
  <c r="BR238" i="2"/>
  <c r="BQ238" i="2"/>
  <c r="BP238" i="2"/>
  <c r="BO238" i="2"/>
  <c r="BN238" i="2"/>
  <c r="BM238" i="2"/>
  <c r="BL238" i="2"/>
  <c r="BK238" i="2"/>
  <c r="BJ238" i="2"/>
  <c r="BI238" i="2"/>
  <c r="BH238" i="2"/>
  <c r="BG238" i="2"/>
  <c r="BF238" i="2"/>
  <c r="BE238" i="2"/>
  <c r="BD238" i="2"/>
  <c r="BC238" i="2"/>
  <c r="BB238" i="2"/>
  <c r="BA238" i="2"/>
  <c r="AZ238" i="2"/>
  <c r="AY238" i="2"/>
  <c r="AX238" i="2"/>
  <c r="AW238" i="2"/>
  <c r="CO237" i="2"/>
  <c r="CN237" i="2"/>
  <c r="CM237" i="2"/>
  <c r="CL237" i="2"/>
  <c r="CK237" i="2"/>
  <c r="CJ237" i="2"/>
  <c r="CI237" i="2"/>
  <c r="CH237" i="2"/>
  <c r="CG237" i="2"/>
  <c r="CF237" i="2"/>
  <c r="CE237" i="2"/>
  <c r="CD237" i="2"/>
  <c r="CC237" i="2"/>
  <c r="CB237" i="2"/>
  <c r="CA237" i="2"/>
  <c r="BZ237" i="2"/>
  <c r="BY237" i="2"/>
  <c r="BX237" i="2"/>
  <c r="BW237" i="2"/>
  <c r="BV237" i="2"/>
  <c r="BU237" i="2"/>
  <c r="BT237" i="2"/>
  <c r="BR237" i="2"/>
  <c r="BQ237" i="2"/>
  <c r="BP237" i="2"/>
  <c r="BO237" i="2"/>
  <c r="BN237" i="2"/>
  <c r="BM237" i="2"/>
  <c r="BL237" i="2"/>
  <c r="BK237" i="2"/>
  <c r="BJ237" i="2"/>
  <c r="BI237" i="2"/>
  <c r="BH237" i="2"/>
  <c r="BG237" i="2"/>
  <c r="BF237" i="2"/>
  <c r="BE237" i="2"/>
  <c r="BD237" i="2"/>
  <c r="BC237" i="2"/>
  <c r="BB237" i="2"/>
  <c r="BA237" i="2"/>
  <c r="AZ237" i="2"/>
  <c r="AY237" i="2"/>
  <c r="AX237" i="2"/>
  <c r="AW237" i="2"/>
  <c r="CO236" i="2"/>
  <c r="CN236" i="2"/>
  <c r="CM236" i="2"/>
  <c r="CL236" i="2"/>
  <c r="CK236" i="2"/>
  <c r="CJ236" i="2"/>
  <c r="CI236" i="2"/>
  <c r="CH236" i="2"/>
  <c r="CG236" i="2"/>
  <c r="CF236" i="2"/>
  <c r="CE236" i="2"/>
  <c r="CD236" i="2"/>
  <c r="CC236" i="2"/>
  <c r="CB236" i="2"/>
  <c r="CA236" i="2"/>
  <c r="BZ236" i="2"/>
  <c r="BY236" i="2"/>
  <c r="BX236" i="2"/>
  <c r="BW236" i="2"/>
  <c r="BV236" i="2"/>
  <c r="BU236" i="2"/>
  <c r="BT236" i="2"/>
  <c r="BR236" i="2"/>
  <c r="BQ236" i="2"/>
  <c r="BP236" i="2"/>
  <c r="BO236" i="2"/>
  <c r="BN236" i="2"/>
  <c r="BM236" i="2"/>
  <c r="BL236" i="2"/>
  <c r="BK236" i="2"/>
  <c r="BJ236" i="2"/>
  <c r="BI236" i="2"/>
  <c r="BH236" i="2"/>
  <c r="BG236" i="2"/>
  <c r="BF236" i="2"/>
  <c r="BE236" i="2"/>
  <c r="BD236" i="2"/>
  <c r="BC236" i="2"/>
  <c r="BB236" i="2"/>
  <c r="BA236" i="2"/>
  <c r="AZ236" i="2"/>
  <c r="AY236" i="2"/>
  <c r="AX236" i="2"/>
  <c r="AW236" i="2"/>
  <c r="CO235" i="2"/>
  <c r="CN235" i="2"/>
  <c r="CM235" i="2"/>
  <c r="CL235" i="2"/>
  <c r="CK235" i="2"/>
  <c r="CJ235" i="2"/>
  <c r="CI235" i="2"/>
  <c r="CH235" i="2"/>
  <c r="CG235" i="2"/>
  <c r="CF235" i="2"/>
  <c r="CE235" i="2"/>
  <c r="CD235" i="2"/>
  <c r="CC235" i="2"/>
  <c r="CB235" i="2"/>
  <c r="CA235" i="2"/>
  <c r="BZ235" i="2"/>
  <c r="BY235" i="2"/>
  <c r="BX235" i="2"/>
  <c r="BW235" i="2"/>
  <c r="BV235" i="2"/>
  <c r="BU235" i="2"/>
  <c r="BT235" i="2"/>
  <c r="BR235" i="2"/>
  <c r="BQ235" i="2"/>
  <c r="BP235" i="2"/>
  <c r="BO235" i="2"/>
  <c r="BN235" i="2"/>
  <c r="BM235" i="2"/>
  <c r="BL235" i="2"/>
  <c r="BK235" i="2"/>
  <c r="BJ235" i="2"/>
  <c r="BI235" i="2"/>
  <c r="BH235" i="2"/>
  <c r="BG235" i="2"/>
  <c r="BF235" i="2"/>
  <c r="BE235" i="2"/>
  <c r="BD235" i="2"/>
  <c r="BC235" i="2"/>
  <c r="BB235" i="2"/>
  <c r="BA235" i="2"/>
  <c r="AZ235" i="2"/>
  <c r="AY235" i="2"/>
  <c r="AX235" i="2"/>
  <c r="AW235" i="2"/>
  <c r="CO234" i="2"/>
  <c r="CN234" i="2"/>
  <c r="CM234" i="2"/>
  <c r="CL234" i="2"/>
  <c r="CK234" i="2"/>
  <c r="CJ234" i="2"/>
  <c r="CI234" i="2"/>
  <c r="CH234" i="2"/>
  <c r="CG234" i="2"/>
  <c r="CF234" i="2"/>
  <c r="CE234" i="2"/>
  <c r="CD234" i="2"/>
  <c r="CC234" i="2"/>
  <c r="CB234" i="2"/>
  <c r="CA234" i="2"/>
  <c r="BZ234" i="2"/>
  <c r="BY234" i="2"/>
  <c r="BX234" i="2"/>
  <c r="BW234" i="2"/>
  <c r="BV234" i="2"/>
  <c r="BU234" i="2"/>
  <c r="BT234" i="2"/>
  <c r="BR234" i="2"/>
  <c r="BQ234" i="2"/>
  <c r="BP234" i="2"/>
  <c r="BO234" i="2"/>
  <c r="BN234" i="2"/>
  <c r="BM234" i="2"/>
  <c r="BL234" i="2"/>
  <c r="BK234" i="2"/>
  <c r="BJ234" i="2"/>
  <c r="BI234" i="2"/>
  <c r="BH234" i="2"/>
  <c r="BG234" i="2"/>
  <c r="BF234" i="2"/>
  <c r="BE234" i="2"/>
  <c r="BD234" i="2"/>
  <c r="BC234" i="2"/>
  <c r="BB234" i="2"/>
  <c r="BA234" i="2"/>
  <c r="AZ234" i="2"/>
  <c r="AY234" i="2"/>
  <c r="AX234" i="2"/>
  <c r="AW234" i="2"/>
  <c r="CO233" i="2"/>
  <c r="CN233" i="2"/>
  <c r="CM233" i="2"/>
  <c r="CL233" i="2"/>
  <c r="CK233" i="2"/>
  <c r="CJ233" i="2"/>
  <c r="CI233" i="2"/>
  <c r="CH233" i="2"/>
  <c r="CG233" i="2"/>
  <c r="CF233" i="2"/>
  <c r="CE233" i="2"/>
  <c r="CD233" i="2"/>
  <c r="CC233" i="2"/>
  <c r="CB233" i="2"/>
  <c r="CA233" i="2"/>
  <c r="BZ233" i="2"/>
  <c r="BY233" i="2"/>
  <c r="BX233" i="2"/>
  <c r="BW233" i="2"/>
  <c r="BV233" i="2"/>
  <c r="BU233" i="2"/>
  <c r="BT233" i="2"/>
  <c r="BR233" i="2"/>
  <c r="BQ233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CO232" i="2"/>
  <c r="CN232" i="2"/>
  <c r="CM232" i="2"/>
  <c r="CL232" i="2"/>
  <c r="CK232" i="2"/>
  <c r="CJ232" i="2"/>
  <c r="CI232" i="2"/>
  <c r="CH232" i="2"/>
  <c r="CG232" i="2"/>
  <c r="CF232" i="2"/>
  <c r="CE232" i="2"/>
  <c r="CD232" i="2"/>
  <c r="CC232" i="2"/>
  <c r="CB232" i="2"/>
  <c r="CA232" i="2"/>
  <c r="BZ232" i="2"/>
  <c r="BY232" i="2"/>
  <c r="BX232" i="2"/>
  <c r="BW232" i="2"/>
  <c r="BV232" i="2"/>
  <c r="BU232" i="2"/>
  <c r="BT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CO231" i="2"/>
  <c r="CN231" i="2"/>
  <c r="CM231" i="2"/>
  <c r="CL231" i="2"/>
  <c r="CK231" i="2"/>
  <c r="CJ231" i="2"/>
  <c r="CI231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CO230" i="2"/>
  <c r="CN230" i="2"/>
  <c r="CM230" i="2"/>
  <c r="CL230" i="2"/>
  <c r="CK230" i="2"/>
  <c r="CJ230" i="2"/>
  <c r="CI230" i="2"/>
  <c r="CH230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CO229" i="2"/>
  <c r="CN229" i="2"/>
  <c r="CM229" i="2"/>
  <c r="CL229" i="2"/>
  <c r="CK229" i="2"/>
  <c r="CJ229" i="2"/>
  <c r="CI229" i="2"/>
  <c r="CH229" i="2"/>
  <c r="CG229" i="2"/>
  <c r="CF229" i="2"/>
  <c r="CE229" i="2"/>
  <c r="CD229" i="2"/>
  <c r="CC229" i="2"/>
  <c r="CB229" i="2"/>
  <c r="CA229" i="2"/>
  <c r="BZ229" i="2"/>
  <c r="BY229" i="2"/>
  <c r="BX229" i="2"/>
  <c r="BW229" i="2"/>
  <c r="BV229" i="2"/>
  <c r="BU229" i="2"/>
  <c r="BT229" i="2"/>
  <c r="BR229" i="2"/>
  <c r="BQ229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CO228" i="2"/>
  <c r="CN228" i="2"/>
  <c r="CM228" i="2"/>
  <c r="CL228" i="2"/>
  <c r="CK228" i="2"/>
  <c r="CJ228" i="2"/>
  <c r="CI228" i="2"/>
  <c r="CH228" i="2"/>
  <c r="CG228" i="2"/>
  <c r="CF228" i="2"/>
  <c r="CE228" i="2"/>
  <c r="CD228" i="2"/>
  <c r="CC228" i="2"/>
  <c r="CB228" i="2"/>
  <c r="CA228" i="2"/>
  <c r="BZ228" i="2"/>
  <c r="BY228" i="2"/>
  <c r="BX228" i="2"/>
  <c r="BW228" i="2"/>
  <c r="BV228" i="2"/>
  <c r="BU228" i="2"/>
  <c r="BT228" i="2"/>
  <c r="BR228" i="2"/>
  <c r="BQ228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CO227" i="2"/>
  <c r="CN227" i="2"/>
  <c r="CM227" i="2"/>
  <c r="CL227" i="2"/>
  <c r="CK227" i="2"/>
  <c r="CJ227" i="2"/>
  <c r="CI227" i="2"/>
  <c r="CH227" i="2"/>
  <c r="CG227" i="2"/>
  <c r="CF227" i="2"/>
  <c r="CE227" i="2"/>
  <c r="CD227" i="2"/>
  <c r="CC227" i="2"/>
  <c r="CB227" i="2"/>
  <c r="CA227" i="2"/>
  <c r="BZ227" i="2"/>
  <c r="BY227" i="2"/>
  <c r="BX227" i="2"/>
  <c r="BW227" i="2"/>
  <c r="BV227" i="2"/>
  <c r="BU227" i="2"/>
  <c r="BT227" i="2"/>
  <c r="BR227" i="2"/>
  <c r="BQ227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CO226" i="2"/>
  <c r="CN226" i="2"/>
  <c r="CM226" i="2"/>
  <c r="CL226" i="2"/>
  <c r="CK226" i="2"/>
  <c r="CJ226" i="2"/>
  <c r="CI226" i="2"/>
  <c r="CH226" i="2"/>
  <c r="CG226" i="2"/>
  <c r="CF226" i="2"/>
  <c r="CE226" i="2"/>
  <c r="CD226" i="2"/>
  <c r="CC226" i="2"/>
  <c r="CB226" i="2"/>
  <c r="CA226" i="2"/>
  <c r="BZ226" i="2"/>
  <c r="BY226" i="2"/>
  <c r="BX226" i="2"/>
  <c r="BW226" i="2"/>
  <c r="BV226" i="2"/>
  <c r="BU226" i="2"/>
  <c r="BT226" i="2"/>
  <c r="BR226" i="2"/>
  <c r="BQ226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CO225" i="2"/>
  <c r="CN225" i="2"/>
  <c r="CM225" i="2"/>
  <c r="CL225" i="2"/>
  <c r="CK225" i="2"/>
  <c r="CJ225" i="2"/>
  <c r="CI225" i="2"/>
  <c r="CH225" i="2"/>
  <c r="CG225" i="2"/>
  <c r="CF225" i="2"/>
  <c r="CE225" i="2"/>
  <c r="CD225" i="2"/>
  <c r="CC225" i="2"/>
  <c r="CB225" i="2"/>
  <c r="CA225" i="2"/>
  <c r="BZ225" i="2"/>
  <c r="BY225" i="2"/>
  <c r="BX225" i="2"/>
  <c r="BW225" i="2"/>
  <c r="BV225" i="2"/>
  <c r="BU225" i="2"/>
  <c r="BT225" i="2"/>
  <c r="BR225" i="2"/>
  <c r="BQ225" i="2"/>
  <c r="BP225" i="2"/>
  <c r="BO225" i="2"/>
  <c r="BN225" i="2"/>
  <c r="BM225" i="2"/>
  <c r="BL225" i="2"/>
  <c r="BK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AX225" i="2"/>
  <c r="AW225" i="2"/>
  <c r="CO224" i="2"/>
  <c r="CN224" i="2"/>
  <c r="CM224" i="2"/>
  <c r="CL224" i="2"/>
  <c r="CK224" i="2"/>
  <c r="CJ224" i="2"/>
  <c r="CI224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CO223" i="2"/>
  <c r="CN223" i="2"/>
  <c r="CM223" i="2"/>
  <c r="CL223" i="2"/>
  <c r="CK223" i="2"/>
  <c r="CJ223" i="2"/>
  <c r="CI223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CO222" i="2"/>
  <c r="CN222" i="2"/>
  <c r="CM222" i="2"/>
  <c r="CL222" i="2"/>
  <c r="CK222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CO221" i="2"/>
  <c r="CN221" i="2"/>
  <c r="CM221" i="2"/>
  <c r="CL221" i="2"/>
  <c r="CK221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CO220" i="2"/>
  <c r="CN220" i="2"/>
  <c r="CM220" i="2"/>
  <c r="CL220" i="2"/>
  <c r="CK220" i="2"/>
  <c r="CJ220" i="2"/>
  <c r="CI220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CO219" i="2"/>
  <c r="CN219" i="2"/>
  <c r="CM219" i="2"/>
  <c r="CL219" i="2"/>
  <c r="CK219" i="2"/>
  <c r="CJ219" i="2"/>
  <c r="CI21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CO218" i="2"/>
  <c r="CN218" i="2"/>
  <c r="CM218" i="2"/>
  <c r="CL218" i="2"/>
  <c r="CK218" i="2"/>
  <c r="CJ218" i="2"/>
  <c r="CI218" i="2"/>
  <c r="CH218" i="2"/>
  <c r="CG218" i="2"/>
  <c r="CF218" i="2"/>
  <c r="CE218" i="2"/>
  <c r="CD218" i="2"/>
  <c r="CC218" i="2"/>
  <c r="CB218" i="2"/>
  <c r="CA218" i="2"/>
  <c r="BZ218" i="2"/>
  <c r="BY218" i="2"/>
  <c r="BX218" i="2"/>
  <c r="BW218" i="2"/>
  <c r="BV218" i="2"/>
  <c r="BU218" i="2"/>
  <c r="BT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CO217" i="2"/>
  <c r="CN217" i="2"/>
  <c r="CM217" i="2"/>
  <c r="CL217" i="2"/>
  <c r="CK217" i="2"/>
  <c r="CJ217" i="2"/>
  <c r="CI217" i="2"/>
  <c r="CH217" i="2"/>
  <c r="CG217" i="2"/>
  <c r="CF217" i="2"/>
  <c r="CE217" i="2"/>
  <c r="CD217" i="2"/>
  <c r="CC217" i="2"/>
  <c r="CB217" i="2"/>
  <c r="CA217" i="2"/>
  <c r="BZ217" i="2"/>
  <c r="BY217" i="2"/>
  <c r="BX217" i="2"/>
  <c r="BW217" i="2"/>
  <c r="BV217" i="2"/>
  <c r="BU217" i="2"/>
  <c r="BT217" i="2"/>
  <c r="BR217" i="2"/>
  <c r="BQ217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CO216" i="2"/>
  <c r="CN216" i="2"/>
  <c r="CM216" i="2"/>
  <c r="CL216" i="2"/>
  <c r="CK216" i="2"/>
  <c r="CJ216" i="2"/>
  <c r="CI216" i="2"/>
  <c r="CH216" i="2"/>
  <c r="CG216" i="2"/>
  <c r="CF216" i="2"/>
  <c r="CE216" i="2"/>
  <c r="CD216" i="2"/>
  <c r="CC216" i="2"/>
  <c r="CB216" i="2"/>
  <c r="CA216" i="2"/>
  <c r="BZ216" i="2"/>
  <c r="BY216" i="2"/>
  <c r="BX216" i="2"/>
  <c r="BW216" i="2"/>
  <c r="BV216" i="2"/>
  <c r="BU216" i="2"/>
  <c r="BT216" i="2"/>
  <c r="BR216" i="2"/>
  <c r="BQ216" i="2"/>
  <c r="BP216" i="2"/>
  <c r="BO216" i="2"/>
  <c r="BN216" i="2"/>
  <c r="BM216" i="2"/>
  <c r="BL216" i="2"/>
  <c r="BK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AX216" i="2"/>
  <c r="AW216" i="2"/>
  <c r="CO215" i="2"/>
  <c r="CN215" i="2"/>
  <c r="CM215" i="2"/>
  <c r="CL215" i="2"/>
  <c r="CK215" i="2"/>
  <c r="CJ215" i="2"/>
  <c r="CI215" i="2"/>
  <c r="CH215" i="2"/>
  <c r="CG215" i="2"/>
  <c r="CF215" i="2"/>
  <c r="CE215" i="2"/>
  <c r="CD215" i="2"/>
  <c r="CC215" i="2"/>
  <c r="CB215" i="2"/>
  <c r="CA215" i="2"/>
  <c r="BZ215" i="2"/>
  <c r="BY215" i="2"/>
  <c r="BX215" i="2"/>
  <c r="BW215" i="2"/>
  <c r="BV215" i="2"/>
  <c r="BU215" i="2"/>
  <c r="BT215" i="2"/>
  <c r="BR215" i="2"/>
  <c r="BQ215" i="2"/>
  <c r="BP215" i="2"/>
  <c r="BO215" i="2"/>
  <c r="BN215" i="2"/>
  <c r="BM215" i="2"/>
  <c r="BL215" i="2"/>
  <c r="BK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AX215" i="2"/>
  <c r="AW215" i="2"/>
  <c r="CO214" i="2"/>
  <c r="CN214" i="2"/>
  <c r="CM214" i="2"/>
  <c r="CL214" i="2"/>
  <c r="CK214" i="2"/>
  <c r="CJ214" i="2"/>
  <c r="CI214" i="2"/>
  <c r="CH214" i="2"/>
  <c r="CG214" i="2"/>
  <c r="CF214" i="2"/>
  <c r="CE214" i="2"/>
  <c r="CD214" i="2"/>
  <c r="CC214" i="2"/>
  <c r="CB214" i="2"/>
  <c r="CA214" i="2"/>
  <c r="BZ214" i="2"/>
  <c r="BY214" i="2"/>
  <c r="BX214" i="2"/>
  <c r="BW214" i="2"/>
  <c r="BV214" i="2"/>
  <c r="BU214" i="2"/>
  <c r="BT214" i="2"/>
  <c r="BR214" i="2"/>
  <c r="BQ214" i="2"/>
  <c r="BP214" i="2"/>
  <c r="BO214" i="2"/>
  <c r="BN214" i="2"/>
  <c r="BM214" i="2"/>
  <c r="BL214" i="2"/>
  <c r="BK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AX214" i="2"/>
  <c r="AW214" i="2"/>
  <c r="CO213" i="2"/>
  <c r="CN213" i="2"/>
  <c r="CM213" i="2"/>
  <c r="CL213" i="2"/>
  <c r="CK213" i="2"/>
  <c r="CJ213" i="2"/>
  <c r="CI213" i="2"/>
  <c r="CH213" i="2"/>
  <c r="CG213" i="2"/>
  <c r="CF213" i="2"/>
  <c r="CE213" i="2"/>
  <c r="CD213" i="2"/>
  <c r="CC213" i="2"/>
  <c r="CB213" i="2"/>
  <c r="CA213" i="2"/>
  <c r="BZ213" i="2"/>
  <c r="BY213" i="2"/>
  <c r="BX213" i="2"/>
  <c r="BW213" i="2"/>
  <c r="BV213" i="2"/>
  <c r="BU213" i="2"/>
  <c r="BT213" i="2"/>
  <c r="BR213" i="2"/>
  <c r="BQ213" i="2"/>
  <c r="BP213" i="2"/>
  <c r="BO213" i="2"/>
  <c r="BN213" i="2"/>
  <c r="BM213" i="2"/>
  <c r="BL213" i="2"/>
  <c r="BK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AX213" i="2"/>
  <c r="AW213" i="2"/>
  <c r="CO212" i="2"/>
  <c r="CN212" i="2"/>
  <c r="CM212" i="2"/>
  <c r="CL212" i="2"/>
  <c r="CK212" i="2"/>
  <c r="CJ212" i="2"/>
  <c r="CI212" i="2"/>
  <c r="CH212" i="2"/>
  <c r="CG212" i="2"/>
  <c r="CF212" i="2"/>
  <c r="CE212" i="2"/>
  <c r="CD212" i="2"/>
  <c r="CC212" i="2"/>
  <c r="CB212" i="2"/>
  <c r="CA212" i="2"/>
  <c r="BZ212" i="2"/>
  <c r="BY212" i="2"/>
  <c r="BX212" i="2"/>
  <c r="BW212" i="2"/>
  <c r="BV212" i="2"/>
  <c r="BU212" i="2"/>
  <c r="BT212" i="2"/>
  <c r="BR212" i="2"/>
  <c r="BQ212" i="2"/>
  <c r="BP212" i="2"/>
  <c r="BO212" i="2"/>
  <c r="BN212" i="2"/>
  <c r="BM212" i="2"/>
  <c r="BL212" i="2"/>
  <c r="BK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AX212" i="2"/>
  <c r="AW212" i="2"/>
  <c r="CO211" i="2"/>
  <c r="CN211" i="2"/>
  <c r="CM211" i="2"/>
  <c r="CL211" i="2"/>
  <c r="CK211" i="2"/>
  <c r="CJ211" i="2"/>
  <c r="CI211" i="2"/>
  <c r="CH211" i="2"/>
  <c r="CG211" i="2"/>
  <c r="CF211" i="2"/>
  <c r="CE211" i="2"/>
  <c r="CD211" i="2"/>
  <c r="CC211" i="2"/>
  <c r="CB211" i="2"/>
  <c r="CA211" i="2"/>
  <c r="BZ211" i="2"/>
  <c r="BY211" i="2"/>
  <c r="BX211" i="2"/>
  <c r="BW211" i="2"/>
  <c r="BV211" i="2"/>
  <c r="BU211" i="2"/>
  <c r="BT211" i="2"/>
  <c r="BR211" i="2"/>
  <c r="BQ211" i="2"/>
  <c r="BP211" i="2"/>
  <c r="BO211" i="2"/>
  <c r="BN211" i="2"/>
  <c r="BM211" i="2"/>
  <c r="BL211" i="2"/>
  <c r="BK211" i="2"/>
  <c r="BJ211" i="2"/>
  <c r="BI211" i="2"/>
  <c r="BH211" i="2"/>
  <c r="BG211" i="2"/>
  <c r="BF211" i="2"/>
  <c r="BE211" i="2"/>
  <c r="BD211" i="2"/>
  <c r="BC211" i="2"/>
  <c r="BB211" i="2"/>
  <c r="BA211" i="2"/>
  <c r="AZ211" i="2"/>
  <c r="AY211" i="2"/>
  <c r="AX211" i="2"/>
  <c r="AW211" i="2"/>
  <c r="CO210" i="2"/>
  <c r="CN210" i="2"/>
  <c r="CM210" i="2"/>
  <c r="CL210" i="2"/>
  <c r="CK210" i="2"/>
  <c r="CJ210" i="2"/>
  <c r="CI210" i="2"/>
  <c r="CH210" i="2"/>
  <c r="CG210" i="2"/>
  <c r="CF210" i="2"/>
  <c r="CE210" i="2"/>
  <c r="CD210" i="2"/>
  <c r="CC210" i="2"/>
  <c r="CB210" i="2"/>
  <c r="CA210" i="2"/>
  <c r="BZ210" i="2"/>
  <c r="BY210" i="2"/>
  <c r="BX210" i="2"/>
  <c r="BW210" i="2"/>
  <c r="BV210" i="2"/>
  <c r="BU210" i="2"/>
  <c r="BT210" i="2"/>
  <c r="BR210" i="2"/>
  <c r="BQ210" i="2"/>
  <c r="BP210" i="2"/>
  <c r="BO210" i="2"/>
  <c r="BN210" i="2"/>
  <c r="BM210" i="2"/>
  <c r="BL210" i="2"/>
  <c r="BK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AX210" i="2"/>
  <c r="AW210" i="2"/>
  <c r="CO209" i="2"/>
  <c r="CN209" i="2"/>
  <c r="CM209" i="2"/>
  <c r="CL209" i="2"/>
  <c r="CK209" i="2"/>
  <c r="CJ209" i="2"/>
  <c r="CI209" i="2"/>
  <c r="CH209" i="2"/>
  <c r="CG209" i="2"/>
  <c r="CF209" i="2"/>
  <c r="CE209" i="2"/>
  <c r="CD209" i="2"/>
  <c r="CC209" i="2"/>
  <c r="CB209" i="2"/>
  <c r="CA209" i="2"/>
  <c r="BZ209" i="2"/>
  <c r="BY209" i="2"/>
  <c r="BX209" i="2"/>
  <c r="BW209" i="2"/>
  <c r="BV209" i="2"/>
  <c r="BU209" i="2"/>
  <c r="BT209" i="2"/>
  <c r="BR209" i="2"/>
  <c r="BQ209" i="2"/>
  <c r="BP209" i="2"/>
  <c r="BO209" i="2"/>
  <c r="BN209" i="2"/>
  <c r="BM209" i="2"/>
  <c r="BL209" i="2"/>
  <c r="BK209" i="2"/>
  <c r="BJ209" i="2"/>
  <c r="BI209" i="2"/>
  <c r="BH209" i="2"/>
  <c r="BG209" i="2"/>
  <c r="BF209" i="2"/>
  <c r="BE209" i="2"/>
  <c r="BD209" i="2"/>
  <c r="BC209" i="2"/>
  <c r="BB209" i="2"/>
  <c r="BA209" i="2"/>
  <c r="AZ209" i="2"/>
  <c r="AY209" i="2"/>
  <c r="AX209" i="2"/>
  <c r="AW209" i="2"/>
  <c r="CO208" i="2"/>
  <c r="CN208" i="2"/>
  <c r="CM208" i="2"/>
  <c r="CL208" i="2"/>
  <c r="CK208" i="2"/>
  <c r="CJ208" i="2"/>
  <c r="CI208" i="2"/>
  <c r="CH208" i="2"/>
  <c r="CG208" i="2"/>
  <c r="CF208" i="2"/>
  <c r="CE208" i="2"/>
  <c r="CD208" i="2"/>
  <c r="CC208" i="2"/>
  <c r="CB208" i="2"/>
  <c r="CA208" i="2"/>
  <c r="BZ208" i="2"/>
  <c r="BY208" i="2"/>
  <c r="BX208" i="2"/>
  <c r="BW208" i="2"/>
  <c r="BV208" i="2"/>
  <c r="BU208" i="2"/>
  <c r="BT208" i="2"/>
  <c r="BR208" i="2"/>
  <c r="BQ208" i="2"/>
  <c r="BP208" i="2"/>
  <c r="BO208" i="2"/>
  <c r="BN208" i="2"/>
  <c r="BM208" i="2"/>
  <c r="BL208" i="2"/>
  <c r="BK208" i="2"/>
  <c r="BJ208" i="2"/>
  <c r="BI208" i="2"/>
  <c r="BH208" i="2"/>
  <c r="BG208" i="2"/>
  <c r="BF208" i="2"/>
  <c r="BE208" i="2"/>
  <c r="BD208" i="2"/>
  <c r="BC208" i="2"/>
  <c r="BB208" i="2"/>
  <c r="BA208" i="2"/>
  <c r="AZ208" i="2"/>
  <c r="AY208" i="2"/>
  <c r="AX208" i="2"/>
  <c r="AW208" i="2"/>
  <c r="CO207" i="2"/>
  <c r="CN207" i="2"/>
  <c r="CM207" i="2"/>
  <c r="CL207" i="2"/>
  <c r="CK207" i="2"/>
  <c r="CJ207" i="2"/>
  <c r="CI207" i="2"/>
  <c r="CH207" i="2"/>
  <c r="CG207" i="2"/>
  <c r="CF207" i="2"/>
  <c r="CE207" i="2"/>
  <c r="CD207" i="2"/>
  <c r="CC207" i="2"/>
  <c r="CB207" i="2"/>
  <c r="CA207" i="2"/>
  <c r="BZ207" i="2"/>
  <c r="BY207" i="2"/>
  <c r="BX207" i="2"/>
  <c r="BW207" i="2"/>
  <c r="BV207" i="2"/>
  <c r="BU207" i="2"/>
  <c r="BT207" i="2"/>
  <c r="BR207" i="2"/>
  <c r="BQ207" i="2"/>
  <c r="BP207" i="2"/>
  <c r="BO207" i="2"/>
  <c r="BN207" i="2"/>
  <c r="BM207" i="2"/>
  <c r="BL207" i="2"/>
  <c r="BK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AX207" i="2"/>
  <c r="AW207" i="2"/>
  <c r="CO206" i="2"/>
  <c r="CN206" i="2"/>
  <c r="CM206" i="2"/>
  <c r="CL206" i="2"/>
  <c r="CK206" i="2"/>
  <c r="CJ206" i="2"/>
  <c r="CI206" i="2"/>
  <c r="CH206" i="2"/>
  <c r="CG206" i="2"/>
  <c r="CF206" i="2"/>
  <c r="CE206" i="2"/>
  <c r="CD206" i="2"/>
  <c r="CC206" i="2"/>
  <c r="CB206" i="2"/>
  <c r="CA206" i="2"/>
  <c r="BZ206" i="2"/>
  <c r="BY206" i="2"/>
  <c r="BX206" i="2"/>
  <c r="BW206" i="2"/>
  <c r="BV206" i="2"/>
  <c r="BU206" i="2"/>
  <c r="BT206" i="2"/>
  <c r="BR206" i="2"/>
  <c r="BQ206" i="2"/>
  <c r="BP206" i="2"/>
  <c r="BO206" i="2"/>
  <c r="BN206" i="2"/>
  <c r="BM206" i="2"/>
  <c r="BL206" i="2"/>
  <c r="BK206" i="2"/>
  <c r="BJ206" i="2"/>
  <c r="BI206" i="2"/>
  <c r="BH206" i="2"/>
  <c r="BG206" i="2"/>
  <c r="BF206" i="2"/>
  <c r="BE206" i="2"/>
  <c r="BD206" i="2"/>
  <c r="BC206" i="2"/>
  <c r="BB206" i="2"/>
  <c r="BA206" i="2"/>
  <c r="AZ206" i="2"/>
  <c r="AY206" i="2"/>
  <c r="AX206" i="2"/>
  <c r="AW206" i="2"/>
  <c r="CO205" i="2"/>
  <c r="CN205" i="2"/>
  <c r="CM205" i="2"/>
  <c r="CL205" i="2"/>
  <c r="CK205" i="2"/>
  <c r="CJ205" i="2"/>
  <c r="CI205" i="2"/>
  <c r="CH205" i="2"/>
  <c r="CG205" i="2"/>
  <c r="CF205" i="2"/>
  <c r="CE205" i="2"/>
  <c r="CD205" i="2"/>
  <c r="CC205" i="2"/>
  <c r="CB205" i="2"/>
  <c r="CA205" i="2"/>
  <c r="BZ205" i="2"/>
  <c r="BY205" i="2"/>
  <c r="BX205" i="2"/>
  <c r="BW205" i="2"/>
  <c r="BV205" i="2"/>
  <c r="BU205" i="2"/>
  <c r="BT205" i="2"/>
  <c r="BR205" i="2"/>
  <c r="BQ205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CO204" i="2"/>
  <c r="CN204" i="2"/>
  <c r="CM204" i="2"/>
  <c r="CL204" i="2"/>
  <c r="CK204" i="2"/>
  <c r="CJ204" i="2"/>
  <c r="CI204" i="2"/>
  <c r="CH204" i="2"/>
  <c r="CG204" i="2"/>
  <c r="CF204" i="2"/>
  <c r="CE204" i="2"/>
  <c r="CD204" i="2"/>
  <c r="CC204" i="2"/>
  <c r="CB204" i="2"/>
  <c r="CA204" i="2"/>
  <c r="BZ204" i="2"/>
  <c r="BY204" i="2"/>
  <c r="BX204" i="2"/>
  <c r="BW204" i="2"/>
  <c r="BV204" i="2"/>
  <c r="BU204" i="2"/>
  <c r="BT204" i="2"/>
  <c r="BR204" i="2"/>
  <c r="BQ204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CO203" i="2"/>
  <c r="CN203" i="2"/>
  <c r="CM203" i="2"/>
  <c r="CL203" i="2"/>
  <c r="CK203" i="2"/>
  <c r="CJ203" i="2"/>
  <c r="CI203" i="2"/>
  <c r="CH203" i="2"/>
  <c r="CG203" i="2"/>
  <c r="CF203" i="2"/>
  <c r="CE203" i="2"/>
  <c r="CD203" i="2"/>
  <c r="CC203" i="2"/>
  <c r="CB203" i="2"/>
  <c r="CA203" i="2"/>
  <c r="BZ203" i="2"/>
  <c r="BY203" i="2"/>
  <c r="BX203" i="2"/>
  <c r="BW203" i="2"/>
  <c r="BV203" i="2"/>
  <c r="BU203" i="2"/>
  <c r="BT203" i="2"/>
  <c r="BR203" i="2"/>
  <c r="BQ203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CO202" i="2"/>
  <c r="CN202" i="2"/>
  <c r="CM202" i="2"/>
  <c r="CL202" i="2"/>
  <c r="CK202" i="2"/>
  <c r="CJ202" i="2"/>
  <c r="CI202" i="2"/>
  <c r="CH202" i="2"/>
  <c r="CG202" i="2"/>
  <c r="CF202" i="2"/>
  <c r="CE202" i="2"/>
  <c r="CD202" i="2"/>
  <c r="CC202" i="2"/>
  <c r="CB202" i="2"/>
  <c r="CA202" i="2"/>
  <c r="BZ202" i="2"/>
  <c r="BY202" i="2"/>
  <c r="BX202" i="2"/>
  <c r="BW202" i="2"/>
  <c r="BV202" i="2"/>
  <c r="BU202" i="2"/>
  <c r="BT202" i="2"/>
  <c r="BR202" i="2"/>
  <c r="BQ202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CO201" i="2"/>
  <c r="CN201" i="2"/>
  <c r="CM201" i="2"/>
  <c r="CL201" i="2"/>
  <c r="CK201" i="2"/>
  <c r="CJ201" i="2"/>
  <c r="CI201" i="2"/>
  <c r="CH201" i="2"/>
  <c r="CG201" i="2"/>
  <c r="CF201" i="2"/>
  <c r="CE201" i="2"/>
  <c r="CD201" i="2"/>
  <c r="CC201" i="2"/>
  <c r="CB201" i="2"/>
  <c r="CA201" i="2"/>
  <c r="BZ201" i="2"/>
  <c r="BY201" i="2"/>
  <c r="BX201" i="2"/>
  <c r="BW201" i="2"/>
  <c r="BV201" i="2"/>
  <c r="BU201" i="2"/>
  <c r="BT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CO200" i="2"/>
  <c r="CN200" i="2"/>
  <c r="CM200" i="2"/>
  <c r="CL200" i="2"/>
  <c r="CK200" i="2"/>
  <c r="CJ200" i="2"/>
  <c r="CI200" i="2"/>
  <c r="CH200" i="2"/>
  <c r="CG200" i="2"/>
  <c r="CF200" i="2"/>
  <c r="CE200" i="2"/>
  <c r="CD200" i="2"/>
  <c r="CC200" i="2"/>
  <c r="CB200" i="2"/>
  <c r="CA200" i="2"/>
  <c r="BZ200" i="2"/>
  <c r="BY200" i="2"/>
  <c r="BX200" i="2"/>
  <c r="BW200" i="2"/>
  <c r="BV200" i="2"/>
  <c r="BU200" i="2"/>
  <c r="BT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CO199" i="2"/>
  <c r="CN199" i="2"/>
  <c r="CM199" i="2"/>
  <c r="CL199" i="2"/>
  <c r="CK199" i="2"/>
  <c r="CJ199" i="2"/>
  <c r="CI199" i="2"/>
  <c r="CH199" i="2"/>
  <c r="CG199" i="2"/>
  <c r="CF199" i="2"/>
  <c r="CE199" i="2"/>
  <c r="CD199" i="2"/>
  <c r="CC199" i="2"/>
  <c r="CB199" i="2"/>
  <c r="CA199" i="2"/>
  <c r="BZ199" i="2"/>
  <c r="BY199" i="2"/>
  <c r="BX199" i="2"/>
  <c r="BW199" i="2"/>
  <c r="BV199" i="2"/>
  <c r="BU199" i="2"/>
  <c r="BT199" i="2"/>
  <c r="BR199" i="2"/>
  <c r="BQ199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CO198" i="2"/>
  <c r="CN198" i="2"/>
  <c r="CM198" i="2"/>
  <c r="CL198" i="2"/>
  <c r="CK198" i="2"/>
  <c r="CJ198" i="2"/>
  <c r="CI198" i="2"/>
  <c r="CH198" i="2"/>
  <c r="CG198" i="2"/>
  <c r="CF198" i="2"/>
  <c r="CE198" i="2"/>
  <c r="CD198" i="2"/>
  <c r="CC198" i="2"/>
  <c r="CB198" i="2"/>
  <c r="CA198" i="2"/>
  <c r="BZ198" i="2"/>
  <c r="BY198" i="2"/>
  <c r="BX198" i="2"/>
  <c r="BW198" i="2"/>
  <c r="BV198" i="2"/>
  <c r="BU198" i="2"/>
  <c r="BT198" i="2"/>
  <c r="BR198" i="2"/>
  <c r="BQ198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CO197" i="2"/>
  <c r="CN197" i="2"/>
  <c r="CM197" i="2"/>
  <c r="CL197" i="2"/>
  <c r="CK197" i="2"/>
  <c r="CJ197" i="2"/>
  <c r="CI197" i="2"/>
  <c r="CH197" i="2"/>
  <c r="CG197" i="2"/>
  <c r="CF197" i="2"/>
  <c r="CE197" i="2"/>
  <c r="CD197" i="2"/>
  <c r="CC197" i="2"/>
  <c r="CB197" i="2"/>
  <c r="CA197" i="2"/>
  <c r="BZ197" i="2"/>
  <c r="BY197" i="2"/>
  <c r="BX197" i="2"/>
  <c r="BW197" i="2"/>
  <c r="BV197" i="2"/>
  <c r="BU197" i="2"/>
  <c r="BT197" i="2"/>
  <c r="BR197" i="2"/>
  <c r="BQ197" i="2"/>
  <c r="BP197" i="2"/>
  <c r="BO197" i="2"/>
  <c r="BN197" i="2"/>
  <c r="BM197" i="2"/>
  <c r="BL197" i="2"/>
  <c r="BK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AX197" i="2"/>
  <c r="AW197" i="2"/>
  <c r="CO196" i="2"/>
  <c r="CN196" i="2"/>
  <c r="CM196" i="2"/>
  <c r="CL196" i="2"/>
  <c r="CK196" i="2"/>
  <c r="CJ196" i="2"/>
  <c r="CI196" i="2"/>
  <c r="CH196" i="2"/>
  <c r="CG196" i="2"/>
  <c r="CF196" i="2"/>
  <c r="CE196" i="2"/>
  <c r="CD196" i="2"/>
  <c r="CC196" i="2"/>
  <c r="CB196" i="2"/>
  <c r="CA196" i="2"/>
  <c r="BZ196" i="2"/>
  <c r="BY196" i="2"/>
  <c r="BX196" i="2"/>
  <c r="BW196" i="2"/>
  <c r="BV196" i="2"/>
  <c r="BU196" i="2"/>
  <c r="BT196" i="2"/>
  <c r="BR196" i="2"/>
  <c r="BQ196" i="2"/>
  <c r="BP196" i="2"/>
  <c r="BO196" i="2"/>
  <c r="BN196" i="2"/>
  <c r="BM196" i="2"/>
  <c r="BL196" i="2"/>
  <c r="BK196" i="2"/>
  <c r="BJ196" i="2"/>
  <c r="BI196" i="2"/>
  <c r="BH196" i="2"/>
  <c r="BG196" i="2"/>
  <c r="BF196" i="2"/>
  <c r="BE196" i="2"/>
  <c r="BD196" i="2"/>
  <c r="BC196" i="2"/>
  <c r="BB196" i="2"/>
  <c r="BA196" i="2"/>
  <c r="AZ196" i="2"/>
  <c r="AY196" i="2"/>
  <c r="AX196" i="2"/>
  <c r="AW196" i="2"/>
  <c r="CO195" i="2"/>
  <c r="CN195" i="2"/>
  <c r="CM195" i="2"/>
  <c r="CL195" i="2"/>
  <c r="CK195" i="2"/>
  <c r="CJ195" i="2"/>
  <c r="CI195" i="2"/>
  <c r="CH195" i="2"/>
  <c r="CG195" i="2"/>
  <c r="CF195" i="2"/>
  <c r="CE195" i="2"/>
  <c r="CD195" i="2"/>
  <c r="CC195" i="2"/>
  <c r="CB195" i="2"/>
  <c r="CA195" i="2"/>
  <c r="BZ195" i="2"/>
  <c r="BY195" i="2"/>
  <c r="BX195" i="2"/>
  <c r="BW195" i="2"/>
  <c r="BV195" i="2"/>
  <c r="BU195" i="2"/>
  <c r="BT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CO194" i="2"/>
  <c r="CN194" i="2"/>
  <c r="CM194" i="2"/>
  <c r="CL194" i="2"/>
  <c r="CK194" i="2"/>
  <c r="CJ194" i="2"/>
  <c r="CI194" i="2"/>
  <c r="CH194" i="2"/>
  <c r="CG194" i="2"/>
  <c r="CF194" i="2"/>
  <c r="CE194" i="2"/>
  <c r="CD194" i="2"/>
  <c r="CC194" i="2"/>
  <c r="CB194" i="2"/>
  <c r="CA194" i="2"/>
  <c r="BZ194" i="2"/>
  <c r="BY194" i="2"/>
  <c r="BX194" i="2"/>
  <c r="BW194" i="2"/>
  <c r="BV194" i="2"/>
  <c r="BU194" i="2"/>
  <c r="BT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CO193" i="2"/>
  <c r="CN193" i="2"/>
  <c r="CM193" i="2"/>
  <c r="CL193" i="2"/>
  <c r="CK193" i="2"/>
  <c r="CJ193" i="2"/>
  <c r="CI193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CO192" i="2"/>
  <c r="CN192" i="2"/>
  <c r="CM192" i="2"/>
  <c r="CL192" i="2"/>
  <c r="CK192" i="2"/>
  <c r="CJ192" i="2"/>
  <c r="CI192" i="2"/>
  <c r="CH192" i="2"/>
  <c r="CG192" i="2"/>
  <c r="CF192" i="2"/>
  <c r="CE192" i="2"/>
  <c r="CD192" i="2"/>
  <c r="CC192" i="2"/>
  <c r="CB192" i="2"/>
  <c r="CA192" i="2"/>
  <c r="BZ192" i="2"/>
  <c r="BY192" i="2"/>
  <c r="BX192" i="2"/>
  <c r="BW192" i="2"/>
  <c r="BV192" i="2"/>
  <c r="BU192" i="2"/>
  <c r="BT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CO191" i="2"/>
  <c r="CN191" i="2"/>
  <c r="CM191" i="2"/>
  <c r="CL191" i="2"/>
  <c r="CK191" i="2"/>
  <c r="CJ191" i="2"/>
  <c r="CI191" i="2"/>
  <c r="CH191" i="2"/>
  <c r="CG191" i="2"/>
  <c r="CF191" i="2"/>
  <c r="CE191" i="2"/>
  <c r="CD191" i="2"/>
  <c r="CC191" i="2"/>
  <c r="CB191" i="2"/>
  <c r="CA191" i="2"/>
  <c r="BZ191" i="2"/>
  <c r="BY191" i="2"/>
  <c r="BX191" i="2"/>
  <c r="BW191" i="2"/>
  <c r="BV191" i="2"/>
  <c r="BU191" i="2"/>
  <c r="BT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CO190" i="2"/>
  <c r="CN190" i="2"/>
  <c r="CM190" i="2"/>
  <c r="CL190" i="2"/>
  <c r="CK190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CO189" i="2"/>
  <c r="CN189" i="2"/>
  <c r="CM189" i="2"/>
  <c r="CL189" i="2"/>
  <c r="CK189" i="2"/>
  <c r="CJ189" i="2"/>
  <c r="CI189" i="2"/>
  <c r="CH189" i="2"/>
  <c r="CG189" i="2"/>
  <c r="CF189" i="2"/>
  <c r="CE189" i="2"/>
  <c r="CD189" i="2"/>
  <c r="CC189" i="2"/>
  <c r="CB189" i="2"/>
  <c r="CA189" i="2"/>
  <c r="BZ189" i="2"/>
  <c r="BY189" i="2"/>
  <c r="BX189" i="2"/>
  <c r="BW189" i="2"/>
  <c r="BV189" i="2"/>
  <c r="BU189" i="2"/>
  <c r="BT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CO188" i="2"/>
  <c r="CN188" i="2"/>
  <c r="CM188" i="2"/>
  <c r="CL188" i="2"/>
  <c r="CK188" i="2"/>
  <c r="CJ188" i="2"/>
  <c r="CI188" i="2"/>
  <c r="CH188" i="2"/>
  <c r="CG188" i="2"/>
  <c r="CF188" i="2"/>
  <c r="CE188" i="2"/>
  <c r="CD188" i="2"/>
  <c r="CC188" i="2"/>
  <c r="CB188" i="2"/>
  <c r="CA188" i="2"/>
  <c r="BZ188" i="2"/>
  <c r="BY188" i="2"/>
  <c r="BX188" i="2"/>
  <c r="BW188" i="2"/>
  <c r="BV188" i="2"/>
  <c r="BU188" i="2"/>
  <c r="BT188" i="2"/>
  <c r="BR188" i="2"/>
  <c r="BQ188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CO187" i="2"/>
  <c r="CN187" i="2"/>
  <c r="CM187" i="2"/>
  <c r="CL187" i="2"/>
  <c r="CK187" i="2"/>
  <c r="CJ187" i="2"/>
  <c r="CI187" i="2"/>
  <c r="CH187" i="2"/>
  <c r="CG187" i="2"/>
  <c r="CF187" i="2"/>
  <c r="CE187" i="2"/>
  <c r="CD187" i="2"/>
  <c r="CC187" i="2"/>
  <c r="CB187" i="2"/>
  <c r="CA187" i="2"/>
  <c r="BZ187" i="2"/>
  <c r="BY187" i="2"/>
  <c r="BX187" i="2"/>
  <c r="BW187" i="2"/>
  <c r="BV187" i="2"/>
  <c r="BU187" i="2"/>
  <c r="BT187" i="2"/>
  <c r="BR187" i="2"/>
  <c r="BQ187" i="2"/>
  <c r="BP187" i="2"/>
  <c r="BO187" i="2"/>
  <c r="BN187" i="2"/>
  <c r="BM187" i="2"/>
  <c r="BL187" i="2"/>
  <c r="BK187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AX187" i="2"/>
  <c r="AW187" i="2"/>
  <c r="CO186" i="2"/>
  <c r="CN186" i="2"/>
  <c r="CM186" i="2"/>
  <c r="CL186" i="2"/>
  <c r="CK186" i="2"/>
  <c r="CJ186" i="2"/>
  <c r="CI186" i="2"/>
  <c r="CH186" i="2"/>
  <c r="CG186" i="2"/>
  <c r="CF186" i="2"/>
  <c r="CE186" i="2"/>
  <c r="CD186" i="2"/>
  <c r="CC186" i="2"/>
  <c r="CB186" i="2"/>
  <c r="CA186" i="2"/>
  <c r="BZ186" i="2"/>
  <c r="BY186" i="2"/>
  <c r="BX186" i="2"/>
  <c r="BW186" i="2"/>
  <c r="BV186" i="2"/>
  <c r="BU186" i="2"/>
  <c r="BT186" i="2"/>
  <c r="BR186" i="2"/>
  <c r="BQ186" i="2"/>
  <c r="BP186" i="2"/>
  <c r="BO186" i="2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AX186" i="2"/>
  <c r="AW186" i="2"/>
  <c r="CO185" i="2"/>
  <c r="CN185" i="2"/>
  <c r="CM185" i="2"/>
  <c r="CL185" i="2"/>
  <c r="CK185" i="2"/>
  <c r="CJ185" i="2"/>
  <c r="CI185" i="2"/>
  <c r="CH185" i="2"/>
  <c r="CG185" i="2"/>
  <c r="CF185" i="2"/>
  <c r="CE185" i="2"/>
  <c r="CD185" i="2"/>
  <c r="CC185" i="2"/>
  <c r="CB185" i="2"/>
  <c r="CA185" i="2"/>
  <c r="BZ185" i="2"/>
  <c r="BY185" i="2"/>
  <c r="BX185" i="2"/>
  <c r="BW185" i="2"/>
  <c r="BV185" i="2"/>
  <c r="BU185" i="2"/>
  <c r="BT185" i="2"/>
  <c r="BR185" i="2"/>
  <c r="BQ185" i="2"/>
  <c r="BP185" i="2"/>
  <c r="BO185" i="2"/>
  <c r="BN185" i="2"/>
  <c r="BM185" i="2"/>
  <c r="BL185" i="2"/>
  <c r="BK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AX185" i="2"/>
  <c r="AW185" i="2"/>
  <c r="CO184" i="2"/>
  <c r="CN184" i="2"/>
  <c r="CM184" i="2"/>
  <c r="CL184" i="2"/>
  <c r="CK184" i="2"/>
  <c r="CJ184" i="2"/>
  <c r="CI184" i="2"/>
  <c r="CH184" i="2"/>
  <c r="CG184" i="2"/>
  <c r="CF184" i="2"/>
  <c r="CE184" i="2"/>
  <c r="CD184" i="2"/>
  <c r="CC184" i="2"/>
  <c r="CB184" i="2"/>
  <c r="CA184" i="2"/>
  <c r="BZ184" i="2"/>
  <c r="BY184" i="2"/>
  <c r="BX184" i="2"/>
  <c r="BW184" i="2"/>
  <c r="BV184" i="2"/>
  <c r="BU184" i="2"/>
  <c r="BT184" i="2"/>
  <c r="BR184" i="2"/>
  <c r="BQ184" i="2"/>
  <c r="BP184" i="2"/>
  <c r="BO184" i="2"/>
  <c r="BN184" i="2"/>
  <c r="BM184" i="2"/>
  <c r="BL184" i="2"/>
  <c r="BK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AX184" i="2"/>
  <c r="AW184" i="2"/>
  <c r="CO183" i="2"/>
  <c r="CN183" i="2"/>
  <c r="CM183" i="2"/>
  <c r="CL183" i="2"/>
  <c r="CK183" i="2"/>
  <c r="CJ183" i="2"/>
  <c r="CI183" i="2"/>
  <c r="CH183" i="2"/>
  <c r="CG183" i="2"/>
  <c r="CF183" i="2"/>
  <c r="CE183" i="2"/>
  <c r="CD183" i="2"/>
  <c r="CC183" i="2"/>
  <c r="CB183" i="2"/>
  <c r="CA183" i="2"/>
  <c r="BZ183" i="2"/>
  <c r="BY183" i="2"/>
  <c r="BX183" i="2"/>
  <c r="BW183" i="2"/>
  <c r="BV183" i="2"/>
  <c r="BU183" i="2"/>
  <c r="BT183" i="2"/>
  <c r="BR183" i="2"/>
  <c r="BQ183" i="2"/>
  <c r="BP183" i="2"/>
  <c r="BO183" i="2"/>
  <c r="BN183" i="2"/>
  <c r="BM183" i="2"/>
  <c r="BL183" i="2"/>
  <c r="BK183" i="2"/>
  <c r="BJ183" i="2"/>
  <c r="BI183" i="2"/>
  <c r="BH183" i="2"/>
  <c r="BG183" i="2"/>
  <c r="BF183" i="2"/>
  <c r="BE183" i="2"/>
  <c r="BD183" i="2"/>
  <c r="BC183" i="2"/>
  <c r="BB183" i="2"/>
  <c r="BA183" i="2"/>
  <c r="AZ183" i="2"/>
  <c r="AY183" i="2"/>
  <c r="AX183" i="2"/>
  <c r="AW183" i="2"/>
  <c r="CO182" i="2"/>
  <c r="CN182" i="2"/>
  <c r="CM182" i="2"/>
  <c r="CL182" i="2"/>
  <c r="CK182" i="2"/>
  <c r="CJ182" i="2"/>
  <c r="CI182" i="2"/>
  <c r="CH182" i="2"/>
  <c r="CG182" i="2"/>
  <c r="CF182" i="2"/>
  <c r="CE182" i="2"/>
  <c r="CD182" i="2"/>
  <c r="CC182" i="2"/>
  <c r="CB182" i="2"/>
  <c r="CA182" i="2"/>
  <c r="BZ182" i="2"/>
  <c r="BY182" i="2"/>
  <c r="BX182" i="2"/>
  <c r="BW182" i="2"/>
  <c r="BV182" i="2"/>
  <c r="BU182" i="2"/>
  <c r="BT182" i="2"/>
  <c r="BR182" i="2"/>
  <c r="BQ182" i="2"/>
  <c r="BP182" i="2"/>
  <c r="BO182" i="2"/>
  <c r="BN182" i="2"/>
  <c r="BM182" i="2"/>
  <c r="BL182" i="2"/>
  <c r="BK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AX182" i="2"/>
  <c r="AW182" i="2"/>
  <c r="CO181" i="2"/>
  <c r="CN181" i="2"/>
  <c r="CM181" i="2"/>
  <c r="CL181" i="2"/>
  <c r="CK181" i="2"/>
  <c r="CJ181" i="2"/>
  <c r="CI181" i="2"/>
  <c r="CH181" i="2"/>
  <c r="CG181" i="2"/>
  <c r="CF181" i="2"/>
  <c r="CE181" i="2"/>
  <c r="CD181" i="2"/>
  <c r="CC181" i="2"/>
  <c r="CB181" i="2"/>
  <c r="CA181" i="2"/>
  <c r="BZ181" i="2"/>
  <c r="BY181" i="2"/>
  <c r="BX181" i="2"/>
  <c r="BW181" i="2"/>
  <c r="BV181" i="2"/>
  <c r="BU181" i="2"/>
  <c r="BT181" i="2"/>
  <c r="BR181" i="2"/>
  <c r="BQ181" i="2"/>
  <c r="BP181" i="2"/>
  <c r="BO181" i="2"/>
  <c r="BN181" i="2"/>
  <c r="BM181" i="2"/>
  <c r="BL181" i="2"/>
  <c r="BK181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AX181" i="2"/>
  <c r="AW181" i="2"/>
  <c r="CO180" i="2"/>
  <c r="CN180" i="2"/>
  <c r="CM180" i="2"/>
  <c r="CL180" i="2"/>
  <c r="CK180" i="2"/>
  <c r="CJ180" i="2"/>
  <c r="CI180" i="2"/>
  <c r="CH180" i="2"/>
  <c r="CG180" i="2"/>
  <c r="CF180" i="2"/>
  <c r="CE180" i="2"/>
  <c r="CD180" i="2"/>
  <c r="CC180" i="2"/>
  <c r="CB180" i="2"/>
  <c r="CA180" i="2"/>
  <c r="BZ180" i="2"/>
  <c r="BY180" i="2"/>
  <c r="BX180" i="2"/>
  <c r="BW180" i="2"/>
  <c r="BV180" i="2"/>
  <c r="BU180" i="2"/>
  <c r="BT180" i="2"/>
  <c r="BR180" i="2"/>
  <c r="BQ180" i="2"/>
  <c r="BP180" i="2"/>
  <c r="BO180" i="2"/>
  <c r="BN180" i="2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CO179" i="2"/>
  <c r="CN179" i="2"/>
  <c r="CM179" i="2"/>
  <c r="CL179" i="2"/>
  <c r="CK179" i="2"/>
  <c r="CJ179" i="2"/>
  <c r="CI179" i="2"/>
  <c r="CH179" i="2"/>
  <c r="CG179" i="2"/>
  <c r="CF179" i="2"/>
  <c r="CE179" i="2"/>
  <c r="CD179" i="2"/>
  <c r="CC179" i="2"/>
  <c r="CB179" i="2"/>
  <c r="CA179" i="2"/>
  <c r="BZ179" i="2"/>
  <c r="BY179" i="2"/>
  <c r="BX179" i="2"/>
  <c r="BW179" i="2"/>
  <c r="BV179" i="2"/>
  <c r="BU179" i="2"/>
  <c r="BT179" i="2"/>
  <c r="BR179" i="2"/>
  <c r="BQ179" i="2"/>
  <c r="BP179" i="2"/>
  <c r="BO179" i="2"/>
  <c r="BN179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CO178" i="2"/>
  <c r="CN178" i="2"/>
  <c r="CM178" i="2"/>
  <c r="CL178" i="2"/>
  <c r="CK178" i="2"/>
  <c r="CJ178" i="2"/>
  <c r="CI178" i="2"/>
  <c r="CH178" i="2"/>
  <c r="CG178" i="2"/>
  <c r="CF178" i="2"/>
  <c r="CE178" i="2"/>
  <c r="CD178" i="2"/>
  <c r="CC178" i="2"/>
  <c r="CB178" i="2"/>
  <c r="CA178" i="2"/>
  <c r="BZ178" i="2"/>
  <c r="BY178" i="2"/>
  <c r="BX178" i="2"/>
  <c r="BW178" i="2"/>
  <c r="BV178" i="2"/>
  <c r="BU178" i="2"/>
  <c r="BT178" i="2"/>
  <c r="BR178" i="2"/>
  <c r="BQ178" i="2"/>
  <c r="BP178" i="2"/>
  <c r="BO178" i="2"/>
  <c r="BN178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CO177" i="2"/>
  <c r="CN177" i="2"/>
  <c r="CM177" i="2"/>
  <c r="CL177" i="2"/>
  <c r="CK177" i="2"/>
  <c r="CJ177" i="2"/>
  <c r="CI177" i="2"/>
  <c r="CH177" i="2"/>
  <c r="CG177" i="2"/>
  <c r="CF177" i="2"/>
  <c r="CE177" i="2"/>
  <c r="CD177" i="2"/>
  <c r="CC177" i="2"/>
  <c r="CB177" i="2"/>
  <c r="CA177" i="2"/>
  <c r="BZ177" i="2"/>
  <c r="BY177" i="2"/>
  <c r="BX177" i="2"/>
  <c r="BW177" i="2"/>
  <c r="BV177" i="2"/>
  <c r="BU177" i="2"/>
  <c r="BT177" i="2"/>
  <c r="BR177" i="2"/>
  <c r="BQ177" i="2"/>
  <c r="BP177" i="2"/>
  <c r="BO177" i="2"/>
  <c r="BN177" i="2"/>
  <c r="BM177" i="2"/>
  <c r="BL177" i="2"/>
  <c r="BK177" i="2"/>
  <c r="BJ177" i="2"/>
  <c r="BI177" i="2"/>
  <c r="BH177" i="2"/>
  <c r="BG177" i="2"/>
  <c r="BF177" i="2"/>
  <c r="BE177" i="2"/>
  <c r="BD177" i="2"/>
  <c r="BC177" i="2"/>
  <c r="BB177" i="2"/>
  <c r="BA177" i="2"/>
  <c r="AZ177" i="2"/>
  <c r="AY177" i="2"/>
  <c r="AX177" i="2"/>
  <c r="AW177" i="2"/>
  <c r="CO176" i="2"/>
  <c r="CN176" i="2"/>
  <c r="CM176" i="2"/>
  <c r="CL176" i="2"/>
  <c r="CK176" i="2"/>
  <c r="CJ176" i="2"/>
  <c r="CI176" i="2"/>
  <c r="CH176" i="2"/>
  <c r="CG176" i="2"/>
  <c r="CF176" i="2"/>
  <c r="CE176" i="2"/>
  <c r="CD176" i="2"/>
  <c r="CC176" i="2"/>
  <c r="CB176" i="2"/>
  <c r="CA176" i="2"/>
  <c r="BZ176" i="2"/>
  <c r="BY176" i="2"/>
  <c r="BX176" i="2"/>
  <c r="BW176" i="2"/>
  <c r="BV176" i="2"/>
  <c r="BU176" i="2"/>
  <c r="BT176" i="2"/>
  <c r="BR176" i="2"/>
  <c r="BQ176" i="2"/>
  <c r="BP176" i="2"/>
  <c r="BO176" i="2"/>
  <c r="BN176" i="2"/>
  <c r="BM176" i="2"/>
  <c r="BL176" i="2"/>
  <c r="BK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CO175" i="2"/>
  <c r="CN175" i="2"/>
  <c r="CM175" i="2"/>
  <c r="CL175" i="2"/>
  <c r="CK175" i="2"/>
  <c r="CJ175" i="2"/>
  <c r="CI175" i="2"/>
  <c r="CH175" i="2"/>
  <c r="CG175" i="2"/>
  <c r="CF175" i="2"/>
  <c r="CE175" i="2"/>
  <c r="CD175" i="2"/>
  <c r="CC175" i="2"/>
  <c r="CB175" i="2"/>
  <c r="CA175" i="2"/>
  <c r="BZ175" i="2"/>
  <c r="BY175" i="2"/>
  <c r="BX175" i="2"/>
  <c r="BW175" i="2"/>
  <c r="BV175" i="2"/>
  <c r="BU175" i="2"/>
  <c r="BT175" i="2"/>
  <c r="BR175" i="2"/>
  <c r="BQ175" i="2"/>
  <c r="BP175" i="2"/>
  <c r="BO175" i="2"/>
  <c r="BN175" i="2"/>
  <c r="BM175" i="2"/>
  <c r="BL175" i="2"/>
  <c r="BK175" i="2"/>
  <c r="BJ175" i="2"/>
  <c r="BI175" i="2"/>
  <c r="BH175" i="2"/>
  <c r="BG175" i="2"/>
  <c r="BF175" i="2"/>
  <c r="BE175" i="2"/>
  <c r="BD175" i="2"/>
  <c r="BC175" i="2"/>
  <c r="BB175" i="2"/>
  <c r="BA175" i="2"/>
  <c r="AZ175" i="2"/>
  <c r="AY175" i="2"/>
  <c r="AX175" i="2"/>
  <c r="AW175" i="2"/>
  <c r="CO174" i="2"/>
  <c r="CN174" i="2"/>
  <c r="CM174" i="2"/>
  <c r="CL174" i="2"/>
  <c r="CK174" i="2"/>
  <c r="CJ174" i="2"/>
  <c r="CI174" i="2"/>
  <c r="CH174" i="2"/>
  <c r="CG174" i="2"/>
  <c r="CF174" i="2"/>
  <c r="CE174" i="2"/>
  <c r="CD174" i="2"/>
  <c r="CC174" i="2"/>
  <c r="CB174" i="2"/>
  <c r="CA174" i="2"/>
  <c r="BZ174" i="2"/>
  <c r="BY174" i="2"/>
  <c r="BX174" i="2"/>
  <c r="BW174" i="2"/>
  <c r="BV174" i="2"/>
  <c r="BU174" i="2"/>
  <c r="BT174" i="2"/>
  <c r="BR174" i="2"/>
  <c r="BQ174" i="2"/>
  <c r="BP174" i="2"/>
  <c r="BO174" i="2"/>
  <c r="BN174" i="2"/>
  <c r="BM174" i="2"/>
  <c r="BL174" i="2"/>
  <c r="BK174" i="2"/>
  <c r="BJ174" i="2"/>
  <c r="BI174" i="2"/>
  <c r="BH174" i="2"/>
  <c r="BG174" i="2"/>
  <c r="BF174" i="2"/>
  <c r="BE174" i="2"/>
  <c r="BD174" i="2"/>
  <c r="BC174" i="2"/>
  <c r="BB174" i="2"/>
  <c r="BA174" i="2"/>
  <c r="AZ174" i="2"/>
  <c r="AY174" i="2"/>
  <c r="AX174" i="2"/>
  <c r="AW174" i="2"/>
  <c r="CO173" i="2"/>
  <c r="CN173" i="2"/>
  <c r="CM173" i="2"/>
  <c r="CL173" i="2"/>
  <c r="CK173" i="2"/>
  <c r="CJ173" i="2"/>
  <c r="CI173" i="2"/>
  <c r="CH173" i="2"/>
  <c r="CG173" i="2"/>
  <c r="CF173" i="2"/>
  <c r="CE173" i="2"/>
  <c r="CD173" i="2"/>
  <c r="CC173" i="2"/>
  <c r="CB173" i="2"/>
  <c r="CA173" i="2"/>
  <c r="BZ173" i="2"/>
  <c r="BY173" i="2"/>
  <c r="BX173" i="2"/>
  <c r="BW173" i="2"/>
  <c r="BV173" i="2"/>
  <c r="BU173" i="2"/>
  <c r="BT173" i="2"/>
  <c r="BR173" i="2"/>
  <c r="BQ173" i="2"/>
  <c r="BP173" i="2"/>
  <c r="BO173" i="2"/>
  <c r="BN173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CO172" i="2"/>
  <c r="CN172" i="2"/>
  <c r="CM172" i="2"/>
  <c r="CL172" i="2"/>
  <c r="CK172" i="2"/>
  <c r="CJ172" i="2"/>
  <c r="CI172" i="2"/>
  <c r="CH172" i="2"/>
  <c r="CG172" i="2"/>
  <c r="CF172" i="2"/>
  <c r="CE172" i="2"/>
  <c r="CD172" i="2"/>
  <c r="CC172" i="2"/>
  <c r="CB172" i="2"/>
  <c r="CA172" i="2"/>
  <c r="BZ172" i="2"/>
  <c r="BY172" i="2"/>
  <c r="BX172" i="2"/>
  <c r="BW172" i="2"/>
  <c r="BV172" i="2"/>
  <c r="BU172" i="2"/>
  <c r="BT172" i="2"/>
  <c r="BR172" i="2"/>
  <c r="BQ172" i="2"/>
  <c r="BP172" i="2"/>
  <c r="BO172" i="2"/>
  <c r="BN172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CO171" i="2"/>
  <c r="CN171" i="2"/>
  <c r="CM171" i="2"/>
  <c r="CL171" i="2"/>
  <c r="CK171" i="2"/>
  <c r="CJ171" i="2"/>
  <c r="CI171" i="2"/>
  <c r="CH171" i="2"/>
  <c r="CG171" i="2"/>
  <c r="CF171" i="2"/>
  <c r="CE171" i="2"/>
  <c r="CD171" i="2"/>
  <c r="CC171" i="2"/>
  <c r="CB171" i="2"/>
  <c r="CA171" i="2"/>
  <c r="BZ171" i="2"/>
  <c r="BY171" i="2"/>
  <c r="BX171" i="2"/>
  <c r="BW171" i="2"/>
  <c r="BV171" i="2"/>
  <c r="BU171" i="2"/>
  <c r="BT171" i="2"/>
  <c r="BR171" i="2"/>
  <c r="BQ171" i="2"/>
  <c r="BP171" i="2"/>
  <c r="BO171" i="2"/>
  <c r="BN171" i="2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W171" i="2"/>
  <c r="CO170" i="2"/>
  <c r="CN170" i="2"/>
  <c r="CM170" i="2"/>
  <c r="CL170" i="2"/>
  <c r="CK170" i="2"/>
  <c r="CJ170" i="2"/>
  <c r="CI170" i="2"/>
  <c r="CH170" i="2"/>
  <c r="CG170" i="2"/>
  <c r="CF170" i="2"/>
  <c r="CE170" i="2"/>
  <c r="CD170" i="2"/>
  <c r="CC170" i="2"/>
  <c r="CB170" i="2"/>
  <c r="CA170" i="2"/>
  <c r="BZ170" i="2"/>
  <c r="BY170" i="2"/>
  <c r="BX170" i="2"/>
  <c r="BW170" i="2"/>
  <c r="BV170" i="2"/>
  <c r="BU170" i="2"/>
  <c r="BT170" i="2"/>
  <c r="BR170" i="2"/>
  <c r="BQ170" i="2"/>
  <c r="BP170" i="2"/>
  <c r="BO170" i="2"/>
  <c r="BN170" i="2"/>
  <c r="BM170" i="2"/>
  <c r="BL170" i="2"/>
  <c r="BK170" i="2"/>
  <c r="BJ170" i="2"/>
  <c r="BI170" i="2"/>
  <c r="BH170" i="2"/>
  <c r="BG170" i="2"/>
  <c r="BF170" i="2"/>
  <c r="BE170" i="2"/>
  <c r="BD170" i="2"/>
  <c r="BC170" i="2"/>
  <c r="BB170" i="2"/>
  <c r="BA170" i="2"/>
  <c r="AZ170" i="2"/>
  <c r="AY170" i="2"/>
  <c r="AX170" i="2"/>
  <c r="AW170" i="2"/>
  <c r="CO169" i="2"/>
  <c r="CN169" i="2"/>
  <c r="CM169" i="2"/>
  <c r="CL169" i="2"/>
  <c r="CK169" i="2"/>
  <c r="CJ169" i="2"/>
  <c r="CI169" i="2"/>
  <c r="CH169" i="2"/>
  <c r="CG169" i="2"/>
  <c r="CF169" i="2"/>
  <c r="CE169" i="2"/>
  <c r="CD169" i="2"/>
  <c r="CC169" i="2"/>
  <c r="CB169" i="2"/>
  <c r="CA169" i="2"/>
  <c r="BZ169" i="2"/>
  <c r="BY169" i="2"/>
  <c r="BX169" i="2"/>
  <c r="BW169" i="2"/>
  <c r="BV169" i="2"/>
  <c r="BU169" i="2"/>
  <c r="BT169" i="2"/>
  <c r="BR169" i="2"/>
  <c r="BQ169" i="2"/>
  <c r="BP169" i="2"/>
  <c r="BO169" i="2"/>
  <c r="BN169" i="2"/>
  <c r="BM169" i="2"/>
  <c r="BL169" i="2"/>
  <c r="BK169" i="2"/>
  <c r="BJ169" i="2"/>
  <c r="BI169" i="2"/>
  <c r="BH169" i="2"/>
  <c r="BG169" i="2"/>
  <c r="BF169" i="2"/>
  <c r="BE169" i="2"/>
  <c r="BD169" i="2"/>
  <c r="BC169" i="2"/>
  <c r="BB169" i="2"/>
  <c r="BA169" i="2"/>
  <c r="AZ169" i="2"/>
  <c r="AY169" i="2"/>
  <c r="AX169" i="2"/>
  <c r="AW169" i="2"/>
  <c r="CO168" i="2"/>
  <c r="CN168" i="2"/>
  <c r="CM168" i="2"/>
  <c r="CL168" i="2"/>
  <c r="CK168" i="2"/>
  <c r="CJ168" i="2"/>
  <c r="CI168" i="2"/>
  <c r="CH168" i="2"/>
  <c r="CG168" i="2"/>
  <c r="CF168" i="2"/>
  <c r="CE168" i="2"/>
  <c r="CD168" i="2"/>
  <c r="CC168" i="2"/>
  <c r="CB168" i="2"/>
  <c r="CA168" i="2"/>
  <c r="BZ168" i="2"/>
  <c r="BY168" i="2"/>
  <c r="BX168" i="2"/>
  <c r="BW168" i="2"/>
  <c r="BV168" i="2"/>
  <c r="BU168" i="2"/>
  <c r="BT168" i="2"/>
  <c r="BR168" i="2"/>
  <c r="BQ168" i="2"/>
  <c r="BP168" i="2"/>
  <c r="BO168" i="2"/>
  <c r="BN168" i="2"/>
  <c r="BM168" i="2"/>
  <c r="BL168" i="2"/>
  <c r="BK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AX168" i="2"/>
  <c r="AW168" i="2"/>
  <c r="CO167" i="2"/>
  <c r="CN167" i="2"/>
  <c r="CM167" i="2"/>
  <c r="CL167" i="2"/>
  <c r="CK167" i="2"/>
  <c r="CJ167" i="2"/>
  <c r="CI167" i="2"/>
  <c r="CH167" i="2"/>
  <c r="CG167" i="2"/>
  <c r="CF167" i="2"/>
  <c r="CE167" i="2"/>
  <c r="CD167" i="2"/>
  <c r="CC167" i="2"/>
  <c r="CB167" i="2"/>
  <c r="CA167" i="2"/>
  <c r="BZ167" i="2"/>
  <c r="BY167" i="2"/>
  <c r="BX167" i="2"/>
  <c r="BW167" i="2"/>
  <c r="BV167" i="2"/>
  <c r="BU167" i="2"/>
  <c r="BT167" i="2"/>
  <c r="BR167" i="2"/>
  <c r="BQ167" i="2"/>
  <c r="BP167" i="2"/>
  <c r="BO167" i="2"/>
  <c r="BN167" i="2"/>
  <c r="BM167" i="2"/>
  <c r="BL167" i="2"/>
  <c r="BK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CO166" i="2"/>
  <c r="CN166" i="2"/>
  <c r="CM166" i="2"/>
  <c r="CL166" i="2"/>
  <c r="CK166" i="2"/>
  <c r="CJ166" i="2"/>
  <c r="CI166" i="2"/>
  <c r="CH166" i="2"/>
  <c r="CG166" i="2"/>
  <c r="CF166" i="2"/>
  <c r="CE166" i="2"/>
  <c r="CD166" i="2"/>
  <c r="CC166" i="2"/>
  <c r="CB166" i="2"/>
  <c r="CA166" i="2"/>
  <c r="BZ166" i="2"/>
  <c r="BY166" i="2"/>
  <c r="BX166" i="2"/>
  <c r="BW166" i="2"/>
  <c r="BV166" i="2"/>
  <c r="BU166" i="2"/>
  <c r="BT166" i="2"/>
  <c r="BR166" i="2"/>
  <c r="BQ166" i="2"/>
  <c r="BP166" i="2"/>
  <c r="BO166" i="2"/>
  <c r="BN166" i="2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AX166" i="2"/>
  <c r="AW166" i="2"/>
  <c r="CO165" i="2"/>
  <c r="CN165" i="2"/>
  <c r="CM165" i="2"/>
  <c r="CL165" i="2"/>
  <c r="CK165" i="2"/>
  <c r="CJ165" i="2"/>
  <c r="CI165" i="2"/>
  <c r="CH165" i="2"/>
  <c r="CG165" i="2"/>
  <c r="CF165" i="2"/>
  <c r="CE165" i="2"/>
  <c r="CD165" i="2"/>
  <c r="CC165" i="2"/>
  <c r="CB165" i="2"/>
  <c r="CA165" i="2"/>
  <c r="BZ165" i="2"/>
  <c r="BY165" i="2"/>
  <c r="BX165" i="2"/>
  <c r="BW165" i="2"/>
  <c r="BV165" i="2"/>
  <c r="BU165" i="2"/>
  <c r="BT165" i="2"/>
  <c r="BR165" i="2"/>
  <c r="BQ165" i="2"/>
  <c r="BP165" i="2"/>
  <c r="BO165" i="2"/>
  <c r="BN165" i="2"/>
  <c r="BM165" i="2"/>
  <c r="BL165" i="2"/>
  <c r="BK165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AX165" i="2"/>
  <c r="AW165" i="2"/>
  <c r="CO164" i="2"/>
  <c r="CN164" i="2"/>
  <c r="CM164" i="2"/>
  <c r="CL164" i="2"/>
  <c r="CK164" i="2"/>
  <c r="CJ164" i="2"/>
  <c r="CI164" i="2"/>
  <c r="CH164" i="2"/>
  <c r="CG164" i="2"/>
  <c r="CF164" i="2"/>
  <c r="CE164" i="2"/>
  <c r="CD164" i="2"/>
  <c r="CC164" i="2"/>
  <c r="CB164" i="2"/>
  <c r="CA164" i="2"/>
  <c r="BZ164" i="2"/>
  <c r="BY164" i="2"/>
  <c r="BX164" i="2"/>
  <c r="BW164" i="2"/>
  <c r="BV164" i="2"/>
  <c r="BU164" i="2"/>
  <c r="BT164" i="2"/>
  <c r="BR164" i="2"/>
  <c r="BQ164" i="2"/>
  <c r="BP164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CO163" i="2"/>
  <c r="CN163" i="2"/>
  <c r="CM163" i="2"/>
  <c r="CL163" i="2"/>
  <c r="CK163" i="2"/>
  <c r="CJ163" i="2"/>
  <c r="CI163" i="2"/>
  <c r="CH163" i="2"/>
  <c r="CG163" i="2"/>
  <c r="CF163" i="2"/>
  <c r="CE163" i="2"/>
  <c r="CD163" i="2"/>
  <c r="CC163" i="2"/>
  <c r="CB163" i="2"/>
  <c r="CA163" i="2"/>
  <c r="BZ163" i="2"/>
  <c r="BY163" i="2"/>
  <c r="BX163" i="2"/>
  <c r="BW163" i="2"/>
  <c r="BV163" i="2"/>
  <c r="BU163" i="2"/>
  <c r="BT163" i="2"/>
  <c r="BR163" i="2"/>
  <c r="BQ163" i="2"/>
  <c r="BP163" i="2"/>
  <c r="BO163" i="2"/>
  <c r="BN163" i="2"/>
  <c r="BM163" i="2"/>
  <c r="BL163" i="2"/>
  <c r="BK163" i="2"/>
  <c r="BJ163" i="2"/>
  <c r="BI163" i="2"/>
  <c r="BH163" i="2"/>
  <c r="BG163" i="2"/>
  <c r="BF163" i="2"/>
  <c r="BE163" i="2"/>
  <c r="BD163" i="2"/>
  <c r="BC163" i="2"/>
  <c r="BB163" i="2"/>
  <c r="BA163" i="2"/>
  <c r="AZ163" i="2"/>
  <c r="AY163" i="2"/>
  <c r="AX163" i="2"/>
  <c r="AW163" i="2"/>
  <c r="CO162" i="2"/>
  <c r="CN162" i="2"/>
  <c r="CM162" i="2"/>
  <c r="CL162" i="2"/>
  <c r="CK162" i="2"/>
  <c r="CJ162" i="2"/>
  <c r="CI162" i="2"/>
  <c r="CH162" i="2"/>
  <c r="CG162" i="2"/>
  <c r="CF162" i="2"/>
  <c r="CE162" i="2"/>
  <c r="CD162" i="2"/>
  <c r="CC162" i="2"/>
  <c r="CB162" i="2"/>
  <c r="CA162" i="2"/>
  <c r="BZ162" i="2"/>
  <c r="BY162" i="2"/>
  <c r="BX162" i="2"/>
  <c r="BW162" i="2"/>
  <c r="BV162" i="2"/>
  <c r="BU162" i="2"/>
  <c r="BT162" i="2"/>
  <c r="BR162" i="2"/>
  <c r="BQ162" i="2"/>
  <c r="BP162" i="2"/>
  <c r="BO162" i="2"/>
  <c r="BN162" i="2"/>
  <c r="BM162" i="2"/>
  <c r="BL162" i="2"/>
  <c r="BK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AX162" i="2"/>
  <c r="AW162" i="2"/>
  <c r="CO161" i="2"/>
  <c r="CN161" i="2"/>
  <c r="CM161" i="2"/>
  <c r="CL161" i="2"/>
  <c r="CK161" i="2"/>
  <c r="CJ161" i="2"/>
  <c r="CI161" i="2"/>
  <c r="CH161" i="2"/>
  <c r="CG161" i="2"/>
  <c r="CF161" i="2"/>
  <c r="CE161" i="2"/>
  <c r="CD161" i="2"/>
  <c r="CC161" i="2"/>
  <c r="CB161" i="2"/>
  <c r="CA161" i="2"/>
  <c r="BZ161" i="2"/>
  <c r="BY161" i="2"/>
  <c r="BX161" i="2"/>
  <c r="BW161" i="2"/>
  <c r="BV161" i="2"/>
  <c r="BU161" i="2"/>
  <c r="BT161" i="2"/>
  <c r="BR161" i="2"/>
  <c r="BQ161" i="2"/>
  <c r="BP161" i="2"/>
  <c r="BO161" i="2"/>
  <c r="BN161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CO160" i="2"/>
  <c r="CN160" i="2"/>
  <c r="CM160" i="2"/>
  <c r="CL160" i="2"/>
  <c r="CK160" i="2"/>
  <c r="CJ160" i="2"/>
  <c r="CI160" i="2"/>
  <c r="CH160" i="2"/>
  <c r="CG160" i="2"/>
  <c r="CF160" i="2"/>
  <c r="CE160" i="2"/>
  <c r="CD160" i="2"/>
  <c r="CC160" i="2"/>
  <c r="CB160" i="2"/>
  <c r="CA160" i="2"/>
  <c r="BZ160" i="2"/>
  <c r="BY160" i="2"/>
  <c r="BX160" i="2"/>
  <c r="BW160" i="2"/>
  <c r="BV160" i="2"/>
  <c r="BU160" i="2"/>
  <c r="BT160" i="2"/>
  <c r="BR160" i="2"/>
  <c r="BQ160" i="2"/>
  <c r="BP160" i="2"/>
  <c r="BO160" i="2"/>
  <c r="BN160" i="2"/>
  <c r="BM160" i="2"/>
  <c r="BL160" i="2"/>
  <c r="BK160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AX160" i="2"/>
  <c r="AW160" i="2"/>
  <c r="CO159" i="2"/>
  <c r="CN159" i="2"/>
  <c r="CM159" i="2"/>
  <c r="CL159" i="2"/>
  <c r="CK159" i="2"/>
  <c r="CJ159" i="2"/>
  <c r="CI159" i="2"/>
  <c r="CH159" i="2"/>
  <c r="CG159" i="2"/>
  <c r="CF159" i="2"/>
  <c r="CE159" i="2"/>
  <c r="CD159" i="2"/>
  <c r="CC159" i="2"/>
  <c r="CB159" i="2"/>
  <c r="CA159" i="2"/>
  <c r="BZ159" i="2"/>
  <c r="BY159" i="2"/>
  <c r="BX159" i="2"/>
  <c r="BW159" i="2"/>
  <c r="BV159" i="2"/>
  <c r="BU159" i="2"/>
  <c r="BT159" i="2"/>
  <c r="BR159" i="2"/>
  <c r="BQ159" i="2"/>
  <c r="BP159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CO158" i="2"/>
  <c r="CN158" i="2"/>
  <c r="CM158" i="2"/>
  <c r="CL158" i="2"/>
  <c r="CK158" i="2"/>
  <c r="CJ158" i="2"/>
  <c r="CI158" i="2"/>
  <c r="CH158" i="2"/>
  <c r="CG158" i="2"/>
  <c r="CF158" i="2"/>
  <c r="CE158" i="2"/>
  <c r="CD158" i="2"/>
  <c r="CC158" i="2"/>
  <c r="CB158" i="2"/>
  <c r="CA158" i="2"/>
  <c r="BZ158" i="2"/>
  <c r="BY158" i="2"/>
  <c r="BX158" i="2"/>
  <c r="BW158" i="2"/>
  <c r="BV158" i="2"/>
  <c r="BU158" i="2"/>
  <c r="BT158" i="2"/>
  <c r="BR158" i="2"/>
  <c r="BQ158" i="2"/>
  <c r="BP158" i="2"/>
  <c r="BO158" i="2"/>
  <c r="BN158" i="2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CO157" i="2"/>
  <c r="CN157" i="2"/>
  <c r="CM157" i="2"/>
  <c r="CL157" i="2"/>
  <c r="CK157" i="2"/>
  <c r="CJ157" i="2"/>
  <c r="CI157" i="2"/>
  <c r="CH157" i="2"/>
  <c r="CG157" i="2"/>
  <c r="CF157" i="2"/>
  <c r="CE157" i="2"/>
  <c r="CD157" i="2"/>
  <c r="CC157" i="2"/>
  <c r="CB157" i="2"/>
  <c r="CA157" i="2"/>
  <c r="BZ157" i="2"/>
  <c r="BY157" i="2"/>
  <c r="BX157" i="2"/>
  <c r="BW157" i="2"/>
  <c r="BV157" i="2"/>
  <c r="BU157" i="2"/>
  <c r="BT157" i="2"/>
  <c r="BR157" i="2"/>
  <c r="BQ157" i="2"/>
  <c r="BP157" i="2"/>
  <c r="BO157" i="2"/>
  <c r="BN157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CO156" i="2"/>
  <c r="CN156" i="2"/>
  <c r="CM156" i="2"/>
  <c r="CL156" i="2"/>
  <c r="CK156" i="2"/>
  <c r="CJ156" i="2"/>
  <c r="CI156" i="2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CO155" i="2"/>
  <c r="CN155" i="2"/>
  <c r="CM155" i="2"/>
  <c r="CL155" i="2"/>
  <c r="CK155" i="2"/>
  <c r="CJ155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CO154" i="2"/>
  <c r="CN154" i="2"/>
  <c r="CM154" i="2"/>
  <c r="CL154" i="2"/>
  <c r="CK154" i="2"/>
  <c r="CJ154" i="2"/>
  <c r="CI154" i="2"/>
  <c r="CH154" i="2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CO153" i="2"/>
  <c r="CN153" i="2"/>
  <c r="CM153" i="2"/>
  <c r="CL153" i="2"/>
  <c r="CK153" i="2"/>
  <c r="CJ153" i="2"/>
  <c r="CI153" i="2"/>
  <c r="CH153" i="2"/>
  <c r="CG153" i="2"/>
  <c r="CF153" i="2"/>
  <c r="CE153" i="2"/>
  <c r="CD153" i="2"/>
  <c r="CC153" i="2"/>
  <c r="CB153" i="2"/>
  <c r="CA153" i="2"/>
  <c r="BZ153" i="2"/>
  <c r="BY153" i="2"/>
  <c r="BX153" i="2"/>
  <c r="BW153" i="2"/>
  <c r="BV153" i="2"/>
  <c r="BU153" i="2"/>
  <c r="BT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CO152" i="2"/>
  <c r="CN152" i="2"/>
  <c r="CM152" i="2"/>
  <c r="CL152" i="2"/>
  <c r="CK152" i="2"/>
  <c r="CJ152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CO151" i="2"/>
  <c r="CN151" i="2"/>
  <c r="CM151" i="2"/>
  <c r="CL151" i="2"/>
  <c r="CK151" i="2"/>
  <c r="CJ151" i="2"/>
  <c r="CI151" i="2"/>
  <c r="CH151" i="2"/>
  <c r="CG151" i="2"/>
  <c r="CF151" i="2"/>
  <c r="CE151" i="2"/>
  <c r="CD151" i="2"/>
  <c r="CC151" i="2"/>
  <c r="CB151" i="2"/>
  <c r="CA151" i="2"/>
  <c r="BZ151" i="2"/>
  <c r="BY151" i="2"/>
  <c r="BX151" i="2"/>
  <c r="BW151" i="2"/>
  <c r="BV151" i="2"/>
  <c r="BU151" i="2"/>
  <c r="BT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CO150" i="2"/>
  <c r="CN150" i="2"/>
  <c r="CM150" i="2"/>
  <c r="CL150" i="2"/>
  <c r="CK150" i="2"/>
  <c r="CJ150" i="2"/>
  <c r="CI150" i="2"/>
  <c r="CH150" i="2"/>
  <c r="CG150" i="2"/>
  <c r="CF150" i="2"/>
  <c r="CE150" i="2"/>
  <c r="CD150" i="2"/>
  <c r="CC150" i="2"/>
  <c r="CB150" i="2"/>
  <c r="CA150" i="2"/>
  <c r="BZ150" i="2"/>
  <c r="BY150" i="2"/>
  <c r="BX150" i="2"/>
  <c r="BW150" i="2"/>
  <c r="BV150" i="2"/>
  <c r="BU150" i="2"/>
  <c r="BT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CO149" i="2"/>
  <c r="CN149" i="2"/>
  <c r="CM149" i="2"/>
  <c r="CL149" i="2"/>
  <c r="CK149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CO148" i="2"/>
  <c r="CN148" i="2"/>
  <c r="CM148" i="2"/>
  <c r="CL148" i="2"/>
  <c r="CK148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CO147" i="2"/>
  <c r="CN147" i="2"/>
  <c r="CM147" i="2"/>
  <c r="CL147" i="2"/>
  <c r="CK147" i="2"/>
  <c r="CJ147" i="2"/>
  <c r="CI147" i="2"/>
  <c r="CH147" i="2"/>
  <c r="CG147" i="2"/>
  <c r="CF147" i="2"/>
  <c r="CE147" i="2"/>
  <c r="CD147" i="2"/>
  <c r="CC147" i="2"/>
  <c r="CB147" i="2"/>
  <c r="CA147" i="2"/>
  <c r="BZ147" i="2"/>
  <c r="BY147" i="2"/>
  <c r="BX147" i="2"/>
  <c r="BW147" i="2"/>
  <c r="BV147" i="2"/>
  <c r="BU147" i="2"/>
  <c r="BT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CO146" i="2"/>
  <c r="CN146" i="2"/>
  <c r="CM146" i="2"/>
  <c r="CL146" i="2"/>
  <c r="CK146" i="2"/>
  <c r="CJ146" i="2"/>
  <c r="CI146" i="2"/>
  <c r="CH146" i="2"/>
  <c r="CG146" i="2"/>
  <c r="CF146" i="2"/>
  <c r="CE146" i="2"/>
  <c r="CD146" i="2"/>
  <c r="CC146" i="2"/>
  <c r="CB146" i="2"/>
  <c r="CA146" i="2"/>
  <c r="BZ146" i="2"/>
  <c r="BY146" i="2"/>
  <c r="BX146" i="2"/>
  <c r="BW146" i="2"/>
  <c r="BV146" i="2"/>
  <c r="BU146" i="2"/>
  <c r="BT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CO145" i="2"/>
  <c r="CN145" i="2"/>
  <c r="CM145" i="2"/>
  <c r="CL145" i="2"/>
  <c r="CK145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CO144" i="2"/>
  <c r="CN144" i="2"/>
  <c r="CM144" i="2"/>
  <c r="CL144" i="2"/>
  <c r="CK144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CO143" i="2"/>
  <c r="CN143" i="2"/>
  <c r="CM143" i="2"/>
  <c r="CL143" i="2"/>
  <c r="CK143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CO142" i="2"/>
  <c r="CN142" i="2"/>
  <c r="CM142" i="2"/>
  <c r="CL142" i="2"/>
  <c r="CK142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CO141" i="2"/>
  <c r="CN141" i="2"/>
  <c r="CM141" i="2"/>
  <c r="CL141" i="2"/>
  <c r="CK141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CO140" i="2"/>
  <c r="CN140" i="2"/>
  <c r="CM140" i="2"/>
  <c r="CL140" i="2"/>
  <c r="CK140" i="2"/>
  <c r="CJ140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CO139" i="2"/>
  <c r="CN139" i="2"/>
  <c r="CM139" i="2"/>
  <c r="CL139" i="2"/>
  <c r="CK139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CO138" i="2"/>
  <c r="CN138" i="2"/>
  <c r="CM138" i="2"/>
  <c r="CL138" i="2"/>
  <c r="CK138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CO137" i="2"/>
  <c r="CN137" i="2"/>
  <c r="CM137" i="2"/>
  <c r="CL137" i="2"/>
  <c r="CK137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CO136" i="2"/>
  <c r="CN136" i="2"/>
  <c r="CM136" i="2"/>
  <c r="CL136" i="2"/>
  <c r="CK136" i="2"/>
  <c r="CJ136" i="2"/>
  <c r="CI136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CO135" i="2"/>
  <c r="CN135" i="2"/>
  <c r="CM135" i="2"/>
  <c r="CL135" i="2"/>
  <c r="CK135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CO134" i="2"/>
  <c r="CN134" i="2"/>
  <c r="CM134" i="2"/>
  <c r="CL134" i="2"/>
  <c r="CK134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CO133" i="2"/>
  <c r="CN133" i="2"/>
  <c r="CM133" i="2"/>
  <c r="CL133" i="2"/>
  <c r="CK133" i="2"/>
  <c r="CJ133" i="2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CO132" i="2"/>
  <c r="CN132" i="2"/>
  <c r="CM132" i="2"/>
  <c r="CL132" i="2"/>
  <c r="CK132" i="2"/>
  <c r="CJ132" i="2"/>
  <c r="CI132" i="2"/>
  <c r="CH132" i="2"/>
  <c r="CG132" i="2"/>
  <c r="CF132" i="2"/>
  <c r="CE132" i="2"/>
  <c r="CD132" i="2"/>
  <c r="CC132" i="2"/>
  <c r="CB132" i="2"/>
  <c r="CA132" i="2"/>
  <c r="BZ132" i="2"/>
  <c r="BY132" i="2"/>
  <c r="BX132" i="2"/>
  <c r="BW132" i="2"/>
  <c r="BV132" i="2"/>
  <c r="BU132" i="2"/>
  <c r="BT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CO131" i="2"/>
  <c r="CN131" i="2"/>
  <c r="CM131" i="2"/>
  <c r="CL131" i="2"/>
  <c r="CK131" i="2"/>
  <c r="CJ131" i="2"/>
  <c r="CI131" i="2"/>
  <c r="CH131" i="2"/>
  <c r="CG131" i="2"/>
  <c r="CF131" i="2"/>
  <c r="CE131" i="2"/>
  <c r="CD131" i="2"/>
  <c r="CC131" i="2"/>
  <c r="CB131" i="2"/>
  <c r="CA131" i="2"/>
  <c r="BZ131" i="2"/>
  <c r="BY131" i="2"/>
  <c r="BX131" i="2"/>
  <c r="BW131" i="2"/>
  <c r="BV131" i="2"/>
  <c r="BU131" i="2"/>
  <c r="BT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CO130" i="2"/>
  <c r="CN130" i="2"/>
  <c r="CM130" i="2"/>
  <c r="CL130" i="2"/>
  <c r="CK130" i="2"/>
  <c r="CJ130" i="2"/>
  <c r="CI130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CO129" i="2"/>
  <c r="CN129" i="2"/>
  <c r="CM129" i="2"/>
  <c r="CL129" i="2"/>
  <c r="CK129" i="2"/>
  <c r="CJ129" i="2"/>
  <c r="CI129" i="2"/>
  <c r="CH129" i="2"/>
  <c r="CG129" i="2"/>
  <c r="CF129" i="2"/>
  <c r="CE129" i="2"/>
  <c r="CD129" i="2"/>
  <c r="CC129" i="2"/>
  <c r="CB129" i="2"/>
  <c r="CA129" i="2"/>
  <c r="BZ129" i="2"/>
  <c r="BY129" i="2"/>
  <c r="BX129" i="2"/>
  <c r="BW129" i="2"/>
  <c r="BV129" i="2"/>
  <c r="BU129" i="2"/>
  <c r="BT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CO128" i="2"/>
  <c r="CN128" i="2"/>
  <c r="CM128" i="2"/>
  <c r="CL128" i="2"/>
  <c r="CK128" i="2"/>
  <c r="CJ128" i="2"/>
  <c r="CI128" i="2"/>
  <c r="CH128" i="2"/>
  <c r="CG128" i="2"/>
  <c r="CF128" i="2"/>
  <c r="CE128" i="2"/>
  <c r="CD128" i="2"/>
  <c r="CC128" i="2"/>
  <c r="CB128" i="2"/>
  <c r="CA128" i="2"/>
  <c r="BZ128" i="2"/>
  <c r="BY128" i="2"/>
  <c r="BX128" i="2"/>
  <c r="BW128" i="2"/>
  <c r="BV128" i="2"/>
  <c r="BU128" i="2"/>
  <c r="BT128" i="2"/>
  <c r="BR128" i="2"/>
  <c r="BQ128" i="2"/>
  <c r="BP128" i="2"/>
  <c r="BO128" i="2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CO127" i="2"/>
  <c r="CN127" i="2"/>
  <c r="CM127" i="2"/>
  <c r="CL127" i="2"/>
  <c r="CK127" i="2"/>
  <c r="CJ127" i="2"/>
  <c r="CI127" i="2"/>
  <c r="CH127" i="2"/>
  <c r="CG127" i="2"/>
  <c r="CF127" i="2"/>
  <c r="CE127" i="2"/>
  <c r="CD127" i="2"/>
  <c r="CC127" i="2"/>
  <c r="CB127" i="2"/>
  <c r="CA127" i="2"/>
  <c r="BZ127" i="2"/>
  <c r="BY127" i="2"/>
  <c r="BX127" i="2"/>
  <c r="BW127" i="2"/>
  <c r="BV127" i="2"/>
  <c r="BU127" i="2"/>
  <c r="BT127" i="2"/>
  <c r="BR127" i="2"/>
  <c r="BQ127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CO126" i="2"/>
  <c r="CN126" i="2"/>
  <c r="CM126" i="2"/>
  <c r="CL126" i="2"/>
  <c r="CK126" i="2"/>
  <c r="CJ126" i="2"/>
  <c r="CI126" i="2"/>
  <c r="CH126" i="2"/>
  <c r="CG126" i="2"/>
  <c r="CF126" i="2"/>
  <c r="CE126" i="2"/>
  <c r="CD126" i="2"/>
  <c r="CC126" i="2"/>
  <c r="CB126" i="2"/>
  <c r="CA126" i="2"/>
  <c r="BZ126" i="2"/>
  <c r="BY126" i="2"/>
  <c r="BX126" i="2"/>
  <c r="BW126" i="2"/>
  <c r="BV126" i="2"/>
  <c r="BU126" i="2"/>
  <c r="BT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CO125" i="2"/>
  <c r="CN125" i="2"/>
  <c r="CM125" i="2"/>
  <c r="CL125" i="2"/>
  <c r="CK125" i="2"/>
  <c r="CJ125" i="2"/>
  <c r="CI125" i="2"/>
  <c r="CH125" i="2"/>
  <c r="CG125" i="2"/>
  <c r="CF125" i="2"/>
  <c r="CE125" i="2"/>
  <c r="CD125" i="2"/>
  <c r="CC125" i="2"/>
  <c r="CB125" i="2"/>
  <c r="CA125" i="2"/>
  <c r="BZ125" i="2"/>
  <c r="BY125" i="2"/>
  <c r="BX125" i="2"/>
  <c r="BW125" i="2"/>
  <c r="BV125" i="2"/>
  <c r="BU125" i="2"/>
  <c r="BT125" i="2"/>
  <c r="BR125" i="2"/>
  <c r="BQ125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CO124" i="2"/>
  <c r="CN124" i="2"/>
  <c r="CM124" i="2"/>
  <c r="CL124" i="2"/>
  <c r="CK124" i="2"/>
  <c r="CJ124" i="2"/>
  <c r="CI124" i="2"/>
  <c r="CH124" i="2"/>
  <c r="CG124" i="2"/>
  <c r="CF124" i="2"/>
  <c r="CE124" i="2"/>
  <c r="CD124" i="2"/>
  <c r="CC124" i="2"/>
  <c r="CB124" i="2"/>
  <c r="CA124" i="2"/>
  <c r="BZ124" i="2"/>
  <c r="BY124" i="2"/>
  <c r="BX124" i="2"/>
  <c r="BW124" i="2"/>
  <c r="BV124" i="2"/>
  <c r="BU124" i="2"/>
  <c r="BT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CO123" i="2"/>
  <c r="CN123" i="2"/>
  <c r="CM123" i="2"/>
  <c r="CL123" i="2"/>
  <c r="CK123" i="2"/>
  <c r="CJ123" i="2"/>
  <c r="CI123" i="2"/>
  <c r="CH123" i="2"/>
  <c r="CG123" i="2"/>
  <c r="CF123" i="2"/>
  <c r="CE123" i="2"/>
  <c r="CD123" i="2"/>
  <c r="CC123" i="2"/>
  <c r="CB123" i="2"/>
  <c r="CA123" i="2"/>
  <c r="BZ123" i="2"/>
  <c r="BY123" i="2"/>
  <c r="BX123" i="2"/>
  <c r="BW123" i="2"/>
  <c r="BV123" i="2"/>
  <c r="BU123" i="2"/>
  <c r="BT123" i="2"/>
  <c r="BR123" i="2"/>
  <c r="BQ123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CO122" i="2"/>
  <c r="CN122" i="2"/>
  <c r="CM122" i="2"/>
  <c r="CL122" i="2"/>
  <c r="CK122" i="2"/>
  <c r="CJ122" i="2"/>
  <c r="CI122" i="2"/>
  <c r="CH122" i="2"/>
  <c r="CG122" i="2"/>
  <c r="CF122" i="2"/>
  <c r="CE122" i="2"/>
  <c r="CD122" i="2"/>
  <c r="CC122" i="2"/>
  <c r="CB122" i="2"/>
  <c r="CA122" i="2"/>
  <c r="BZ122" i="2"/>
  <c r="BY122" i="2"/>
  <c r="BX122" i="2"/>
  <c r="BW122" i="2"/>
  <c r="BV122" i="2"/>
  <c r="BU122" i="2"/>
  <c r="BT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CO121" i="2"/>
  <c r="CN121" i="2"/>
  <c r="CM121" i="2"/>
  <c r="CL121" i="2"/>
  <c r="CK121" i="2"/>
  <c r="CJ121" i="2"/>
  <c r="CI121" i="2"/>
  <c r="CH121" i="2"/>
  <c r="CG121" i="2"/>
  <c r="CF121" i="2"/>
  <c r="CE121" i="2"/>
  <c r="CD121" i="2"/>
  <c r="CC121" i="2"/>
  <c r="CB121" i="2"/>
  <c r="CA121" i="2"/>
  <c r="BZ121" i="2"/>
  <c r="BY121" i="2"/>
  <c r="BX121" i="2"/>
  <c r="BW121" i="2"/>
  <c r="BV121" i="2"/>
  <c r="BU121" i="2"/>
  <c r="BT121" i="2"/>
  <c r="BR121" i="2"/>
  <c r="BQ121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CO120" i="2"/>
  <c r="CN120" i="2"/>
  <c r="CM120" i="2"/>
  <c r="CL120" i="2"/>
  <c r="CK120" i="2"/>
  <c r="CJ120" i="2"/>
  <c r="CI120" i="2"/>
  <c r="CH120" i="2"/>
  <c r="CG120" i="2"/>
  <c r="CF120" i="2"/>
  <c r="CE120" i="2"/>
  <c r="CD120" i="2"/>
  <c r="CC120" i="2"/>
  <c r="CB120" i="2"/>
  <c r="CA120" i="2"/>
  <c r="BZ120" i="2"/>
  <c r="BY120" i="2"/>
  <c r="BX120" i="2"/>
  <c r="BW120" i="2"/>
  <c r="BV120" i="2"/>
  <c r="BU120" i="2"/>
  <c r="BT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CO119" i="2"/>
  <c r="CN119" i="2"/>
  <c r="CM119" i="2"/>
  <c r="CL119" i="2"/>
  <c r="CK119" i="2"/>
  <c r="CJ119" i="2"/>
  <c r="CI119" i="2"/>
  <c r="CH119" i="2"/>
  <c r="CG119" i="2"/>
  <c r="CF119" i="2"/>
  <c r="CE119" i="2"/>
  <c r="CD119" i="2"/>
  <c r="CC119" i="2"/>
  <c r="CB119" i="2"/>
  <c r="CA119" i="2"/>
  <c r="BZ119" i="2"/>
  <c r="BY119" i="2"/>
  <c r="BX119" i="2"/>
  <c r="BW119" i="2"/>
  <c r="BV119" i="2"/>
  <c r="BU119" i="2"/>
  <c r="BT119" i="2"/>
  <c r="BR119" i="2"/>
  <c r="BQ119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CO118" i="2"/>
  <c r="CN118" i="2"/>
  <c r="CM118" i="2"/>
  <c r="CL118" i="2"/>
  <c r="CK118" i="2"/>
  <c r="CJ118" i="2"/>
  <c r="CI118" i="2"/>
  <c r="CH118" i="2"/>
  <c r="CG118" i="2"/>
  <c r="CF118" i="2"/>
  <c r="CE118" i="2"/>
  <c r="CD118" i="2"/>
  <c r="CC118" i="2"/>
  <c r="CB118" i="2"/>
  <c r="CA118" i="2"/>
  <c r="BZ118" i="2"/>
  <c r="BY118" i="2"/>
  <c r="BX118" i="2"/>
  <c r="BW118" i="2"/>
  <c r="BV118" i="2"/>
  <c r="BU118" i="2"/>
  <c r="BT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V116" i="2"/>
  <c r="BU116" i="2"/>
  <c r="BT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V115" i="2"/>
  <c r="BU115" i="2"/>
  <c r="BT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V114" i="2"/>
  <c r="BU114" i="2"/>
  <c r="BT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V113" i="2"/>
  <c r="BU113" i="2"/>
  <c r="BT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V111" i="2"/>
  <c r="BU111" i="2"/>
  <c r="BT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V109" i="2"/>
  <c r="BU109" i="2"/>
  <c r="BT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/>
  <c r="BT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59" i="1"/>
  <c r="A55" i="1"/>
  <c r="A51" i="1"/>
  <c r="A47" i="1"/>
  <c r="A43" i="1"/>
  <c r="A39" i="1"/>
  <c r="I38" i="1"/>
  <c r="A34" i="1"/>
  <c r="A30" i="1"/>
  <c r="A26" i="1"/>
  <c r="A22" i="1"/>
  <c r="A18" i="1"/>
  <c r="A14" i="1"/>
  <c r="I13" i="1"/>
  <c r="H10" i="1"/>
  <c r="D10" i="1"/>
  <c r="P6" i="1"/>
  <c r="K4" i="1"/>
</calcChain>
</file>

<file path=xl/sharedStrings.xml><?xml version="1.0" encoding="utf-8"?>
<sst xmlns="http://schemas.openxmlformats.org/spreadsheetml/2006/main" count="1845" uniqueCount="1196">
  <si>
    <t>Объект:</t>
  </si>
  <si>
    <t>Название объекта</t>
  </si>
  <si>
    <t>Период замеров:</t>
  </si>
  <si>
    <t>с 03.07.2026 15:23 по 14.08.2026 14:59</t>
  </si>
  <si>
    <t>График мощности:</t>
  </si>
  <si>
    <t>Параллельный режим (активная мощность)</t>
  </si>
  <si>
    <t>Увеличить мощность:</t>
  </si>
  <si>
    <t>Порог</t>
  </si>
  <si>
    <t>Вкл</t>
  </si>
  <si>
    <t>Выкл</t>
  </si>
  <si>
    <t>Медиана</t>
  </si>
  <si>
    <t>Максимум</t>
  </si>
  <si>
    <t>Нижнее значение оси:</t>
  </si>
  <si>
    <t>Верхнее значение оси:</t>
  </si>
  <si>
    <t>time</t>
  </si>
  <si>
    <t>P0.5</t>
  </si>
  <si>
    <t>P2.5</t>
  </si>
  <si>
    <t>P5</t>
  </si>
  <si>
    <t>P25</t>
  </si>
  <si>
    <t>P50</t>
  </si>
  <si>
    <t>P75</t>
  </si>
  <si>
    <t>P95</t>
  </si>
  <si>
    <t>P97.5</t>
  </si>
  <si>
    <t>P99.5</t>
  </si>
  <si>
    <t>Pmax</t>
  </si>
  <si>
    <t>Pmax_datetime</t>
  </si>
  <si>
    <t>S0.5</t>
  </si>
  <si>
    <t>S2.5</t>
  </si>
  <si>
    <t>S5</t>
  </si>
  <si>
    <t>S25</t>
  </si>
  <si>
    <t>S50</t>
  </si>
  <si>
    <t>S75</t>
  </si>
  <si>
    <t>S95</t>
  </si>
  <si>
    <t>S97.5</t>
  </si>
  <si>
    <t>S99.5</t>
  </si>
  <si>
    <t>Smax</t>
  </si>
  <si>
    <t>Smax_datetime</t>
  </si>
  <si>
    <t>Base</t>
  </si>
  <si>
    <t>Band99_L</t>
  </si>
  <si>
    <t>Band90_L</t>
  </si>
  <si>
    <t>Band50_L</t>
  </si>
  <si>
    <t>Band50_U</t>
  </si>
  <si>
    <t>Band90_U</t>
  </si>
  <si>
    <t>Band99_U</t>
  </si>
  <si>
    <t>ScaleTop</t>
  </si>
  <si>
    <t>Median</t>
  </si>
  <si>
    <t>50_low</t>
  </si>
  <si>
    <t>50_high</t>
  </si>
  <si>
    <t>90_low</t>
  </si>
  <si>
    <t>90_high</t>
  </si>
  <si>
    <t>99_low</t>
  </si>
  <si>
    <t>99_high</t>
  </si>
  <si>
    <t>Max</t>
  </si>
  <si>
    <t>Thr1</t>
  </si>
  <si>
    <t>Thr2</t>
  </si>
  <si>
    <t>Thr3</t>
  </si>
  <si>
    <t>Thr4</t>
  </si>
  <si>
    <t>Thr5</t>
  </si>
  <si>
    <t>ScaleAnchor</t>
  </si>
  <si>
    <t>GlobalScale</t>
  </si>
  <si>
    <t>00:00</t>
  </si>
  <si>
    <t>2026-07-08 00:00:00</t>
  </si>
  <si>
    <t>2026-07-05 00:01:50</t>
  </si>
  <si>
    <t>2026-07-05 00:01:49</t>
  </si>
  <si>
    <t>00:05</t>
  </si>
  <si>
    <t>2026-07-08 00:09:37</t>
  </si>
  <si>
    <t>2026-07-05 00:06:13</t>
  </si>
  <si>
    <t>2026-07-04 00:07:05</t>
  </si>
  <si>
    <t>00:10</t>
  </si>
  <si>
    <t>2026-07-08 00:10:29</t>
  </si>
  <si>
    <t>2026-07-05 00:14:54</t>
  </si>
  <si>
    <t>00:15</t>
  </si>
  <si>
    <t>2026-07-08 00:15:35</t>
  </si>
  <si>
    <t>2026-07-08 00:17:08</t>
  </si>
  <si>
    <t>2026-07-05 00:16:34</t>
  </si>
  <si>
    <t>2026-07-05 00:15:55</t>
  </si>
  <si>
    <t>00:20</t>
  </si>
  <si>
    <t>2026-07-08 00:20:51</t>
  </si>
  <si>
    <t>2026-07-05 00:23:39</t>
  </si>
  <si>
    <t>00:25</t>
  </si>
  <si>
    <t>2026-07-08 00:27:05</t>
  </si>
  <si>
    <t>2026-07-05 00:28:54</t>
  </si>
  <si>
    <t>2026-07-05 00:29:24</t>
  </si>
  <si>
    <t>00:30</t>
  </si>
  <si>
    <t>2026-07-06 00:31:57</t>
  </si>
  <si>
    <t>2026-07-05 00:34:12</t>
  </si>
  <si>
    <t>00:35</t>
  </si>
  <si>
    <t>2026-07-09 00:39:44</t>
  </si>
  <si>
    <t>2026-07-06 00:38:38</t>
  </si>
  <si>
    <t>2026-07-05 00:39:48</t>
  </si>
  <si>
    <t>00:40</t>
  </si>
  <si>
    <t>2026-07-06 00:44:39</t>
  </si>
  <si>
    <t>2026-07-05 00:40:38</t>
  </si>
  <si>
    <t>00:45</t>
  </si>
  <si>
    <t>2026-07-09 00:48:32</t>
  </si>
  <si>
    <t>2026-07-05 00:48:31</t>
  </si>
  <si>
    <t>00:50</t>
  </si>
  <si>
    <t>2026-07-06 00:50:31</t>
  </si>
  <si>
    <t>2026-07-04 00:52:20</t>
  </si>
  <si>
    <t>00:55</t>
  </si>
  <si>
    <t>2026-07-09 00:58:10</t>
  </si>
  <si>
    <t>2026-07-04 00:59:57</t>
  </si>
  <si>
    <t>01:00</t>
  </si>
  <si>
    <t>2026-07-09 01:04:52</t>
  </si>
  <si>
    <t>2026-07-09 01:04:47</t>
  </si>
  <si>
    <t>2026-07-04 01:01:33</t>
  </si>
  <si>
    <t>01:05</t>
  </si>
  <si>
    <t>2026-07-09 01:07:16</t>
  </si>
  <si>
    <t>2026-07-09 01:07:24</t>
  </si>
  <si>
    <t>2026-07-04 01:07:13</t>
  </si>
  <si>
    <t>2026-07-04 01:07:06</t>
  </si>
  <si>
    <t>01:10</t>
  </si>
  <si>
    <t>2026-07-09 01:14:54</t>
  </si>
  <si>
    <t>2026-07-06 01:14:53</t>
  </si>
  <si>
    <t>2026-07-04 01:14:13</t>
  </si>
  <si>
    <t>01:15</t>
  </si>
  <si>
    <t>2026-07-09 01:15:57</t>
  </si>
  <si>
    <t>2026-07-05 01:16:36</t>
  </si>
  <si>
    <t>2026-07-05 01:17:57</t>
  </si>
  <si>
    <t>01:20</t>
  </si>
  <si>
    <t>2026-07-09 01:20:08</t>
  </si>
  <si>
    <t>2026-07-06 01:22:09</t>
  </si>
  <si>
    <t>2026-07-04 01:21:16</t>
  </si>
  <si>
    <t>01:25</t>
  </si>
  <si>
    <t>2026-07-09 01:29:21</t>
  </si>
  <si>
    <t>2026-07-06 01:27:51</t>
  </si>
  <si>
    <t>2026-07-05 01:28:57</t>
  </si>
  <si>
    <t>01:30</t>
  </si>
  <si>
    <t>2026-07-09 01:30:15</t>
  </si>
  <si>
    <t>2026-07-09 01:30:35</t>
  </si>
  <si>
    <t>2026-07-04 01:31:00</t>
  </si>
  <si>
    <t>2026-07-05 01:34:42</t>
  </si>
  <si>
    <t>01:35</t>
  </si>
  <si>
    <t>2026-08-05 01:35:08</t>
  </si>
  <si>
    <t>2026-07-04 01:39:57</t>
  </si>
  <si>
    <t>2026-07-05 01:38:56</t>
  </si>
  <si>
    <t>01:40</t>
  </si>
  <si>
    <t>2026-07-08 01:43:17</t>
  </si>
  <si>
    <t>2026-07-04 01:42:08</t>
  </si>
  <si>
    <t>2026-07-05 01:40:02</t>
  </si>
  <si>
    <t>01:45</t>
  </si>
  <si>
    <t>2026-07-08 01:47:13</t>
  </si>
  <si>
    <t>2026-07-04 01:48:57</t>
  </si>
  <si>
    <t>01:50</t>
  </si>
  <si>
    <t>2026-07-06 01:51:01</t>
  </si>
  <si>
    <t>2026-07-08 01:50:07</t>
  </si>
  <si>
    <t>2026-07-04 01:51:21</t>
  </si>
  <si>
    <t>2026-07-05 01:52:46</t>
  </si>
  <si>
    <t>01:55</t>
  </si>
  <si>
    <t>2026-07-24 01:55:46</t>
  </si>
  <si>
    <t>2026-07-08 01:59:58</t>
  </si>
  <si>
    <t>2026-07-04 01:59:56</t>
  </si>
  <si>
    <t>2026-07-04 01:55:01</t>
  </si>
  <si>
    <t>02:00</t>
  </si>
  <si>
    <t>2026-07-08 02:00:53</t>
  </si>
  <si>
    <t>2026-07-08 02:00:07</t>
  </si>
  <si>
    <t>2026-07-04 02:01:51</t>
  </si>
  <si>
    <t>02:05</t>
  </si>
  <si>
    <t>2026-07-08 02:05:15</t>
  </si>
  <si>
    <t>2026-07-08 02:06:43</t>
  </si>
  <si>
    <t>2026-07-04 02:09:33</t>
  </si>
  <si>
    <t>02:10</t>
  </si>
  <si>
    <t>2026-07-08 02:12:25</t>
  </si>
  <si>
    <t>2026-07-04 02:12:27</t>
  </si>
  <si>
    <t>02:15</t>
  </si>
  <si>
    <t>2026-07-08 02:18:13</t>
  </si>
  <si>
    <t>2026-07-04 02:16:55</t>
  </si>
  <si>
    <t>02:20</t>
  </si>
  <si>
    <t>2026-07-06 02:23:47</t>
  </si>
  <si>
    <t>2026-07-08 02:20:11</t>
  </si>
  <si>
    <t>2026-07-04 02:21:42</t>
  </si>
  <si>
    <t>2026-07-05 02:22:16</t>
  </si>
  <si>
    <t>02:25</t>
  </si>
  <si>
    <t>2026-07-06 02:26:36</t>
  </si>
  <si>
    <t>2026-07-09 02:27:08</t>
  </si>
  <si>
    <t>2026-07-04 02:29:07</t>
  </si>
  <si>
    <t>2026-07-04 02:28:58</t>
  </si>
  <si>
    <t>02:30</t>
  </si>
  <si>
    <t>2026-07-06 02:34:27</t>
  </si>
  <si>
    <t>2026-07-09 02:34:32</t>
  </si>
  <si>
    <t>2026-07-04 02:31:07</t>
  </si>
  <si>
    <t>2026-07-04 02:31:12</t>
  </si>
  <si>
    <t>02:35</t>
  </si>
  <si>
    <t>2026-07-06 02:36:01</t>
  </si>
  <si>
    <t>2026-07-04 02:38:07</t>
  </si>
  <si>
    <t>2026-07-05 02:38:19</t>
  </si>
  <si>
    <t>02:40</t>
  </si>
  <si>
    <t>2026-07-07 02:44:19</t>
  </si>
  <si>
    <t>2026-07-08 02:41:59</t>
  </si>
  <si>
    <t>2026-07-04 02:40:25</t>
  </si>
  <si>
    <t>2026-07-05 02:43:42</t>
  </si>
  <si>
    <t>02:45</t>
  </si>
  <si>
    <t>2026-07-07 02:45:35</t>
  </si>
  <si>
    <t>2026-07-05 02:48:11</t>
  </si>
  <si>
    <t>2026-07-05 02:45:54</t>
  </si>
  <si>
    <t>02:50</t>
  </si>
  <si>
    <t>2026-07-07 02:54:06</t>
  </si>
  <si>
    <t>2026-07-07 02:53:53</t>
  </si>
  <si>
    <t>2026-07-05 02:54:50</t>
  </si>
  <si>
    <t>2026-07-05 02:53:18</t>
  </si>
  <si>
    <t>02:55</t>
  </si>
  <si>
    <t>2026-07-07 02:56:12</t>
  </si>
  <si>
    <t>2026-07-07 02:55:25</t>
  </si>
  <si>
    <t>2026-07-05 02:56:50</t>
  </si>
  <si>
    <t>03:00</t>
  </si>
  <si>
    <t>2026-07-07 03:04:49</t>
  </si>
  <si>
    <t>2026-07-08 03:04:25</t>
  </si>
  <si>
    <t>2026-07-04 03:02:41</t>
  </si>
  <si>
    <t>2026-07-04 03:00:35</t>
  </si>
  <si>
    <t>03:05</t>
  </si>
  <si>
    <t>2026-07-07 03:07:24</t>
  </si>
  <si>
    <t>2026-07-05 03:05:53</t>
  </si>
  <si>
    <t>03:10</t>
  </si>
  <si>
    <t>2026-07-07 03:14:19</t>
  </si>
  <si>
    <t>2026-07-07 03:10:38</t>
  </si>
  <si>
    <t>2026-07-04 03:11:24</t>
  </si>
  <si>
    <t>2026-07-05 03:10:14</t>
  </si>
  <si>
    <t>03:15</t>
  </si>
  <si>
    <t>2026-07-07 03:16:33</t>
  </si>
  <si>
    <t>2026-07-07 03:19:03</t>
  </si>
  <si>
    <t>2026-07-05 03:19:18</t>
  </si>
  <si>
    <t>2026-07-05 03:19:19</t>
  </si>
  <si>
    <t>03:20</t>
  </si>
  <si>
    <t>2026-07-07 03:20:08</t>
  </si>
  <si>
    <t>2026-07-05 03:24:24</t>
  </si>
  <si>
    <t>2026-07-05 03:24:33</t>
  </si>
  <si>
    <t>03:25</t>
  </si>
  <si>
    <t>2026-07-07 03:27:59</t>
  </si>
  <si>
    <t>2026-07-05 03:25:07</t>
  </si>
  <si>
    <t>03:30</t>
  </si>
  <si>
    <t>2026-07-09 03:32:32</t>
  </si>
  <si>
    <t>2026-07-05 03:30:07</t>
  </si>
  <si>
    <t>03:35</t>
  </si>
  <si>
    <t>2026-07-07 03:39:48</t>
  </si>
  <si>
    <t>2026-07-09 03:39:35</t>
  </si>
  <si>
    <t>2026-07-05 03:37:19</t>
  </si>
  <si>
    <t>03:40</t>
  </si>
  <si>
    <t>2026-07-07 03:41:27</t>
  </si>
  <si>
    <t>2026-07-09 03:40:20</t>
  </si>
  <si>
    <t>2026-07-04 03:41:43</t>
  </si>
  <si>
    <t>03:45</t>
  </si>
  <si>
    <t>2026-07-07 03:47:51</t>
  </si>
  <si>
    <t>2026-07-09 03:47:52</t>
  </si>
  <si>
    <t>2026-07-04 03:49:53</t>
  </si>
  <si>
    <t>2026-07-04 03:49:00</t>
  </si>
  <si>
    <t>03:50</t>
  </si>
  <si>
    <t>2026-07-07 03:51:54</t>
  </si>
  <si>
    <t>2026-07-09 03:50:20</t>
  </si>
  <si>
    <t>2026-07-04 03:52:03</t>
  </si>
  <si>
    <t>03:55</t>
  </si>
  <si>
    <t>2026-07-07 03:56:05</t>
  </si>
  <si>
    <t>2026-07-09 03:59:00</t>
  </si>
  <si>
    <t>2026-07-04 03:55:34</t>
  </si>
  <si>
    <t>2026-07-04 03:56:39</t>
  </si>
  <si>
    <t>04:00</t>
  </si>
  <si>
    <t>2026-07-07 04:04:13</t>
  </si>
  <si>
    <t>2026-07-09 04:04:39</t>
  </si>
  <si>
    <t>2026-07-04 04:04:57</t>
  </si>
  <si>
    <t>04:05</t>
  </si>
  <si>
    <t>2026-07-07 04:08:49</t>
  </si>
  <si>
    <t>2026-07-09 04:05:24</t>
  </si>
  <si>
    <t>2026-07-04 04:05:49</t>
  </si>
  <si>
    <t>04:10</t>
  </si>
  <si>
    <t>2026-07-07 04:14:03</t>
  </si>
  <si>
    <t>2026-07-09 04:10:48</t>
  </si>
  <si>
    <t>2026-07-04 04:13:07</t>
  </si>
  <si>
    <t>04:15</t>
  </si>
  <si>
    <t>2026-07-07 04:16:45</t>
  </si>
  <si>
    <t>2026-07-09 04:15:56</t>
  </si>
  <si>
    <t>2026-07-04 04:15:14</t>
  </si>
  <si>
    <t>2026-07-04 04:15:55</t>
  </si>
  <si>
    <t>04:20</t>
  </si>
  <si>
    <t>2026-07-07 04:20:26</t>
  </si>
  <si>
    <t>2026-07-09 04:21:39</t>
  </si>
  <si>
    <t>2026-07-04 04:21:39</t>
  </si>
  <si>
    <t>2026-07-04 04:21:27</t>
  </si>
  <si>
    <t>04:25</t>
  </si>
  <si>
    <t>2026-07-07 04:27:50</t>
  </si>
  <si>
    <t>2026-07-04 04:26:07</t>
  </si>
  <si>
    <t>2026-07-05 04:29:56</t>
  </si>
  <si>
    <t>04:30</t>
  </si>
  <si>
    <t>2026-07-07 04:30:42</t>
  </si>
  <si>
    <t>2026-07-09 04:30:03</t>
  </si>
  <si>
    <t>2026-07-05 04:30:17</t>
  </si>
  <si>
    <t>04:35</t>
  </si>
  <si>
    <t>2026-07-07 04:36:13</t>
  </si>
  <si>
    <t>2026-07-04 04:39:46</t>
  </si>
  <si>
    <t>04:40</t>
  </si>
  <si>
    <t>2026-07-07 04:44:21</t>
  </si>
  <si>
    <t>2026-07-09 04:44:27</t>
  </si>
  <si>
    <t>2026-07-04 04:44:43</t>
  </si>
  <si>
    <t>04:45</t>
  </si>
  <si>
    <t>2026-07-07 04:48:41</t>
  </si>
  <si>
    <t>2026-07-09 04:47:15</t>
  </si>
  <si>
    <t>2026-07-05 04:45:01</t>
  </si>
  <si>
    <t>04:50</t>
  </si>
  <si>
    <t>2026-07-07 04:54:43</t>
  </si>
  <si>
    <t>2026-07-09 04:51:06</t>
  </si>
  <si>
    <t>2026-07-04 04:53:37</t>
  </si>
  <si>
    <t>04:55</t>
  </si>
  <si>
    <t>2026-07-07 04:55:56</t>
  </si>
  <si>
    <t>2026-07-04 04:55:17</t>
  </si>
  <si>
    <t>05:00</t>
  </si>
  <si>
    <t>2026-07-07 05:04:40</t>
  </si>
  <si>
    <t>2026-07-04 05:00:41</t>
  </si>
  <si>
    <t>2026-07-05 05:03:05</t>
  </si>
  <si>
    <t>05:05</t>
  </si>
  <si>
    <t>2026-07-07 05:05:45</t>
  </si>
  <si>
    <t>2026-07-08 05:06:11</t>
  </si>
  <si>
    <t>2026-07-04 05:06:01</t>
  </si>
  <si>
    <t>2026-07-05 05:05:19</t>
  </si>
  <si>
    <t>05:10</t>
  </si>
  <si>
    <t>2026-07-07 05:14:55</t>
  </si>
  <si>
    <t>2026-07-07 05:14:57</t>
  </si>
  <si>
    <t>2026-07-04 05:10:05</t>
  </si>
  <si>
    <t>05:15</t>
  </si>
  <si>
    <t>2026-07-07 05:17:59</t>
  </si>
  <si>
    <t>2026-07-04 05:16:25</t>
  </si>
  <si>
    <t>2026-07-04 05:16:06</t>
  </si>
  <si>
    <t>05:20</t>
  </si>
  <si>
    <t>2026-07-07 05:23:02</t>
  </si>
  <si>
    <t>2026-07-04 05:20:40</t>
  </si>
  <si>
    <t>2026-07-05 05:20:36</t>
  </si>
  <si>
    <t>05:25</t>
  </si>
  <si>
    <t>2026-07-07 05:27:30</t>
  </si>
  <si>
    <t>2026-07-05 05:28:08</t>
  </si>
  <si>
    <t>2026-07-05 05:25:45</t>
  </si>
  <si>
    <t>05:30</t>
  </si>
  <si>
    <t>2026-07-06 05:34:28</t>
  </si>
  <si>
    <t>2026-07-08 05:34:25</t>
  </si>
  <si>
    <t>2026-07-05 05:34:20</t>
  </si>
  <si>
    <t>05:35</t>
  </si>
  <si>
    <t>2026-07-10 05:39:42</t>
  </si>
  <si>
    <t>2026-08-07 05:39:28</t>
  </si>
  <si>
    <t>2026-07-05 05:37:28</t>
  </si>
  <si>
    <t>05:40</t>
  </si>
  <si>
    <t>2026-07-10 05:44:45</t>
  </si>
  <si>
    <t>2026-07-28 05:42:45</t>
  </si>
  <si>
    <t>2026-07-05 05:43:04</t>
  </si>
  <si>
    <t>2026-07-05 05:44:55</t>
  </si>
  <si>
    <t>05:45</t>
  </si>
  <si>
    <t>2026-07-10 05:49:11</t>
  </si>
  <si>
    <t>2026-07-28 05:48:53</t>
  </si>
  <si>
    <t>2026-07-05 05:46:03</t>
  </si>
  <si>
    <t>05:50</t>
  </si>
  <si>
    <t>2026-07-10 05:50:47</t>
  </si>
  <si>
    <t>2026-07-28 05:50:08</t>
  </si>
  <si>
    <t>2026-07-04 05:50:33</t>
  </si>
  <si>
    <t>2026-07-05 05:51:09</t>
  </si>
  <si>
    <t>05:55</t>
  </si>
  <si>
    <t>2026-07-07 05:55:53</t>
  </si>
  <si>
    <t>2026-08-05 05:58:20</t>
  </si>
  <si>
    <t>2026-07-04 05:55:22</t>
  </si>
  <si>
    <t>2026-07-05 05:55:49</t>
  </si>
  <si>
    <t>06:00</t>
  </si>
  <si>
    <t>2026-08-07 06:02:12</t>
  </si>
  <si>
    <t>2026-07-28 06:01:35</t>
  </si>
  <si>
    <t>2026-07-04 06:00:17</t>
  </si>
  <si>
    <t>2026-07-05 06:04:41</t>
  </si>
  <si>
    <t>06:05</t>
  </si>
  <si>
    <t>2026-07-30 06:06:17</t>
  </si>
  <si>
    <t>2026-07-05 06:09:12</t>
  </si>
  <si>
    <t>2026-07-05 06:09:58</t>
  </si>
  <si>
    <t>06:10</t>
  </si>
  <si>
    <t>2026-07-07 06:10:30</t>
  </si>
  <si>
    <t>2026-07-30 06:10:00</t>
  </si>
  <si>
    <t>2026-07-05 06:10:19</t>
  </si>
  <si>
    <t>06:15</t>
  </si>
  <si>
    <t>2026-08-07 06:15:15</t>
  </si>
  <si>
    <t>2026-07-05 06:18:12</t>
  </si>
  <si>
    <t>2026-07-05 06:19:40</t>
  </si>
  <si>
    <t>06:20</t>
  </si>
  <si>
    <t>2026-07-07 06:24:29</t>
  </si>
  <si>
    <t>2026-07-28 06:22:01</t>
  </si>
  <si>
    <t>2026-07-05 06:22:22</t>
  </si>
  <si>
    <t>2026-07-05 06:22:21</t>
  </si>
  <si>
    <t>06:25</t>
  </si>
  <si>
    <t>2026-07-07 06:29:43</t>
  </si>
  <si>
    <t>2026-07-28 06:27:38</t>
  </si>
  <si>
    <t>2026-07-05 06:29:59</t>
  </si>
  <si>
    <t>06:30</t>
  </si>
  <si>
    <t>2026-07-07 06:30:43</t>
  </si>
  <si>
    <t>2026-07-09 06:33:03</t>
  </si>
  <si>
    <t>2026-07-05 06:30:27</t>
  </si>
  <si>
    <t>06:35</t>
  </si>
  <si>
    <t>2026-07-07 06:39:38</t>
  </si>
  <si>
    <t>2026-07-05 06:39:43</t>
  </si>
  <si>
    <t>06:40</t>
  </si>
  <si>
    <t>2026-07-07 06:44:46</t>
  </si>
  <si>
    <t>2026-08-04 06:41:09</t>
  </si>
  <si>
    <t>2026-07-05 06:41:43</t>
  </si>
  <si>
    <t>2026-07-05 06:40:42</t>
  </si>
  <si>
    <t>06:45</t>
  </si>
  <si>
    <t>2026-07-07 06:48:30</t>
  </si>
  <si>
    <t>2026-07-05 06:46:33</t>
  </si>
  <si>
    <t>2026-07-05 06:46:32</t>
  </si>
  <si>
    <t>06:50</t>
  </si>
  <si>
    <t>2026-07-07 06:50:42</t>
  </si>
  <si>
    <t>2026-07-06 06:54:07</t>
  </si>
  <si>
    <t>2026-07-05 06:50:16</t>
  </si>
  <si>
    <t>06:55</t>
  </si>
  <si>
    <t>2026-07-06 06:59:45</t>
  </si>
  <si>
    <t>2026-07-07 06:55:52</t>
  </si>
  <si>
    <t>2026-07-05 06:57:37</t>
  </si>
  <si>
    <t>07:00</t>
  </si>
  <si>
    <t>2026-07-06 07:03:55</t>
  </si>
  <si>
    <t>2026-07-09 07:01:25</t>
  </si>
  <si>
    <t>2026-07-05 07:01:13</t>
  </si>
  <si>
    <t>2026-07-05 07:00:01</t>
  </si>
  <si>
    <t>07:05</t>
  </si>
  <si>
    <t>2026-07-06 07:09:22</t>
  </si>
  <si>
    <t>2026-07-06 07:09:23</t>
  </si>
  <si>
    <t>2026-07-05 07:07:12</t>
  </si>
  <si>
    <t>2026-07-05 07:07:07</t>
  </si>
  <si>
    <t>07:10</t>
  </si>
  <si>
    <t>2026-07-06 07:11:13</t>
  </si>
  <si>
    <t>2026-07-05 07:14:35</t>
  </si>
  <si>
    <t>07:15</t>
  </si>
  <si>
    <t>2026-07-06 07:15:28</t>
  </si>
  <si>
    <t>2026-07-05 07:17:37</t>
  </si>
  <si>
    <t>2026-07-05 07:17:35</t>
  </si>
  <si>
    <t>07:20</t>
  </si>
  <si>
    <t>2026-07-07 07:22:55</t>
  </si>
  <si>
    <t>2026-07-10 07:20:52</t>
  </si>
  <si>
    <t>2026-07-05 07:21:31</t>
  </si>
  <si>
    <t>2026-07-05 07:21:12</t>
  </si>
  <si>
    <t>07:25</t>
  </si>
  <si>
    <t>2026-07-07 07:27:45</t>
  </si>
  <si>
    <t>2026-07-04 07:25:43</t>
  </si>
  <si>
    <t>2026-07-05 07:26:49</t>
  </si>
  <si>
    <t>07:30</t>
  </si>
  <si>
    <t>2026-07-07 07:33:55</t>
  </si>
  <si>
    <t>2026-07-07 07:32:23</t>
  </si>
  <si>
    <t>2026-07-05 07:32:36</t>
  </si>
  <si>
    <t>07:35</t>
  </si>
  <si>
    <t>2026-07-07 07:35:28</t>
  </si>
  <si>
    <t>2026-07-08 07:38:51</t>
  </si>
  <si>
    <t>2026-07-04 07:36:35</t>
  </si>
  <si>
    <t>2026-07-05 07:37:51</t>
  </si>
  <si>
    <t>07:40</t>
  </si>
  <si>
    <t>2026-07-08 07:42:22</t>
  </si>
  <si>
    <t>2026-07-05 07:41:56</t>
  </si>
  <si>
    <t>07:45</t>
  </si>
  <si>
    <t>2026-07-24 07:49:27</t>
  </si>
  <si>
    <t>2026-07-24 07:49:24</t>
  </si>
  <si>
    <t>2026-07-05 07:46:56</t>
  </si>
  <si>
    <t>2026-07-05 07:46:45</t>
  </si>
  <si>
    <t>07:50</t>
  </si>
  <si>
    <t>2026-07-07 07:52:46</t>
  </si>
  <si>
    <t>2026-07-05 07:50:13</t>
  </si>
  <si>
    <t>07:55</t>
  </si>
  <si>
    <t>2026-07-07 07:57:49</t>
  </si>
  <si>
    <t>2026-07-07 07:57:48</t>
  </si>
  <si>
    <t>2026-07-05 07:56:05</t>
  </si>
  <si>
    <t>08:00</t>
  </si>
  <si>
    <t>2026-07-07 08:04:18</t>
  </si>
  <si>
    <t>2026-07-05 08:04:45</t>
  </si>
  <si>
    <t>2026-07-05 08:04:56</t>
  </si>
  <si>
    <t>08:05</t>
  </si>
  <si>
    <t>2026-07-07 08:05:10</t>
  </si>
  <si>
    <t>2026-07-05 08:07:15</t>
  </si>
  <si>
    <t>08:10</t>
  </si>
  <si>
    <t>2026-07-07 08:14:56</t>
  </si>
  <si>
    <t>2026-08-04 08:13:36</t>
  </si>
  <si>
    <t>2026-07-05 08:10:39</t>
  </si>
  <si>
    <t>08:15</t>
  </si>
  <si>
    <t>2026-08-13 08:19:40</t>
  </si>
  <si>
    <t>2026-08-13 08:19:50</t>
  </si>
  <si>
    <t>2026-07-04 08:17:53</t>
  </si>
  <si>
    <t>2026-07-05 08:19:54</t>
  </si>
  <si>
    <t>08:20</t>
  </si>
  <si>
    <t>2026-07-14 08:22:49</t>
  </si>
  <si>
    <t>2026-07-04 08:24:32</t>
  </si>
  <si>
    <t>2026-07-05 08:23:30</t>
  </si>
  <si>
    <t>08:25</t>
  </si>
  <si>
    <t>2026-08-13 08:28:57</t>
  </si>
  <si>
    <t>2026-08-13 08:28:52</t>
  </si>
  <si>
    <t>2026-07-05 08:26:54</t>
  </si>
  <si>
    <t>08:30</t>
  </si>
  <si>
    <t>2026-08-13 08:31:01</t>
  </si>
  <si>
    <t>2026-07-05 08:32:34</t>
  </si>
  <si>
    <t>2026-07-05 08:32:17</t>
  </si>
  <si>
    <t>08:35</t>
  </si>
  <si>
    <t>2026-08-13 08:36:25</t>
  </si>
  <si>
    <t>2026-08-13 08:37:41</t>
  </si>
  <si>
    <t>2026-07-04 08:39:21</t>
  </si>
  <si>
    <t>08:40</t>
  </si>
  <si>
    <t>2026-08-13 08:44:52</t>
  </si>
  <si>
    <t>2026-08-13 08:40:05</t>
  </si>
  <si>
    <t>2026-07-04 08:42:03</t>
  </si>
  <si>
    <t>08:45</t>
  </si>
  <si>
    <t>2026-08-13 08:45:21</t>
  </si>
  <si>
    <t>2026-08-13 08:45:22</t>
  </si>
  <si>
    <t>2026-07-04 08:45:46</t>
  </si>
  <si>
    <t>08:50</t>
  </si>
  <si>
    <t>2026-08-13 08:52:45</t>
  </si>
  <si>
    <t>2026-07-04 08:52:47</t>
  </si>
  <si>
    <t>2026-07-04 08:52:37</t>
  </si>
  <si>
    <t>08:55</t>
  </si>
  <si>
    <t>2026-08-13 08:59:59</t>
  </si>
  <si>
    <t>2026-07-04 08:59:11</t>
  </si>
  <si>
    <t>09:00</t>
  </si>
  <si>
    <t>2026-07-07 09:00:49</t>
  </si>
  <si>
    <t>2026-07-07 09:04:34</t>
  </si>
  <si>
    <t>2026-07-04 09:01:59</t>
  </si>
  <si>
    <t>09:05</t>
  </si>
  <si>
    <t>2026-07-07 09:05:58</t>
  </si>
  <si>
    <t>2026-07-07 09:08:16</t>
  </si>
  <si>
    <t>2026-07-04 09:09:45</t>
  </si>
  <si>
    <t>2026-07-04 09:08:15</t>
  </si>
  <si>
    <t>09:10</t>
  </si>
  <si>
    <t>2026-07-07 09:13:35</t>
  </si>
  <si>
    <t>2026-07-04 09:12:20</t>
  </si>
  <si>
    <t>09:15</t>
  </si>
  <si>
    <t>2026-07-07 09:17:26</t>
  </si>
  <si>
    <t>2026-07-04 09:15:50</t>
  </si>
  <si>
    <t>09:20</t>
  </si>
  <si>
    <t>2026-07-07 09:20:39</t>
  </si>
  <si>
    <t>2026-07-07 09:23:17</t>
  </si>
  <si>
    <t>2026-07-04 09:21:46</t>
  </si>
  <si>
    <t>09:25</t>
  </si>
  <si>
    <t>2026-07-07 09:27:35</t>
  </si>
  <si>
    <t>2026-07-04 09:25:16</t>
  </si>
  <si>
    <t>2026-07-04 09:29:51</t>
  </si>
  <si>
    <t>09:30</t>
  </si>
  <si>
    <t>2026-07-06 09:34:55</t>
  </si>
  <si>
    <t>2026-07-06 09:34:14</t>
  </si>
  <si>
    <t>2026-07-04 09:32:21</t>
  </si>
  <si>
    <t>09:35</t>
  </si>
  <si>
    <t>2026-07-06 09:35:06</t>
  </si>
  <si>
    <t>2026-07-07 09:36:41</t>
  </si>
  <si>
    <t>2026-07-04 09:37:43</t>
  </si>
  <si>
    <t>09:40</t>
  </si>
  <si>
    <t>2026-07-07 09:44:52</t>
  </si>
  <si>
    <t>2026-07-07 09:44:55</t>
  </si>
  <si>
    <t>2026-07-04 09:42:01</t>
  </si>
  <si>
    <t>2026-07-04 09:41:59</t>
  </si>
  <si>
    <t>09:45</t>
  </si>
  <si>
    <t>2026-07-07 09:45:22</t>
  </si>
  <si>
    <t>2026-07-04 09:49:01</t>
  </si>
  <si>
    <t>09:50</t>
  </si>
  <si>
    <t>2026-07-07 09:50:20</t>
  </si>
  <si>
    <t>2026-07-04 09:54:50</t>
  </si>
  <si>
    <t>09:55</t>
  </si>
  <si>
    <t>2026-07-07 09:59:34</t>
  </si>
  <si>
    <t>2026-07-07 09:58:14</t>
  </si>
  <si>
    <t>2026-07-04 09:55:09</t>
  </si>
  <si>
    <t>10:00</t>
  </si>
  <si>
    <t>2026-07-07 10:01:34</t>
  </si>
  <si>
    <t>2026-07-04 10:01:37</t>
  </si>
  <si>
    <t>10:05</t>
  </si>
  <si>
    <t>2026-07-07 10:09:51</t>
  </si>
  <si>
    <t>2026-07-04 10:05:22</t>
  </si>
  <si>
    <t>2026-07-04 10:05:21</t>
  </si>
  <si>
    <t>10:10</t>
  </si>
  <si>
    <t>2026-07-07 10:12:17</t>
  </si>
  <si>
    <t>2026-07-07 10:12:14</t>
  </si>
  <si>
    <t>2026-07-04 10:14:58</t>
  </si>
  <si>
    <t>10:15</t>
  </si>
  <si>
    <t>2026-07-07 10:17:17</t>
  </si>
  <si>
    <t>2026-07-04 10:18:04</t>
  </si>
  <si>
    <t>10:20</t>
  </si>
  <si>
    <t>2026-07-07 10:21:32</t>
  </si>
  <si>
    <t>2026-07-07 10:21:42</t>
  </si>
  <si>
    <t>2026-07-04 10:21:08</t>
  </si>
  <si>
    <t>10:25</t>
  </si>
  <si>
    <t>2026-07-07 10:26:59</t>
  </si>
  <si>
    <t>2026-07-04 10:29:42</t>
  </si>
  <si>
    <t>10:30</t>
  </si>
  <si>
    <t>2026-07-07 10:31:17</t>
  </si>
  <si>
    <t>2026-07-07 10:33:45</t>
  </si>
  <si>
    <t>2026-07-04 10:34:42</t>
  </si>
  <si>
    <t>2026-07-04 10:31:43</t>
  </si>
  <si>
    <t>10:35</t>
  </si>
  <si>
    <t>2026-07-07 10:35:10</t>
  </si>
  <si>
    <t>2026-07-04 10:36:23</t>
  </si>
  <si>
    <t>10:40</t>
  </si>
  <si>
    <t>2026-07-07 10:40:45</t>
  </si>
  <si>
    <t>2026-07-07 10:41:15</t>
  </si>
  <si>
    <t>2026-07-04 10:41:51</t>
  </si>
  <si>
    <t>2026-07-04 10:41:21</t>
  </si>
  <si>
    <t>10:45</t>
  </si>
  <si>
    <t>2026-07-07 10:48:56</t>
  </si>
  <si>
    <t>2026-07-04 10:45:03</t>
  </si>
  <si>
    <t>2026-07-04 10:45:08</t>
  </si>
  <si>
    <t>10:50</t>
  </si>
  <si>
    <t>2026-07-07 10:52:15</t>
  </si>
  <si>
    <t>2026-07-04 10:53:44</t>
  </si>
  <si>
    <t>10:55</t>
  </si>
  <si>
    <t>2026-07-07 10:56:38</t>
  </si>
  <si>
    <t>2026-07-06 10:55:30</t>
  </si>
  <si>
    <t>2026-07-04 10:56:35</t>
  </si>
  <si>
    <t>11:00</t>
  </si>
  <si>
    <t>2026-07-07 11:01:54</t>
  </si>
  <si>
    <t>2026-07-07 11:01:41</t>
  </si>
  <si>
    <t>2026-07-04 11:01:11</t>
  </si>
  <si>
    <t>11:05</t>
  </si>
  <si>
    <t>2026-07-07 11:09:36</t>
  </si>
  <si>
    <t>2026-07-07 11:07:52</t>
  </si>
  <si>
    <t>2026-07-04 11:09:17</t>
  </si>
  <si>
    <t>11:10</t>
  </si>
  <si>
    <t>2026-07-07 11:11:49</t>
  </si>
  <si>
    <t>2026-07-04 11:13:02</t>
  </si>
  <si>
    <t>11:15</t>
  </si>
  <si>
    <t>2026-07-07 11:17:29</t>
  </si>
  <si>
    <t>2026-07-05 11:16:03</t>
  </si>
  <si>
    <t>11:20</t>
  </si>
  <si>
    <t>2026-07-07 11:21:35</t>
  </si>
  <si>
    <t>2026-07-07 11:22:29</t>
  </si>
  <si>
    <t>2026-07-05 11:21:35</t>
  </si>
  <si>
    <t>11:25</t>
  </si>
  <si>
    <t>2026-07-07 11:26:46</t>
  </si>
  <si>
    <t>2026-07-04 11:25:03</t>
  </si>
  <si>
    <t>2026-07-05 11:29:48</t>
  </si>
  <si>
    <t>11:30</t>
  </si>
  <si>
    <t>2026-07-07 11:32:55</t>
  </si>
  <si>
    <t>2026-07-07 11:30:09</t>
  </si>
  <si>
    <t>2026-07-04 11:30:21</t>
  </si>
  <si>
    <t>2026-07-05 11:30:35</t>
  </si>
  <si>
    <t>11:35</t>
  </si>
  <si>
    <t>2026-07-07 11:39:57</t>
  </si>
  <si>
    <t>2026-07-07 11:36:42</t>
  </si>
  <si>
    <t>2026-07-04 11:35:01</t>
  </si>
  <si>
    <t>2026-07-11 11:39:12</t>
  </si>
  <si>
    <t>11:40</t>
  </si>
  <si>
    <t>2026-07-07 11:40:08</t>
  </si>
  <si>
    <t>2026-07-04 11:43:02</t>
  </si>
  <si>
    <t>11:45</t>
  </si>
  <si>
    <t>2026-07-07 11:48:38</t>
  </si>
  <si>
    <t>2026-07-07 11:49:26</t>
  </si>
  <si>
    <t>2026-07-04 11:47:07</t>
  </si>
  <si>
    <t>2026-07-05 11:46:23</t>
  </si>
  <si>
    <t>11:50</t>
  </si>
  <si>
    <t>2026-07-07 11:51:40</t>
  </si>
  <si>
    <t>2026-07-07 11:51:28</t>
  </si>
  <si>
    <t>2026-07-05 11:51:19</t>
  </si>
  <si>
    <t>11:55</t>
  </si>
  <si>
    <t>2026-07-07 11:56:42</t>
  </si>
  <si>
    <t>2026-07-05 11:59:48</t>
  </si>
  <si>
    <t>12:00</t>
  </si>
  <si>
    <t>2026-07-07 12:00:22</t>
  </si>
  <si>
    <t>2026-07-04 12:01:50</t>
  </si>
  <si>
    <t>2026-07-05 12:01:44</t>
  </si>
  <si>
    <t>12:05</t>
  </si>
  <si>
    <t>2026-07-07 12:07:56</t>
  </si>
  <si>
    <t>2026-07-07 12:07:26</t>
  </si>
  <si>
    <t>2026-07-05 12:07:59</t>
  </si>
  <si>
    <t>12:10</t>
  </si>
  <si>
    <t>2026-07-07 12:14:56</t>
  </si>
  <si>
    <t>2026-07-07 12:14:35</t>
  </si>
  <si>
    <t>2026-07-05 12:12:06</t>
  </si>
  <si>
    <t>2026-07-05 12:11:05</t>
  </si>
  <si>
    <t>12:15</t>
  </si>
  <si>
    <t>2026-07-07 12:19:32</t>
  </si>
  <si>
    <t>2026-07-05 12:15:12</t>
  </si>
  <si>
    <t>2026-07-05 12:15:22</t>
  </si>
  <si>
    <t>12:20</t>
  </si>
  <si>
    <t>2026-07-07 12:22:08</t>
  </si>
  <si>
    <t>2026-07-04 12:23:35</t>
  </si>
  <si>
    <t>2026-07-04 12:23:42</t>
  </si>
  <si>
    <t>12:25</t>
  </si>
  <si>
    <t>2026-07-07 12:29:32</t>
  </si>
  <si>
    <t>2026-07-07 12:28:35</t>
  </si>
  <si>
    <t>2026-07-04 12:29:48</t>
  </si>
  <si>
    <t>12:30</t>
  </si>
  <si>
    <t>2026-07-07 12:30:10</t>
  </si>
  <si>
    <t>2026-07-04 12:30:53</t>
  </si>
  <si>
    <t>12:35</t>
  </si>
  <si>
    <t>2026-07-07 12:39:53</t>
  </si>
  <si>
    <t>2026-07-04 12:39:40</t>
  </si>
  <si>
    <t>2026-07-05 12:39:53</t>
  </si>
  <si>
    <t>12:40</t>
  </si>
  <si>
    <t>2026-07-07 12:44:50</t>
  </si>
  <si>
    <t>2026-07-07 12:43:39</t>
  </si>
  <si>
    <t>2026-07-05 12:42:53</t>
  </si>
  <si>
    <t>12:45</t>
  </si>
  <si>
    <t>2026-07-07 12:45:09</t>
  </si>
  <si>
    <t>2026-07-05 12:48:26</t>
  </si>
  <si>
    <t>12:50</t>
  </si>
  <si>
    <t>2026-07-07 12:50:39</t>
  </si>
  <si>
    <t>2026-07-07 12:50:20</t>
  </si>
  <si>
    <t>2026-07-04 12:52:45</t>
  </si>
  <si>
    <t>12:55</t>
  </si>
  <si>
    <t>2026-07-07 12:59:33</t>
  </si>
  <si>
    <t>2026-07-05 12:59:30</t>
  </si>
  <si>
    <t>13:00</t>
  </si>
  <si>
    <t>2026-07-07 13:01:01</t>
  </si>
  <si>
    <t>2026-07-05 13:01:27</t>
  </si>
  <si>
    <t>2026-07-05 13:03:47</t>
  </si>
  <si>
    <t>13:05</t>
  </si>
  <si>
    <t>2026-07-06 13:06:45</t>
  </si>
  <si>
    <t>2026-07-05 13:07:02</t>
  </si>
  <si>
    <t>2026-07-05 13:07:04</t>
  </si>
  <si>
    <t>13:10</t>
  </si>
  <si>
    <t>2026-07-06 13:14:35</t>
  </si>
  <si>
    <t>2026-07-05 13:11:00</t>
  </si>
  <si>
    <t>13:15</t>
  </si>
  <si>
    <t>2026-07-06 13:16:14</t>
  </si>
  <si>
    <t>2026-07-05 13:16:02</t>
  </si>
  <si>
    <t>13:20</t>
  </si>
  <si>
    <t>2026-07-06 13:21:57</t>
  </si>
  <si>
    <t>2026-07-05 13:20:15</t>
  </si>
  <si>
    <t>2026-07-05 13:20:02</t>
  </si>
  <si>
    <t>13:25</t>
  </si>
  <si>
    <t>2026-07-06 13:29:01</t>
  </si>
  <si>
    <t>2026-07-06 13:29:09</t>
  </si>
  <si>
    <t>2026-07-05 13:25:47</t>
  </si>
  <si>
    <t>2026-07-05 13:27:29</t>
  </si>
  <si>
    <t>13:30</t>
  </si>
  <si>
    <t>2026-07-06 13:32:59</t>
  </si>
  <si>
    <t>2026-07-06 13:30:10</t>
  </si>
  <si>
    <t>2026-07-05 13:32:49</t>
  </si>
  <si>
    <t>2026-07-05 13:32:50</t>
  </si>
  <si>
    <t>13:35</t>
  </si>
  <si>
    <t>2026-07-06 13:38:10</t>
  </si>
  <si>
    <t>2026-07-05 13:35:14</t>
  </si>
  <si>
    <t>13:40</t>
  </si>
  <si>
    <t>2026-07-10 13:44:10</t>
  </si>
  <si>
    <t>2026-07-06 13:40:09</t>
  </si>
  <si>
    <t>2026-07-05 13:42:01</t>
  </si>
  <si>
    <t>2026-07-05 13:41:59</t>
  </si>
  <si>
    <t>13:45</t>
  </si>
  <si>
    <t>2026-07-10 13:45:19</t>
  </si>
  <si>
    <t>2026-07-10 13:45:17</t>
  </si>
  <si>
    <t>2026-07-05 13:45:38</t>
  </si>
  <si>
    <t>13:50</t>
  </si>
  <si>
    <t>2026-07-10 13:54:35</t>
  </si>
  <si>
    <t>2026-08-05 13:51:34</t>
  </si>
  <si>
    <t>2026-07-05 13:53:26</t>
  </si>
  <si>
    <t>13:55</t>
  </si>
  <si>
    <t>2026-07-06 13:58:09</t>
  </si>
  <si>
    <t>2026-07-05 13:58:56</t>
  </si>
  <si>
    <t>2026-07-05 13:59:39</t>
  </si>
  <si>
    <t>14:00</t>
  </si>
  <si>
    <t>2026-07-06 14:03:34</t>
  </si>
  <si>
    <t>2026-07-05 14:00:55</t>
  </si>
  <si>
    <t>14:05</t>
  </si>
  <si>
    <t>2026-07-06 14:07:59</t>
  </si>
  <si>
    <t>2026-07-05 14:09:38</t>
  </si>
  <si>
    <t>14:10</t>
  </si>
  <si>
    <t>2026-07-06 14:13:25</t>
  </si>
  <si>
    <t>2026-07-06 14:13:24</t>
  </si>
  <si>
    <t>2026-07-05 14:11:22</t>
  </si>
  <si>
    <t>14:15</t>
  </si>
  <si>
    <t>2026-07-06 14:16:51</t>
  </si>
  <si>
    <t>2026-07-04 14:18:04</t>
  </si>
  <si>
    <t>2026-08-02 14:16:31</t>
  </si>
  <si>
    <t>14:20</t>
  </si>
  <si>
    <t>2026-07-06 14:22:37</t>
  </si>
  <si>
    <t>2026-07-31 14:23:53</t>
  </si>
  <si>
    <t>2026-07-05 14:22:23</t>
  </si>
  <si>
    <t>2026-07-05 14:24:38</t>
  </si>
  <si>
    <t>14:25</t>
  </si>
  <si>
    <t>2026-07-10 14:29:59</t>
  </si>
  <si>
    <t>2026-07-04 14:26:04</t>
  </si>
  <si>
    <t>14:30</t>
  </si>
  <si>
    <t>2026-07-10 14:30:00</t>
  </si>
  <si>
    <t>2026-07-04 14:34:50</t>
  </si>
  <si>
    <t>14:35</t>
  </si>
  <si>
    <t>2026-07-06 14:35:40</t>
  </si>
  <si>
    <t>2026-07-04 14:35:00</t>
  </si>
  <si>
    <t>2026-07-04 14:35:14</t>
  </si>
  <si>
    <t>14:40</t>
  </si>
  <si>
    <t>2026-07-06 14:40:55</t>
  </si>
  <si>
    <t>2026-07-06 14:40:46</t>
  </si>
  <si>
    <t>2026-07-04 14:44:15</t>
  </si>
  <si>
    <t>14:45</t>
  </si>
  <si>
    <t>2026-07-06 14:49:00</t>
  </si>
  <si>
    <t>2026-07-04 14:49:21</t>
  </si>
  <si>
    <t>14:50</t>
  </si>
  <si>
    <t>2026-07-06 14:51:50</t>
  </si>
  <si>
    <t>2026-07-04 14:51:11</t>
  </si>
  <si>
    <t>2026-07-05 14:50:11</t>
  </si>
  <si>
    <t>14:55</t>
  </si>
  <si>
    <t>2026-07-06 14:55:37</t>
  </si>
  <si>
    <t>2026-07-06 14:59:27</t>
  </si>
  <si>
    <t>2026-07-04 14:59:54</t>
  </si>
  <si>
    <t>2026-07-05 14:59:01</t>
  </si>
  <si>
    <t>15:00</t>
  </si>
  <si>
    <t>2026-07-06 15:01:43</t>
  </si>
  <si>
    <t>2026-07-04 15:02:22</t>
  </si>
  <si>
    <t>15:05</t>
  </si>
  <si>
    <t>2026-07-06 15:08:20</t>
  </si>
  <si>
    <t>2026-07-06 15:07:22</t>
  </si>
  <si>
    <t>2026-07-04 15:07:18</t>
  </si>
  <si>
    <t>15:10</t>
  </si>
  <si>
    <t>2026-07-06 15:14:04</t>
  </si>
  <si>
    <t>2026-07-04 15:14:50</t>
  </si>
  <si>
    <t>2026-07-04 15:10:50</t>
  </si>
  <si>
    <t>15:15</t>
  </si>
  <si>
    <t>2026-07-06 15:15:50</t>
  </si>
  <si>
    <t>2026-07-04 15:17:04</t>
  </si>
  <si>
    <t>15:20</t>
  </si>
  <si>
    <t>2026-07-03 15:24:32</t>
  </si>
  <si>
    <t>2026-07-03 15:24:27</t>
  </si>
  <si>
    <t>2026-07-04 15:20:04</t>
  </si>
  <si>
    <t>15:25</t>
  </si>
  <si>
    <t>2026-07-03 15:26:36</t>
  </si>
  <si>
    <t>2026-07-03 15:28:51</t>
  </si>
  <si>
    <t>2026-07-05 15:26:30</t>
  </si>
  <si>
    <t>2026-08-08 15:27:30</t>
  </si>
  <si>
    <t>15:30</t>
  </si>
  <si>
    <t>2026-07-03 15:31:39</t>
  </si>
  <si>
    <t>2026-07-04 15:34:48</t>
  </si>
  <si>
    <t>2026-08-08 15:34:30</t>
  </si>
  <si>
    <t>15:35</t>
  </si>
  <si>
    <t>2026-07-03 15:36:18</t>
  </si>
  <si>
    <t>2026-07-04 15:35:59</t>
  </si>
  <si>
    <t>2026-07-05 15:37:43</t>
  </si>
  <si>
    <t>15:40</t>
  </si>
  <si>
    <t>2026-07-03 15:42:03</t>
  </si>
  <si>
    <t>2026-07-04 15:41:36</t>
  </si>
  <si>
    <t>15:45</t>
  </si>
  <si>
    <t>2026-07-06 15:47:24</t>
  </si>
  <si>
    <t>2026-07-04 15:49:54</t>
  </si>
  <si>
    <t>15:50</t>
  </si>
  <si>
    <t>2026-07-03 15:53:24</t>
  </si>
  <si>
    <t>2026-07-04 15:53:58</t>
  </si>
  <si>
    <t>15:55</t>
  </si>
  <si>
    <t>2026-07-03 15:55:16</t>
  </si>
  <si>
    <t>2026-07-04 15:56:52</t>
  </si>
  <si>
    <t>2026-07-04 15:56:57</t>
  </si>
  <si>
    <t>16:00</t>
  </si>
  <si>
    <t>2026-07-03 16:00:31</t>
  </si>
  <si>
    <t>2026-07-04 16:04:05</t>
  </si>
  <si>
    <t>16:05</t>
  </si>
  <si>
    <t>2026-07-03 16:05:05</t>
  </si>
  <si>
    <t>2026-07-03 16:06:31</t>
  </si>
  <si>
    <t>2026-07-04 16:07:06</t>
  </si>
  <si>
    <t>16:10</t>
  </si>
  <si>
    <t>2026-07-03 16:14:30</t>
  </si>
  <si>
    <t>2026-07-04 16:12:46</t>
  </si>
  <si>
    <t>16:15</t>
  </si>
  <si>
    <t>2026-07-03 16:17:12</t>
  </si>
  <si>
    <t>2026-07-03 16:15:17</t>
  </si>
  <si>
    <t>2026-07-04 16:16:31</t>
  </si>
  <si>
    <t>16:20</t>
  </si>
  <si>
    <t>2026-07-03 16:21:05</t>
  </si>
  <si>
    <t>2026-07-04 16:21:02</t>
  </si>
  <si>
    <t>2026-07-04 16:24:47</t>
  </si>
  <si>
    <t>16:25</t>
  </si>
  <si>
    <t>2026-07-03 16:25:54</t>
  </si>
  <si>
    <t>2026-07-04 16:25:08</t>
  </si>
  <si>
    <t>2026-07-04 16:25:00</t>
  </si>
  <si>
    <t>16:30</t>
  </si>
  <si>
    <t>2026-07-03 16:32:50</t>
  </si>
  <si>
    <t>2026-07-04 16:31:23</t>
  </si>
  <si>
    <t>16:35</t>
  </si>
  <si>
    <t>2026-07-03 16:35:31</t>
  </si>
  <si>
    <t>2026-07-04 16:35:20</t>
  </si>
  <si>
    <t>2026-07-05 16:37:02</t>
  </si>
  <si>
    <t>16:40</t>
  </si>
  <si>
    <t>2026-07-03 16:40:06</t>
  </si>
  <si>
    <t>2026-07-03 16:43:02</t>
  </si>
  <si>
    <t>2026-07-04 16:44:25</t>
  </si>
  <si>
    <t>16:45</t>
  </si>
  <si>
    <t>2026-07-03 16:45:04</t>
  </si>
  <si>
    <t>2026-07-09 16:49:27</t>
  </si>
  <si>
    <t>2026-07-04 16:49:18</t>
  </si>
  <si>
    <t>2026-07-05 16:45:54</t>
  </si>
  <si>
    <t>16:50</t>
  </si>
  <si>
    <t>2026-07-07 16:50:50</t>
  </si>
  <si>
    <t>2026-07-05 16:51:44</t>
  </si>
  <si>
    <t>16:55</t>
  </si>
  <si>
    <t>2026-07-03 16:56:48</t>
  </si>
  <si>
    <t>2026-07-04 16:56:11</t>
  </si>
  <si>
    <t>17:00</t>
  </si>
  <si>
    <t>2026-07-03 17:00:02</t>
  </si>
  <si>
    <t>2026-07-04 17:01:42</t>
  </si>
  <si>
    <t>2026-07-04 17:00:07</t>
  </si>
  <si>
    <t>17:05</t>
  </si>
  <si>
    <t>2026-07-03 17:07:28</t>
  </si>
  <si>
    <t>2026-07-04 17:09:42</t>
  </si>
  <si>
    <t>17:10</t>
  </si>
  <si>
    <t>2026-07-13 17:13:03</t>
  </si>
  <si>
    <t>2026-07-05 17:10:22</t>
  </si>
  <si>
    <t>2026-07-05 17:10:19</t>
  </si>
  <si>
    <t>17:15</t>
  </si>
  <si>
    <t>2026-07-03 17:15:32</t>
  </si>
  <si>
    <t>2026-07-13 17:17:44</t>
  </si>
  <si>
    <t>2026-07-05 17:17:13</t>
  </si>
  <si>
    <t>2026-07-05 17:18:07</t>
  </si>
  <si>
    <t>17:20</t>
  </si>
  <si>
    <t>2026-07-03 17:22:39</t>
  </si>
  <si>
    <t>2026-07-13 17:21:36</t>
  </si>
  <si>
    <t>2026-07-05 17:20:53</t>
  </si>
  <si>
    <t>17:25</t>
  </si>
  <si>
    <t>2026-07-03 17:26:18</t>
  </si>
  <si>
    <t>2026-07-13 17:29:46</t>
  </si>
  <si>
    <t>2026-07-05 17:25:24</t>
  </si>
  <si>
    <t>2026-07-05 17:25:09</t>
  </si>
  <si>
    <t>17:30</t>
  </si>
  <si>
    <t>2026-07-06 17:34:06</t>
  </si>
  <si>
    <t>2026-07-13 17:30:10</t>
  </si>
  <si>
    <t>2026-07-05 17:30:24</t>
  </si>
  <si>
    <t>17:35</t>
  </si>
  <si>
    <t>2026-07-07 17:38:27</t>
  </si>
  <si>
    <t>2026-07-13 17:36:55</t>
  </si>
  <si>
    <t>2026-07-05 17:38:52</t>
  </si>
  <si>
    <t>17:40</t>
  </si>
  <si>
    <t>2026-07-07 17:41:08</t>
  </si>
  <si>
    <t>2026-07-13 17:41:09</t>
  </si>
  <si>
    <t>2026-07-05 17:41:24</t>
  </si>
  <si>
    <t>2026-07-05 17:44:17</t>
  </si>
  <si>
    <t>17:45</t>
  </si>
  <si>
    <t>2026-07-07 17:46:02</t>
  </si>
  <si>
    <t>2026-07-13 17:45:22</t>
  </si>
  <si>
    <t>2026-07-04 17:46:55</t>
  </si>
  <si>
    <t>2026-07-05 17:46:40</t>
  </si>
  <si>
    <t>17:50</t>
  </si>
  <si>
    <t>2026-08-13 17:54:34</t>
  </si>
  <si>
    <t>2026-07-06 17:52:00</t>
  </si>
  <si>
    <t>2026-07-05 17:51:38</t>
  </si>
  <si>
    <t>17:55</t>
  </si>
  <si>
    <t>2026-07-06 17:57:20</t>
  </si>
  <si>
    <t>2026-07-06 17:58:30</t>
  </si>
  <si>
    <t>2026-07-04 17:55:53</t>
  </si>
  <si>
    <t>18:00</t>
  </si>
  <si>
    <t>2026-07-06 18:00:25</t>
  </si>
  <si>
    <t>2026-07-05 18:01:08</t>
  </si>
  <si>
    <t>18:05</t>
  </si>
  <si>
    <t>2026-07-07 18:05:58</t>
  </si>
  <si>
    <t>2026-07-05 18:06:47</t>
  </si>
  <si>
    <t>18:10</t>
  </si>
  <si>
    <t>2026-07-07 18:14:26</t>
  </si>
  <si>
    <t>2026-08-04 18:11:26</t>
  </si>
  <si>
    <t>2026-07-05 18:11:55</t>
  </si>
  <si>
    <t>2026-07-05 18:11:59</t>
  </si>
  <si>
    <t>18:15</t>
  </si>
  <si>
    <t>2026-07-07 18:16:49</t>
  </si>
  <si>
    <t>2026-07-07 18:17:24</t>
  </si>
  <si>
    <t>2026-07-05 18:15:32</t>
  </si>
  <si>
    <t>2026-07-05 18:15:55</t>
  </si>
  <si>
    <t>18:20</t>
  </si>
  <si>
    <t>2026-07-07 18:24:17</t>
  </si>
  <si>
    <t>2026-07-06 18:22:28</t>
  </si>
  <si>
    <t>2026-07-05 18:21:51</t>
  </si>
  <si>
    <t>18:25</t>
  </si>
  <si>
    <t>2026-07-07 18:29:26</t>
  </si>
  <si>
    <t>2026-07-05 18:25:21</t>
  </si>
  <si>
    <t>18:30</t>
  </si>
  <si>
    <t>2026-07-07 18:31:02</t>
  </si>
  <si>
    <t>2026-07-07 18:31:00</t>
  </si>
  <si>
    <t>2026-07-05 18:34:47</t>
  </si>
  <si>
    <t>18:35</t>
  </si>
  <si>
    <t>2026-07-07 18:39:40</t>
  </si>
  <si>
    <t>2026-07-05 18:39:53</t>
  </si>
  <si>
    <t>2026-07-05 18:39:59</t>
  </si>
  <si>
    <t>18:40</t>
  </si>
  <si>
    <t>2026-07-03 18:42:57</t>
  </si>
  <si>
    <t>2026-07-05 18:40:17</t>
  </si>
  <si>
    <t>18:45</t>
  </si>
  <si>
    <t>2026-07-03 18:46:35</t>
  </si>
  <si>
    <t>2026-07-03 18:46:06</t>
  </si>
  <si>
    <t>2026-07-05 18:47:16</t>
  </si>
  <si>
    <t>2026-07-05 18:47:23</t>
  </si>
  <si>
    <t>18:50</t>
  </si>
  <si>
    <t>2026-07-03 18:50:17</t>
  </si>
  <si>
    <t>2026-07-08 18:50:09</t>
  </si>
  <si>
    <t>2026-07-05 18:50:35</t>
  </si>
  <si>
    <t>18:55</t>
  </si>
  <si>
    <t>2026-07-07 18:56:04</t>
  </si>
  <si>
    <t>2026-07-05 18:55:47</t>
  </si>
  <si>
    <t>19:00</t>
  </si>
  <si>
    <t>2026-07-07 19:02:55</t>
  </si>
  <si>
    <t>2026-07-05 19:03:01</t>
  </si>
  <si>
    <t>2026-07-05 19:00:07</t>
  </si>
  <si>
    <t>19:05</t>
  </si>
  <si>
    <t>2026-07-07 19:05:11</t>
  </si>
  <si>
    <t>2026-07-10 19:08:32</t>
  </si>
  <si>
    <t>2026-07-05 19:05:14</t>
  </si>
  <si>
    <t>19:10</t>
  </si>
  <si>
    <t>2026-07-07 19:12:25</t>
  </si>
  <si>
    <t>2026-07-13 19:13:42</t>
  </si>
  <si>
    <t>2026-07-05 19:10:41</t>
  </si>
  <si>
    <t>19:15</t>
  </si>
  <si>
    <t>2026-08-06 19:17:49</t>
  </si>
  <si>
    <t>2026-07-05 19:16:14</t>
  </si>
  <si>
    <t>19:20</t>
  </si>
  <si>
    <t>2026-07-07 19:24:40</t>
  </si>
  <si>
    <t>2026-07-13 19:21:34</t>
  </si>
  <si>
    <t>2026-07-05 19:24:29</t>
  </si>
  <si>
    <t>19:25</t>
  </si>
  <si>
    <t>2026-07-07 19:25:10</t>
  </si>
  <si>
    <t>2026-07-13 19:25:09</t>
  </si>
  <si>
    <t>2026-07-05 19:25:26</t>
  </si>
  <si>
    <t>2026-07-05 19:25:28</t>
  </si>
  <si>
    <t>19:30</t>
  </si>
  <si>
    <t>2026-07-07 19:32:26</t>
  </si>
  <si>
    <t>2026-07-13 19:30:04</t>
  </si>
  <si>
    <t>2026-07-05 19:30:59</t>
  </si>
  <si>
    <t>19:35</t>
  </si>
  <si>
    <t>2026-07-07 19:39:19</t>
  </si>
  <si>
    <t>2026-07-09 19:39:14</t>
  </si>
  <si>
    <t>2026-07-05 19:38:59</t>
  </si>
  <si>
    <t>19:40</t>
  </si>
  <si>
    <t>2026-07-09 19:44:19</t>
  </si>
  <si>
    <t>2026-07-09 19:44:59</t>
  </si>
  <si>
    <t>2026-07-05 19:40:25</t>
  </si>
  <si>
    <t>19:45</t>
  </si>
  <si>
    <t>2026-07-09 19:49:50</t>
  </si>
  <si>
    <t>2026-07-05 19:45:52</t>
  </si>
  <si>
    <t>19:50</t>
  </si>
  <si>
    <t>2026-07-09 19:50:01</t>
  </si>
  <si>
    <t>2026-07-07 19:52:31</t>
  </si>
  <si>
    <t>2026-07-05 19:52:25</t>
  </si>
  <si>
    <t>2026-07-05 19:51:25</t>
  </si>
  <si>
    <t>19:55</t>
  </si>
  <si>
    <t>2026-07-07 19:55:34</t>
  </si>
  <si>
    <t>2026-07-05 19:55:46</t>
  </si>
  <si>
    <t>20:00</t>
  </si>
  <si>
    <t>2026-07-06 20:02:02</t>
  </si>
  <si>
    <t>2026-07-09 20:04:58</t>
  </si>
  <si>
    <t>2026-07-05 20:04:38</t>
  </si>
  <si>
    <t>2026-07-05 20:03:24</t>
  </si>
  <si>
    <t>20:05</t>
  </si>
  <si>
    <t>2026-07-06 20:09:16</t>
  </si>
  <si>
    <t>2026-07-09 20:05:04</t>
  </si>
  <si>
    <t>2026-07-05 20:06:43</t>
  </si>
  <si>
    <t>2026-07-05 20:05:15</t>
  </si>
  <si>
    <t>20:10</t>
  </si>
  <si>
    <t>2026-07-06 20:10:26</t>
  </si>
  <si>
    <t>2026-07-07 20:11:43</t>
  </si>
  <si>
    <t>2026-07-05 20:14:47</t>
  </si>
  <si>
    <t>2026-07-05 20:12:13</t>
  </si>
  <si>
    <t>20:15</t>
  </si>
  <si>
    <t>2026-07-06 20:16:29</t>
  </si>
  <si>
    <t>2026-07-23 20:18:40</t>
  </si>
  <si>
    <t>2026-07-05 20:16:47</t>
  </si>
  <si>
    <t>20:20</t>
  </si>
  <si>
    <t>2026-07-06 20:20:11</t>
  </si>
  <si>
    <t>2026-07-07 20:21:18</t>
  </si>
  <si>
    <t>2026-07-05 20:21:59</t>
  </si>
  <si>
    <t>20:25</t>
  </si>
  <si>
    <t>2026-07-06 20:29:53</t>
  </si>
  <si>
    <t>2026-07-07 20:28:47</t>
  </si>
  <si>
    <t>2026-07-05 20:27:37</t>
  </si>
  <si>
    <t>20:30</t>
  </si>
  <si>
    <t>2026-07-07 20:30:42</t>
  </si>
  <si>
    <t>2026-07-05 20:32:42</t>
  </si>
  <si>
    <t>2026-07-11 20:34:58</t>
  </si>
  <si>
    <t>20:35</t>
  </si>
  <si>
    <t>2026-08-06 20:37:44</t>
  </si>
  <si>
    <t>2026-07-07 20:37:15</t>
  </si>
  <si>
    <t>2026-07-25 20:38:05</t>
  </si>
  <si>
    <t>2026-07-25 20:38:04</t>
  </si>
  <si>
    <t>20:40</t>
  </si>
  <si>
    <t>2026-07-21 20:44:54</t>
  </si>
  <si>
    <t>2026-07-21 20:44:55</t>
  </si>
  <si>
    <t>2026-07-05 20:44:48</t>
  </si>
  <si>
    <t>2026-07-05 20:43:42</t>
  </si>
  <si>
    <t>20:45</t>
  </si>
  <si>
    <t>2026-07-21 20:48:42</t>
  </si>
  <si>
    <t>2026-07-21 20:48:49</t>
  </si>
  <si>
    <t>2026-07-05 20:49:40</t>
  </si>
  <si>
    <t>20:50</t>
  </si>
  <si>
    <t>2026-07-21 20:54:37</t>
  </si>
  <si>
    <t>2026-07-21 20:50:32</t>
  </si>
  <si>
    <t>2026-07-05 20:54:06</t>
  </si>
  <si>
    <t>20:55</t>
  </si>
  <si>
    <t>2026-07-21 20:56:37</t>
  </si>
  <si>
    <t>2026-07-05 20:57:27</t>
  </si>
  <si>
    <t>2026-07-05 20:57:07</t>
  </si>
  <si>
    <t>21:00</t>
  </si>
  <si>
    <t>2026-07-21 21:02:12</t>
  </si>
  <si>
    <t>2026-07-21 21:03:39</t>
  </si>
  <si>
    <t>2026-07-05 21:00:30</t>
  </si>
  <si>
    <t>21:05</t>
  </si>
  <si>
    <t>2026-07-07 21:06:46</t>
  </si>
  <si>
    <t>2026-07-21 21:08:09</t>
  </si>
  <si>
    <t>2026-07-05 21:06:12</t>
  </si>
  <si>
    <t>21:10</t>
  </si>
  <si>
    <t>2026-07-06 21:12:53</t>
  </si>
  <si>
    <t>2026-07-21 21:10:33</t>
  </si>
  <si>
    <t>2026-07-05 21:13:49</t>
  </si>
  <si>
    <t>21:15</t>
  </si>
  <si>
    <t>2026-07-21 21:18:37</t>
  </si>
  <si>
    <t>2026-08-02 21:17:28</t>
  </si>
  <si>
    <t>21:20</t>
  </si>
  <si>
    <t>2026-07-07 21:24:59</t>
  </si>
  <si>
    <t>2026-07-21 21:22:50</t>
  </si>
  <si>
    <t>2026-08-02 21:20:42</t>
  </si>
  <si>
    <t>21:25</t>
  </si>
  <si>
    <t>2026-07-07 21:25:09</t>
  </si>
  <si>
    <t>2026-07-21 21:28:58</t>
  </si>
  <si>
    <t>2026-07-05 21:25:22</t>
  </si>
  <si>
    <t>21:30</t>
  </si>
  <si>
    <t>2026-07-07 21:34:56</t>
  </si>
  <si>
    <t>2026-07-05 21:31:49</t>
  </si>
  <si>
    <t>21:35</t>
  </si>
  <si>
    <t>2026-07-03 21:36:54</t>
  </si>
  <si>
    <t>2026-08-02 21:39:32</t>
  </si>
  <si>
    <t>2026-07-05 21:35:47</t>
  </si>
  <si>
    <t>21:40</t>
  </si>
  <si>
    <t>2026-07-03 21:41:24</t>
  </si>
  <si>
    <t>2026-07-03 21:41:35</t>
  </si>
  <si>
    <t>2026-07-25 21:43:36</t>
  </si>
  <si>
    <t>21:45</t>
  </si>
  <si>
    <t>2026-07-03 21:46:56</t>
  </si>
  <si>
    <t>2026-07-03 21:46:55</t>
  </si>
  <si>
    <t>2026-08-02 21:46:18</t>
  </si>
  <si>
    <t>21:50</t>
  </si>
  <si>
    <t>2026-07-03 21:53:36</t>
  </si>
  <si>
    <t>2026-07-07 21:51:36</t>
  </si>
  <si>
    <t>2026-08-02 21:53:16</t>
  </si>
  <si>
    <t>2026-07-25 21:51:28</t>
  </si>
  <si>
    <t>21:55</t>
  </si>
  <si>
    <t>2026-07-03 21:59:43</t>
  </si>
  <si>
    <t>2026-08-02 21:59:14</t>
  </si>
  <si>
    <t>22:00</t>
  </si>
  <si>
    <t>2026-07-03 22:00:48</t>
  </si>
  <si>
    <t>2026-07-05 22:03:44</t>
  </si>
  <si>
    <t>22:05</t>
  </si>
  <si>
    <t>2026-07-03 22:08:19</t>
  </si>
  <si>
    <t>2026-07-03 22:08:48</t>
  </si>
  <si>
    <t>2026-07-04 22:09:01</t>
  </si>
  <si>
    <t>2026-07-25 22:06:04</t>
  </si>
  <si>
    <t>22:10</t>
  </si>
  <si>
    <t>2026-07-03 22:11:35</t>
  </si>
  <si>
    <t>2026-07-05 22:12:34</t>
  </si>
  <si>
    <t>22:15</t>
  </si>
  <si>
    <t>2026-07-03 22:19:53</t>
  </si>
  <si>
    <t>2026-07-04 22:17:38</t>
  </si>
  <si>
    <t>22:20</t>
  </si>
  <si>
    <t>2026-07-03 22:20:23</t>
  </si>
  <si>
    <t>2026-07-04 22:24:52</t>
  </si>
  <si>
    <t>22:25</t>
  </si>
  <si>
    <t>2026-07-03 22:28:59</t>
  </si>
  <si>
    <t>2026-07-04 22:27:00</t>
  </si>
  <si>
    <t>22:30</t>
  </si>
  <si>
    <t>2026-07-03 22:30:02</t>
  </si>
  <si>
    <t>2026-07-04 22:34:07</t>
  </si>
  <si>
    <t>2026-07-04 22:34:15</t>
  </si>
  <si>
    <t>22:35</t>
  </si>
  <si>
    <t>2026-07-03 22:37:53</t>
  </si>
  <si>
    <t>2026-07-04 22:38:50</t>
  </si>
  <si>
    <t>22:40</t>
  </si>
  <si>
    <t>2026-07-03 22:41:11</t>
  </si>
  <si>
    <t>2026-07-04 22:40:20</t>
  </si>
  <si>
    <t>2026-07-04 22:40:02</t>
  </si>
  <si>
    <t>22:45</t>
  </si>
  <si>
    <t>2026-07-03 22:47:47</t>
  </si>
  <si>
    <t>2026-07-04 22:46:54</t>
  </si>
  <si>
    <t>22:50</t>
  </si>
  <si>
    <t>2026-07-03 22:52:05</t>
  </si>
  <si>
    <t>2026-07-07 22:50:02</t>
  </si>
  <si>
    <t>2026-07-04 22:50:46</t>
  </si>
  <si>
    <t>22:55</t>
  </si>
  <si>
    <t>2026-07-03 22:59:17</t>
  </si>
  <si>
    <t>2026-07-04 22:59:55</t>
  </si>
  <si>
    <t>23:00</t>
  </si>
  <si>
    <t>2026-07-03 23:00:48</t>
  </si>
  <si>
    <t>2026-07-08 23:02:28</t>
  </si>
  <si>
    <t>2026-07-04 23:01:31</t>
  </si>
  <si>
    <t>23:05</t>
  </si>
  <si>
    <t>2026-07-03 23:09:41</t>
  </si>
  <si>
    <t>2026-08-04 23:05:36</t>
  </si>
  <si>
    <t>2026-07-04 23:05:14</t>
  </si>
  <si>
    <t>23:10</t>
  </si>
  <si>
    <t>2026-07-03 23:14:55</t>
  </si>
  <si>
    <t>2026-07-04 23:12:01</t>
  </si>
  <si>
    <t>23:15</t>
  </si>
  <si>
    <t>2026-07-03 23:15:12</t>
  </si>
  <si>
    <t>2026-07-21 23:19:09</t>
  </si>
  <si>
    <t>2026-07-04 23:18:49</t>
  </si>
  <si>
    <t>23:20</t>
  </si>
  <si>
    <t>2026-07-06 23:21:15</t>
  </si>
  <si>
    <t>2026-07-04 23:22:55</t>
  </si>
  <si>
    <t>23:25</t>
  </si>
  <si>
    <t>2026-07-03 23:29:40</t>
  </si>
  <si>
    <t>2026-07-03 23:28:19</t>
  </si>
  <si>
    <t>2026-07-05 23:27:48</t>
  </si>
  <si>
    <t>2026-07-05 23:27:49</t>
  </si>
  <si>
    <t>23:30</t>
  </si>
  <si>
    <t>2026-07-03 23:33:55</t>
  </si>
  <si>
    <t>2026-07-05 23:33:03</t>
  </si>
  <si>
    <t>23:35</t>
  </si>
  <si>
    <t>2026-07-03 23:36:29</t>
  </si>
  <si>
    <t>2026-07-03 23:35:57</t>
  </si>
  <si>
    <t>2026-07-05 23:35:12</t>
  </si>
  <si>
    <t>2026-07-04 23:36:40</t>
  </si>
  <si>
    <t>23:40</t>
  </si>
  <si>
    <t>2026-07-03 23:41:50</t>
  </si>
  <si>
    <t>2026-07-03 23:40:05</t>
  </si>
  <si>
    <t>2026-07-04 23:43:30</t>
  </si>
  <si>
    <t>23:45</t>
  </si>
  <si>
    <t>2026-07-07 23:48:46</t>
  </si>
  <si>
    <t>2026-07-04 23:47:50</t>
  </si>
  <si>
    <t>23:50</t>
  </si>
  <si>
    <t>2026-07-07 23:53:35</t>
  </si>
  <si>
    <t>2026-07-04 23:52:39</t>
  </si>
  <si>
    <t>23:55</t>
  </si>
  <si>
    <t>2026-07-07 23:55:25</t>
  </si>
  <si>
    <t>2026-07-07 23:55:19</t>
  </si>
  <si>
    <t>2026-07-04 23:55:54</t>
  </si>
  <si>
    <t>2026-07-04 23:55:30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</si>
</sst>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1"/>
      <color rgb="FF334155"/>
      <name val="Carlito"/>
    </font>
    <font>
      <b/>
      <sz val="11"/>
      <color rgb="FF0F172A"/>
      <name val="Carlito"/>
    </font>
    <font>
      <b/>
      <sz val="11"/>
      <name val="Carlito"/>
    </font>
    <font>
      <i/>
      <sz val="11"/>
      <color rgb="FF64748B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libri"/>
    </font>
    <font>
      <sz val="11"/>
      <name val="Calibri"/>
    </font>
    <font>
      <sz val="11"/>
      <name val="Carlito"/>
    </font>
    <font>
      <b/>
      <i/>
      <sz val="11"/>
      <name val="Carlito"/>
    </font>
    <font>
      <i/>
      <sz val="11"/>
      <name val="Carlito"/>
    </font>
    <font>
      <b/>
      <sz val="11"/>
      <color theme="0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color theme="0"/>
      <name val="Carlito"/>
    </font>
    <font>
      <b/>
      <sz val="11"/>
      <color theme="0"/>
      <name val="Carlito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2728"/>
      </patternFill>
    </fill>
    <fill>
      <patternFill patternType="solid">
        <fgColor rgb="FF1F77B4"/>
      </patternFill>
    </fill>
    <fill>
      <patternFill patternType="solid">
        <fgColor rgb="FFFF7F0E"/>
      </patternFill>
    </fill>
    <fill>
      <patternFill patternType="solid">
        <fgColor rgb="FF9467BD"/>
      </patternFill>
    </fill>
    <fill>
      <patternFill patternType="solid">
        <fgColor rgb="FF8C564B"/>
      </patternFill>
    </fill>
    <fill>
      <patternFill patternType="solid">
        <fgColor theme="3" tint="0.49995422223578601"/>
        <bgColor indexed="65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0" tint="-0.49995422223578601"/>
        <bgColor indexed="65"/>
      </patternFill>
    </fill>
    <fill>
      <patternFill patternType="solid">
        <fgColor rgb="FF034D79"/>
      </patternFill>
    </fill>
    <fill>
      <patternFill patternType="solid">
        <fgColor rgb="FF4295C3"/>
      </patternFill>
    </fill>
    <fill>
      <patternFill patternType="solid">
        <fgColor rgb="FFC0C9E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2CA02C"/>
        <bgColor indexed="64"/>
      </patternFill>
    </fill>
    <fill>
      <patternFill patternType="solid">
        <fgColor rgb="FFD62728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1" fillId="0" borderId="0" xfId="1" applyFont="1" applyAlignment="1">
      <alignment vertical="center"/>
    </xf>
    <xf numFmtId="1" fontId="0" fillId="2" borderId="0" xfId="1" applyNumberFormat="1" applyFont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5" fillId="7" borderId="0" xfId="1" applyFont="1" applyFill="1" applyAlignment="1">
      <alignment horizontal="center" vertical="center"/>
    </xf>
    <xf numFmtId="0" fontId="4" fillId="0" borderId="0" xfId="1" applyFont="1"/>
    <xf numFmtId="0" fontId="0" fillId="0" borderId="0" xfId="1" applyFont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2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1" applyFont="1" applyAlignment="1">
      <alignment horizontal="right" vertical="center"/>
    </xf>
    <xf numFmtId="0" fontId="9" fillId="0" borderId="0" xfId="1" applyFont="1" applyAlignment="1">
      <alignment horizontal="left" vertical="center" wrapText="1"/>
    </xf>
    <xf numFmtId="0" fontId="0" fillId="0" borderId="0" xfId="0" applyAlignment="1">
      <alignment horizontal="right"/>
    </xf>
    <xf numFmtId="0" fontId="10" fillId="0" borderId="0" xfId="1" applyFont="1" applyFill="1" applyAlignment="1">
      <alignment vertical="center"/>
    </xf>
    <xf numFmtId="0" fontId="6" fillId="0" borderId="0" xfId="0" applyFont="1" applyFill="1"/>
    <xf numFmtId="0" fontId="11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1" fontId="15" fillId="0" borderId="0" xfId="1" applyNumberFormat="1" applyFont="1" applyAlignment="1">
      <alignment horizontal="right" vertical="center"/>
    </xf>
    <xf numFmtId="0" fontId="0" fillId="0" borderId="0" xfId="1" applyFont="1" applyFill="1" applyAlignment="1">
      <alignment horizontal="right" vertical="center"/>
    </xf>
    <xf numFmtId="1" fontId="0" fillId="0" borderId="0" xfId="1" applyNumberFormat="1" applyFont="1" applyFill="1" applyAlignment="1">
      <alignment horizontal="center" vertical="center" wrapText="1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vertical="top"/>
    </xf>
    <xf numFmtId="0" fontId="12" fillId="9" borderId="0" xfId="0" applyFont="1" applyFill="1"/>
    <xf numFmtId="0" fontId="12" fillId="9" borderId="0" xfId="1" applyFont="1" applyFill="1" applyAlignment="1">
      <alignment horizontal="right" vertical="center"/>
    </xf>
    <xf numFmtId="1" fontId="12" fillId="9" borderId="0" xfId="1" applyNumberFormat="1" applyFont="1" applyFill="1" applyAlignment="1">
      <alignment horizontal="center" vertical="center" wrapText="1"/>
    </xf>
    <xf numFmtId="0" fontId="12" fillId="9" borderId="0" xfId="1" applyFont="1" applyFill="1" applyAlignment="1">
      <alignment horizontal="left" vertical="center" wrapText="1"/>
    </xf>
    <xf numFmtId="0" fontId="16" fillId="10" borderId="0" xfId="0" applyFont="1" applyFill="1"/>
    <xf numFmtId="0" fontId="16" fillId="10" borderId="0" xfId="1" applyFont="1" applyFill="1" applyAlignment="1">
      <alignment horizontal="right" vertical="center"/>
    </xf>
    <xf numFmtId="1" fontId="16" fillId="10" borderId="0" xfId="1" applyNumberFormat="1" applyFont="1" applyFill="1" applyAlignment="1">
      <alignment horizontal="center" vertical="center" wrapText="1"/>
    </xf>
    <xf numFmtId="0" fontId="16" fillId="10" borderId="0" xfId="1" applyFont="1" applyFill="1" applyAlignment="1">
      <alignment horizontal="left" vertical="center" wrapText="1"/>
    </xf>
    <xf numFmtId="0" fontId="16" fillId="10" borderId="0" xfId="1" applyFont="1" applyFill="1" applyAlignment="1">
      <alignment horizontal="center"/>
    </xf>
    <xf numFmtId="0" fontId="0" fillId="10" borderId="0" xfId="0" applyFill="1"/>
    <xf numFmtId="0" fontId="13" fillId="0" borderId="0" xfId="1" applyFont="1" applyFill="1" applyAlignment="1">
      <alignment vertical="center"/>
    </xf>
    <xf numFmtId="0" fontId="14" fillId="0" borderId="0" xfId="1" applyFont="1" applyFill="1" applyAlignment="1">
      <alignment vertical="center"/>
    </xf>
    <xf numFmtId="49" fontId="14" fillId="0" borderId="0" xfId="1" applyNumberFormat="1" applyFont="1" applyFill="1" applyAlignment="1">
      <alignment horizontal="left" vertical="center"/>
    </xf>
    <xf numFmtId="0" fontId="16" fillId="8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9" fontId="5" fillId="11" borderId="0" xfId="0" applyNumberFormat="1" applyFont="1" applyFill="1" applyBorder="1" applyAlignment="1">
      <alignment horizontal="center"/>
    </xf>
    <xf numFmtId="9" fontId="5" fillId="12" borderId="0" xfId="0" applyNumberFormat="1" applyFont="1" applyFill="1" applyBorder="1" applyAlignment="1">
      <alignment horizontal="center"/>
    </xf>
    <xf numFmtId="9" fontId="5" fillId="13" borderId="0" xfId="0" applyNumberFormat="1" applyFont="1" applyFill="1" applyBorder="1" applyAlignment="1">
      <alignment horizontal="center"/>
    </xf>
    <xf numFmtId="0" fontId="16" fillId="14" borderId="0" xfId="1" applyFont="1" applyFill="1" applyAlignment="1">
      <alignment vertical="center"/>
    </xf>
    <xf numFmtId="0" fontId="16" fillId="14" borderId="0" xfId="1" applyFont="1" applyFill="1" applyAlignment="1">
      <alignment vertical="center" wrapText="1"/>
    </xf>
    <xf numFmtId="1" fontId="16" fillId="14" borderId="0" xfId="1" applyNumberFormat="1" applyFont="1" applyFill="1" applyAlignment="1">
      <alignment horizontal="center" vertical="center" wrapText="1"/>
    </xf>
    <xf numFmtId="0" fontId="16" fillId="14" borderId="0" xfId="1" applyFont="1" applyFill="1" applyAlignment="1">
      <alignment horizontal="left" vertical="center" wrapText="1"/>
    </xf>
    <xf numFmtId="0" fontId="12" fillId="15" borderId="0" xfId="1" applyFont="1" applyFill="1" applyAlignment="1">
      <alignment horizontal="right"/>
    </xf>
    <xf numFmtId="0" fontId="12" fillId="15" borderId="0" xfId="0" applyNumberFormat="1" applyFont="1" applyFill="1" applyBorder="1" applyAlignment="1">
      <alignment horizontal="center"/>
    </xf>
    <xf numFmtId="0" fontId="17" fillId="16" borderId="0" xfId="1" applyFont="1" applyFill="1" applyAlignment="1">
      <alignment horizontal="right"/>
    </xf>
    <xf numFmtId="0" fontId="17" fillId="16" borderId="0" xfId="1" applyFont="1" applyFill="1" applyAlignment="1">
      <alignment horizont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D62728"/>
      <color rgb="FF2CA0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areaChart>
        <c:grouping val="stacked"/>
        <c:varyColors val="0"/>
        <c:ser>
          <c:idx val="0"/>
          <c:order val="0"/>
          <c:tx>
            <c:v>Base</c:v>
          </c:tx>
          <c:spPr>
            <a:solidFill>
              <a:srgbClr val="FFFFFF"/>
            </a:solidFill>
          </c:spP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Данные!$AW$2:$AW$289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0.49333934399999996</c:v>
                </c:pt>
                <c:pt idx="181">
                  <c:v>0.50145144444444456</c:v>
                </c:pt>
                <c:pt idx="182">
                  <c:v>0.50046263444444417</c:v>
                </c:pt>
                <c:pt idx="183">
                  <c:v>0.49853616422222208</c:v>
                </c:pt>
                <c:pt idx="184">
                  <c:v>0.47655899705555566</c:v>
                </c:pt>
                <c:pt idx="185">
                  <c:v>0.47987531649999982</c:v>
                </c:pt>
                <c:pt idx="186">
                  <c:v>0.48138481088888846</c:v>
                </c:pt>
                <c:pt idx="187">
                  <c:v>0.49309117844444428</c:v>
                </c:pt>
                <c:pt idx="188">
                  <c:v>0.47155090266666716</c:v>
                </c:pt>
                <c:pt idx="189">
                  <c:v>0.46724544861111128</c:v>
                </c:pt>
                <c:pt idx="190">
                  <c:v>0.46820595649999996</c:v>
                </c:pt>
                <c:pt idx="191">
                  <c:v>0.46006662644444474</c:v>
                </c:pt>
                <c:pt idx="192">
                  <c:v>0.46407580022222222</c:v>
                </c:pt>
                <c:pt idx="193">
                  <c:v>0.46901807155555525</c:v>
                </c:pt>
                <c:pt idx="194">
                  <c:v>0.46844075911111094</c:v>
                </c:pt>
                <c:pt idx="195">
                  <c:v>0.46309904466666646</c:v>
                </c:pt>
                <c:pt idx="196">
                  <c:v>0.44937041750000029</c:v>
                </c:pt>
                <c:pt idx="197">
                  <c:v>0.43615204344444464</c:v>
                </c:pt>
                <c:pt idx="198">
                  <c:v>0.43699769111111103</c:v>
                </c:pt>
                <c:pt idx="199">
                  <c:v>0.46376426561111084</c:v>
                </c:pt>
                <c:pt idx="200">
                  <c:v>0.44916434349999995</c:v>
                </c:pt>
                <c:pt idx="201">
                  <c:v>0.46899186850000024</c:v>
                </c:pt>
                <c:pt idx="202">
                  <c:v>0.46108652127777805</c:v>
                </c:pt>
                <c:pt idx="203">
                  <c:v>0.44548936927777716</c:v>
                </c:pt>
                <c:pt idx="204">
                  <c:v>0.46694396261111132</c:v>
                </c:pt>
                <c:pt idx="205">
                  <c:v>0.49403460272222222</c:v>
                </c:pt>
                <c:pt idx="206">
                  <c:v>0.48213374894444433</c:v>
                </c:pt>
                <c:pt idx="207">
                  <c:v>0.46736788072222196</c:v>
                </c:pt>
                <c:pt idx="208">
                  <c:v>0.36621752133333363</c:v>
                </c:pt>
                <c:pt idx="209">
                  <c:v>0</c:v>
                </c:pt>
                <c:pt idx="210">
                  <c:v>0</c:v>
                </c:pt>
                <c:pt idx="211">
                  <c:v>7.0351725333333281E-2</c:v>
                </c:pt>
                <c:pt idx="212">
                  <c:v>0.10630170022222228</c:v>
                </c:pt>
                <c:pt idx="213">
                  <c:v>0.11782899311111122</c:v>
                </c:pt>
                <c:pt idx="214">
                  <c:v>0.15298295200000001</c:v>
                </c:pt>
                <c:pt idx="215">
                  <c:v>0.12224431455555562</c:v>
                </c:pt>
                <c:pt idx="216">
                  <c:v>0.13223247922222253</c:v>
                </c:pt>
                <c:pt idx="217">
                  <c:v>0.1299805268333333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2-49D1-81E5-FD5FAE0213EE}"/>
            </c:ext>
          </c:extLst>
        </c:ser>
        <c:ser>
          <c:idx val="1"/>
          <c:order val="1"/>
          <c:tx>
            <c:v>Band99_L</c:v>
          </c:tx>
          <c:spPr>
            <a:solidFill>
              <a:srgbClr val="E8E8E8"/>
            </a:solidFill>
          </c:spP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Данные!$AX$2:$AX$289</c:f>
              <c:numCache>
                <c:formatCode>General</c:formatCode>
                <c:ptCount val="288"/>
                <c:pt idx="0">
                  <c:v>0.43086175500000018</c:v>
                </c:pt>
                <c:pt idx="1">
                  <c:v>0.44220192666666691</c:v>
                </c:pt>
                <c:pt idx="2">
                  <c:v>0.45064356222222218</c:v>
                </c:pt>
                <c:pt idx="3">
                  <c:v>0.44659919055555597</c:v>
                </c:pt>
                <c:pt idx="4">
                  <c:v>0.45928674444444462</c:v>
                </c:pt>
                <c:pt idx="5">
                  <c:v>0.45896727388888908</c:v>
                </c:pt>
                <c:pt idx="6">
                  <c:v>0.48937258999999994</c:v>
                </c:pt>
                <c:pt idx="7">
                  <c:v>0.49354927500000001</c:v>
                </c:pt>
                <c:pt idx="8">
                  <c:v>0.52019072999999993</c:v>
                </c:pt>
                <c:pt idx="9">
                  <c:v>0.49519599388888857</c:v>
                </c:pt>
                <c:pt idx="10">
                  <c:v>0.49373567888888859</c:v>
                </c:pt>
                <c:pt idx="11">
                  <c:v>0.49167978666666656</c:v>
                </c:pt>
                <c:pt idx="12">
                  <c:v>0.49175527944444486</c:v>
                </c:pt>
                <c:pt idx="13">
                  <c:v>0.49079002944444439</c:v>
                </c:pt>
                <c:pt idx="14">
                  <c:v>0.49498814333333335</c:v>
                </c:pt>
                <c:pt idx="15">
                  <c:v>0.48634400444444448</c:v>
                </c:pt>
                <c:pt idx="16">
                  <c:v>0.4793138344444442</c:v>
                </c:pt>
                <c:pt idx="17">
                  <c:v>0.47659768500000005</c:v>
                </c:pt>
                <c:pt idx="18">
                  <c:v>0.46644303944444465</c:v>
                </c:pt>
                <c:pt idx="19">
                  <c:v>0.46444583555555558</c:v>
                </c:pt>
                <c:pt idx="20">
                  <c:v>0.46383482166666695</c:v>
                </c:pt>
                <c:pt idx="21">
                  <c:v>0.46035328999999969</c:v>
                </c:pt>
                <c:pt idx="22">
                  <c:v>0.46993128444444421</c:v>
                </c:pt>
                <c:pt idx="23">
                  <c:v>0.46557914500000003</c:v>
                </c:pt>
                <c:pt idx="24">
                  <c:v>0.44726088333333336</c:v>
                </c:pt>
                <c:pt idx="25">
                  <c:v>0.45757954000000001</c:v>
                </c:pt>
                <c:pt idx="26">
                  <c:v>0.47482310666666644</c:v>
                </c:pt>
                <c:pt idx="27">
                  <c:v>0.46031149277777755</c:v>
                </c:pt>
                <c:pt idx="28">
                  <c:v>0.45306145277777765</c:v>
                </c:pt>
                <c:pt idx="29">
                  <c:v>0.4514745166666671</c:v>
                </c:pt>
                <c:pt idx="30">
                  <c:v>0.44687645833333317</c:v>
                </c:pt>
                <c:pt idx="31">
                  <c:v>0.45411620111111067</c:v>
                </c:pt>
                <c:pt idx="32">
                  <c:v>0.44922846000000027</c:v>
                </c:pt>
                <c:pt idx="33">
                  <c:v>0.46030396166666648</c:v>
                </c:pt>
                <c:pt idx="34">
                  <c:v>0.4715573761111112</c:v>
                </c:pt>
                <c:pt idx="35">
                  <c:v>0.47778710500000032</c:v>
                </c:pt>
                <c:pt idx="36">
                  <c:v>0.49147086111111093</c:v>
                </c:pt>
                <c:pt idx="37">
                  <c:v>0.49900183611111121</c:v>
                </c:pt>
                <c:pt idx="38">
                  <c:v>0.48137132833333329</c:v>
                </c:pt>
                <c:pt idx="39">
                  <c:v>0.47364349000000006</c:v>
                </c:pt>
                <c:pt idx="40">
                  <c:v>0.48008269166666651</c:v>
                </c:pt>
                <c:pt idx="41">
                  <c:v>0.47052514888888891</c:v>
                </c:pt>
                <c:pt idx="42">
                  <c:v>0.49460841944444472</c:v>
                </c:pt>
                <c:pt idx="43">
                  <c:v>0.48903309944444451</c:v>
                </c:pt>
                <c:pt idx="44">
                  <c:v>0.50314190611111098</c:v>
                </c:pt>
                <c:pt idx="45">
                  <c:v>0.49346097166666703</c:v>
                </c:pt>
                <c:pt idx="46">
                  <c:v>0.50299021666666699</c:v>
                </c:pt>
                <c:pt idx="47">
                  <c:v>0.48395696388888881</c:v>
                </c:pt>
                <c:pt idx="48">
                  <c:v>0.45867850388888926</c:v>
                </c:pt>
                <c:pt idx="49">
                  <c:v>0.44868292388888886</c:v>
                </c:pt>
                <c:pt idx="50">
                  <c:v>0.44978182499999975</c:v>
                </c:pt>
                <c:pt idx="51">
                  <c:v>0.44554712555555548</c:v>
                </c:pt>
                <c:pt idx="52">
                  <c:v>0.44000718888888879</c:v>
                </c:pt>
                <c:pt idx="53">
                  <c:v>0.45341725999999988</c:v>
                </c:pt>
                <c:pt idx="54">
                  <c:v>0.46969977499999976</c:v>
                </c:pt>
                <c:pt idx="55">
                  <c:v>0.47741973888888878</c:v>
                </c:pt>
                <c:pt idx="56">
                  <c:v>0.46972529333333324</c:v>
                </c:pt>
                <c:pt idx="57">
                  <c:v>0.48416389722222203</c:v>
                </c:pt>
                <c:pt idx="58">
                  <c:v>0.48295774666666663</c:v>
                </c:pt>
                <c:pt idx="59">
                  <c:v>0.48195172500000022</c:v>
                </c:pt>
                <c:pt idx="60">
                  <c:v>0.46717127388888913</c:v>
                </c:pt>
                <c:pt idx="61">
                  <c:v>0.45840342277777774</c:v>
                </c:pt>
                <c:pt idx="62">
                  <c:v>0.48225228555555533</c:v>
                </c:pt>
                <c:pt idx="63">
                  <c:v>0.47409594388888887</c:v>
                </c:pt>
                <c:pt idx="64">
                  <c:v>0.47068555166666648</c:v>
                </c:pt>
                <c:pt idx="65">
                  <c:v>0.46688798444444457</c:v>
                </c:pt>
                <c:pt idx="66">
                  <c:v>0.46284781722222185</c:v>
                </c:pt>
                <c:pt idx="67">
                  <c:v>0.47058321944444437</c:v>
                </c:pt>
                <c:pt idx="68">
                  <c:v>0.47831543444444502</c:v>
                </c:pt>
                <c:pt idx="69">
                  <c:v>0.47735642055555549</c:v>
                </c:pt>
                <c:pt idx="70">
                  <c:v>0.47989576888888857</c:v>
                </c:pt>
                <c:pt idx="71">
                  <c:v>0.44351516055555534</c:v>
                </c:pt>
                <c:pt idx="72">
                  <c:v>0.41833050111111092</c:v>
                </c:pt>
                <c:pt idx="73">
                  <c:v>0.40353140777777785</c:v>
                </c:pt>
                <c:pt idx="74">
                  <c:v>0.39329932888888863</c:v>
                </c:pt>
                <c:pt idx="75">
                  <c:v>0.37643797166666687</c:v>
                </c:pt>
                <c:pt idx="76">
                  <c:v>0.38131605222222181</c:v>
                </c:pt>
                <c:pt idx="77">
                  <c:v>0.39137844611111083</c:v>
                </c:pt>
                <c:pt idx="78">
                  <c:v>0.41041792000000016</c:v>
                </c:pt>
                <c:pt idx="79">
                  <c:v>0.40607555999999995</c:v>
                </c:pt>
                <c:pt idx="80">
                  <c:v>0.44744616388888941</c:v>
                </c:pt>
                <c:pt idx="81">
                  <c:v>0.45061170055555549</c:v>
                </c:pt>
                <c:pt idx="82">
                  <c:v>0.450442356111111</c:v>
                </c:pt>
                <c:pt idx="83">
                  <c:v>0.44412317388888856</c:v>
                </c:pt>
                <c:pt idx="84">
                  <c:v>0.43431847277777769</c:v>
                </c:pt>
                <c:pt idx="85">
                  <c:v>0.44049761666666687</c:v>
                </c:pt>
                <c:pt idx="86">
                  <c:v>0.44696054611111108</c:v>
                </c:pt>
                <c:pt idx="87">
                  <c:v>0.44993828388888901</c:v>
                </c:pt>
                <c:pt idx="88">
                  <c:v>0.44362422722222256</c:v>
                </c:pt>
                <c:pt idx="89">
                  <c:v>0.43832983111111118</c:v>
                </c:pt>
                <c:pt idx="90">
                  <c:v>0.42862843444444421</c:v>
                </c:pt>
                <c:pt idx="91">
                  <c:v>0.40434107888888898</c:v>
                </c:pt>
                <c:pt idx="92">
                  <c:v>0.37587547111111114</c:v>
                </c:pt>
                <c:pt idx="93">
                  <c:v>0.35427899055555556</c:v>
                </c:pt>
                <c:pt idx="94">
                  <c:v>0.35370934444444446</c:v>
                </c:pt>
                <c:pt idx="95">
                  <c:v>0.34929355500000048</c:v>
                </c:pt>
                <c:pt idx="96">
                  <c:v>0.35472397555555535</c:v>
                </c:pt>
                <c:pt idx="97">
                  <c:v>0.36057324555555564</c:v>
                </c:pt>
                <c:pt idx="98">
                  <c:v>0.35605579444444418</c:v>
                </c:pt>
                <c:pt idx="99">
                  <c:v>0.36489899166666689</c:v>
                </c:pt>
                <c:pt idx="100">
                  <c:v>0.3668818905555557</c:v>
                </c:pt>
                <c:pt idx="101">
                  <c:v>0.37239168222222241</c:v>
                </c:pt>
                <c:pt idx="102">
                  <c:v>0.37156489333333348</c:v>
                </c:pt>
                <c:pt idx="103">
                  <c:v>0.37209460444444448</c:v>
                </c:pt>
                <c:pt idx="104">
                  <c:v>0.37106658833333345</c:v>
                </c:pt>
                <c:pt idx="105">
                  <c:v>0.379283893888889</c:v>
                </c:pt>
                <c:pt idx="106">
                  <c:v>0.36178949833333324</c:v>
                </c:pt>
                <c:pt idx="107">
                  <c:v>0.35975886777777788</c:v>
                </c:pt>
                <c:pt idx="108">
                  <c:v>0.26419493944444455</c:v>
                </c:pt>
                <c:pt idx="109">
                  <c:v>0.16006571111111104</c:v>
                </c:pt>
                <c:pt idx="110">
                  <c:v>0.15882675166666679</c:v>
                </c:pt>
                <c:pt idx="111">
                  <c:v>0.14799220555555531</c:v>
                </c:pt>
                <c:pt idx="112">
                  <c:v>0.14984920944444458</c:v>
                </c:pt>
                <c:pt idx="113">
                  <c:v>0.17391011111111129</c:v>
                </c:pt>
                <c:pt idx="114">
                  <c:v>0.18890367444444442</c:v>
                </c:pt>
                <c:pt idx="115">
                  <c:v>0.1931095044444443</c:v>
                </c:pt>
                <c:pt idx="116">
                  <c:v>0.20544155833333358</c:v>
                </c:pt>
                <c:pt idx="117">
                  <c:v>0.2406801522222225</c:v>
                </c:pt>
                <c:pt idx="118">
                  <c:v>0.28253882111111123</c:v>
                </c:pt>
                <c:pt idx="119">
                  <c:v>0.2656017361111111</c:v>
                </c:pt>
                <c:pt idx="120">
                  <c:v>0.26976787722222223</c:v>
                </c:pt>
                <c:pt idx="121">
                  <c:v>0.31466147166666664</c:v>
                </c:pt>
                <c:pt idx="122">
                  <c:v>0.43006687000000027</c:v>
                </c:pt>
                <c:pt idx="123">
                  <c:v>0.43148927000000004</c:v>
                </c:pt>
                <c:pt idx="124">
                  <c:v>0.44510901277777731</c:v>
                </c:pt>
                <c:pt idx="125">
                  <c:v>0.45517573611111101</c:v>
                </c:pt>
                <c:pt idx="126">
                  <c:v>0.44958226555555547</c:v>
                </c:pt>
                <c:pt idx="127">
                  <c:v>0.47852307999999993</c:v>
                </c:pt>
                <c:pt idx="128">
                  <c:v>0.49164748166666628</c:v>
                </c:pt>
                <c:pt idx="129">
                  <c:v>0.49309111888888918</c:v>
                </c:pt>
                <c:pt idx="130">
                  <c:v>0.48824034888888856</c:v>
                </c:pt>
                <c:pt idx="131">
                  <c:v>0.49086788833333322</c:v>
                </c:pt>
                <c:pt idx="132">
                  <c:v>0.48696186499999961</c:v>
                </c:pt>
                <c:pt idx="133">
                  <c:v>0.47452331500000006</c:v>
                </c:pt>
                <c:pt idx="134">
                  <c:v>0.49190130833333329</c:v>
                </c:pt>
                <c:pt idx="135">
                  <c:v>0.48497743722222214</c:v>
                </c:pt>
                <c:pt idx="136">
                  <c:v>0.48457236277777793</c:v>
                </c:pt>
                <c:pt idx="137">
                  <c:v>0.49274744388888908</c:v>
                </c:pt>
                <c:pt idx="138">
                  <c:v>0.47219304166666642</c:v>
                </c:pt>
                <c:pt idx="139">
                  <c:v>0.49235916666666679</c:v>
                </c:pt>
                <c:pt idx="140">
                  <c:v>0.49100056111111157</c:v>
                </c:pt>
                <c:pt idx="141">
                  <c:v>0.48741691833333367</c:v>
                </c:pt>
                <c:pt idx="142">
                  <c:v>0.49642385055555588</c:v>
                </c:pt>
                <c:pt idx="143">
                  <c:v>0.46577578000000025</c:v>
                </c:pt>
                <c:pt idx="144">
                  <c:v>0.46947889777777768</c:v>
                </c:pt>
                <c:pt idx="145">
                  <c:v>0.49345300277777765</c:v>
                </c:pt>
                <c:pt idx="146">
                  <c:v>0.48868383666666676</c:v>
                </c:pt>
                <c:pt idx="147">
                  <c:v>0.49229341388888892</c:v>
                </c:pt>
                <c:pt idx="148">
                  <c:v>0.49371850833333336</c:v>
                </c:pt>
                <c:pt idx="149">
                  <c:v>0.49179988944444447</c:v>
                </c:pt>
                <c:pt idx="150">
                  <c:v>0.49438659666666657</c:v>
                </c:pt>
                <c:pt idx="151">
                  <c:v>0.48747428388888875</c:v>
                </c:pt>
                <c:pt idx="152">
                  <c:v>0.52112965888888907</c:v>
                </c:pt>
                <c:pt idx="153">
                  <c:v>0.53271484444444439</c:v>
                </c:pt>
                <c:pt idx="154">
                  <c:v>0.52361130666666666</c:v>
                </c:pt>
                <c:pt idx="155">
                  <c:v>0.51371566111111078</c:v>
                </c:pt>
                <c:pt idx="156">
                  <c:v>0.50025403666666657</c:v>
                </c:pt>
                <c:pt idx="157">
                  <c:v>0.50885050888888939</c:v>
                </c:pt>
                <c:pt idx="158">
                  <c:v>0.50118585611111122</c:v>
                </c:pt>
                <c:pt idx="159">
                  <c:v>0.51452365666666655</c:v>
                </c:pt>
                <c:pt idx="160">
                  <c:v>0.50975162611111102</c:v>
                </c:pt>
                <c:pt idx="161">
                  <c:v>0.50756181277777801</c:v>
                </c:pt>
                <c:pt idx="162">
                  <c:v>0.50640566499999995</c:v>
                </c:pt>
                <c:pt idx="163">
                  <c:v>0.52524293</c:v>
                </c:pt>
                <c:pt idx="164">
                  <c:v>0.51520181055555536</c:v>
                </c:pt>
                <c:pt idx="165">
                  <c:v>0.5111931711111114</c:v>
                </c:pt>
                <c:pt idx="166">
                  <c:v>0.50575286999999991</c:v>
                </c:pt>
                <c:pt idx="167">
                  <c:v>0.49371816833333348</c:v>
                </c:pt>
                <c:pt idx="168">
                  <c:v>0.47727063833333339</c:v>
                </c:pt>
                <c:pt idx="169">
                  <c:v>0.50038945888888919</c:v>
                </c:pt>
                <c:pt idx="170">
                  <c:v>0.50723417444444419</c:v>
                </c:pt>
                <c:pt idx="171">
                  <c:v>0.51441444722222207</c:v>
                </c:pt>
                <c:pt idx="172">
                  <c:v>0.504828591111111</c:v>
                </c:pt>
                <c:pt idx="173">
                  <c:v>0.51192445388888885</c:v>
                </c:pt>
                <c:pt idx="174">
                  <c:v>0.5109840722222222</c:v>
                </c:pt>
                <c:pt idx="175">
                  <c:v>0.50973845611111124</c:v>
                </c:pt>
                <c:pt idx="176">
                  <c:v>0.50725981055555558</c:v>
                </c:pt>
                <c:pt idx="177">
                  <c:v>0.49980205777777764</c:v>
                </c:pt>
                <c:pt idx="178">
                  <c:v>0.50243424222222255</c:v>
                </c:pt>
                <c:pt idx="179">
                  <c:v>0.50523642333333341</c:v>
                </c:pt>
                <c:pt idx="180">
                  <c:v>2.3741304888889092E-2</c:v>
                </c:pt>
                <c:pt idx="181">
                  <c:v>8.5930244444446524E-3</c:v>
                </c:pt>
                <c:pt idx="182">
                  <c:v>7.3575344444446467E-3</c:v>
                </c:pt>
                <c:pt idx="183">
                  <c:v>2.1997962444444685E-2</c:v>
                </c:pt>
                <c:pt idx="184">
                  <c:v>2.3867623499999657E-2</c:v>
                </c:pt>
                <c:pt idx="185">
                  <c:v>1.274608850000003E-2</c:v>
                </c:pt>
                <c:pt idx="186">
                  <c:v>1.3498343000000801E-2</c:v>
                </c:pt>
                <c:pt idx="187">
                  <c:v>1.1323951000000276E-2</c:v>
                </c:pt>
                <c:pt idx="188">
                  <c:v>5.7090548999999491E-2</c:v>
                </c:pt>
                <c:pt idx="189">
                  <c:v>5.1488767499999755E-2</c:v>
                </c:pt>
                <c:pt idx="190">
                  <c:v>4.4939848500000101E-2</c:v>
                </c:pt>
                <c:pt idx="191">
                  <c:v>4.456624799999942E-2</c:v>
                </c:pt>
                <c:pt idx="192">
                  <c:v>3.4249072000000214E-2</c:v>
                </c:pt>
                <c:pt idx="193">
                  <c:v>1.8112729000000105E-2</c:v>
                </c:pt>
                <c:pt idx="194">
                  <c:v>3.3398611999999939E-2</c:v>
                </c:pt>
                <c:pt idx="195">
                  <c:v>4.79696220000006E-2</c:v>
                </c:pt>
                <c:pt idx="196">
                  <c:v>3.8075447499999693E-2</c:v>
                </c:pt>
                <c:pt idx="197">
                  <c:v>4.2323026000000041E-2</c:v>
                </c:pt>
                <c:pt idx="198">
                  <c:v>3.1457990000000158E-2</c:v>
                </c:pt>
                <c:pt idx="199">
                  <c:v>2.1566365500000406E-2</c:v>
                </c:pt>
                <c:pt idx="200">
                  <c:v>2.3325216500000023E-2</c:v>
                </c:pt>
                <c:pt idx="201">
                  <c:v>1.078119650000009E-2</c:v>
                </c:pt>
                <c:pt idx="202">
                  <c:v>2.0993926499999371E-2</c:v>
                </c:pt>
                <c:pt idx="203">
                  <c:v>4.5047458500000803E-2</c:v>
                </c:pt>
                <c:pt idx="204">
                  <c:v>3.3558893499999909E-2</c:v>
                </c:pt>
                <c:pt idx="205">
                  <c:v>6.7155494999999732E-3</c:v>
                </c:pt>
                <c:pt idx="206">
                  <c:v>1.1067030500000352E-2</c:v>
                </c:pt>
                <c:pt idx="207">
                  <c:v>1.45992714999999E-2</c:v>
                </c:pt>
                <c:pt idx="208">
                  <c:v>9.4627642000000067E-2</c:v>
                </c:pt>
                <c:pt idx="209">
                  <c:v>0.46331908055555537</c:v>
                </c:pt>
                <c:pt idx="210">
                  <c:v>0.46462442277777732</c:v>
                </c:pt>
                <c:pt idx="211">
                  <c:v>0.38351506800000029</c:v>
                </c:pt>
                <c:pt idx="212">
                  <c:v>0.36291523199999998</c:v>
                </c:pt>
                <c:pt idx="213">
                  <c:v>0.33966629800000009</c:v>
                </c:pt>
                <c:pt idx="214">
                  <c:v>0.29970540799999978</c:v>
                </c:pt>
                <c:pt idx="215">
                  <c:v>0.31880373600000017</c:v>
                </c:pt>
                <c:pt idx="216">
                  <c:v>0.29580070299999961</c:v>
                </c:pt>
                <c:pt idx="217">
                  <c:v>0.30753719649999978</c:v>
                </c:pt>
                <c:pt idx="218">
                  <c:v>0.43833758222222213</c:v>
                </c:pt>
                <c:pt idx="219">
                  <c:v>0.42130774722222242</c:v>
                </c:pt>
                <c:pt idx="220">
                  <c:v>0.42633658499999999</c:v>
                </c:pt>
                <c:pt idx="221">
                  <c:v>0.43165427777777798</c:v>
                </c:pt>
                <c:pt idx="222">
                  <c:v>0.42500453555555545</c:v>
                </c:pt>
                <c:pt idx="223">
                  <c:v>0.42058664888888869</c:v>
                </c:pt>
                <c:pt idx="224">
                  <c:v>0.44447860333333333</c:v>
                </c:pt>
                <c:pt idx="225">
                  <c:v>0.44137899888888904</c:v>
                </c:pt>
                <c:pt idx="226">
                  <c:v>0.44160250777777793</c:v>
                </c:pt>
                <c:pt idx="227">
                  <c:v>0.44319550111111067</c:v>
                </c:pt>
                <c:pt idx="228">
                  <c:v>0.43237190944444442</c:v>
                </c:pt>
                <c:pt idx="229">
                  <c:v>0.43741151277777801</c:v>
                </c:pt>
                <c:pt idx="230">
                  <c:v>0.43450690111111118</c:v>
                </c:pt>
                <c:pt idx="231">
                  <c:v>0.43352778722222229</c:v>
                </c:pt>
                <c:pt idx="232">
                  <c:v>0.42123365499999998</c:v>
                </c:pt>
                <c:pt idx="233">
                  <c:v>0.43165509833333304</c:v>
                </c:pt>
                <c:pt idx="234">
                  <c:v>0.4307844244444447</c:v>
                </c:pt>
                <c:pt idx="235">
                  <c:v>0.43316813333333359</c:v>
                </c:pt>
                <c:pt idx="236">
                  <c:v>0.43061545499999981</c:v>
                </c:pt>
                <c:pt idx="237">
                  <c:v>0.43462171055555521</c:v>
                </c:pt>
                <c:pt idx="238">
                  <c:v>0.43431284055555563</c:v>
                </c:pt>
                <c:pt idx="239">
                  <c:v>0.43125631166666667</c:v>
                </c:pt>
                <c:pt idx="240">
                  <c:v>0.42409193444444404</c:v>
                </c:pt>
                <c:pt idx="241">
                  <c:v>0.42752226611111138</c:v>
                </c:pt>
                <c:pt idx="242">
                  <c:v>0.41944974500000021</c:v>
                </c:pt>
                <c:pt idx="243">
                  <c:v>0.41341488944444427</c:v>
                </c:pt>
                <c:pt idx="244">
                  <c:v>0.44354493277777784</c:v>
                </c:pt>
                <c:pt idx="245">
                  <c:v>0.43554543555555514</c:v>
                </c:pt>
                <c:pt idx="246">
                  <c:v>0.4431224972222223</c:v>
                </c:pt>
                <c:pt idx="247">
                  <c:v>0.43604274722222208</c:v>
                </c:pt>
                <c:pt idx="248">
                  <c:v>0.43455926222222235</c:v>
                </c:pt>
                <c:pt idx="249">
                  <c:v>0.44325325777777774</c:v>
                </c:pt>
                <c:pt idx="250">
                  <c:v>0.44802893444444486</c:v>
                </c:pt>
                <c:pt idx="251">
                  <c:v>0.43873973500000013</c:v>
                </c:pt>
                <c:pt idx="252">
                  <c:v>0.40560860777777757</c:v>
                </c:pt>
                <c:pt idx="253">
                  <c:v>0.41534673777777786</c:v>
                </c:pt>
                <c:pt idx="254">
                  <c:v>0.42128188611111123</c:v>
                </c:pt>
                <c:pt idx="255">
                  <c:v>0.44270549111111118</c:v>
                </c:pt>
                <c:pt idx="256">
                  <c:v>0.44579039277777821</c:v>
                </c:pt>
                <c:pt idx="257">
                  <c:v>0.46462488999999974</c:v>
                </c:pt>
                <c:pt idx="258">
                  <c:v>0.47270554277777771</c:v>
                </c:pt>
                <c:pt idx="259">
                  <c:v>0.48679901777777773</c:v>
                </c:pt>
                <c:pt idx="260">
                  <c:v>0.48423969500000019</c:v>
                </c:pt>
                <c:pt idx="261">
                  <c:v>0.48726557444444429</c:v>
                </c:pt>
                <c:pt idx="262">
                  <c:v>0.48668193277777783</c:v>
                </c:pt>
                <c:pt idx="263">
                  <c:v>0.46308865499999985</c:v>
                </c:pt>
                <c:pt idx="264">
                  <c:v>0.47333114111111113</c:v>
                </c:pt>
                <c:pt idx="265">
                  <c:v>0.4685091466666666</c:v>
                </c:pt>
                <c:pt idx="266">
                  <c:v>0.48534043000000021</c:v>
                </c:pt>
                <c:pt idx="267">
                  <c:v>0.48406100055555573</c:v>
                </c:pt>
                <c:pt idx="268">
                  <c:v>0.50337947666666694</c:v>
                </c:pt>
                <c:pt idx="269">
                  <c:v>0.50426971999999992</c:v>
                </c:pt>
                <c:pt idx="270">
                  <c:v>0.49734377722222206</c:v>
                </c:pt>
                <c:pt idx="271">
                  <c:v>0.49279567055555556</c:v>
                </c:pt>
                <c:pt idx="272">
                  <c:v>0.49963406388888904</c:v>
                </c:pt>
                <c:pt idx="273">
                  <c:v>0.50522615555555572</c:v>
                </c:pt>
                <c:pt idx="274">
                  <c:v>0.50085727611111119</c:v>
                </c:pt>
                <c:pt idx="275">
                  <c:v>0.49157960555555535</c:v>
                </c:pt>
                <c:pt idx="276">
                  <c:v>0.50033465388888909</c:v>
                </c:pt>
                <c:pt idx="277">
                  <c:v>0.52769241555555557</c:v>
                </c:pt>
                <c:pt idx="278">
                  <c:v>0.51746272944444471</c:v>
                </c:pt>
                <c:pt idx="279">
                  <c:v>0.50678575777777768</c:v>
                </c:pt>
                <c:pt idx="280">
                  <c:v>0.49194886222222217</c:v>
                </c:pt>
                <c:pt idx="281">
                  <c:v>0.47986785999999998</c:v>
                </c:pt>
                <c:pt idx="282">
                  <c:v>0.20861497833333367</c:v>
                </c:pt>
                <c:pt idx="283">
                  <c:v>0.48721832388888892</c:v>
                </c:pt>
                <c:pt idx="284">
                  <c:v>0.4833544766666667</c:v>
                </c:pt>
                <c:pt idx="285">
                  <c:v>0.47714100499999978</c:v>
                </c:pt>
                <c:pt idx="286">
                  <c:v>0.45687507499999991</c:v>
                </c:pt>
                <c:pt idx="287">
                  <c:v>0.44937499222222232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32-49D1-81E5-FD5FAE0213EE}"/>
            </c:ext>
          </c:extLst>
        </c:ser>
        <c:ser>
          <c:idx val="2"/>
          <c:order val="2"/>
          <c:tx>
            <c:v>Band90_L</c:v>
          </c:tx>
          <c:spPr>
            <a:solidFill>
              <a:srgbClr val="C8C8C8"/>
            </a:solidFill>
          </c:spP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Данные!$AY$2:$AY$289</c:f>
              <c:numCache>
                <c:formatCode>General</c:formatCode>
                <c:ptCount val="288"/>
                <c:pt idx="0">
                  <c:v>0.10951052555555513</c:v>
                </c:pt>
                <c:pt idx="1">
                  <c:v>0.12027331499999983</c:v>
                </c:pt>
                <c:pt idx="2">
                  <c:v>0.10942904888888921</c:v>
                </c:pt>
                <c:pt idx="3">
                  <c:v>0.11433080944444374</c:v>
                </c:pt>
                <c:pt idx="4">
                  <c:v>0.10029902499999988</c:v>
                </c:pt>
                <c:pt idx="5">
                  <c:v>7.8072595555555402E-2</c:v>
                </c:pt>
                <c:pt idx="6">
                  <c:v>5.1812304444444679E-2</c:v>
                </c:pt>
                <c:pt idx="7">
                  <c:v>6.3448363888888748E-2</c:v>
                </c:pt>
                <c:pt idx="8">
                  <c:v>9.0390833888888689E-2</c:v>
                </c:pt>
                <c:pt idx="9">
                  <c:v>0.1066010533333337</c:v>
                </c:pt>
                <c:pt idx="10">
                  <c:v>9.8170762777778142E-2</c:v>
                </c:pt>
                <c:pt idx="11">
                  <c:v>0.10542699944444456</c:v>
                </c:pt>
                <c:pt idx="12">
                  <c:v>0.10606532888888831</c:v>
                </c:pt>
                <c:pt idx="13">
                  <c:v>0.10259067888888873</c:v>
                </c:pt>
                <c:pt idx="14">
                  <c:v>9.2163087222222162E-2</c:v>
                </c:pt>
                <c:pt idx="15">
                  <c:v>0.10950390944444433</c:v>
                </c:pt>
                <c:pt idx="16">
                  <c:v>0.10851304333333367</c:v>
                </c:pt>
                <c:pt idx="17">
                  <c:v>0.13521973444444452</c:v>
                </c:pt>
                <c:pt idx="18">
                  <c:v>0.12413201611111069</c:v>
                </c:pt>
                <c:pt idx="19">
                  <c:v>0.11713059499999995</c:v>
                </c:pt>
                <c:pt idx="20">
                  <c:v>0.11921897277777777</c:v>
                </c:pt>
                <c:pt idx="21">
                  <c:v>0.11876691277777784</c:v>
                </c:pt>
                <c:pt idx="22">
                  <c:v>0.11019765444444418</c:v>
                </c:pt>
                <c:pt idx="23">
                  <c:v>0.10895638555555548</c:v>
                </c:pt>
                <c:pt idx="24">
                  <c:v>0.11992250000000026</c:v>
                </c:pt>
                <c:pt idx="25">
                  <c:v>0.11016936000000055</c:v>
                </c:pt>
                <c:pt idx="26">
                  <c:v>0.10234564055555589</c:v>
                </c:pt>
                <c:pt idx="27">
                  <c:v>0.11771540444444478</c:v>
                </c:pt>
                <c:pt idx="28">
                  <c:v>0.11564184166666691</c:v>
                </c:pt>
                <c:pt idx="29">
                  <c:v>0.1289621805555547</c:v>
                </c:pt>
                <c:pt idx="30">
                  <c:v>0.12528141388888886</c:v>
                </c:pt>
                <c:pt idx="31">
                  <c:v>0.11386168777777822</c:v>
                </c:pt>
                <c:pt idx="32">
                  <c:v>0.11000949833333318</c:v>
                </c:pt>
                <c:pt idx="33">
                  <c:v>0.10807942166666701</c:v>
                </c:pt>
                <c:pt idx="34">
                  <c:v>9.7998471111111318E-2</c:v>
                </c:pt>
                <c:pt idx="35">
                  <c:v>9.231623111111098E-2</c:v>
                </c:pt>
                <c:pt idx="36">
                  <c:v>7.3822847222222321E-2</c:v>
                </c:pt>
                <c:pt idx="37">
                  <c:v>6.9709480555555536E-2</c:v>
                </c:pt>
                <c:pt idx="38">
                  <c:v>7.706696611111119E-2</c:v>
                </c:pt>
                <c:pt idx="39">
                  <c:v>8.6613726666666557E-2</c:v>
                </c:pt>
                <c:pt idx="40">
                  <c:v>5.191505277777797E-2</c:v>
                </c:pt>
                <c:pt idx="41">
                  <c:v>5.8140012222222481E-2</c:v>
                </c:pt>
                <c:pt idx="42">
                  <c:v>4.5622058333333382E-2</c:v>
                </c:pt>
                <c:pt idx="43">
                  <c:v>5.0322275555555573E-2</c:v>
                </c:pt>
                <c:pt idx="44">
                  <c:v>3.7605846666666998E-2</c:v>
                </c:pt>
                <c:pt idx="45">
                  <c:v>5.7684306111110639E-2</c:v>
                </c:pt>
                <c:pt idx="46">
                  <c:v>5.3897819444443829E-2</c:v>
                </c:pt>
                <c:pt idx="47">
                  <c:v>7.45908944444445E-2</c:v>
                </c:pt>
                <c:pt idx="48">
                  <c:v>7.90980349999994E-2</c:v>
                </c:pt>
                <c:pt idx="49">
                  <c:v>9.933426222222197E-2</c:v>
                </c:pt>
                <c:pt idx="50">
                  <c:v>9.5944427777778118E-2</c:v>
                </c:pt>
                <c:pt idx="51">
                  <c:v>9.9838177222222269E-2</c:v>
                </c:pt>
                <c:pt idx="52">
                  <c:v>0.1035175611111111</c:v>
                </c:pt>
                <c:pt idx="53">
                  <c:v>9.5409309444444534E-2</c:v>
                </c:pt>
                <c:pt idx="54">
                  <c:v>7.7826294444444721E-2</c:v>
                </c:pt>
                <c:pt idx="55">
                  <c:v>5.3009049999999669E-2</c:v>
                </c:pt>
                <c:pt idx="56">
                  <c:v>5.9109190000000145E-2</c:v>
                </c:pt>
                <c:pt idx="57">
                  <c:v>5.3980450000000013E-2</c:v>
                </c:pt>
                <c:pt idx="58">
                  <c:v>4.7586728333333383E-2</c:v>
                </c:pt>
                <c:pt idx="59">
                  <c:v>4.2151544444443967E-2</c:v>
                </c:pt>
                <c:pt idx="60">
                  <c:v>3.6849884444443926E-2</c:v>
                </c:pt>
                <c:pt idx="61">
                  <c:v>5.1218360555555564E-2</c:v>
                </c:pt>
                <c:pt idx="62">
                  <c:v>2.0460592222222629E-2</c:v>
                </c:pt>
                <c:pt idx="63">
                  <c:v>3.1737420000000016E-2</c:v>
                </c:pt>
                <c:pt idx="64">
                  <c:v>2.9054781666666696E-2</c:v>
                </c:pt>
                <c:pt idx="65">
                  <c:v>4.6129468333333201E-2</c:v>
                </c:pt>
                <c:pt idx="66">
                  <c:v>4.3241243888889225E-2</c:v>
                </c:pt>
                <c:pt idx="67">
                  <c:v>5.2987119444444342E-2</c:v>
                </c:pt>
                <c:pt idx="68">
                  <c:v>3.8494543333332576E-2</c:v>
                </c:pt>
                <c:pt idx="69">
                  <c:v>3.8103026666666651E-2</c:v>
                </c:pt>
                <c:pt idx="70">
                  <c:v>2.9141897777777925E-2</c:v>
                </c:pt>
                <c:pt idx="71">
                  <c:v>5.5174095000000312E-2</c:v>
                </c:pt>
                <c:pt idx="72">
                  <c:v>5.1788179444444415E-2</c:v>
                </c:pt>
                <c:pt idx="73">
                  <c:v>7.479527555555554E-2</c:v>
                </c:pt>
                <c:pt idx="74">
                  <c:v>8.8507796111111037E-2</c:v>
                </c:pt>
                <c:pt idx="75">
                  <c:v>0.10438492277777733</c:v>
                </c:pt>
                <c:pt idx="76">
                  <c:v>0.1034969505555558</c:v>
                </c:pt>
                <c:pt idx="77">
                  <c:v>9.6139776111111463E-2</c:v>
                </c:pt>
                <c:pt idx="78">
                  <c:v>7.5929082777777712E-2</c:v>
                </c:pt>
                <c:pt idx="79">
                  <c:v>7.6764373333333413E-2</c:v>
                </c:pt>
                <c:pt idx="80">
                  <c:v>6.9933658333332704E-2</c:v>
                </c:pt>
                <c:pt idx="81">
                  <c:v>6.6954468888888841E-2</c:v>
                </c:pt>
                <c:pt idx="82">
                  <c:v>4.9071063333333165E-2</c:v>
                </c:pt>
                <c:pt idx="83">
                  <c:v>5.1864653888889389E-2</c:v>
                </c:pt>
                <c:pt idx="84">
                  <c:v>6.426853833333368E-2</c:v>
                </c:pt>
                <c:pt idx="85">
                  <c:v>6.3622486111110765E-2</c:v>
                </c:pt>
                <c:pt idx="86">
                  <c:v>4.2026331666666639E-2</c:v>
                </c:pt>
                <c:pt idx="87">
                  <c:v>3.9820366111111061E-2</c:v>
                </c:pt>
                <c:pt idx="88">
                  <c:v>4.3605253333333149E-2</c:v>
                </c:pt>
                <c:pt idx="89">
                  <c:v>4.670641333333303E-2</c:v>
                </c:pt>
                <c:pt idx="90">
                  <c:v>6.6584212777777763E-2</c:v>
                </c:pt>
                <c:pt idx="91">
                  <c:v>9.1776059999999493E-2</c:v>
                </c:pt>
                <c:pt idx="92">
                  <c:v>8.4936417777777606E-2</c:v>
                </c:pt>
                <c:pt idx="93">
                  <c:v>8.6957737222221998E-2</c:v>
                </c:pt>
                <c:pt idx="94">
                  <c:v>9.3684824999999972E-2</c:v>
                </c:pt>
                <c:pt idx="95">
                  <c:v>6.9378800555555287E-2</c:v>
                </c:pt>
                <c:pt idx="96">
                  <c:v>5.4897007777778173E-2</c:v>
                </c:pt>
                <c:pt idx="97">
                  <c:v>7.4898101666666661E-2</c:v>
                </c:pt>
                <c:pt idx="98">
                  <c:v>9.3731580555555694E-2</c:v>
                </c:pt>
                <c:pt idx="99">
                  <c:v>9.547703888888831E-2</c:v>
                </c:pt>
                <c:pt idx="100">
                  <c:v>0.1138285372222223</c:v>
                </c:pt>
                <c:pt idx="101">
                  <c:v>6.0977656666666602E-2</c:v>
                </c:pt>
                <c:pt idx="102">
                  <c:v>7.4221012222221716E-2</c:v>
                </c:pt>
                <c:pt idx="103">
                  <c:v>9.536841222222181E-2</c:v>
                </c:pt>
                <c:pt idx="104">
                  <c:v>0.10223414500000005</c:v>
                </c:pt>
                <c:pt idx="105">
                  <c:v>8.436983666666642E-2</c:v>
                </c:pt>
                <c:pt idx="106">
                  <c:v>0.10015435722222232</c:v>
                </c:pt>
                <c:pt idx="107">
                  <c:v>0.114067793333333</c:v>
                </c:pt>
                <c:pt idx="108">
                  <c:v>0.20956523555555551</c:v>
                </c:pt>
                <c:pt idx="109">
                  <c:v>0.32971514722222184</c:v>
                </c:pt>
                <c:pt idx="110">
                  <c:v>0.33879961499999933</c:v>
                </c:pt>
                <c:pt idx="111">
                  <c:v>0.32449543055555569</c:v>
                </c:pt>
                <c:pt idx="112">
                  <c:v>0.32293320722222202</c:v>
                </c:pt>
                <c:pt idx="113">
                  <c:v>0.29891122777777768</c:v>
                </c:pt>
                <c:pt idx="114">
                  <c:v>0.29075399777777788</c:v>
                </c:pt>
                <c:pt idx="115">
                  <c:v>0.30545641222222214</c:v>
                </c:pt>
                <c:pt idx="116">
                  <c:v>0.30612002777777736</c:v>
                </c:pt>
                <c:pt idx="117">
                  <c:v>0.29158958944444413</c:v>
                </c:pt>
                <c:pt idx="118">
                  <c:v>0.25312281222222227</c:v>
                </c:pt>
                <c:pt idx="119">
                  <c:v>0.25179243888888864</c:v>
                </c:pt>
                <c:pt idx="120">
                  <c:v>0.29050642555555589</c:v>
                </c:pt>
                <c:pt idx="121">
                  <c:v>0.22510961722222206</c:v>
                </c:pt>
                <c:pt idx="122">
                  <c:v>0.12283067722222191</c:v>
                </c:pt>
                <c:pt idx="123">
                  <c:v>0.13351061055555535</c:v>
                </c:pt>
                <c:pt idx="124">
                  <c:v>0.12757290111111158</c:v>
                </c:pt>
                <c:pt idx="125">
                  <c:v>0.11771054444444445</c:v>
                </c:pt>
                <c:pt idx="126">
                  <c:v>0.12544081777777771</c:v>
                </c:pt>
                <c:pt idx="127">
                  <c:v>9.3702247777777858E-2</c:v>
                </c:pt>
                <c:pt idx="128">
                  <c:v>6.6928718333333803E-2</c:v>
                </c:pt>
                <c:pt idx="129">
                  <c:v>5.875375888888873E-2</c:v>
                </c:pt>
                <c:pt idx="130">
                  <c:v>6.8201537222222552E-2</c:v>
                </c:pt>
                <c:pt idx="131">
                  <c:v>5.4782072777777746E-2</c:v>
                </c:pt>
                <c:pt idx="132">
                  <c:v>6.6670368333333507E-2</c:v>
                </c:pt>
                <c:pt idx="133">
                  <c:v>9.4576815555555471E-2</c:v>
                </c:pt>
                <c:pt idx="134">
                  <c:v>7.7126444444444664E-2</c:v>
                </c:pt>
                <c:pt idx="135">
                  <c:v>9.8024301666666702E-2</c:v>
                </c:pt>
                <c:pt idx="136">
                  <c:v>8.2456184444444247E-2</c:v>
                </c:pt>
                <c:pt idx="137">
                  <c:v>8.4942692222221894E-2</c:v>
                </c:pt>
                <c:pt idx="138">
                  <c:v>9.5338444444444614E-2</c:v>
                </c:pt>
                <c:pt idx="139">
                  <c:v>8.5830255555555235E-2</c:v>
                </c:pt>
                <c:pt idx="140">
                  <c:v>9.4187716666666033E-2</c:v>
                </c:pt>
                <c:pt idx="141">
                  <c:v>9.2939503888888497E-2</c:v>
                </c:pt>
                <c:pt idx="142">
                  <c:v>7.8913807777777289E-2</c:v>
                </c:pt>
                <c:pt idx="143">
                  <c:v>0.10440417555555542</c:v>
                </c:pt>
                <c:pt idx="144">
                  <c:v>0.10003032166666675</c:v>
                </c:pt>
                <c:pt idx="145">
                  <c:v>6.3122169444444431E-2</c:v>
                </c:pt>
                <c:pt idx="146">
                  <c:v>7.5422504999999529E-2</c:v>
                </c:pt>
                <c:pt idx="147">
                  <c:v>8.4074755555555103E-2</c:v>
                </c:pt>
                <c:pt idx="148">
                  <c:v>7.3476094444444529E-2</c:v>
                </c:pt>
                <c:pt idx="149">
                  <c:v>8.9705313333333592E-2</c:v>
                </c:pt>
                <c:pt idx="150">
                  <c:v>6.845013388888882E-2</c:v>
                </c:pt>
                <c:pt idx="151">
                  <c:v>8.0641946666667186E-2</c:v>
                </c:pt>
                <c:pt idx="152">
                  <c:v>7.9714735555554972E-2</c:v>
                </c:pt>
                <c:pt idx="153">
                  <c:v>7.0369763888889159E-2</c:v>
                </c:pt>
                <c:pt idx="154">
                  <c:v>6.823289888888906E-2</c:v>
                </c:pt>
                <c:pt idx="155">
                  <c:v>6.7140997222222665E-2</c:v>
                </c:pt>
                <c:pt idx="156">
                  <c:v>7.9403518888888969E-2</c:v>
                </c:pt>
                <c:pt idx="157">
                  <c:v>8.1584613333333111E-2</c:v>
                </c:pt>
                <c:pt idx="158">
                  <c:v>9.4443593888888788E-2</c:v>
                </c:pt>
                <c:pt idx="159">
                  <c:v>7.3338810000000199E-2</c:v>
                </c:pt>
                <c:pt idx="160">
                  <c:v>7.0760612777777787E-2</c:v>
                </c:pt>
                <c:pt idx="161">
                  <c:v>7.1429867777777822E-2</c:v>
                </c:pt>
                <c:pt idx="162">
                  <c:v>8.271923777777801E-2</c:v>
                </c:pt>
                <c:pt idx="163">
                  <c:v>6.4377686666666767E-2</c:v>
                </c:pt>
                <c:pt idx="164">
                  <c:v>5.9460483888888693E-2</c:v>
                </c:pt>
                <c:pt idx="165">
                  <c:v>7.1460239999999731E-2</c:v>
                </c:pt>
                <c:pt idx="166">
                  <c:v>7.5099241111111104E-2</c:v>
                </c:pt>
                <c:pt idx="167">
                  <c:v>6.9978009444444655E-2</c:v>
                </c:pt>
                <c:pt idx="168">
                  <c:v>9.20306449999998E-2</c:v>
                </c:pt>
                <c:pt idx="169">
                  <c:v>7.2204991111111005E-2</c:v>
                </c:pt>
                <c:pt idx="170">
                  <c:v>8.4075783888889033E-2</c:v>
                </c:pt>
                <c:pt idx="171">
                  <c:v>7.9276580555555531E-2</c:v>
                </c:pt>
                <c:pt idx="172">
                  <c:v>9.4492339444444573E-2</c:v>
                </c:pt>
                <c:pt idx="173">
                  <c:v>6.7732351666666801E-2</c:v>
                </c:pt>
                <c:pt idx="174">
                  <c:v>0.10059908055555544</c:v>
                </c:pt>
                <c:pt idx="175">
                  <c:v>0.1049015661111109</c:v>
                </c:pt>
                <c:pt idx="176">
                  <c:v>8.8941064444444606E-2</c:v>
                </c:pt>
                <c:pt idx="177">
                  <c:v>6.8737964444444466E-2</c:v>
                </c:pt>
                <c:pt idx="178">
                  <c:v>7.6715718888888729E-2</c:v>
                </c:pt>
                <c:pt idx="179">
                  <c:v>7.4302710000000216E-2</c:v>
                </c:pt>
                <c:pt idx="180">
                  <c:v>8.3864384444444662E-2</c:v>
                </c:pt>
                <c:pt idx="181">
                  <c:v>8.4932208888888194E-2</c:v>
                </c:pt>
                <c:pt idx="182">
                  <c:v>7.3076153333333393E-2</c:v>
                </c:pt>
                <c:pt idx="183">
                  <c:v>6.4260017777777678E-2</c:v>
                </c:pt>
                <c:pt idx="184">
                  <c:v>5.9264660000000413E-2</c:v>
                </c:pt>
                <c:pt idx="185">
                  <c:v>8.9555986666667198E-2</c:v>
                </c:pt>
                <c:pt idx="186">
                  <c:v>9.907837111111073E-2</c:v>
                </c:pt>
                <c:pt idx="187">
                  <c:v>9.3415101111111065E-2</c:v>
                </c:pt>
                <c:pt idx="188">
                  <c:v>7.1500867777778088E-2</c:v>
                </c:pt>
                <c:pt idx="189">
                  <c:v>8.0910992222221978E-2</c:v>
                </c:pt>
                <c:pt idx="190">
                  <c:v>8.4168558888888967E-2</c:v>
                </c:pt>
                <c:pt idx="191">
                  <c:v>9.2105631111110919E-2</c:v>
                </c:pt>
                <c:pt idx="192">
                  <c:v>7.7510033333333062E-2</c:v>
                </c:pt>
                <c:pt idx="193">
                  <c:v>8.5829299444444285E-2</c:v>
                </c:pt>
                <c:pt idx="194">
                  <c:v>7.4718856666666666E-2</c:v>
                </c:pt>
                <c:pt idx="195">
                  <c:v>8.0455758333333183E-2</c:v>
                </c:pt>
                <c:pt idx="196">
                  <c:v>9.7825543333333376E-2</c:v>
                </c:pt>
                <c:pt idx="197">
                  <c:v>9.8605908333332659E-2</c:v>
                </c:pt>
                <c:pt idx="198">
                  <c:v>9.4586041111110741E-2</c:v>
                </c:pt>
                <c:pt idx="199">
                  <c:v>8.1767357777777827E-2</c:v>
                </c:pt>
                <c:pt idx="200">
                  <c:v>0.10391412888888896</c:v>
                </c:pt>
                <c:pt idx="201">
                  <c:v>8.2843340555555811E-2</c:v>
                </c:pt>
                <c:pt idx="202">
                  <c:v>9.3645591111111204E-2</c:v>
                </c:pt>
                <c:pt idx="203">
                  <c:v>6.5012352777777505E-2</c:v>
                </c:pt>
                <c:pt idx="204">
                  <c:v>4.6569032777777464E-2</c:v>
                </c:pt>
                <c:pt idx="205">
                  <c:v>4.476898111111105E-2</c:v>
                </c:pt>
                <c:pt idx="206">
                  <c:v>5.2363376111110804E-2</c:v>
                </c:pt>
                <c:pt idx="207">
                  <c:v>4.6447953333333958E-2</c:v>
                </c:pt>
                <c:pt idx="208">
                  <c:v>5.7654950555554918E-2</c:v>
                </c:pt>
                <c:pt idx="209">
                  <c:v>4.9884358333333711E-2</c:v>
                </c:pt>
                <c:pt idx="210">
                  <c:v>5.1864280000000706E-2</c:v>
                </c:pt>
                <c:pt idx="211">
                  <c:v>6.8563389999999669E-2</c:v>
                </c:pt>
                <c:pt idx="212">
                  <c:v>5.0532476111110891E-2</c:v>
                </c:pt>
                <c:pt idx="213">
                  <c:v>5.374081444444434E-2</c:v>
                </c:pt>
                <c:pt idx="214">
                  <c:v>5.3297506666667105E-2</c:v>
                </c:pt>
                <c:pt idx="215">
                  <c:v>7.1156854999999519E-2</c:v>
                </c:pt>
                <c:pt idx="216">
                  <c:v>7.3288628888889151E-2</c:v>
                </c:pt>
                <c:pt idx="217">
                  <c:v>6.9366018333333779E-2</c:v>
                </c:pt>
                <c:pt idx="218">
                  <c:v>6.6038923333333444E-2</c:v>
                </c:pt>
                <c:pt idx="219">
                  <c:v>8.4779061111110998E-2</c:v>
                </c:pt>
                <c:pt idx="220">
                  <c:v>8.8555540000000044E-2</c:v>
                </c:pt>
                <c:pt idx="221">
                  <c:v>7.5456138888888469E-2</c:v>
                </c:pt>
                <c:pt idx="222">
                  <c:v>7.0514378333333627E-2</c:v>
                </c:pt>
                <c:pt idx="223">
                  <c:v>7.3716956666666833E-2</c:v>
                </c:pt>
                <c:pt idx="224">
                  <c:v>8.2825421666666732E-2</c:v>
                </c:pt>
                <c:pt idx="225">
                  <c:v>6.0272231666666232E-2</c:v>
                </c:pt>
                <c:pt idx="226">
                  <c:v>6.4400489444444597E-2</c:v>
                </c:pt>
                <c:pt idx="227">
                  <c:v>6.2108026666667093E-2</c:v>
                </c:pt>
                <c:pt idx="228">
                  <c:v>7.3099126666666348E-2</c:v>
                </c:pt>
                <c:pt idx="229">
                  <c:v>6.9236831666666498E-2</c:v>
                </c:pt>
                <c:pt idx="230">
                  <c:v>7.6830837777777827E-2</c:v>
                </c:pt>
                <c:pt idx="231">
                  <c:v>6.3060096111111297E-2</c:v>
                </c:pt>
                <c:pt idx="232">
                  <c:v>7.2134908888888571E-2</c:v>
                </c:pt>
                <c:pt idx="233">
                  <c:v>7.8081040555555759E-2</c:v>
                </c:pt>
                <c:pt idx="234">
                  <c:v>7.1459778333332891E-2</c:v>
                </c:pt>
                <c:pt idx="235">
                  <c:v>6.4947680555555332E-2</c:v>
                </c:pt>
                <c:pt idx="236">
                  <c:v>7.4856681111111378E-2</c:v>
                </c:pt>
                <c:pt idx="237">
                  <c:v>6.1756592222222628E-2</c:v>
                </c:pt>
                <c:pt idx="238">
                  <c:v>6.1276117777777805E-2</c:v>
                </c:pt>
                <c:pt idx="239">
                  <c:v>5.3861418888888402E-2</c:v>
                </c:pt>
                <c:pt idx="240">
                  <c:v>6.0956451666666911E-2</c:v>
                </c:pt>
                <c:pt idx="241">
                  <c:v>6.9159861666666711E-2</c:v>
                </c:pt>
                <c:pt idx="242">
                  <c:v>7.1056382777777205E-2</c:v>
                </c:pt>
                <c:pt idx="243">
                  <c:v>8.2189402222222596E-2</c:v>
                </c:pt>
                <c:pt idx="244">
                  <c:v>5.5866450555555891E-2</c:v>
                </c:pt>
                <c:pt idx="245">
                  <c:v>7.782371722222281E-2</c:v>
                </c:pt>
                <c:pt idx="246">
                  <c:v>8.906280277777745E-2</c:v>
                </c:pt>
                <c:pt idx="247">
                  <c:v>9.9967544444444723E-2</c:v>
                </c:pt>
                <c:pt idx="248">
                  <c:v>9.6513907222222139E-2</c:v>
                </c:pt>
                <c:pt idx="249">
                  <c:v>0.11284668944444459</c:v>
                </c:pt>
                <c:pt idx="250">
                  <c:v>9.5469726666666477E-2</c:v>
                </c:pt>
                <c:pt idx="251">
                  <c:v>9.3980570555555698E-2</c:v>
                </c:pt>
                <c:pt idx="252">
                  <c:v>0.12463432833333349</c:v>
                </c:pt>
                <c:pt idx="253">
                  <c:v>0.10302798166666682</c:v>
                </c:pt>
                <c:pt idx="254">
                  <c:v>0.10886029444444462</c:v>
                </c:pt>
                <c:pt idx="255">
                  <c:v>7.9094517222222438E-2</c:v>
                </c:pt>
                <c:pt idx="256">
                  <c:v>8.8080768333333226E-2</c:v>
                </c:pt>
                <c:pt idx="257">
                  <c:v>6.4469787777778009E-2</c:v>
                </c:pt>
                <c:pt idx="258">
                  <c:v>7.3979468333333298E-2</c:v>
                </c:pt>
                <c:pt idx="259">
                  <c:v>7.6110687777777686E-2</c:v>
                </c:pt>
                <c:pt idx="260">
                  <c:v>8.5582282777777796E-2</c:v>
                </c:pt>
                <c:pt idx="261">
                  <c:v>9.6345917222222521E-2</c:v>
                </c:pt>
                <c:pt idx="262">
                  <c:v>0.10932944777777787</c:v>
                </c:pt>
                <c:pt idx="263">
                  <c:v>0.11901821166666682</c:v>
                </c:pt>
                <c:pt idx="264">
                  <c:v>9.248584777777763E-2</c:v>
                </c:pt>
                <c:pt idx="265">
                  <c:v>0.10110143666666688</c:v>
                </c:pt>
                <c:pt idx="266">
                  <c:v>8.885473666666649E-2</c:v>
                </c:pt>
                <c:pt idx="267">
                  <c:v>9.6594174444444125E-2</c:v>
                </c:pt>
                <c:pt idx="268">
                  <c:v>9.4586659444444221E-2</c:v>
                </c:pt>
                <c:pt idx="269">
                  <c:v>9.3045177222222275E-2</c:v>
                </c:pt>
                <c:pt idx="270">
                  <c:v>0.10206646166666694</c:v>
                </c:pt>
                <c:pt idx="271">
                  <c:v>0.10645948777777808</c:v>
                </c:pt>
                <c:pt idx="272">
                  <c:v>0.11380691944444449</c:v>
                </c:pt>
                <c:pt idx="273">
                  <c:v>0.10734628611111141</c:v>
                </c:pt>
                <c:pt idx="274">
                  <c:v>0.11426792388888918</c:v>
                </c:pt>
                <c:pt idx="275">
                  <c:v>0.12308829722222248</c:v>
                </c:pt>
                <c:pt idx="276">
                  <c:v>9.9585682222221861E-2</c:v>
                </c:pt>
                <c:pt idx="277">
                  <c:v>6.378958444444438E-2</c:v>
                </c:pt>
                <c:pt idx="278">
                  <c:v>7.6259106666666465E-2</c:v>
                </c:pt>
                <c:pt idx="279">
                  <c:v>8.4068394999999962E-2</c:v>
                </c:pt>
                <c:pt idx="280">
                  <c:v>9.9610982222222477E-2</c:v>
                </c:pt>
                <c:pt idx="281">
                  <c:v>9.7398289999999499E-2</c:v>
                </c:pt>
                <c:pt idx="282">
                  <c:v>0.34249055222222158</c:v>
                </c:pt>
                <c:pt idx="283">
                  <c:v>9.8080203888888995E-2</c:v>
                </c:pt>
                <c:pt idx="284">
                  <c:v>9.5242998333333218E-2</c:v>
                </c:pt>
                <c:pt idx="285">
                  <c:v>9.4446711666667071E-2</c:v>
                </c:pt>
                <c:pt idx="286">
                  <c:v>0.10137310277777767</c:v>
                </c:pt>
                <c:pt idx="287">
                  <c:v>8.7590696666666523E-2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32-49D1-81E5-FD5FAE0213EE}"/>
            </c:ext>
          </c:extLst>
        </c:ser>
        <c:ser>
          <c:idx val="3"/>
          <c:order val="3"/>
          <c:tx>
            <c:v>Band50_L</c:v>
          </c:tx>
          <c:spPr>
            <a:solidFill>
              <a:srgbClr val="ACACAC"/>
            </a:solidFill>
          </c:spP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Данные!$AZ$2:$AZ$289</c:f>
              <c:numCache>
                <c:formatCode>General</c:formatCode>
                <c:ptCount val="288"/>
                <c:pt idx="0">
                  <c:v>5.3997486111111437E-2</c:v>
                </c:pt>
                <c:pt idx="1">
                  <c:v>4.4158919444444389E-2</c:v>
                </c:pt>
                <c:pt idx="2">
                  <c:v>7.192522222222153E-2</c:v>
                </c:pt>
                <c:pt idx="3">
                  <c:v>6.7453300000000382E-2</c:v>
                </c:pt>
                <c:pt idx="4">
                  <c:v>7.6600958333333136E-2</c:v>
                </c:pt>
                <c:pt idx="5">
                  <c:v>0.10212030277777795</c:v>
                </c:pt>
                <c:pt idx="6">
                  <c:v>9.1520188888888909E-2</c:v>
                </c:pt>
                <c:pt idx="7">
                  <c:v>6.4056527777777372E-2</c:v>
                </c:pt>
                <c:pt idx="8">
                  <c:v>5.8211747222222554E-2</c:v>
                </c:pt>
                <c:pt idx="9">
                  <c:v>5.9214897222221841E-2</c:v>
                </c:pt>
                <c:pt idx="10">
                  <c:v>6.6653391666666062E-2</c:v>
                </c:pt>
                <c:pt idx="11">
                  <c:v>7.1190113888888851E-2</c:v>
                </c:pt>
                <c:pt idx="12">
                  <c:v>7.3711669444445072E-2</c:v>
                </c:pt>
                <c:pt idx="13">
                  <c:v>8.7796886111111583E-2</c:v>
                </c:pt>
                <c:pt idx="14">
                  <c:v>8.8219558333333281E-2</c:v>
                </c:pt>
                <c:pt idx="15">
                  <c:v>6.1881886111111228E-2</c:v>
                </c:pt>
                <c:pt idx="16">
                  <c:v>5.9654605555555462E-2</c:v>
                </c:pt>
                <c:pt idx="17">
                  <c:v>4.9988941666666786E-2</c:v>
                </c:pt>
                <c:pt idx="18">
                  <c:v>4.8715811111111229E-2</c:v>
                </c:pt>
                <c:pt idx="19">
                  <c:v>5.6325297222222348E-2</c:v>
                </c:pt>
                <c:pt idx="20">
                  <c:v>5.8726255555555329E-2</c:v>
                </c:pt>
                <c:pt idx="21">
                  <c:v>5.1254697222222534E-2</c:v>
                </c:pt>
                <c:pt idx="22">
                  <c:v>5.4257677777778235E-2</c:v>
                </c:pt>
                <c:pt idx="23">
                  <c:v>5.6264847222222358E-2</c:v>
                </c:pt>
                <c:pt idx="24">
                  <c:v>5.8151766666666549E-2</c:v>
                </c:pt>
                <c:pt idx="25">
                  <c:v>6.0192333333332404E-2</c:v>
                </c:pt>
                <c:pt idx="26">
                  <c:v>6.5187858333333626E-2</c:v>
                </c:pt>
                <c:pt idx="27">
                  <c:v>6.3952091666666711E-2</c:v>
                </c:pt>
                <c:pt idx="28">
                  <c:v>7.817571111111099E-2</c:v>
                </c:pt>
                <c:pt idx="29">
                  <c:v>5.1481902777778421E-2</c:v>
                </c:pt>
                <c:pt idx="30">
                  <c:v>5.3166211111111528E-2</c:v>
                </c:pt>
                <c:pt idx="31">
                  <c:v>4.5271416666666786E-2</c:v>
                </c:pt>
                <c:pt idx="32">
                  <c:v>5.1064463888888856E-2</c:v>
                </c:pt>
                <c:pt idx="33">
                  <c:v>5.0785322222221985E-2</c:v>
                </c:pt>
                <c:pt idx="34">
                  <c:v>4.9938613888888872E-2</c:v>
                </c:pt>
                <c:pt idx="35">
                  <c:v>5.660546388888843E-2</c:v>
                </c:pt>
                <c:pt idx="36">
                  <c:v>5.4105197222222512E-2</c:v>
                </c:pt>
                <c:pt idx="37">
                  <c:v>4.6727977777777929E-2</c:v>
                </c:pt>
                <c:pt idx="38">
                  <c:v>5.2479922222222419E-2</c:v>
                </c:pt>
                <c:pt idx="39">
                  <c:v>3.9045883333333142E-2</c:v>
                </c:pt>
                <c:pt idx="40">
                  <c:v>6.1689600000000011E-2</c:v>
                </c:pt>
                <c:pt idx="41">
                  <c:v>5.4932394444443977E-2</c:v>
                </c:pt>
                <c:pt idx="42">
                  <c:v>3.9142383333332864E-2</c:v>
                </c:pt>
                <c:pt idx="43">
                  <c:v>5.2499102777777473E-2</c:v>
                </c:pt>
                <c:pt idx="44">
                  <c:v>4.0633236111110804E-2</c:v>
                </c:pt>
                <c:pt idx="45">
                  <c:v>4.8187922222222346E-2</c:v>
                </c:pt>
                <c:pt idx="46">
                  <c:v>5.7962847222222447E-2</c:v>
                </c:pt>
                <c:pt idx="47">
                  <c:v>5.9839358333333315E-2</c:v>
                </c:pt>
                <c:pt idx="48">
                  <c:v>7.1733950000000379E-2</c:v>
                </c:pt>
                <c:pt idx="49">
                  <c:v>6.1079963888888811E-2</c:v>
                </c:pt>
                <c:pt idx="50">
                  <c:v>7.3300647222221627E-2</c:v>
                </c:pt>
                <c:pt idx="51">
                  <c:v>7.0754997222222005E-2</c:v>
                </c:pt>
                <c:pt idx="52">
                  <c:v>7.4226922222222158E-2</c:v>
                </c:pt>
                <c:pt idx="53">
                  <c:v>5.9414752777777746E-2</c:v>
                </c:pt>
                <c:pt idx="54">
                  <c:v>6.1850625000000048E-2</c:v>
                </c:pt>
                <c:pt idx="55">
                  <c:v>7.2040144444444842E-2</c:v>
                </c:pt>
                <c:pt idx="56">
                  <c:v>7.4113622222222508E-2</c:v>
                </c:pt>
                <c:pt idx="57">
                  <c:v>5.302293055555618E-2</c:v>
                </c:pt>
                <c:pt idx="58">
                  <c:v>6.9001280555555544E-2</c:v>
                </c:pt>
                <c:pt idx="59">
                  <c:v>6.1698102777777986E-2</c:v>
                </c:pt>
                <c:pt idx="60">
                  <c:v>5.9022158333333463E-2</c:v>
                </c:pt>
                <c:pt idx="61">
                  <c:v>5.7401533333333088E-2</c:v>
                </c:pt>
                <c:pt idx="62">
                  <c:v>5.9338083333333125E-2</c:v>
                </c:pt>
                <c:pt idx="63">
                  <c:v>5.7906930555555625E-2</c:v>
                </c:pt>
                <c:pt idx="64">
                  <c:v>6.8143149999999875E-2</c:v>
                </c:pt>
                <c:pt idx="65">
                  <c:v>4.2583969444444203E-2</c:v>
                </c:pt>
                <c:pt idx="66">
                  <c:v>4.6503694444444355E-2</c:v>
                </c:pt>
                <c:pt idx="67">
                  <c:v>4.7638194444444726E-2</c:v>
                </c:pt>
                <c:pt idx="68">
                  <c:v>7.5776516666666849E-2</c:v>
                </c:pt>
                <c:pt idx="69">
                  <c:v>5.8010952777778013E-2</c:v>
                </c:pt>
                <c:pt idx="70">
                  <c:v>5.6406905555555498E-2</c:v>
                </c:pt>
                <c:pt idx="71">
                  <c:v>6.3142161111110928E-2</c:v>
                </c:pt>
                <c:pt idx="72">
                  <c:v>7.6981075000000343E-2</c:v>
                </c:pt>
                <c:pt idx="73">
                  <c:v>6.80741777777778E-2</c:v>
                </c:pt>
                <c:pt idx="74">
                  <c:v>6.3450258333333287E-2</c:v>
                </c:pt>
                <c:pt idx="75">
                  <c:v>4.7706094444444458E-2</c:v>
                </c:pt>
                <c:pt idx="76">
                  <c:v>4.195337500000007E-2</c:v>
                </c:pt>
                <c:pt idx="77">
                  <c:v>4.5855577777777712E-2</c:v>
                </c:pt>
                <c:pt idx="78">
                  <c:v>4.7745874999999938E-2</c:v>
                </c:pt>
                <c:pt idx="79">
                  <c:v>5.0769633333333342E-2</c:v>
                </c:pt>
                <c:pt idx="80">
                  <c:v>5.6738238888889181E-2</c:v>
                </c:pt>
                <c:pt idx="81">
                  <c:v>6.3332508333333259E-2</c:v>
                </c:pt>
                <c:pt idx="82">
                  <c:v>6.9077552777778051E-2</c:v>
                </c:pt>
                <c:pt idx="83">
                  <c:v>5.8284383333333301E-2</c:v>
                </c:pt>
                <c:pt idx="84">
                  <c:v>5.1404327777777925E-2</c:v>
                </c:pt>
                <c:pt idx="85">
                  <c:v>3.5748502777778079E-2</c:v>
                </c:pt>
                <c:pt idx="86">
                  <c:v>4.5327172222222267E-2</c:v>
                </c:pt>
                <c:pt idx="87">
                  <c:v>5.1136611111110786E-2</c:v>
                </c:pt>
                <c:pt idx="88">
                  <c:v>5.9902630555555669E-2</c:v>
                </c:pt>
                <c:pt idx="89">
                  <c:v>6.0473116666666715E-2</c:v>
                </c:pt>
                <c:pt idx="90">
                  <c:v>6.5523397222222501E-2</c:v>
                </c:pt>
                <c:pt idx="91">
                  <c:v>4.147048333333353E-2</c:v>
                </c:pt>
                <c:pt idx="92">
                  <c:v>6.3191627777777926E-2</c:v>
                </c:pt>
                <c:pt idx="93">
                  <c:v>8.4693372222222285E-2</c:v>
                </c:pt>
                <c:pt idx="94">
                  <c:v>8.3439697222222109E-2</c:v>
                </c:pt>
                <c:pt idx="95">
                  <c:v>9.2004949999999808E-2</c:v>
                </c:pt>
                <c:pt idx="96">
                  <c:v>8.7276399999999754E-2</c:v>
                </c:pt>
                <c:pt idx="97">
                  <c:v>8.6075780555555259E-2</c:v>
                </c:pt>
                <c:pt idx="98">
                  <c:v>8.0084402777777841E-2</c:v>
                </c:pt>
                <c:pt idx="99">
                  <c:v>6.0609041666666919E-2</c:v>
                </c:pt>
                <c:pt idx="100">
                  <c:v>6.0624111111110934E-2</c:v>
                </c:pt>
                <c:pt idx="101">
                  <c:v>0.11194546666666644</c:v>
                </c:pt>
                <c:pt idx="102">
                  <c:v>0.1044653777777782</c:v>
                </c:pt>
                <c:pt idx="103">
                  <c:v>9.4203005555555774E-2</c:v>
                </c:pt>
                <c:pt idx="104">
                  <c:v>0.10299780555555543</c:v>
                </c:pt>
                <c:pt idx="105">
                  <c:v>0.10871976388888899</c:v>
                </c:pt>
                <c:pt idx="106">
                  <c:v>0.10180832222222252</c:v>
                </c:pt>
                <c:pt idx="107">
                  <c:v>0.108080588888889</c:v>
                </c:pt>
                <c:pt idx="108">
                  <c:v>9.9907713888888472E-2</c:v>
                </c:pt>
                <c:pt idx="109">
                  <c:v>9.6834747222222461E-2</c:v>
                </c:pt>
                <c:pt idx="110">
                  <c:v>8.1299761111111979E-2</c:v>
                </c:pt>
                <c:pt idx="111">
                  <c:v>0.10008495277777785</c:v>
                </c:pt>
                <c:pt idx="112">
                  <c:v>9.1737400000000247E-2</c:v>
                </c:pt>
                <c:pt idx="113">
                  <c:v>0.1052702777777777</c:v>
                </c:pt>
                <c:pt idx="114">
                  <c:v>9.2408550000000089E-2</c:v>
                </c:pt>
                <c:pt idx="115">
                  <c:v>9.2774688888889345E-2</c:v>
                </c:pt>
                <c:pt idx="116">
                  <c:v>8.1968586111111463E-2</c:v>
                </c:pt>
                <c:pt idx="117">
                  <c:v>7.7038230555555587E-2</c:v>
                </c:pt>
                <c:pt idx="118">
                  <c:v>6.053942222222175E-2</c:v>
                </c:pt>
                <c:pt idx="119">
                  <c:v>9.0745130555555997E-2</c:v>
                </c:pt>
                <c:pt idx="120">
                  <c:v>5.1103369444444047E-2</c:v>
                </c:pt>
                <c:pt idx="121">
                  <c:v>7.7368788888889317E-2</c:v>
                </c:pt>
                <c:pt idx="122">
                  <c:v>5.6381624999999991E-2</c:v>
                </c:pt>
                <c:pt idx="123">
                  <c:v>5.0356902777778267E-2</c:v>
                </c:pt>
                <c:pt idx="124">
                  <c:v>5.4328197222221819E-2</c:v>
                </c:pt>
                <c:pt idx="125">
                  <c:v>4.6862713888888741E-2</c:v>
                </c:pt>
                <c:pt idx="126">
                  <c:v>4.3621194444444233E-2</c:v>
                </c:pt>
                <c:pt idx="127">
                  <c:v>5.0076761111111145E-2</c:v>
                </c:pt>
                <c:pt idx="128">
                  <c:v>5.7768711111110926E-2</c:v>
                </c:pt>
                <c:pt idx="129">
                  <c:v>7.3963222222222291E-2</c:v>
                </c:pt>
                <c:pt idx="130">
                  <c:v>6.0217980555555717E-2</c:v>
                </c:pt>
                <c:pt idx="131">
                  <c:v>6.5241205555555903E-2</c:v>
                </c:pt>
                <c:pt idx="132">
                  <c:v>7.9128638888889324E-2</c:v>
                </c:pt>
                <c:pt idx="133">
                  <c:v>6.7794597222222364E-2</c:v>
                </c:pt>
                <c:pt idx="134">
                  <c:v>7.6522230555555071E-2</c:v>
                </c:pt>
                <c:pt idx="135">
                  <c:v>7.1152033333333087E-2</c:v>
                </c:pt>
                <c:pt idx="136">
                  <c:v>8.3071169444444481E-2</c:v>
                </c:pt>
                <c:pt idx="137">
                  <c:v>7.1031475000000399E-2</c:v>
                </c:pt>
                <c:pt idx="138">
                  <c:v>7.5377769444443965E-2</c:v>
                </c:pt>
                <c:pt idx="139">
                  <c:v>7.2026588888888909E-2</c:v>
                </c:pt>
                <c:pt idx="140">
                  <c:v>5.9578755555555918E-2</c:v>
                </c:pt>
                <c:pt idx="141">
                  <c:v>6.5151116666666287E-2</c:v>
                </c:pt>
                <c:pt idx="142">
                  <c:v>6.9057175000000304E-2</c:v>
                </c:pt>
                <c:pt idx="143">
                  <c:v>6.4701938888888422E-2</c:v>
                </c:pt>
                <c:pt idx="144">
                  <c:v>6.8046330555555867E-2</c:v>
                </c:pt>
                <c:pt idx="145">
                  <c:v>6.823704444444445E-2</c:v>
                </c:pt>
                <c:pt idx="146">
                  <c:v>5.6660925000000084E-2</c:v>
                </c:pt>
                <c:pt idx="147">
                  <c:v>6.4138608333333957E-2</c:v>
                </c:pt>
                <c:pt idx="148">
                  <c:v>5.1080163888888808E-2</c:v>
                </c:pt>
                <c:pt idx="149">
                  <c:v>2.9084736111110954E-2</c:v>
                </c:pt>
                <c:pt idx="150">
                  <c:v>5.5300225000000314E-2</c:v>
                </c:pt>
                <c:pt idx="151">
                  <c:v>4.0085091666666295E-2</c:v>
                </c:pt>
                <c:pt idx="152">
                  <c:v>4.722832777777819E-2</c:v>
                </c:pt>
                <c:pt idx="153">
                  <c:v>5.158011944444385E-2</c:v>
                </c:pt>
                <c:pt idx="154">
                  <c:v>6.2486599999999948E-2</c:v>
                </c:pt>
                <c:pt idx="155">
                  <c:v>6.3919663888888589E-2</c:v>
                </c:pt>
                <c:pt idx="156">
                  <c:v>7.7140661111111508E-2</c:v>
                </c:pt>
                <c:pt idx="157">
                  <c:v>6.8418988888888643E-2</c:v>
                </c:pt>
                <c:pt idx="158">
                  <c:v>6.7303200000000007E-2</c:v>
                </c:pt>
                <c:pt idx="159">
                  <c:v>7.0752533333332979E-2</c:v>
                </c:pt>
                <c:pt idx="160">
                  <c:v>7.9030294444444427E-2</c:v>
                </c:pt>
                <c:pt idx="161">
                  <c:v>7.9597124999999935E-2</c:v>
                </c:pt>
                <c:pt idx="162">
                  <c:v>7.0513152777777477E-2</c:v>
                </c:pt>
                <c:pt idx="163">
                  <c:v>7.4976527777777524E-2</c:v>
                </c:pt>
                <c:pt idx="164">
                  <c:v>8.2557216666667044E-2</c:v>
                </c:pt>
                <c:pt idx="165">
                  <c:v>6.4894861111111202E-2</c:v>
                </c:pt>
                <c:pt idx="166">
                  <c:v>5.7125188888888845E-2</c:v>
                </c:pt>
                <c:pt idx="167">
                  <c:v>7.4273822222222119E-2</c:v>
                </c:pt>
                <c:pt idx="168">
                  <c:v>6.218047777777802E-2</c:v>
                </c:pt>
                <c:pt idx="169">
                  <c:v>6.7199877777777473E-2</c:v>
                </c:pt>
                <c:pt idx="170">
                  <c:v>5.588003055555546E-2</c:v>
                </c:pt>
                <c:pt idx="171">
                  <c:v>5.4390988888888936E-2</c:v>
                </c:pt>
                <c:pt idx="172">
                  <c:v>5.1335374999999961E-2</c:v>
                </c:pt>
                <c:pt idx="173">
                  <c:v>8.3843855555555513E-2</c:v>
                </c:pt>
                <c:pt idx="174">
                  <c:v>4.7756602777777823E-2</c:v>
                </c:pt>
                <c:pt idx="175">
                  <c:v>3.6364994444444187E-2</c:v>
                </c:pt>
                <c:pt idx="176">
                  <c:v>5.2154408333332847E-2</c:v>
                </c:pt>
                <c:pt idx="177">
                  <c:v>0.10145501666666679</c:v>
                </c:pt>
                <c:pt idx="178">
                  <c:v>7.4323722222222055E-2</c:v>
                </c:pt>
                <c:pt idx="179">
                  <c:v>7.1014922222222054E-2</c:v>
                </c:pt>
                <c:pt idx="180">
                  <c:v>4.9283933333333141E-2</c:v>
                </c:pt>
                <c:pt idx="181">
                  <c:v>4.7025000000000539E-2</c:v>
                </c:pt>
                <c:pt idx="182">
                  <c:v>4.7807755555555609E-2</c:v>
                </c:pt>
                <c:pt idx="183">
                  <c:v>3.6826933333333089E-2</c:v>
                </c:pt>
                <c:pt idx="184">
                  <c:v>6.995704722222218E-2</c:v>
                </c:pt>
                <c:pt idx="185">
                  <c:v>4.062555833333259E-2</c:v>
                </c:pt>
                <c:pt idx="186">
                  <c:v>3.4401502777778092E-2</c:v>
                </c:pt>
                <c:pt idx="187">
                  <c:v>2.9205847222222192E-2</c:v>
                </c:pt>
                <c:pt idx="188">
                  <c:v>2.7999813888888725E-2</c:v>
                </c:pt>
                <c:pt idx="189">
                  <c:v>3.0235563888889705E-2</c:v>
                </c:pt>
                <c:pt idx="190">
                  <c:v>2.2762241666666294E-2</c:v>
                </c:pt>
                <c:pt idx="191">
                  <c:v>2.1002166666667099E-2</c:v>
                </c:pt>
                <c:pt idx="192">
                  <c:v>5.3813633333333111E-2</c:v>
                </c:pt>
                <c:pt idx="193">
                  <c:v>6.3787238888889375E-2</c:v>
                </c:pt>
                <c:pt idx="194">
                  <c:v>6.6507955555555776E-2</c:v>
                </c:pt>
                <c:pt idx="195">
                  <c:v>4.2449075000000169E-2</c:v>
                </c:pt>
                <c:pt idx="196">
                  <c:v>5.6369336111110946E-2</c:v>
                </c:pt>
                <c:pt idx="197">
                  <c:v>5.4464688888889556E-2</c:v>
                </c:pt>
                <c:pt idx="198">
                  <c:v>5.5875033333333435E-2</c:v>
                </c:pt>
                <c:pt idx="199">
                  <c:v>4.6289966666666849E-2</c:v>
                </c:pt>
                <c:pt idx="200">
                  <c:v>3.3764994444444363E-2</c:v>
                </c:pt>
                <c:pt idx="201">
                  <c:v>4.6421416666666437E-2</c:v>
                </c:pt>
                <c:pt idx="202">
                  <c:v>2.9707383333333781E-2</c:v>
                </c:pt>
                <c:pt idx="203">
                  <c:v>4.9279841666666768E-2</c:v>
                </c:pt>
                <c:pt idx="204">
                  <c:v>5.3434144444445053E-2</c:v>
                </c:pt>
                <c:pt idx="205">
                  <c:v>4.3161766666666712E-2</c:v>
                </c:pt>
                <c:pt idx="206">
                  <c:v>4.3062111111111023E-2</c:v>
                </c:pt>
                <c:pt idx="207">
                  <c:v>4.4324233333332796E-2</c:v>
                </c:pt>
                <c:pt idx="208">
                  <c:v>3.8751197222222533E-2</c:v>
                </c:pt>
                <c:pt idx="209">
                  <c:v>4.9519705555555071E-2</c:v>
                </c:pt>
                <c:pt idx="210">
                  <c:v>4.4927619444444011E-2</c:v>
                </c:pt>
                <c:pt idx="211">
                  <c:v>3.1552683333333942E-2</c:v>
                </c:pt>
                <c:pt idx="212">
                  <c:v>4.2721541666667084E-2</c:v>
                </c:pt>
                <c:pt idx="213">
                  <c:v>4.9461955555555548E-2</c:v>
                </c:pt>
                <c:pt idx="214">
                  <c:v>5.3253066666666182E-2</c:v>
                </c:pt>
                <c:pt idx="215">
                  <c:v>3.9293827777777901E-2</c:v>
                </c:pt>
                <c:pt idx="216">
                  <c:v>6.0223827777777461E-2</c:v>
                </c:pt>
                <c:pt idx="217">
                  <c:v>5.0911830555555149E-2</c:v>
                </c:pt>
                <c:pt idx="218">
                  <c:v>5.8785022222222039E-2</c:v>
                </c:pt>
                <c:pt idx="219">
                  <c:v>6.7033441666666471E-2</c:v>
                </c:pt>
                <c:pt idx="220">
                  <c:v>5.7591375000000222E-2</c:v>
                </c:pt>
                <c:pt idx="221">
                  <c:v>5.9863055555555822E-2</c:v>
                </c:pt>
                <c:pt idx="222">
                  <c:v>6.2559536111110925E-2</c:v>
                </c:pt>
                <c:pt idx="223">
                  <c:v>5.6231633333333142E-2</c:v>
                </c:pt>
                <c:pt idx="224">
                  <c:v>6.0143347222222143E-2</c:v>
                </c:pt>
                <c:pt idx="225">
                  <c:v>7.9874786111111429E-2</c:v>
                </c:pt>
                <c:pt idx="226">
                  <c:v>7.8465191666666212E-2</c:v>
                </c:pt>
                <c:pt idx="227">
                  <c:v>6.6941033333333566E-2</c:v>
                </c:pt>
                <c:pt idx="228">
                  <c:v>6.0765508333333274E-2</c:v>
                </c:pt>
                <c:pt idx="229">
                  <c:v>5.5811472222222269E-2</c:v>
                </c:pt>
                <c:pt idx="230">
                  <c:v>5.7699972222221785E-2</c:v>
                </c:pt>
                <c:pt idx="231">
                  <c:v>6.5565177777777262E-2</c:v>
                </c:pt>
                <c:pt idx="232">
                  <c:v>7.5911908333333555E-2</c:v>
                </c:pt>
                <c:pt idx="233">
                  <c:v>5.2016255555555557E-2</c:v>
                </c:pt>
                <c:pt idx="234">
                  <c:v>5.9922691666666972E-2</c:v>
                </c:pt>
                <c:pt idx="235">
                  <c:v>6.2112641666666635E-2</c:v>
                </c:pt>
                <c:pt idx="236">
                  <c:v>5.6180547222221877E-2</c:v>
                </c:pt>
                <c:pt idx="237">
                  <c:v>6.8623552777777763E-2</c:v>
                </c:pt>
                <c:pt idx="238">
                  <c:v>7.0999552777777641E-2</c:v>
                </c:pt>
                <c:pt idx="239">
                  <c:v>7.2610330555556213E-2</c:v>
                </c:pt>
                <c:pt idx="240">
                  <c:v>6.762831944444464E-2</c:v>
                </c:pt>
                <c:pt idx="241">
                  <c:v>5.600784999999997E-2</c:v>
                </c:pt>
                <c:pt idx="242">
                  <c:v>7.9156555555555952E-2</c:v>
                </c:pt>
                <c:pt idx="243">
                  <c:v>6.9822041666666612E-2</c:v>
                </c:pt>
                <c:pt idx="244">
                  <c:v>7.4992394444443888E-2</c:v>
                </c:pt>
                <c:pt idx="245">
                  <c:v>6.1307852777777394E-2</c:v>
                </c:pt>
                <c:pt idx="246">
                  <c:v>5.7190300000000249E-2</c:v>
                </c:pt>
                <c:pt idx="247">
                  <c:v>4.5133163888888661E-2</c:v>
                </c:pt>
                <c:pt idx="248">
                  <c:v>5.076532499999975E-2</c:v>
                </c:pt>
                <c:pt idx="249">
                  <c:v>3.9078474999999946E-2</c:v>
                </c:pt>
                <c:pt idx="250">
                  <c:v>4.8277716666666248E-2</c:v>
                </c:pt>
                <c:pt idx="251">
                  <c:v>4.6183683333333114E-2</c:v>
                </c:pt>
                <c:pt idx="252">
                  <c:v>5.9702463888888557E-2</c:v>
                </c:pt>
                <c:pt idx="253">
                  <c:v>8.183330277777745E-2</c:v>
                </c:pt>
                <c:pt idx="254">
                  <c:v>6.5742113888888509E-2</c:v>
                </c:pt>
                <c:pt idx="255">
                  <c:v>8.0239908333333276E-2</c:v>
                </c:pt>
                <c:pt idx="256">
                  <c:v>7.801044444444416E-2</c:v>
                </c:pt>
                <c:pt idx="257">
                  <c:v>0.10423390000000021</c:v>
                </c:pt>
                <c:pt idx="258">
                  <c:v>7.7183933333333732E-2</c:v>
                </c:pt>
                <c:pt idx="259">
                  <c:v>8.2934000000000285E-2</c:v>
                </c:pt>
                <c:pt idx="260">
                  <c:v>8.1903538888888683E-2</c:v>
                </c:pt>
                <c:pt idx="261">
                  <c:v>9.7627086111111261E-2</c:v>
                </c:pt>
                <c:pt idx="262">
                  <c:v>5.8452574999999896E-2</c:v>
                </c:pt>
                <c:pt idx="263">
                  <c:v>5.5971322222222675E-2</c:v>
                </c:pt>
                <c:pt idx="264">
                  <c:v>6.4844522222222589E-2</c:v>
                </c:pt>
                <c:pt idx="265">
                  <c:v>6.8362505555555453E-2</c:v>
                </c:pt>
                <c:pt idx="266">
                  <c:v>6.9097911111110966E-2</c:v>
                </c:pt>
                <c:pt idx="267">
                  <c:v>6.4711813888888803E-2</c:v>
                </c:pt>
                <c:pt idx="268">
                  <c:v>6.1548630555555706E-2</c:v>
                </c:pt>
                <c:pt idx="269">
                  <c:v>6.3861980555555697E-2</c:v>
                </c:pt>
                <c:pt idx="270">
                  <c:v>5.446233888888885E-2</c:v>
                </c:pt>
                <c:pt idx="271">
                  <c:v>4.3016069444444249E-2</c:v>
                </c:pt>
                <c:pt idx="272">
                  <c:v>5.425842222222188E-2</c:v>
                </c:pt>
                <c:pt idx="273">
                  <c:v>6.3419680555554803E-2</c:v>
                </c:pt>
                <c:pt idx="274">
                  <c:v>5.711899444444446E-2</c:v>
                </c:pt>
                <c:pt idx="275">
                  <c:v>5.6193963888888643E-2</c:v>
                </c:pt>
                <c:pt idx="276">
                  <c:v>7.1038286111111404E-2</c:v>
                </c:pt>
                <c:pt idx="277">
                  <c:v>7.4778483333333479E-2</c:v>
                </c:pt>
                <c:pt idx="278">
                  <c:v>6.3940813888888393E-2</c:v>
                </c:pt>
                <c:pt idx="279">
                  <c:v>6.0706530555555527E-2</c:v>
                </c:pt>
                <c:pt idx="280">
                  <c:v>7.9900872222221864E-2</c:v>
                </c:pt>
                <c:pt idx="281">
                  <c:v>8.1560700000000597E-2</c:v>
                </c:pt>
                <c:pt idx="282">
                  <c:v>0.10062018055555633</c:v>
                </c:pt>
                <c:pt idx="283">
                  <c:v>5.9705438888888906E-2</c:v>
                </c:pt>
                <c:pt idx="284">
                  <c:v>5.1247102777777664E-2</c:v>
                </c:pt>
                <c:pt idx="285">
                  <c:v>8.0262922222222199E-2</c:v>
                </c:pt>
                <c:pt idx="286">
                  <c:v>7.012628888888861E-2</c:v>
                </c:pt>
                <c:pt idx="287">
                  <c:v>6.1924127777778226E-2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32-49D1-81E5-FD5FAE0213EE}"/>
            </c:ext>
          </c:extLst>
        </c:ser>
        <c:ser>
          <c:idx val="4"/>
          <c:order val="4"/>
          <c:tx>
            <c:v>Band50_U</c:v>
          </c:tx>
          <c:spPr>
            <a:solidFill>
              <a:srgbClr val="ACACAC"/>
            </a:solidFill>
          </c:spP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Данные!$BA$2:$BA$289</c:f>
              <c:numCache>
                <c:formatCode>General</c:formatCode>
                <c:ptCount val="288"/>
                <c:pt idx="0">
                  <c:v>9.7918158333333172E-2</c:v>
                </c:pt>
                <c:pt idx="1">
                  <c:v>8.832925555555593E-2</c:v>
                </c:pt>
                <c:pt idx="2">
                  <c:v>6.1054263888889793E-2</c:v>
                </c:pt>
                <c:pt idx="3">
                  <c:v>6.1160194444444316E-2</c:v>
                </c:pt>
                <c:pt idx="4">
                  <c:v>5.9651255555555838E-2</c:v>
                </c:pt>
                <c:pt idx="5">
                  <c:v>4.9464594444444399E-2</c:v>
                </c:pt>
                <c:pt idx="6">
                  <c:v>5.6705680555555249E-2</c:v>
                </c:pt>
                <c:pt idx="7">
                  <c:v>6.510819722222283E-2</c:v>
                </c:pt>
                <c:pt idx="8">
                  <c:v>6.3853186111110793E-2</c:v>
                </c:pt>
                <c:pt idx="9">
                  <c:v>7.2721672222222256E-2</c:v>
                </c:pt>
                <c:pt idx="10">
                  <c:v>7.252908611111164E-2</c:v>
                </c:pt>
                <c:pt idx="11">
                  <c:v>6.3820961111110575E-2</c:v>
                </c:pt>
                <c:pt idx="12">
                  <c:v>5.8301388888888472E-2</c:v>
                </c:pt>
                <c:pt idx="13">
                  <c:v>4.6475408333332413E-2</c:v>
                </c:pt>
                <c:pt idx="14">
                  <c:v>5.4329894444444693E-2</c:v>
                </c:pt>
                <c:pt idx="15">
                  <c:v>6.0379386111111155E-2</c:v>
                </c:pt>
                <c:pt idx="16">
                  <c:v>7.7197411111111558E-2</c:v>
                </c:pt>
                <c:pt idx="17">
                  <c:v>6.7983261111111193E-2</c:v>
                </c:pt>
                <c:pt idx="18">
                  <c:v>8.906136666666653E-2</c:v>
                </c:pt>
                <c:pt idx="19">
                  <c:v>9.6133230555555116E-2</c:v>
                </c:pt>
                <c:pt idx="20">
                  <c:v>8.8005119444444668E-2</c:v>
                </c:pt>
                <c:pt idx="21">
                  <c:v>0.1086127944444446</c:v>
                </c:pt>
                <c:pt idx="22">
                  <c:v>8.9096752777777843E-2</c:v>
                </c:pt>
                <c:pt idx="23">
                  <c:v>8.4088266666666134E-2</c:v>
                </c:pt>
                <c:pt idx="24">
                  <c:v>6.7508627777777663E-2</c:v>
                </c:pt>
                <c:pt idx="25">
                  <c:v>6.6849258333333661E-2</c:v>
                </c:pt>
                <c:pt idx="26">
                  <c:v>5.1362047222221596E-2</c:v>
                </c:pt>
                <c:pt idx="27">
                  <c:v>6.2567627777777468E-2</c:v>
                </c:pt>
                <c:pt idx="28">
                  <c:v>4.0409936111110878E-2</c:v>
                </c:pt>
                <c:pt idx="29">
                  <c:v>4.9119955555555594E-2</c:v>
                </c:pt>
                <c:pt idx="30">
                  <c:v>3.9680691666666434E-2</c:v>
                </c:pt>
                <c:pt idx="31">
                  <c:v>5.3862238888888636E-2</c:v>
                </c:pt>
                <c:pt idx="32">
                  <c:v>4.6355163888888828E-2</c:v>
                </c:pt>
                <c:pt idx="33">
                  <c:v>4.4921225000000065E-2</c:v>
                </c:pt>
                <c:pt idx="34">
                  <c:v>5.4729836111110708E-2</c:v>
                </c:pt>
                <c:pt idx="35">
                  <c:v>3.6027325000000054E-2</c:v>
                </c:pt>
                <c:pt idx="36">
                  <c:v>4.5307563888888902E-2</c:v>
                </c:pt>
                <c:pt idx="37">
                  <c:v>5.4205563888888753E-2</c:v>
                </c:pt>
                <c:pt idx="38">
                  <c:v>5.6511672222221976E-2</c:v>
                </c:pt>
                <c:pt idx="39">
                  <c:v>4.6219877777778251E-2</c:v>
                </c:pt>
                <c:pt idx="40">
                  <c:v>5.3059905555555509E-2</c:v>
                </c:pt>
                <c:pt idx="41">
                  <c:v>6.7382994444444844E-2</c:v>
                </c:pt>
                <c:pt idx="42">
                  <c:v>7.5376380555555733E-2</c:v>
                </c:pt>
                <c:pt idx="43">
                  <c:v>8.1940436111111348E-2</c:v>
                </c:pt>
                <c:pt idx="44">
                  <c:v>0.10457190000000016</c:v>
                </c:pt>
                <c:pt idx="45">
                  <c:v>9.1081583333333271E-2</c:v>
                </c:pt>
                <c:pt idx="46">
                  <c:v>7.4908297222222142E-2</c:v>
                </c:pt>
                <c:pt idx="47">
                  <c:v>6.5357952777778117E-2</c:v>
                </c:pt>
                <c:pt idx="48">
                  <c:v>5.1770125000000111E-2</c:v>
                </c:pt>
                <c:pt idx="49">
                  <c:v>5.6723591666666739E-2</c:v>
                </c:pt>
                <c:pt idx="50">
                  <c:v>5.6826172222222637E-2</c:v>
                </c:pt>
                <c:pt idx="51">
                  <c:v>5.853045833333359E-2</c:v>
                </c:pt>
                <c:pt idx="52">
                  <c:v>5.8609513888888576E-2</c:v>
                </c:pt>
                <c:pt idx="53">
                  <c:v>6.6266299999999889E-2</c:v>
                </c:pt>
                <c:pt idx="54">
                  <c:v>6.2130716666666475E-2</c:v>
                </c:pt>
                <c:pt idx="55">
                  <c:v>5.2878908333333641E-2</c:v>
                </c:pt>
                <c:pt idx="56">
                  <c:v>5.717944999999991E-2</c:v>
                </c:pt>
                <c:pt idx="57">
                  <c:v>6.7298338888888476E-2</c:v>
                </c:pt>
                <c:pt idx="58">
                  <c:v>6.3296913888888695E-2</c:v>
                </c:pt>
                <c:pt idx="59">
                  <c:v>7.6171155555556092E-2</c:v>
                </c:pt>
                <c:pt idx="60">
                  <c:v>8.9593561111111164E-2</c:v>
                </c:pt>
                <c:pt idx="61">
                  <c:v>7.6790147222222327E-2</c:v>
                </c:pt>
                <c:pt idx="62">
                  <c:v>7.7008747222222396E-2</c:v>
                </c:pt>
                <c:pt idx="63">
                  <c:v>7.9129808333333385E-2</c:v>
                </c:pt>
                <c:pt idx="64">
                  <c:v>6.7786333333333726E-2</c:v>
                </c:pt>
                <c:pt idx="65">
                  <c:v>9.4667030555555698E-2</c:v>
                </c:pt>
                <c:pt idx="66">
                  <c:v>7.8123847222222098E-2</c:v>
                </c:pt>
                <c:pt idx="67">
                  <c:v>7.6271924999999685E-2</c:v>
                </c:pt>
                <c:pt idx="68">
                  <c:v>7.0652088888888964E-2</c:v>
                </c:pt>
                <c:pt idx="69">
                  <c:v>8.9075663888888768E-2</c:v>
                </c:pt>
                <c:pt idx="70">
                  <c:v>9.6448349999999961E-2</c:v>
                </c:pt>
                <c:pt idx="71">
                  <c:v>8.6361125000000372E-2</c:v>
                </c:pt>
                <c:pt idx="72">
                  <c:v>9.7935708333333094E-2</c:v>
                </c:pt>
                <c:pt idx="73">
                  <c:v>8.6059552777778103E-2</c:v>
                </c:pt>
                <c:pt idx="74">
                  <c:v>7.4094538888889172E-2</c:v>
                </c:pt>
                <c:pt idx="75">
                  <c:v>8.3629369444444435E-2</c:v>
                </c:pt>
                <c:pt idx="76">
                  <c:v>8.5734097222222472E-2</c:v>
                </c:pt>
                <c:pt idx="77">
                  <c:v>7.7929141666666757E-2</c:v>
                </c:pt>
                <c:pt idx="78">
                  <c:v>6.9260274999999871E-2</c:v>
                </c:pt>
                <c:pt idx="79">
                  <c:v>6.473827777777752E-2</c:v>
                </c:pt>
                <c:pt idx="80">
                  <c:v>7.3544719444444406E-2</c:v>
                </c:pt>
                <c:pt idx="81">
                  <c:v>6.6552786111111373E-2</c:v>
                </c:pt>
                <c:pt idx="82">
                  <c:v>7.3342586111111219E-2</c:v>
                </c:pt>
                <c:pt idx="83">
                  <c:v>9.0910663888889132E-2</c:v>
                </c:pt>
                <c:pt idx="84">
                  <c:v>8.8704458333333069E-2</c:v>
                </c:pt>
                <c:pt idx="85">
                  <c:v>9.0675419444444461E-2</c:v>
                </c:pt>
                <c:pt idx="86">
                  <c:v>0.11352132777777746</c:v>
                </c:pt>
                <c:pt idx="87">
                  <c:v>8.9837822222222363E-2</c:v>
                </c:pt>
                <c:pt idx="88">
                  <c:v>8.0012680555554883E-2</c:v>
                </c:pt>
                <c:pt idx="89">
                  <c:v>7.3447227777778012E-2</c:v>
                </c:pt>
                <c:pt idx="90">
                  <c:v>7.4434883333332813E-2</c:v>
                </c:pt>
                <c:pt idx="91">
                  <c:v>8.0063669444444985E-2</c:v>
                </c:pt>
                <c:pt idx="92">
                  <c:v>8.5212308333332931E-2</c:v>
                </c:pt>
                <c:pt idx="93">
                  <c:v>8.3037641666667161E-2</c:v>
                </c:pt>
                <c:pt idx="94">
                  <c:v>6.8785605555555795E-2</c:v>
                </c:pt>
                <c:pt idx="95">
                  <c:v>7.5148208333333355E-2</c:v>
                </c:pt>
                <c:pt idx="96">
                  <c:v>8.8744311111111196E-2</c:v>
                </c:pt>
                <c:pt idx="97">
                  <c:v>6.8062027777777701E-2</c:v>
                </c:pt>
                <c:pt idx="98">
                  <c:v>6.9349916666666678E-2</c:v>
                </c:pt>
                <c:pt idx="99">
                  <c:v>9.5214288888888943E-2</c:v>
                </c:pt>
                <c:pt idx="100">
                  <c:v>8.5720888888888735E-2</c:v>
                </c:pt>
                <c:pt idx="101">
                  <c:v>6.0792419444444579E-2</c:v>
                </c:pt>
                <c:pt idx="102">
                  <c:v>6.8004922222221986E-2</c:v>
                </c:pt>
                <c:pt idx="103">
                  <c:v>6.7726472222222278E-2</c:v>
                </c:pt>
                <c:pt idx="104">
                  <c:v>3.5418872222222397E-2</c:v>
                </c:pt>
                <c:pt idx="105">
                  <c:v>5.2017422222222498E-2</c:v>
                </c:pt>
                <c:pt idx="106">
                  <c:v>6.9318222222222392E-2</c:v>
                </c:pt>
                <c:pt idx="107">
                  <c:v>3.7651458333333387E-2</c:v>
                </c:pt>
                <c:pt idx="108">
                  <c:v>6.919620277777816E-2</c:v>
                </c:pt>
                <c:pt idx="109">
                  <c:v>7.0623466666666634E-2</c:v>
                </c:pt>
                <c:pt idx="110">
                  <c:v>6.7588874999999438E-2</c:v>
                </c:pt>
                <c:pt idx="111">
                  <c:v>5.6377038888888897E-2</c:v>
                </c:pt>
                <c:pt idx="112">
                  <c:v>5.1386919444444512E-2</c:v>
                </c:pt>
                <c:pt idx="113">
                  <c:v>4.1447491666667058E-2</c:v>
                </c:pt>
                <c:pt idx="114">
                  <c:v>6.6762383333333064E-2</c:v>
                </c:pt>
                <c:pt idx="115">
                  <c:v>4.4025841666666898E-2</c:v>
                </c:pt>
                <c:pt idx="116">
                  <c:v>4.9492413888888476E-2</c:v>
                </c:pt>
                <c:pt idx="117">
                  <c:v>4.0910525000000253E-2</c:v>
                </c:pt>
                <c:pt idx="118">
                  <c:v>5.4360922222222774E-2</c:v>
                </c:pt>
                <c:pt idx="119">
                  <c:v>4.4073019444444417E-2</c:v>
                </c:pt>
                <c:pt idx="120">
                  <c:v>4.2310611111111673E-2</c:v>
                </c:pt>
                <c:pt idx="121">
                  <c:v>4.3347780555555437E-2</c:v>
                </c:pt>
                <c:pt idx="122">
                  <c:v>5.0604883333333461E-2</c:v>
                </c:pt>
                <c:pt idx="123">
                  <c:v>6.4089122222221961E-2</c:v>
                </c:pt>
                <c:pt idx="124">
                  <c:v>6.1062350000000154E-2</c:v>
                </c:pt>
                <c:pt idx="125">
                  <c:v>7.9833191666666914E-2</c:v>
                </c:pt>
                <c:pt idx="126">
                  <c:v>7.4346452777778183E-2</c:v>
                </c:pt>
                <c:pt idx="127">
                  <c:v>6.8843622222222067E-2</c:v>
                </c:pt>
                <c:pt idx="128">
                  <c:v>7.2884466666666037E-2</c:v>
                </c:pt>
                <c:pt idx="129">
                  <c:v>7.8852305555555779E-2</c:v>
                </c:pt>
                <c:pt idx="130">
                  <c:v>9.0738766666666693E-2</c:v>
                </c:pt>
                <c:pt idx="131">
                  <c:v>9.3559738888888577E-2</c:v>
                </c:pt>
                <c:pt idx="132">
                  <c:v>7.3943830555555645E-2</c:v>
                </c:pt>
                <c:pt idx="133">
                  <c:v>7.5527902777778211E-2</c:v>
                </c:pt>
                <c:pt idx="134">
                  <c:v>6.9100883333333862E-2</c:v>
                </c:pt>
                <c:pt idx="135">
                  <c:v>4.7903619444444989E-2</c:v>
                </c:pt>
                <c:pt idx="136">
                  <c:v>4.4353841666666671E-2</c:v>
                </c:pt>
                <c:pt idx="137">
                  <c:v>5.4942277777777604E-2</c:v>
                </c:pt>
                <c:pt idx="138">
                  <c:v>5.3470027777778317E-2</c:v>
                </c:pt>
                <c:pt idx="139">
                  <c:v>5.4012788888888941E-2</c:v>
                </c:pt>
                <c:pt idx="140">
                  <c:v>6.5465563888888911E-2</c:v>
                </c:pt>
                <c:pt idx="141">
                  <c:v>6.3924358333333653E-2</c:v>
                </c:pt>
                <c:pt idx="142">
                  <c:v>6.4881155555555736E-2</c:v>
                </c:pt>
                <c:pt idx="143">
                  <c:v>5.5214219444444712E-2</c:v>
                </c:pt>
                <c:pt idx="144">
                  <c:v>4.3006391666666532E-2</c:v>
                </c:pt>
                <c:pt idx="145">
                  <c:v>6.0664058333333437E-2</c:v>
                </c:pt>
                <c:pt idx="146">
                  <c:v>6.6056505555555645E-2</c:v>
                </c:pt>
                <c:pt idx="147">
                  <c:v>4.7621066666666212E-2</c:v>
                </c:pt>
                <c:pt idx="148">
                  <c:v>8.0456783333333171E-2</c:v>
                </c:pt>
                <c:pt idx="149">
                  <c:v>8.3795799999999865E-2</c:v>
                </c:pt>
                <c:pt idx="150">
                  <c:v>6.7007274999999589E-2</c:v>
                </c:pt>
                <c:pt idx="151">
                  <c:v>6.213621111111145E-2</c:v>
                </c:pt>
                <c:pt idx="152">
                  <c:v>7.1892241666666745E-2</c:v>
                </c:pt>
                <c:pt idx="153">
                  <c:v>5.9035763888889092E-2</c:v>
                </c:pt>
                <c:pt idx="154">
                  <c:v>5.5555419444444532E-2</c:v>
                </c:pt>
                <c:pt idx="155">
                  <c:v>5.8626522222222088E-2</c:v>
                </c:pt>
                <c:pt idx="156">
                  <c:v>4.8453005555554873E-2</c:v>
                </c:pt>
                <c:pt idx="157">
                  <c:v>4.2131424999999556E-2</c:v>
                </c:pt>
                <c:pt idx="158">
                  <c:v>4.5321266666666804E-2</c:v>
                </c:pt>
                <c:pt idx="159">
                  <c:v>3.7939055555555878E-2</c:v>
                </c:pt>
                <c:pt idx="160">
                  <c:v>3.477355277777805E-2</c:v>
                </c:pt>
                <c:pt idx="161">
                  <c:v>3.6872974999999863E-2</c:v>
                </c:pt>
                <c:pt idx="162">
                  <c:v>5.0251330555555862E-2</c:v>
                </c:pt>
                <c:pt idx="163">
                  <c:v>4.0245488888888792E-2</c:v>
                </c:pt>
                <c:pt idx="164">
                  <c:v>6.8580013888889235E-2</c:v>
                </c:pt>
                <c:pt idx="165">
                  <c:v>7.9867927777777292E-2</c:v>
                </c:pt>
                <c:pt idx="166">
                  <c:v>8.8570255555555644E-2</c:v>
                </c:pt>
                <c:pt idx="167">
                  <c:v>8.097544722222183E-2</c:v>
                </c:pt>
                <c:pt idx="168">
                  <c:v>9.0098833333333461E-2</c:v>
                </c:pt>
                <c:pt idx="169">
                  <c:v>7.3259269444444719E-2</c:v>
                </c:pt>
                <c:pt idx="170">
                  <c:v>6.8483638888888865E-2</c:v>
                </c:pt>
                <c:pt idx="171">
                  <c:v>7.7954958333333102E-2</c:v>
                </c:pt>
                <c:pt idx="172">
                  <c:v>7.0202172222222248E-2</c:v>
                </c:pt>
                <c:pt idx="173">
                  <c:v>7.6653430555555402E-2</c:v>
                </c:pt>
                <c:pt idx="174">
                  <c:v>6.2701519444444687E-2</c:v>
                </c:pt>
                <c:pt idx="175">
                  <c:v>5.0824033333333629E-2</c:v>
                </c:pt>
                <c:pt idx="176">
                  <c:v>4.8191466666667404E-2</c:v>
                </c:pt>
                <c:pt idx="177">
                  <c:v>4.9481019444444163E-2</c:v>
                </c:pt>
                <c:pt idx="178">
                  <c:v>7.6351147222222249E-2</c:v>
                </c:pt>
                <c:pt idx="179">
                  <c:v>6.5958252777778115E-2</c:v>
                </c:pt>
                <c:pt idx="180">
                  <c:v>5.0882588888888747E-2</c:v>
                </c:pt>
                <c:pt idx="181">
                  <c:v>6.3861855555554903E-2</c:v>
                </c:pt>
                <c:pt idx="182">
                  <c:v>7.0170266666666925E-2</c:v>
                </c:pt>
                <c:pt idx="183">
                  <c:v>5.9050788888888706E-2</c:v>
                </c:pt>
                <c:pt idx="184">
                  <c:v>5.2296505555555428E-2</c:v>
                </c:pt>
                <c:pt idx="185">
                  <c:v>5.9403008333333673E-2</c:v>
                </c:pt>
                <c:pt idx="186">
                  <c:v>5.6461066666666726E-2</c:v>
                </c:pt>
                <c:pt idx="187">
                  <c:v>6.7113300000000264E-2</c:v>
                </c:pt>
                <c:pt idx="188">
                  <c:v>5.6179630555555637E-2</c:v>
                </c:pt>
                <c:pt idx="189">
                  <c:v>6.1120980555555149E-2</c:v>
                </c:pt>
                <c:pt idx="190">
                  <c:v>7.3818761111111297E-2</c:v>
                </c:pt>
                <c:pt idx="191">
                  <c:v>5.8446955555555791E-2</c:v>
                </c:pt>
                <c:pt idx="192">
                  <c:v>3.076532222222228E-2</c:v>
                </c:pt>
                <c:pt idx="193">
                  <c:v>2.7656683333333265E-2</c:v>
                </c:pt>
                <c:pt idx="194">
                  <c:v>2.1763594444444312E-2</c:v>
                </c:pt>
                <c:pt idx="195">
                  <c:v>3.867087777777789E-2</c:v>
                </c:pt>
                <c:pt idx="196">
                  <c:v>3.2450377777778372E-2</c:v>
                </c:pt>
                <c:pt idx="197">
                  <c:v>4.0849041666666364E-2</c:v>
                </c:pt>
                <c:pt idx="198">
                  <c:v>5.5111163888889036E-2</c:v>
                </c:pt>
                <c:pt idx="199">
                  <c:v>5.5101733333332903E-2</c:v>
                </c:pt>
                <c:pt idx="200">
                  <c:v>3.2012544444444457E-2</c:v>
                </c:pt>
                <c:pt idx="201">
                  <c:v>4.9132952777776739E-2</c:v>
                </c:pt>
                <c:pt idx="202">
                  <c:v>4.6145502777777403E-2</c:v>
                </c:pt>
                <c:pt idx="203">
                  <c:v>3.8813744444444298E-2</c:v>
                </c:pt>
                <c:pt idx="204">
                  <c:v>2.6525988888888241E-2</c:v>
                </c:pt>
                <c:pt idx="205">
                  <c:v>3.8773116666667273E-2</c:v>
                </c:pt>
                <c:pt idx="206">
                  <c:v>6.0610116666667047E-2</c:v>
                </c:pt>
                <c:pt idx="207">
                  <c:v>5.9972355555555579E-2</c:v>
                </c:pt>
                <c:pt idx="208">
                  <c:v>6.5778569444444379E-2</c:v>
                </c:pt>
                <c:pt idx="209">
                  <c:v>8.2369836111111372E-2</c:v>
                </c:pt>
                <c:pt idx="210">
                  <c:v>8.4442069444444656E-2</c:v>
                </c:pt>
                <c:pt idx="211">
                  <c:v>9.401437222222131E-2</c:v>
                </c:pt>
                <c:pt idx="212">
                  <c:v>8.7877536111110488E-2</c:v>
                </c:pt>
                <c:pt idx="213">
                  <c:v>5.6732694444444287E-2</c:v>
                </c:pt>
                <c:pt idx="214">
                  <c:v>5.5589561111111574E-2</c:v>
                </c:pt>
                <c:pt idx="215">
                  <c:v>5.2078394444444065E-2</c:v>
                </c:pt>
                <c:pt idx="216">
                  <c:v>5.0594666666666566E-2</c:v>
                </c:pt>
                <c:pt idx="217">
                  <c:v>4.9656700000000442E-2</c:v>
                </c:pt>
                <c:pt idx="218">
                  <c:v>4.7952138888889162E-2</c:v>
                </c:pt>
                <c:pt idx="219">
                  <c:v>3.8886355555555752E-2</c:v>
                </c:pt>
                <c:pt idx="220">
                  <c:v>4.4771680555555249E-2</c:v>
                </c:pt>
                <c:pt idx="221">
                  <c:v>6.0618252777777326E-2</c:v>
                </c:pt>
                <c:pt idx="222">
                  <c:v>6.0196730555555633E-2</c:v>
                </c:pt>
                <c:pt idx="223">
                  <c:v>7.6354941666666787E-2</c:v>
                </c:pt>
                <c:pt idx="224">
                  <c:v>6.7602627777777702E-2</c:v>
                </c:pt>
                <c:pt idx="225">
                  <c:v>7.3922794444444384E-2</c:v>
                </c:pt>
                <c:pt idx="226">
                  <c:v>3.6844494444444154E-2</c:v>
                </c:pt>
                <c:pt idx="227">
                  <c:v>3.9330863888888623E-2</c:v>
                </c:pt>
                <c:pt idx="228">
                  <c:v>4.3174350000000472E-2</c:v>
                </c:pt>
                <c:pt idx="229">
                  <c:v>4.8052724999999907E-2</c:v>
                </c:pt>
                <c:pt idx="230">
                  <c:v>3.7499869444444833E-2</c:v>
                </c:pt>
                <c:pt idx="231">
                  <c:v>3.3737216666666958E-2</c:v>
                </c:pt>
                <c:pt idx="232">
                  <c:v>2.1409602777778036E-2</c:v>
                </c:pt>
                <c:pt idx="233">
                  <c:v>3.7249761111111224E-2</c:v>
                </c:pt>
                <c:pt idx="234">
                  <c:v>2.3436683333333042E-2</c:v>
                </c:pt>
                <c:pt idx="235">
                  <c:v>2.3228180555555533E-2</c:v>
                </c:pt>
                <c:pt idx="236">
                  <c:v>2.4517155555555337E-2</c:v>
                </c:pt>
                <c:pt idx="237">
                  <c:v>2.3516319444444211E-2</c:v>
                </c:pt>
                <c:pt idx="238">
                  <c:v>2.2789994444444628E-2</c:v>
                </c:pt>
                <c:pt idx="239">
                  <c:v>2.2754758333333402E-2</c:v>
                </c:pt>
                <c:pt idx="240">
                  <c:v>2.1580922222222076E-2</c:v>
                </c:pt>
                <c:pt idx="241">
                  <c:v>2.8507983333333264E-2</c:v>
                </c:pt>
                <c:pt idx="242">
                  <c:v>2.1871202777777987E-2</c:v>
                </c:pt>
                <c:pt idx="243">
                  <c:v>3.8207583333332851E-2</c:v>
                </c:pt>
                <c:pt idx="244">
                  <c:v>5.2289880555555612E-2</c:v>
                </c:pt>
                <c:pt idx="245">
                  <c:v>4.7530330555555889E-2</c:v>
                </c:pt>
                <c:pt idx="246">
                  <c:v>3.7395011111111098E-2</c:v>
                </c:pt>
                <c:pt idx="247">
                  <c:v>6.9906800000000047E-2</c:v>
                </c:pt>
                <c:pt idx="248">
                  <c:v>7.7840208333333605E-2</c:v>
                </c:pt>
                <c:pt idx="249">
                  <c:v>7.5057891666666321E-2</c:v>
                </c:pt>
                <c:pt idx="250">
                  <c:v>0.11733548333333332</c:v>
                </c:pt>
                <c:pt idx="251">
                  <c:v>0.12253688333333312</c:v>
                </c:pt>
                <c:pt idx="252">
                  <c:v>0.10715538888888931</c:v>
                </c:pt>
                <c:pt idx="253">
                  <c:v>0.10708045277777756</c:v>
                </c:pt>
                <c:pt idx="254">
                  <c:v>0.12130908055555545</c:v>
                </c:pt>
                <c:pt idx="255">
                  <c:v>0.11698298055555556</c:v>
                </c:pt>
                <c:pt idx="256">
                  <c:v>0.11771181111111073</c:v>
                </c:pt>
                <c:pt idx="257">
                  <c:v>9.743275000000029E-2</c:v>
                </c:pt>
                <c:pt idx="258">
                  <c:v>0.10498817777777758</c:v>
                </c:pt>
                <c:pt idx="259">
                  <c:v>7.9216308333333152E-2</c:v>
                </c:pt>
                <c:pt idx="260">
                  <c:v>7.7721133333333192E-2</c:v>
                </c:pt>
                <c:pt idx="261">
                  <c:v>5.3424749999999577E-2</c:v>
                </c:pt>
                <c:pt idx="262">
                  <c:v>9.3333008333333023E-2</c:v>
                </c:pt>
                <c:pt idx="263">
                  <c:v>8.9155463888888287E-2</c:v>
                </c:pt>
                <c:pt idx="264">
                  <c:v>0.10121433888888898</c:v>
                </c:pt>
                <c:pt idx="265">
                  <c:v>0.10107588055555572</c:v>
                </c:pt>
                <c:pt idx="266">
                  <c:v>9.7684005555556119E-2</c:v>
                </c:pt>
                <c:pt idx="267">
                  <c:v>9.5020391666667203E-2</c:v>
                </c:pt>
                <c:pt idx="268">
                  <c:v>8.9740427777777132E-2</c:v>
                </c:pt>
                <c:pt idx="269">
                  <c:v>8.5799250000000105E-2</c:v>
                </c:pt>
                <c:pt idx="270">
                  <c:v>8.7692188888888523E-2</c:v>
                </c:pt>
                <c:pt idx="271">
                  <c:v>9.4553255555555271E-2</c:v>
                </c:pt>
                <c:pt idx="272">
                  <c:v>6.6176933333333188E-2</c:v>
                </c:pt>
                <c:pt idx="273">
                  <c:v>5.8189577777778445E-2</c:v>
                </c:pt>
                <c:pt idx="274">
                  <c:v>5.8679461111110776E-2</c:v>
                </c:pt>
                <c:pt idx="275">
                  <c:v>6.4317169444444877E-2</c:v>
                </c:pt>
                <c:pt idx="276">
                  <c:v>5.9747641666666906E-2</c:v>
                </c:pt>
                <c:pt idx="277">
                  <c:v>7.0389861111111451E-2</c:v>
                </c:pt>
                <c:pt idx="278">
                  <c:v>8.335077500000021E-2</c:v>
                </c:pt>
                <c:pt idx="279">
                  <c:v>7.3432561111111405E-2</c:v>
                </c:pt>
                <c:pt idx="280">
                  <c:v>5.0568791666666835E-2</c:v>
                </c:pt>
                <c:pt idx="281">
                  <c:v>6.2873611111110783E-2</c:v>
                </c:pt>
                <c:pt idx="282">
                  <c:v>7.0300363888888162E-2</c:v>
                </c:pt>
                <c:pt idx="283">
                  <c:v>9.0211044444443944E-2</c:v>
                </c:pt>
                <c:pt idx="284">
                  <c:v>0.10511530555555537</c:v>
                </c:pt>
                <c:pt idx="285">
                  <c:v>7.2757416666666686E-2</c:v>
                </c:pt>
                <c:pt idx="286">
                  <c:v>8.3621569444445099E-2</c:v>
                </c:pt>
                <c:pt idx="287">
                  <c:v>0.10742484166666599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32-49D1-81E5-FD5FAE0213EE}"/>
            </c:ext>
          </c:extLst>
        </c:ser>
        <c:ser>
          <c:idx val="5"/>
          <c:order val="5"/>
          <c:tx>
            <c:v>Band90_U</c:v>
          </c:tx>
          <c:spPr>
            <a:solidFill>
              <a:srgbClr val="C8C8C8"/>
            </a:solidFill>
          </c:spP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Данные!$BB$2:$BB$289</c:f>
              <c:numCache>
                <c:formatCode>General</c:formatCode>
                <c:ptCount val="288"/>
                <c:pt idx="0">
                  <c:v>3.8516260555555459E-2</c:v>
                </c:pt>
                <c:pt idx="1">
                  <c:v>6.6851101666666191E-2</c:v>
                </c:pt>
                <c:pt idx="2">
                  <c:v>8.0972573333333075E-2</c:v>
                </c:pt>
                <c:pt idx="3">
                  <c:v>0.11718893888888882</c:v>
                </c:pt>
                <c:pt idx="4">
                  <c:v>0.10460914833333301</c:v>
                </c:pt>
                <c:pt idx="5">
                  <c:v>0.10635568055555533</c:v>
                </c:pt>
                <c:pt idx="6">
                  <c:v>0.1021815222222221</c:v>
                </c:pt>
                <c:pt idx="7">
                  <c:v>0.12529270722222186</c:v>
                </c:pt>
                <c:pt idx="8">
                  <c:v>0.10742708888888897</c:v>
                </c:pt>
                <c:pt idx="9">
                  <c:v>0.10508465444444492</c:v>
                </c:pt>
                <c:pt idx="10">
                  <c:v>0.10369998222222232</c:v>
                </c:pt>
                <c:pt idx="11">
                  <c:v>0.10621171722222245</c:v>
                </c:pt>
                <c:pt idx="12">
                  <c:v>0.10857275999999971</c:v>
                </c:pt>
                <c:pt idx="13">
                  <c:v>0.10257896000000077</c:v>
                </c:pt>
                <c:pt idx="14">
                  <c:v>0.10795882222222186</c:v>
                </c:pt>
                <c:pt idx="15">
                  <c:v>0.11111934166666615</c:v>
                </c:pt>
                <c:pt idx="16">
                  <c:v>0.102739269444444</c:v>
                </c:pt>
                <c:pt idx="17">
                  <c:v>9.5614090555554809E-2</c:v>
                </c:pt>
                <c:pt idx="18">
                  <c:v>8.9197292777777548E-2</c:v>
                </c:pt>
                <c:pt idx="19">
                  <c:v>5.9367405000000262E-2</c:v>
                </c:pt>
                <c:pt idx="20">
                  <c:v>6.1123460555555176E-2</c:v>
                </c:pt>
                <c:pt idx="21">
                  <c:v>6.3760352222222205E-2</c:v>
                </c:pt>
                <c:pt idx="22">
                  <c:v>7.3221564444444387E-2</c:v>
                </c:pt>
                <c:pt idx="23">
                  <c:v>6.6710943333333494E-2</c:v>
                </c:pt>
                <c:pt idx="24">
                  <c:v>8.039820444444401E-2</c:v>
                </c:pt>
                <c:pt idx="25">
                  <c:v>8.2707795555556074E-2</c:v>
                </c:pt>
                <c:pt idx="26">
                  <c:v>8.9041135000000105E-2</c:v>
                </c:pt>
                <c:pt idx="27">
                  <c:v>7.2153814444444575E-2</c:v>
                </c:pt>
                <c:pt idx="28">
                  <c:v>8.1758783333333973E-2</c:v>
                </c:pt>
                <c:pt idx="29">
                  <c:v>9.4254622222221807E-2</c:v>
                </c:pt>
                <c:pt idx="30">
                  <c:v>0.11460102333333277</c:v>
                </c:pt>
                <c:pt idx="31">
                  <c:v>0.11324930277777789</c:v>
                </c:pt>
                <c:pt idx="32">
                  <c:v>0.13047766222222223</c:v>
                </c:pt>
                <c:pt idx="33">
                  <c:v>0.13173769555555526</c:v>
                </c:pt>
                <c:pt idx="34">
                  <c:v>0.11122606888888875</c:v>
                </c:pt>
                <c:pt idx="35">
                  <c:v>0.12497868500000031</c:v>
                </c:pt>
                <c:pt idx="36">
                  <c:v>0.11868436166666652</c:v>
                </c:pt>
                <c:pt idx="37">
                  <c:v>0.13049974666666664</c:v>
                </c:pt>
                <c:pt idx="38">
                  <c:v>0.13269755888888934</c:v>
                </c:pt>
                <c:pt idx="39">
                  <c:v>0.14819304999999927</c:v>
                </c:pt>
                <c:pt idx="40">
                  <c:v>0.11295470888888826</c:v>
                </c:pt>
                <c:pt idx="41">
                  <c:v>0.10981747722222157</c:v>
                </c:pt>
                <c:pt idx="42">
                  <c:v>0.10513989888888897</c:v>
                </c:pt>
                <c:pt idx="43">
                  <c:v>9.0977293888888533E-2</c:v>
                </c:pt>
                <c:pt idx="44">
                  <c:v>8.1550309999999349E-2</c:v>
                </c:pt>
                <c:pt idx="45">
                  <c:v>9.7520154999999886E-2</c:v>
                </c:pt>
                <c:pt idx="46">
                  <c:v>0.10387307111111055</c:v>
                </c:pt>
                <c:pt idx="47">
                  <c:v>0.10417840833333292</c:v>
                </c:pt>
                <c:pt idx="48">
                  <c:v>0.11792927055555535</c:v>
                </c:pt>
                <c:pt idx="49">
                  <c:v>0.11723777055555551</c:v>
                </c:pt>
                <c:pt idx="50">
                  <c:v>0.10696100999999969</c:v>
                </c:pt>
                <c:pt idx="51">
                  <c:v>0.10825601999999979</c:v>
                </c:pt>
                <c:pt idx="52">
                  <c:v>0.10552690611111148</c:v>
                </c:pt>
                <c:pt idx="53">
                  <c:v>0.11150663388888893</c:v>
                </c:pt>
                <c:pt idx="54">
                  <c:v>0.10197579944444446</c:v>
                </c:pt>
                <c:pt idx="55">
                  <c:v>0.10503227222222156</c:v>
                </c:pt>
                <c:pt idx="56">
                  <c:v>0.10065250166666639</c:v>
                </c:pt>
                <c:pt idx="57">
                  <c:v>0.11044938944444438</c:v>
                </c:pt>
                <c:pt idx="58">
                  <c:v>9.4127337777777931E-2</c:v>
                </c:pt>
                <c:pt idx="59">
                  <c:v>7.8333171111110489E-2</c:v>
                </c:pt>
                <c:pt idx="60">
                  <c:v>6.527779888888896E-2</c:v>
                </c:pt>
                <c:pt idx="61">
                  <c:v>7.5782510000000247E-2</c:v>
                </c:pt>
                <c:pt idx="62">
                  <c:v>9.0491535555555336E-2</c:v>
                </c:pt>
                <c:pt idx="63">
                  <c:v>8.0025072222222327E-2</c:v>
                </c:pt>
                <c:pt idx="64">
                  <c:v>8.687809166666649E-2</c:v>
                </c:pt>
                <c:pt idx="65">
                  <c:v>6.2512617222222677E-2</c:v>
                </c:pt>
                <c:pt idx="66">
                  <c:v>8.1744165555556192E-2</c:v>
                </c:pt>
                <c:pt idx="67">
                  <c:v>8.8828482222222171E-2</c:v>
                </c:pt>
                <c:pt idx="68">
                  <c:v>7.543818888888898E-2</c:v>
                </c:pt>
                <c:pt idx="69">
                  <c:v>8.2546170555555354E-2</c:v>
                </c:pt>
                <c:pt idx="70">
                  <c:v>7.8542680555555688E-2</c:v>
                </c:pt>
                <c:pt idx="71">
                  <c:v>7.4310193333333108E-2</c:v>
                </c:pt>
                <c:pt idx="72">
                  <c:v>6.1700344444445054E-2</c:v>
                </c:pt>
                <c:pt idx="73">
                  <c:v>7.9488459999999317E-2</c:v>
                </c:pt>
                <c:pt idx="74">
                  <c:v>9.9139340555555511E-2</c:v>
                </c:pt>
                <c:pt idx="75">
                  <c:v>0.10779478666666698</c:v>
                </c:pt>
                <c:pt idx="76">
                  <c:v>9.4338313888888803E-2</c:v>
                </c:pt>
                <c:pt idx="77">
                  <c:v>9.4989042777777644E-2</c:v>
                </c:pt>
                <c:pt idx="78">
                  <c:v>8.3768282222222656E-2</c:v>
                </c:pt>
                <c:pt idx="79">
                  <c:v>7.7274322222222191E-2</c:v>
                </c:pt>
                <c:pt idx="80">
                  <c:v>7.4040022777777215E-2</c:v>
                </c:pt>
                <c:pt idx="81">
                  <c:v>8.5503736666666552E-2</c:v>
                </c:pt>
                <c:pt idx="82">
                  <c:v>9.7754857777777371E-2</c:v>
                </c:pt>
                <c:pt idx="83">
                  <c:v>0.10702109833333273</c:v>
                </c:pt>
                <c:pt idx="84">
                  <c:v>9.0708119999999837E-2</c:v>
                </c:pt>
                <c:pt idx="85">
                  <c:v>0.10576613777777699</c:v>
                </c:pt>
                <c:pt idx="86">
                  <c:v>8.1987376666667222E-2</c:v>
                </c:pt>
                <c:pt idx="87">
                  <c:v>6.3907351111111232E-2</c:v>
                </c:pt>
                <c:pt idx="88">
                  <c:v>7.5730190555555743E-2</c:v>
                </c:pt>
                <c:pt idx="89">
                  <c:v>7.2869652777777683E-2</c:v>
                </c:pt>
                <c:pt idx="90">
                  <c:v>7.5058838888889423E-2</c:v>
                </c:pt>
                <c:pt idx="91">
                  <c:v>0.11189281277777752</c:v>
                </c:pt>
                <c:pt idx="92">
                  <c:v>6.2583284444444942E-2</c:v>
                </c:pt>
                <c:pt idx="93">
                  <c:v>5.051500277777754E-2</c:v>
                </c:pt>
                <c:pt idx="94">
                  <c:v>5.6872534999999447E-2</c:v>
                </c:pt>
                <c:pt idx="95">
                  <c:v>6.7557573888888722E-2</c:v>
                </c:pt>
                <c:pt idx="96">
                  <c:v>6.5447576666666452E-2</c:v>
                </c:pt>
                <c:pt idx="97">
                  <c:v>6.6520938333333723E-2</c:v>
                </c:pt>
                <c:pt idx="98">
                  <c:v>6.310697722222236E-2</c:v>
                </c:pt>
                <c:pt idx="99">
                  <c:v>5.7236717777777835E-2</c:v>
                </c:pt>
                <c:pt idx="100">
                  <c:v>7.5284697222222308E-2</c:v>
                </c:pt>
                <c:pt idx="101">
                  <c:v>8.7601157222221726E-2</c:v>
                </c:pt>
                <c:pt idx="102">
                  <c:v>8.2745942777777914E-2</c:v>
                </c:pt>
                <c:pt idx="103">
                  <c:v>7.5703539444444634E-2</c:v>
                </c:pt>
                <c:pt idx="104">
                  <c:v>8.5984308333332926E-2</c:v>
                </c:pt>
                <c:pt idx="105">
                  <c:v>7.4921967777777043E-2</c:v>
                </c:pt>
                <c:pt idx="106">
                  <c:v>8.9459288888888322E-2</c:v>
                </c:pt>
                <c:pt idx="107">
                  <c:v>0.11883590999999982</c:v>
                </c:pt>
                <c:pt idx="108">
                  <c:v>8.6967842777777693E-2</c:v>
                </c:pt>
                <c:pt idx="109">
                  <c:v>8.5252659444444934E-2</c:v>
                </c:pt>
                <c:pt idx="110">
                  <c:v>8.6610746666666572E-2</c:v>
                </c:pt>
                <c:pt idx="111">
                  <c:v>8.3059954444444584E-2</c:v>
                </c:pt>
                <c:pt idx="112">
                  <c:v>9.6653985555555044E-2</c:v>
                </c:pt>
                <c:pt idx="113">
                  <c:v>9.415868777777725E-2</c:v>
                </c:pt>
                <c:pt idx="114">
                  <c:v>0.11737126055555536</c:v>
                </c:pt>
                <c:pt idx="115">
                  <c:v>0.13749384944444432</c:v>
                </c:pt>
                <c:pt idx="116">
                  <c:v>0.10628122500000003</c:v>
                </c:pt>
                <c:pt idx="117">
                  <c:v>0.1029575899999996</c:v>
                </c:pt>
                <c:pt idx="118">
                  <c:v>9.8704439444443737E-2</c:v>
                </c:pt>
                <c:pt idx="119">
                  <c:v>0.10653601055555517</c:v>
                </c:pt>
                <c:pt idx="120">
                  <c:v>9.7028243333332598E-2</c:v>
                </c:pt>
                <c:pt idx="121">
                  <c:v>0.12566804499999973</c:v>
                </c:pt>
                <c:pt idx="122">
                  <c:v>0.10259709499999969</c:v>
                </c:pt>
                <c:pt idx="123">
                  <c:v>9.0206660000000438E-2</c:v>
                </c:pt>
                <c:pt idx="124">
                  <c:v>8.6228080555555309E-2</c:v>
                </c:pt>
                <c:pt idx="125">
                  <c:v>6.5804922777777719E-2</c:v>
                </c:pt>
                <c:pt idx="126">
                  <c:v>5.9679466111110968E-2</c:v>
                </c:pt>
                <c:pt idx="127">
                  <c:v>8.5955657777777805E-2</c:v>
                </c:pt>
                <c:pt idx="128">
                  <c:v>7.5684195555556166E-2</c:v>
                </c:pt>
                <c:pt idx="129">
                  <c:v>5.4423255555555161E-2</c:v>
                </c:pt>
                <c:pt idx="130">
                  <c:v>8.0151992777777181E-2</c:v>
                </c:pt>
                <c:pt idx="131">
                  <c:v>9.3024576111110924E-2</c:v>
                </c:pt>
                <c:pt idx="132">
                  <c:v>0.10115297722222172</c:v>
                </c:pt>
                <c:pt idx="133">
                  <c:v>0.10448164666666582</c:v>
                </c:pt>
                <c:pt idx="134">
                  <c:v>8.8435251111110724E-2</c:v>
                </c:pt>
                <c:pt idx="135">
                  <c:v>8.6441727222221987E-2</c:v>
                </c:pt>
                <c:pt idx="136">
                  <c:v>9.5421143333332958E-2</c:v>
                </c:pt>
                <c:pt idx="137">
                  <c:v>8.6122452222221813E-2</c:v>
                </c:pt>
                <c:pt idx="138">
                  <c:v>0.11885348333333334</c:v>
                </c:pt>
                <c:pt idx="139">
                  <c:v>0.10968324777777794</c:v>
                </c:pt>
                <c:pt idx="140">
                  <c:v>9.4967164444444307E-2</c:v>
                </c:pt>
                <c:pt idx="141">
                  <c:v>8.8109018888889001E-2</c:v>
                </c:pt>
                <c:pt idx="142">
                  <c:v>8.0474730555555096E-2</c:v>
                </c:pt>
                <c:pt idx="143">
                  <c:v>7.7472670000000354E-2</c:v>
                </c:pt>
                <c:pt idx="144">
                  <c:v>8.6020263888888948E-2</c:v>
                </c:pt>
                <c:pt idx="145">
                  <c:v>8.2289937777777267E-2</c:v>
                </c:pt>
                <c:pt idx="146">
                  <c:v>8.7364909444444527E-2</c:v>
                </c:pt>
                <c:pt idx="147">
                  <c:v>8.1907733333333232E-2</c:v>
                </c:pt>
                <c:pt idx="148">
                  <c:v>6.6223092777777604E-2</c:v>
                </c:pt>
                <c:pt idx="149">
                  <c:v>7.4273291666666408E-2</c:v>
                </c:pt>
                <c:pt idx="150">
                  <c:v>8.3857345555555796E-2</c:v>
                </c:pt>
                <c:pt idx="151">
                  <c:v>0.10330048499999878</c:v>
                </c:pt>
                <c:pt idx="152">
                  <c:v>8.8209691666666257E-2</c:v>
                </c:pt>
                <c:pt idx="153">
                  <c:v>8.0307692777777717E-2</c:v>
                </c:pt>
                <c:pt idx="154">
                  <c:v>8.5610110000000184E-2</c:v>
                </c:pt>
                <c:pt idx="155">
                  <c:v>9.620782166666686E-2</c:v>
                </c:pt>
                <c:pt idx="156">
                  <c:v>9.5440603888888864E-2</c:v>
                </c:pt>
                <c:pt idx="157">
                  <c:v>8.6144166111111198E-2</c:v>
                </c:pt>
                <c:pt idx="158">
                  <c:v>7.1364707222222101E-2</c:v>
                </c:pt>
                <c:pt idx="159">
                  <c:v>7.3575994444445403E-2</c:v>
                </c:pt>
                <c:pt idx="160">
                  <c:v>6.8657733333332804E-2</c:v>
                </c:pt>
                <c:pt idx="161">
                  <c:v>7.4300679444444295E-2</c:v>
                </c:pt>
                <c:pt idx="162">
                  <c:v>5.9426650555555738E-2</c:v>
                </c:pt>
                <c:pt idx="163">
                  <c:v>5.1470178333333561E-2</c:v>
                </c:pt>
                <c:pt idx="164">
                  <c:v>4.4396919444444127E-2</c:v>
                </c:pt>
                <c:pt idx="165">
                  <c:v>5.4529073888888946E-2</c:v>
                </c:pt>
                <c:pt idx="166">
                  <c:v>5.3201692222222263E-2</c:v>
                </c:pt>
                <c:pt idx="167">
                  <c:v>6.5704744444444185E-2</c:v>
                </c:pt>
                <c:pt idx="168">
                  <c:v>4.6573046666666618E-2</c:v>
                </c:pt>
                <c:pt idx="169">
                  <c:v>7.1175390000000283E-2</c:v>
                </c:pt>
                <c:pt idx="170">
                  <c:v>7.6497597222222491E-2</c:v>
                </c:pt>
                <c:pt idx="171">
                  <c:v>5.873263388888883E-2</c:v>
                </c:pt>
                <c:pt idx="172">
                  <c:v>6.1173651666666662E-2</c:v>
                </c:pt>
                <c:pt idx="173">
                  <c:v>4.4171556111111787E-2</c:v>
                </c:pt>
                <c:pt idx="174">
                  <c:v>6.855958777777782E-2</c:v>
                </c:pt>
                <c:pt idx="175">
                  <c:v>8.298829166666688E-2</c:v>
                </c:pt>
                <c:pt idx="176">
                  <c:v>8.7737851111110654E-2</c:v>
                </c:pt>
                <c:pt idx="177">
                  <c:v>5.9894024444445026E-2</c:v>
                </c:pt>
                <c:pt idx="178">
                  <c:v>3.5414131111111025E-2</c:v>
                </c:pt>
                <c:pt idx="179">
                  <c:v>4.7249740555555308E-2</c:v>
                </c:pt>
                <c:pt idx="180">
                  <c:v>7.8341204444443924E-2</c:v>
                </c:pt>
                <c:pt idx="181">
                  <c:v>8.498131333333403E-2</c:v>
                </c:pt>
                <c:pt idx="182">
                  <c:v>7.8589233333332564E-2</c:v>
                </c:pt>
                <c:pt idx="183">
                  <c:v>8.7120782222222304E-2</c:v>
                </c:pt>
                <c:pt idx="184">
                  <c:v>0.12804046388888879</c:v>
                </c:pt>
                <c:pt idx="185">
                  <c:v>0.10799996833333347</c:v>
                </c:pt>
                <c:pt idx="186">
                  <c:v>0.10717393333333225</c:v>
                </c:pt>
                <c:pt idx="187">
                  <c:v>9.7787503888888461E-2</c:v>
                </c:pt>
                <c:pt idx="188">
                  <c:v>0.10378864166666668</c:v>
                </c:pt>
                <c:pt idx="189">
                  <c:v>0.11683368388888837</c:v>
                </c:pt>
                <c:pt idx="190">
                  <c:v>0.11241451777777822</c:v>
                </c:pt>
                <c:pt idx="191">
                  <c:v>0.14262308222222242</c:v>
                </c:pt>
                <c:pt idx="192">
                  <c:v>0.15565609222222276</c:v>
                </c:pt>
                <c:pt idx="193">
                  <c:v>0.16769158388888838</c:v>
                </c:pt>
                <c:pt idx="194">
                  <c:v>0.16683369444444429</c:v>
                </c:pt>
                <c:pt idx="195">
                  <c:v>0.16166038555555462</c:v>
                </c:pt>
                <c:pt idx="196">
                  <c:v>0.14767825499999954</c:v>
                </c:pt>
                <c:pt idx="197">
                  <c:v>0.10978907388888914</c:v>
                </c:pt>
                <c:pt idx="198">
                  <c:v>0.10224153388888868</c:v>
                </c:pt>
                <c:pt idx="199">
                  <c:v>0.10096952277777804</c:v>
                </c:pt>
                <c:pt idx="200">
                  <c:v>0.10781689722222287</c:v>
                </c:pt>
                <c:pt idx="201">
                  <c:v>8.4776283888889581E-2</c:v>
                </c:pt>
                <c:pt idx="202">
                  <c:v>9.9841239444444563E-2</c:v>
                </c:pt>
                <c:pt idx="203">
                  <c:v>0.12679279055555581</c:v>
                </c:pt>
                <c:pt idx="204">
                  <c:v>0.1329685427777777</c:v>
                </c:pt>
                <c:pt idx="205">
                  <c:v>0.13315603666666653</c:v>
                </c:pt>
                <c:pt idx="206">
                  <c:v>9.5576329999999876E-2</c:v>
                </c:pt>
                <c:pt idx="207">
                  <c:v>0.1161864038888889</c:v>
                </c:pt>
                <c:pt idx="208">
                  <c:v>0.12116556222222274</c:v>
                </c:pt>
                <c:pt idx="209">
                  <c:v>0.10815945277777761</c:v>
                </c:pt>
                <c:pt idx="210">
                  <c:v>0.10116548222222255</c:v>
                </c:pt>
                <c:pt idx="211">
                  <c:v>9.6830607222222143E-2</c:v>
                </c:pt>
                <c:pt idx="212">
                  <c:v>8.3962720000000712E-2</c:v>
                </c:pt>
                <c:pt idx="213">
                  <c:v>0.10054594555555552</c:v>
                </c:pt>
                <c:pt idx="214">
                  <c:v>0.10908264499999976</c:v>
                </c:pt>
                <c:pt idx="215">
                  <c:v>0.10855198055555659</c:v>
                </c:pt>
                <c:pt idx="216">
                  <c:v>8.4841908888888984E-2</c:v>
                </c:pt>
                <c:pt idx="217">
                  <c:v>9.5311104999999841E-2</c:v>
                </c:pt>
                <c:pt idx="218">
                  <c:v>8.743563611111127E-2</c:v>
                </c:pt>
                <c:pt idx="219">
                  <c:v>8.9225886111111263E-2</c:v>
                </c:pt>
                <c:pt idx="220">
                  <c:v>7.8809822222222214E-2</c:v>
                </c:pt>
                <c:pt idx="221">
                  <c:v>6.9441980000000236E-2</c:v>
                </c:pt>
                <c:pt idx="222">
                  <c:v>7.6589318333333156E-2</c:v>
                </c:pt>
                <c:pt idx="223">
                  <c:v>9.1162756666666955E-2</c:v>
                </c:pt>
                <c:pt idx="224">
                  <c:v>7.4861276666666754E-2</c:v>
                </c:pt>
                <c:pt idx="225">
                  <c:v>6.7256098888888727E-2</c:v>
                </c:pt>
                <c:pt idx="226">
                  <c:v>8.1295167222222853E-2</c:v>
                </c:pt>
                <c:pt idx="227">
                  <c:v>0.10098995777777786</c:v>
                </c:pt>
                <c:pt idx="228">
                  <c:v>9.1566363333333345E-2</c:v>
                </c:pt>
                <c:pt idx="229">
                  <c:v>9.8757859444444485E-2</c:v>
                </c:pt>
                <c:pt idx="230">
                  <c:v>0.10508764166666662</c:v>
                </c:pt>
                <c:pt idx="231">
                  <c:v>0.11461786222222214</c:v>
                </c:pt>
                <c:pt idx="232">
                  <c:v>0.10993564833333314</c:v>
                </c:pt>
                <c:pt idx="233">
                  <c:v>0.10004005222222256</c:v>
                </c:pt>
                <c:pt idx="234">
                  <c:v>0.10239296888888894</c:v>
                </c:pt>
                <c:pt idx="235">
                  <c:v>0.11404659333333311</c:v>
                </c:pt>
                <c:pt idx="236">
                  <c:v>0.11593625666666718</c:v>
                </c:pt>
                <c:pt idx="237">
                  <c:v>0.1220729066666667</c:v>
                </c:pt>
                <c:pt idx="238">
                  <c:v>0.11372503722222216</c:v>
                </c:pt>
                <c:pt idx="239">
                  <c:v>0.12614278111111077</c:v>
                </c:pt>
                <c:pt idx="240">
                  <c:v>0.12918561111111104</c:v>
                </c:pt>
                <c:pt idx="241">
                  <c:v>0.12414691444444415</c:v>
                </c:pt>
                <c:pt idx="242">
                  <c:v>0.12224995111111092</c:v>
                </c:pt>
                <c:pt idx="243">
                  <c:v>0.11667092000000023</c:v>
                </c:pt>
                <c:pt idx="244">
                  <c:v>9.441634500000029E-2</c:v>
                </c:pt>
                <c:pt idx="245">
                  <c:v>0.10591208833333288</c:v>
                </c:pt>
                <c:pt idx="246">
                  <c:v>0.11410125444444441</c:v>
                </c:pt>
                <c:pt idx="247">
                  <c:v>9.8951170555555135E-2</c:v>
                </c:pt>
                <c:pt idx="248">
                  <c:v>8.8858163888889452E-2</c:v>
                </c:pt>
                <c:pt idx="249">
                  <c:v>9.0507386111111643E-2</c:v>
                </c:pt>
                <c:pt idx="250">
                  <c:v>6.0991671666666969E-2</c:v>
                </c:pt>
                <c:pt idx="251">
                  <c:v>6.1484524999999901E-2</c:v>
                </c:pt>
                <c:pt idx="252">
                  <c:v>7.2423837222222009E-2</c:v>
                </c:pt>
                <c:pt idx="253">
                  <c:v>9.1883621666666859E-2</c:v>
                </c:pt>
                <c:pt idx="254">
                  <c:v>8.120685333333344E-2</c:v>
                </c:pt>
                <c:pt idx="255">
                  <c:v>6.7708818333332532E-2</c:v>
                </c:pt>
                <c:pt idx="256">
                  <c:v>6.3093675555555451E-2</c:v>
                </c:pt>
                <c:pt idx="257">
                  <c:v>6.1505652777777198E-2</c:v>
                </c:pt>
                <c:pt idx="258">
                  <c:v>6.8212258888888821E-2</c:v>
                </c:pt>
                <c:pt idx="259">
                  <c:v>8.3578676666666629E-2</c:v>
                </c:pt>
                <c:pt idx="260">
                  <c:v>8.5599749444444262E-2</c:v>
                </c:pt>
                <c:pt idx="261">
                  <c:v>6.1867402777777913E-2</c:v>
                </c:pt>
                <c:pt idx="262">
                  <c:v>6.4799739999999884E-2</c:v>
                </c:pt>
                <c:pt idx="263">
                  <c:v>9.592006277777787E-2</c:v>
                </c:pt>
                <c:pt idx="264">
                  <c:v>7.767292611111043E-2</c:v>
                </c:pt>
                <c:pt idx="265">
                  <c:v>6.2254815555555454E-2</c:v>
                </c:pt>
                <c:pt idx="266">
                  <c:v>6.6613988888888365E-2</c:v>
                </c:pt>
                <c:pt idx="267">
                  <c:v>7.0497853333333027E-2</c:v>
                </c:pt>
                <c:pt idx="268">
                  <c:v>0.1070102466666667</c:v>
                </c:pt>
                <c:pt idx="269">
                  <c:v>9.7856017777777415E-2</c:v>
                </c:pt>
                <c:pt idx="270">
                  <c:v>6.4284462222222505E-2</c:v>
                </c:pt>
                <c:pt idx="271">
                  <c:v>6.7896863888889158E-2</c:v>
                </c:pt>
                <c:pt idx="272">
                  <c:v>6.6222799444444425E-2</c:v>
                </c:pt>
                <c:pt idx="273">
                  <c:v>6.4270006111110556E-2</c:v>
                </c:pt>
                <c:pt idx="274">
                  <c:v>7.4647625555555375E-2</c:v>
                </c:pt>
                <c:pt idx="275">
                  <c:v>6.3695988333332898E-2</c:v>
                </c:pt>
                <c:pt idx="276">
                  <c:v>6.8655252777777842E-2</c:v>
                </c:pt>
                <c:pt idx="277">
                  <c:v>6.5876284444443933E-2</c:v>
                </c:pt>
                <c:pt idx="278">
                  <c:v>6.4695060000000026E-2</c:v>
                </c:pt>
                <c:pt idx="279">
                  <c:v>7.1782941111111165E-2</c:v>
                </c:pt>
                <c:pt idx="280">
                  <c:v>7.9643804444444299E-2</c:v>
                </c:pt>
                <c:pt idx="281">
                  <c:v>6.3382095000000249E-2</c:v>
                </c:pt>
                <c:pt idx="282">
                  <c:v>6.9955675555555596E-2</c:v>
                </c:pt>
                <c:pt idx="283">
                  <c:v>4.5018772222222392E-2</c:v>
                </c:pt>
                <c:pt idx="284">
                  <c:v>4.0774773888889615E-2</c:v>
                </c:pt>
                <c:pt idx="285">
                  <c:v>6.8807518888888808E-2</c:v>
                </c:pt>
                <c:pt idx="286">
                  <c:v>7.1670348333332856E-2</c:v>
                </c:pt>
                <c:pt idx="287">
                  <c:v>5.6153420555555389E-2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32-49D1-81E5-FD5FAE0213EE}"/>
            </c:ext>
          </c:extLst>
        </c:ser>
        <c:ser>
          <c:idx val="6"/>
          <c:order val="6"/>
          <c:tx>
            <c:v>Band99_U</c:v>
          </c:tx>
          <c:spPr>
            <a:solidFill>
              <a:srgbClr val="E8E8E8"/>
            </a:solidFill>
          </c:spP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Данные!$BC$2:$BC$289</c:f>
              <c:numCache>
                <c:formatCode>General</c:formatCode>
                <c:ptCount val="288"/>
                <c:pt idx="0">
                  <c:v>6.5125181499999574E-2</c:v>
                </c:pt>
                <c:pt idx="1">
                  <c:v>3.2330931000000396E-2</c:v>
                </c:pt>
                <c:pt idx="2">
                  <c:v>5.0498743500000276E-2</c:v>
                </c:pt>
                <c:pt idx="3">
                  <c:v>3.3540628999999877E-2</c:v>
                </c:pt>
                <c:pt idx="4">
                  <c:v>5.2244378000000036E-2</c:v>
                </c:pt>
                <c:pt idx="5">
                  <c:v>5.5699839999999945E-2</c:v>
                </c:pt>
                <c:pt idx="6">
                  <c:v>3.356195800000028E-2</c:v>
                </c:pt>
                <c:pt idx="7">
                  <c:v>2.9426681000000232E-2</c:v>
                </c:pt>
                <c:pt idx="8">
                  <c:v>3.2692805500000199E-2</c:v>
                </c:pt>
                <c:pt idx="9">
                  <c:v>2.7344623999999929E-2</c:v>
                </c:pt>
                <c:pt idx="10">
                  <c:v>4.6261354999999948E-2</c:v>
                </c:pt>
                <c:pt idx="11">
                  <c:v>4.3097652500000527E-2</c:v>
                </c:pt>
                <c:pt idx="12">
                  <c:v>3.269836100000012E-2</c:v>
                </c:pt>
                <c:pt idx="13">
                  <c:v>5.1332198500000259E-2</c:v>
                </c:pt>
                <c:pt idx="14">
                  <c:v>4.6012823999999508E-2</c:v>
                </c:pt>
                <c:pt idx="15">
                  <c:v>4.5849208500000405E-2</c:v>
                </c:pt>
                <c:pt idx="16">
                  <c:v>3.7549907999999577E-2</c:v>
                </c:pt>
                <c:pt idx="17">
                  <c:v>4.3631792500000377E-2</c:v>
                </c:pt>
                <c:pt idx="18">
                  <c:v>2.8830974000000453E-2</c:v>
                </c:pt>
                <c:pt idx="19">
                  <c:v>1.5175373000000048E-2</c:v>
                </c:pt>
                <c:pt idx="20">
                  <c:v>1.6350287500000116E-2</c:v>
                </c:pt>
                <c:pt idx="21">
                  <c:v>1.094978399999913E-2</c:v>
                </c:pt>
                <c:pt idx="22">
                  <c:v>3.8715470000000307E-3</c:v>
                </c:pt>
                <c:pt idx="23">
                  <c:v>1.5191319000000703E-2</c:v>
                </c:pt>
                <c:pt idx="24">
                  <c:v>1.63212989999999E-2</c:v>
                </c:pt>
                <c:pt idx="25">
                  <c:v>1.4785879999999363E-2</c:v>
                </c:pt>
                <c:pt idx="26">
                  <c:v>1.5730502500000521E-2</c:v>
                </c:pt>
                <c:pt idx="27">
                  <c:v>2.0829404500000148E-2</c:v>
                </c:pt>
                <c:pt idx="28">
                  <c:v>2.1712909499999933E-2</c:v>
                </c:pt>
                <c:pt idx="29">
                  <c:v>2.9728678999999758E-2</c:v>
                </c:pt>
                <c:pt idx="30">
                  <c:v>2.1522448500000513E-2</c:v>
                </c:pt>
                <c:pt idx="31">
                  <c:v>1.6252942499999978E-2</c:v>
                </c:pt>
                <c:pt idx="32">
                  <c:v>2.955326100000033E-2</c:v>
                </c:pt>
                <c:pt idx="33">
                  <c:v>3.5726171000000195E-2</c:v>
                </c:pt>
                <c:pt idx="34">
                  <c:v>5.1027183000000198E-2</c:v>
                </c:pt>
                <c:pt idx="35">
                  <c:v>3.9729456499999927E-2</c:v>
                </c:pt>
                <c:pt idx="36">
                  <c:v>4.8661294999999827E-2</c:v>
                </c:pt>
                <c:pt idx="37">
                  <c:v>5.193872200000027E-2</c:v>
                </c:pt>
                <c:pt idx="38">
                  <c:v>5.8682308499999003E-2</c:v>
                </c:pt>
                <c:pt idx="39">
                  <c:v>5.568838650000052E-2</c:v>
                </c:pt>
                <c:pt idx="40">
                  <c:v>9.2992236000000617E-2</c:v>
                </c:pt>
                <c:pt idx="41">
                  <c:v>9.0787720500000502E-2</c:v>
                </c:pt>
                <c:pt idx="42">
                  <c:v>6.5305966499999424E-2</c:v>
                </c:pt>
                <c:pt idx="43">
                  <c:v>6.4498333000000185E-2</c:v>
                </c:pt>
                <c:pt idx="44">
                  <c:v>6.3432031000000944E-2</c:v>
                </c:pt>
                <c:pt idx="45">
                  <c:v>4.5807443000000281E-2</c:v>
                </c:pt>
                <c:pt idx="46">
                  <c:v>3.2018418500000423E-2</c:v>
                </c:pt>
                <c:pt idx="47">
                  <c:v>3.0179197500000199E-2</c:v>
                </c:pt>
                <c:pt idx="48">
                  <c:v>3.9736014999999791E-2</c:v>
                </c:pt>
                <c:pt idx="49">
                  <c:v>4.6581564000000131E-2</c:v>
                </c:pt>
                <c:pt idx="50">
                  <c:v>3.2500249000000037E-2</c:v>
                </c:pt>
                <c:pt idx="51">
                  <c:v>3.9365974000000303E-2</c:v>
                </c:pt>
                <c:pt idx="52">
                  <c:v>3.1094037999999879E-2</c:v>
                </c:pt>
                <c:pt idx="53">
                  <c:v>3.1903945500000197E-2</c:v>
                </c:pt>
                <c:pt idx="54">
                  <c:v>5.2437720000000465E-2</c:v>
                </c:pt>
                <c:pt idx="55">
                  <c:v>6.3684478500000585E-2</c:v>
                </c:pt>
                <c:pt idx="56">
                  <c:v>3.1586124999999909E-2</c:v>
                </c:pt>
                <c:pt idx="57">
                  <c:v>3.269435600000048E-2</c:v>
                </c:pt>
                <c:pt idx="58">
                  <c:v>4.0380621499999769E-2</c:v>
                </c:pt>
                <c:pt idx="59">
                  <c:v>5.420079000000011E-2</c:v>
                </c:pt>
                <c:pt idx="60">
                  <c:v>6.4449157499999798E-2</c:v>
                </c:pt>
                <c:pt idx="61">
                  <c:v>5.6420236000000235E-2</c:v>
                </c:pt>
                <c:pt idx="62">
                  <c:v>5.1136956500000164E-2</c:v>
                </c:pt>
                <c:pt idx="63">
                  <c:v>6.820985100000021E-2</c:v>
                </c:pt>
                <c:pt idx="64">
                  <c:v>5.6790565499999501E-2</c:v>
                </c:pt>
                <c:pt idx="65">
                  <c:v>6.0702461999999846E-2</c:v>
                </c:pt>
                <c:pt idx="66">
                  <c:v>2.9540580000000149E-2</c:v>
                </c:pt>
                <c:pt idx="67">
                  <c:v>1.2580945500000551E-2</c:v>
                </c:pt>
                <c:pt idx="68">
                  <c:v>1.5588738499999977E-2</c:v>
                </c:pt>
                <c:pt idx="69">
                  <c:v>1.3030486500000493E-2</c:v>
                </c:pt>
                <c:pt idx="70">
                  <c:v>1.3934993499999715E-2</c:v>
                </c:pt>
                <c:pt idx="71">
                  <c:v>1.5509747500000226E-2</c:v>
                </c:pt>
                <c:pt idx="72">
                  <c:v>1.7997673999999853E-2</c:v>
                </c:pt>
                <c:pt idx="73">
                  <c:v>7.0330695000004884E-3</c:v>
                </c:pt>
                <c:pt idx="74">
                  <c:v>7.8261040000000559E-3</c:v>
                </c:pt>
                <c:pt idx="75">
                  <c:v>6.8406410000001472E-3</c:v>
                </c:pt>
                <c:pt idx="76">
                  <c:v>1.4202456499999849E-2</c:v>
                </c:pt>
                <c:pt idx="77">
                  <c:v>2.6123119500000347E-2</c:v>
                </c:pt>
                <c:pt idx="78">
                  <c:v>5.0491523500000191E-2</c:v>
                </c:pt>
                <c:pt idx="79">
                  <c:v>5.5305911999999458E-2</c:v>
                </c:pt>
                <c:pt idx="80">
                  <c:v>4.9713781499999943E-2</c:v>
                </c:pt>
                <c:pt idx="81">
                  <c:v>4.5371684000000245E-2</c:v>
                </c:pt>
                <c:pt idx="82">
                  <c:v>4.9813896000000302E-2</c:v>
                </c:pt>
                <c:pt idx="83">
                  <c:v>3.1714791000000964E-2</c:v>
                </c:pt>
                <c:pt idx="84">
                  <c:v>5.1280891999999856E-2</c:v>
                </c:pt>
                <c:pt idx="85">
                  <c:v>5.6854320000001013E-2</c:v>
                </c:pt>
                <c:pt idx="86">
                  <c:v>2.6426587000000001E-2</c:v>
                </c:pt>
                <c:pt idx="87">
                  <c:v>4.029885999999927E-2</c:v>
                </c:pt>
                <c:pt idx="88">
                  <c:v>3.9626506500000325E-2</c:v>
                </c:pt>
                <c:pt idx="89">
                  <c:v>4.6576347500000059E-2</c:v>
                </c:pt>
                <c:pt idx="90">
                  <c:v>4.389126300000068E-2</c:v>
                </c:pt>
                <c:pt idx="91">
                  <c:v>2.9922243999999432E-2</c:v>
                </c:pt>
                <c:pt idx="92">
                  <c:v>1.2541636499999731E-2</c:v>
                </c:pt>
                <c:pt idx="93">
                  <c:v>2.0821219500000154E-2</c:v>
                </c:pt>
                <c:pt idx="94">
                  <c:v>2.7625298000000242E-2</c:v>
                </c:pt>
                <c:pt idx="95">
                  <c:v>1.2097390500000027E-2</c:v>
                </c:pt>
                <c:pt idx="96">
                  <c:v>3.231971300000025E-2</c:v>
                </c:pt>
                <c:pt idx="97">
                  <c:v>2.8988071000000004E-2</c:v>
                </c:pt>
                <c:pt idx="98">
                  <c:v>2.0296862499999735E-2</c:v>
                </c:pt>
                <c:pt idx="99">
                  <c:v>2.5862235500000441E-2</c:v>
                </c:pt>
                <c:pt idx="100">
                  <c:v>1.4651575999999888E-2</c:v>
                </c:pt>
                <c:pt idx="101">
                  <c:v>5.3469026000000142E-2</c:v>
                </c:pt>
                <c:pt idx="102">
                  <c:v>4.8087377000000209E-2</c:v>
                </c:pt>
                <c:pt idx="103">
                  <c:v>4.6238178999999935E-2</c:v>
                </c:pt>
                <c:pt idx="104">
                  <c:v>4.5795042999999813E-2</c:v>
                </c:pt>
                <c:pt idx="105">
                  <c:v>4.1642972500000042E-2</c:v>
                </c:pt>
                <c:pt idx="106">
                  <c:v>2.8909878999999861E-2</c:v>
                </c:pt>
                <c:pt idx="107">
                  <c:v>1.3184061500000066E-2</c:v>
                </c:pt>
                <c:pt idx="108">
                  <c:v>4.6530716999999666E-2</c:v>
                </c:pt>
                <c:pt idx="109">
                  <c:v>9.6475427999999752E-2</c:v>
                </c:pt>
                <c:pt idx="110">
                  <c:v>0.10128928100000067</c:v>
                </c:pt>
                <c:pt idx="111">
                  <c:v>0.11941415050000004</c:v>
                </c:pt>
                <c:pt idx="112">
                  <c:v>8.9592041000000178E-2</c:v>
                </c:pt>
                <c:pt idx="113">
                  <c:v>9.0155417500000112E-2</c:v>
                </c:pt>
                <c:pt idx="114">
                  <c:v>6.9506067500000435E-2</c:v>
                </c:pt>
                <c:pt idx="115">
                  <c:v>7.9722698000000203E-2</c:v>
                </c:pt>
                <c:pt idx="116">
                  <c:v>8.3775583500000139E-2</c:v>
                </c:pt>
                <c:pt idx="117">
                  <c:v>0.11757544550000065</c:v>
                </c:pt>
                <c:pt idx="118">
                  <c:v>0.11682872750000028</c:v>
                </c:pt>
                <c:pt idx="119">
                  <c:v>0.15039562800000028</c:v>
                </c:pt>
                <c:pt idx="120">
                  <c:v>0.16534321700000021</c:v>
                </c:pt>
                <c:pt idx="121">
                  <c:v>0.10599376650000036</c:v>
                </c:pt>
                <c:pt idx="122">
                  <c:v>0.13764125300000041</c:v>
                </c:pt>
                <c:pt idx="123">
                  <c:v>0.12422881849999978</c:v>
                </c:pt>
                <c:pt idx="124">
                  <c:v>0.13540806050000054</c:v>
                </c:pt>
                <c:pt idx="125">
                  <c:v>0.14048926500000014</c:v>
                </c:pt>
                <c:pt idx="126">
                  <c:v>0.13790490700000013</c:v>
                </c:pt>
                <c:pt idx="127">
                  <c:v>0.1113354744999997</c:v>
                </c:pt>
                <c:pt idx="128">
                  <c:v>0.1244341499999998</c:v>
                </c:pt>
                <c:pt idx="129">
                  <c:v>0.1197379120000005</c:v>
                </c:pt>
                <c:pt idx="130">
                  <c:v>0.12010867750000032</c:v>
                </c:pt>
                <c:pt idx="131">
                  <c:v>0.10720062400000041</c:v>
                </c:pt>
                <c:pt idx="132">
                  <c:v>9.8398856499999909E-2</c:v>
                </c:pt>
                <c:pt idx="133">
                  <c:v>9.497817300000011E-2</c:v>
                </c:pt>
                <c:pt idx="134">
                  <c:v>0.11040421899999997</c:v>
                </c:pt>
                <c:pt idx="135">
                  <c:v>0.12772560850000025</c:v>
                </c:pt>
                <c:pt idx="136">
                  <c:v>0.11869183600000055</c:v>
                </c:pt>
                <c:pt idx="137">
                  <c:v>0.13069781650000012</c:v>
                </c:pt>
                <c:pt idx="138">
                  <c:v>7.9493136499999895E-2</c:v>
                </c:pt>
                <c:pt idx="139">
                  <c:v>9.3142708999999768E-2</c:v>
                </c:pt>
                <c:pt idx="140">
                  <c:v>9.3092971500000177E-2</c:v>
                </c:pt>
                <c:pt idx="141">
                  <c:v>9.6926818999999553E-2</c:v>
                </c:pt>
                <c:pt idx="142">
                  <c:v>0.11543348850000013</c:v>
                </c:pt>
                <c:pt idx="143">
                  <c:v>0.10363519200000038</c:v>
                </c:pt>
                <c:pt idx="144">
                  <c:v>3.2520934999999862E-2</c:v>
                </c:pt>
                <c:pt idx="145">
                  <c:v>3.4841992000000266E-2</c:v>
                </c:pt>
                <c:pt idx="146">
                  <c:v>5.6990986500000229E-2</c:v>
                </c:pt>
                <c:pt idx="147">
                  <c:v>0.1002677245000001</c:v>
                </c:pt>
                <c:pt idx="148">
                  <c:v>0.10634276050000024</c:v>
                </c:pt>
                <c:pt idx="149">
                  <c:v>9.2412961500000113E-2</c:v>
                </c:pt>
                <c:pt idx="150">
                  <c:v>8.4285640500000203E-2</c:v>
                </c:pt>
                <c:pt idx="151">
                  <c:v>8.2459888000000703E-2</c:v>
                </c:pt>
                <c:pt idx="152">
                  <c:v>8.6341900499999569E-2</c:v>
                </c:pt>
                <c:pt idx="153">
                  <c:v>9.2259215000000117E-2</c:v>
                </c:pt>
                <c:pt idx="154">
                  <c:v>0.10058219349999975</c:v>
                </c:pt>
                <c:pt idx="155">
                  <c:v>8.5068337000000049E-2</c:v>
                </c:pt>
                <c:pt idx="156">
                  <c:v>9.3096155000000458E-2</c:v>
                </c:pt>
                <c:pt idx="157">
                  <c:v>5.7614038000000312E-2</c:v>
                </c:pt>
                <c:pt idx="158">
                  <c:v>7.5382293999999628E-2</c:v>
                </c:pt>
                <c:pt idx="159">
                  <c:v>7.5393393999998781E-2</c:v>
                </c:pt>
                <c:pt idx="160">
                  <c:v>4.7280980000000805E-2</c:v>
                </c:pt>
                <c:pt idx="161">
                  <c:v>1.7522766000000023E-2</c:v>
                </c:pt>
                <c:pt idx="162">
                  <c:v>5.7501951999999967E-2</c:v>
                </c:pt>
                <c:pt idx="163">
                  <c:v>6.7335467500000412E-2</c:v>
                </c:pt>
                <c:pt idx="164">
                  <c:v>4.7379231999999938E-2</c:v>
                </c:pt>
                <c:pt idx="165">
                  <c:v>3.150357700000006E-2</c:v>
                </c:pt>
                <c:pt idx="166">
                  <c:v>1.7875513499999829E-2</c:v>
                </c:pt>
                <c:pt idx="167">
                  <c:v>2.7344992500001108E-2</c:v>
                </c:pt>
                <c:pt idx="168">
                  <c:v>5.5797220499999356E-2</c:v>
                </c:pt>
                <c:pt idx="169">
                  <c:v>5.8754130999999155E-2</c:v>
                </c:pt>
                <c:pt idx="170">
                  <c:v>5.5439086500000512E-2</c:v>
                </c:pt>
                <c:pt idx="171">
                  <c:v>6.4482861000000447E-2</c:v>
                </c:pt>
                <c:pt idx="172">
                  <c:v>6.6641740499999935E-2</c:v>
                </c:pt>
                <c:pt idx="173">
                  <c:v>5.2081041499999592E-2</c:v>
                </c:pt>
                <c:pt idx="174">
                  <c:v>4.5699479999999904E-2</c:v>
                </c:pt>
                <c:pt idx="175">
                  <c:v>6.0791855500000214E-2</c:v>
                </c:pt>
                <c:pt idx="176">
                  <c:v>4.9606851500000659E-2</c:v>
                </c:pt>
                <c:pt idx="177">
                  <c:v>5.7445467499999125E-2</c:v>
                </c:pt>
                <c:pt idx="178">
                  <c:v>8.2418824500000487E-2</c:v>
                </c:pt>
                <c:pt idx="179">
                  <c:v>7.6071940500000546E-2</c:v>
                </c:pt>
                <c:pt idx="180">
                  <c:v>6.5622765555556462E-2</c:v>
                </c:pt>
                <c:pt idx="181">
                  <c:v>5.9310441777777667E-2</c:v>
                </c:pt>
                <c:pt idx="182">
                  <c:v>7.7555642222222221E-2</c:v>
                </c:pt>
                <c:pt idx="183">
                  <c:v>7.6426534666667045E-2</c:v>
                </c:pt>
                <c:pt idx="184">
                  <c:v>0.12956613421428609</c:v>
                </c:pt>
                <c:pt idx="185">
                  <c:v>0.13701277499999986</c:v>
                </c:pt>
                <c:pt idx="186">
                  <c:v>0.1200289595000007</c:v>
                </c:pt>
                <c:pt idx="187">
                  <c:v>0.10622723450000071</c:v>
                </c:pt>
                <c:pt idx="188">
                  <c:v>0.11215590749999993</c:v>
                </c:pt>
                <c:pt idx="189">
                  <c:v>7.3157708000000654E-2</c:v>
                </c:pt>
                <c:pt idx="190">
                  <c:v>7.5968836499999526E-2</c:v>
                </c:pt>
                <c:pt idx="191">
                  <c:v>5.2881773499999341E-2</c:v>
                </c:pt>
                <c:pt idx="192">
                  <c:v>5.9208556500000342E-2</c:v>
                </c:pt>
                <c:pt idx="193">
                  <c:v>3.6384913000000574E-2</c:v>
                </c:pt>
                <c:pt idx="194">
                  <c:v>4.5558035500000149E-2</c:v>
                </c:pt>
                <c:pt idx="195">
                  <c:v>4.6547031000000127E-2</c:v>
                </c:pt>
                <c:pt idx="196">
                  <c:v>6.0556656500000194E-2</c:v>
                </c:pt>
                <c:pt idx="197">
                  <c:v>9.1201340499999728E-2</c:v>
                </c:pt>
                <c:pt idx="198">
                  <c:v>0.1052864564999999</c:v>
                </c:pt>
                <c:pt idx="199">
                  <c:v>9.9681189499999823E-2</c:v>
                </c:pt>
                <c:pt idx="200">
                  <c:v>9.6998565999999675E-2</c:v>
                </c:pt>
                <c:pt idx="201">
                  <c:v>4.661069700000009E-2</c:v>
                </c:pt>
                <c:pt idx="202">
                  <c:v>3.5171709999999967E-2</c:v>
                </c:pt>
                <c:pt idx="203">
                  <c:v>2.9114818999999237E-2</c:v>
                </c:pt>
                <c:pt idx="204">
                  <c:v>1.5769788500000326E-2</c:v>
                </c:pt>
                <c:pt idx="205">
                  <c:v>8.0956359999994065E-3</c:v>
                </c:pt>
                <c:pt idx="206">
                  <c:v>2.2289635500000515E-2</c:v>
                </c:pt>
                <c:pt idx="207">
                  <c:v>1.2433234500000223E-2</c:v>
                </c:pt>
                <c:pt idx="208">
                  <c:v>1.3147226999999484E-2</c:v>
                </c:pt>
                <c:pt idx="209">
                  <c:v>6.0946560000004757E-3</c:v>
                </c:pt>
                <c:pt idx="210">
                  <c:v>3.3552064999997633E-3</c:v>
                </c:pt>
                <c:pt idx="211">
                  <c:v>7.445634000000978E-3</c:v>
                </c:pt>
                <c:pt idx="212">
                  <c:v>2.0694698500000164E-2</c:v>
                </c:pt>
                <c:pt idx="213">
                  <c:v>2.5248570500000289E-2</c:v>
                </c:pt>
                <c:pt idx="214">
                  <c:v>1.5065585500000478E-2</c:v>
                </c:pt>
                <c:pt idx="215">
                  <c:v>2.9704328999998864E-2</c:v>
                </c:pt>
                <c:pt idx="216">
                  <c:v>3.5451184000000135E-2</c:v>
                </c:pt>
                <c:pt idx="217">
                  <c:v>1.43196710000002E-2</c:v>
                </c:pt>
                <c:pt idx="218">
                  <c:v>1.5949398999999809E-2</c:v>
                </c:pt>
                <c:pt idx="219">
                  <c:v>1.8763846999999889E-2</c:v>
                </c:pt>
                <c:pt idx="220">
                  <c:v>2.0040844499999988E-2</c:v>
                </c:pt>
                <c:pt idx="221">
                  <c:v>4.4371396499999993E-2</c:v>
                </c:pt>
                <c:pt idx="222">
                  <c:v>4.6728110500000142E-2</c:v>
                </c:pt>
                <c:pt idx="223">
                  <c:v>2.4929014500000402E-2</c:v>
                </c:pt>
                <c:pt idx="224">
                  <c:v>4.202194899999967E-2</c:v>
                </c:pt>
                <c:pt idx="225">
                  <c:v>4.2124237500000161E-2</c:v>
                </c:pt>
                <c:pt idx="226">
                  <c:v>3.63437184999994E-2</c:v>
                </c:pt>
                <c:pt idx="227">
                  <c:v>1.0321752500000003E-2</c:v>
                </c:pt>
                <c:pt idx="228">
                  <c:v>1.1287097500000232E-2</c:v>
                </c:pt>
                <c:pt idx="229">
                  <c:v>6.6029189999993187E-3</c:v>
                </c:pt>
                <c:pt idx="230">
                  <c:v>7.8536955000002573E-3</c:v>
                </c:pt>
                <c:pt idx="231">
                  <c:v>5.5492240000000193E-3</c:v>
                </c:pt>
                <c:pt idx="232">
                  <c:v>8.0183510000002567E-3</c:v>
                </c:pt>
                <c:pt idx="233">
                  <c:v>1.072563699999951E-2</c:v>
                </c:pt>
                <c:pt idx="234">
                  <c:v>1.8134091999999935E-2</c:v>
                </c:pt>
                <c:pt idx="235">
                  <c:v>7.0027505000000989E-3</c:v>
                </c:pt>
                <c:pt idx="236">
                  <c:v>1.0268428500000426E-2</c:v>
                </c:pt>
                <c:pt idx="237">
                  <c:v>9.3484109999999454E-3</c:v>
                </c:pt>
                <c:pt idx="238">
                  <c:v>9.3179530000000454E-3</c:v>
                </c:pt>
                <c:pt idx="239">
                  <c:v>6.7617565000003266E-3</c:v>
                </c:pt>
                <c:pt idx="240">
                  <c:v>1.4620633000000161E-2</c:v>
                </c:pt>
                <c:pt idx="241">
                  <c:v>3.0236108500000913E-2</c:v>
                </c:pt>
                <c:pt idx="242">
                  <c:v>3.2986105500000362E-2</c:v>
                </c:pt>
                <c:pt idx="243">
                  <c:v>2.2774791999999877E-2</c:v>
                </c:pt>
                <c:pt idx="244">
                  <c:v>2.3575442999999474E-2</c:v>
                </c:pt>
                <c:pt idx="245">
                  <c:v>2.4854103500000169E-2</c:v>
                </c:pt>
                <c:pt idx="246">
                  <c:v>1.0595894500000202E-2</c:v>
                </c:pt>
                <c:pt idx="247">
                  <c:v>1.6596433500000174E-2</c:v>
                </c:pt>
                <c:pt idx="248">
                  <c:v>9.211264999999913E-3</c:v>
                </c:pt>
                <c:pt idx="249">
                  <c:v>4.2012197999999779E-2</c:v>
                </c:pt>
                <c:pt idx="250">
                  <c:v>2.8982020999999802E-2</c:v>
                </c:pt>
                <c:pt idx="251">
                  <c:v>1.8728664000000173E-2</c:v>
                </c:pt>
                <c:pt idx="252">
                  <c:v>2.4804821000000254E-2</c:v>
                </c:pt>
                <c:pt idx="253">
                  <c:v>9.3479260000003395E-3</c:v>
                </c:pt>
                <c:pt idx="254">
                  <c:v>1.4938011500000403E-2</c:v>
                </c:pt>
                <c:pt idx="255">
                  <c:v>1.4916837999999877E-2</c:v>
                </c:pt>
                <c:pt idx="256">
                  <c:v>1.0842339000000756E-2</c:v>
                </c:pt>
                <c:pt idx="257">
                  <c:v>1.9364508000000002E-2</c:v>
                </c:pt>
                <c:pt idx="258">
                  <c:v>4.285606000000608E-3</c:v>
                </c:pt>
                <c:pt idx="259">
                  <c:v>7.5092890999999606E-2</c:v>
                </c:pt>
                <c:pt idx="260">
                  <c:v>7.8367871000000422E-2</c:v>
                </c:pt>
                <c:pt idx="261">
                  <c:v>9.3528654000000322E-2</c:v>
                </c:pt>
                <c:pt idx="262">
                  <c:v>7.1955287500000242E-2</c:v>
                </c:pt>
                <c:pt idx="263">
                  <c:v>5.0530221000000264E-2</c:v>
                </c:pt>
                <c:pt idx="264">
                  <c:v>7.3560699000000285E-2</c:v>
                </c:pt>
                <c:pt idx="265">
                  <c:v>8.2040757499999617E-2</c:v>
                </c:pt>
                <c:pt idx="266">
                  <c:v>7.7265851000000718E-2</c:v>
                </c:pt>
                <c:pt idx="267">
                  <c:v>7.8868150999999331E-2</c:v>
                </c:pt>
                <c:pt idx="268">
                  <c:v>4.1133006000000027E-2</c:v>
                </c:pt>
                <c:pt idx="269">
                  <c:v>5.0823862500000039E-2</c:v>
                </c:pt>
                <c:pt idx="270">
                  <c:v>7.31920184999999E-2</c:v>
                </c:pt>
                <c:pt idx="271">
                  <c:v>7.1961818499999941E-2</c:v>
                </c:pt>
                <c:pt idx="272">
                  <c:v>6.954836900000072E-2</c:v>
                </c:pt>
                <c:pt idx="273">
                  <c:v>7.5238743000000552E-2</c:v>
                </c:pt>
                <c:pt idx="274">
                  <c:v>5.8416065999999822E-2</c:v>
                </c:pt>
                <c:pt idx="275">
                  <c:v>6.4762735999999932E-2</c:v>
                </c:pt>
                <c:pt idx="276">
                  <c:v>5.0143085999999504E-2</c:v>
                </c:pt>
                <c:pt idx="277">
                  <c:v>5.6739905000000368E-2</c:v>
                </c:pt>
                <c:pt idx="278">
                  <c:v>5.1183370500000214E-2</c:v>
                </c:pt>
                <c:pt idx="279">
                  <c:v>3.2560952999999615E-2</c:v>
                </c:pt>
                <c:pt idx="280">
                  <c:v>2.3888332000000401E-2</c:v>
                </c:pt>
                <c:pt idx="281">
                  <c:v>5.6380583499999748E-2</c:v>
                </c:pt>
                <c:pt idx="282">
                  <c:v>5.1992434500000018E-2</c:v>
                </c:pt>
                <c:pt idx="283">
                  <c:v>6.408735400000054E-2</c:v>
                </c:pt>
                <c:pt idx="284">
                  <c:v>4.4134884999999513E-2</c:v>
                </c:pt>
                <c:pt idx="285">
                  <c:v>1.3450104000000129E-2</c:v>
                </c:pt>
                <c:pt idx="286">
                  <c:v>4.7165770999999856E-2</c:v>
                </c:pt>
                <c:pt idx="287">
                  <c:v>4.0570135000000507E-2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32-49D1-81E5-FD5FAE0213EE}"/>
            </c:ext>
          </c:extLst>
        </c:ser>
        <c:ser>
          <c:idx val="7"/>
          <c:order val="7"/>
          <c:tx>
            <c:v>ScaleTop</c:v>
          </c:tx>
          <c:spPr>
            <a:solidFill>
              <a:srgbClr val="FFFFFF"/>
            </a:solidFill>
          </c:spP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Данные!$BD$2:$BD$289</c:f>
              <c:numCache>
                <c:formatCode>General</c:formatCode>
                <c:ptCount val="288"/>
                <c:pt idx="0">
                  <c:v>0.20407063294444505</c:v>
                </c:pt>
                <c:pt idx="1">
                  <c:v>0.20585455066666636</c:v>
                </c:pt>
                <c:pt idx="2">
                  <c:v>0.17547658594444393</c:v>
                </c:pt>
                <c:pt idx="3">
                  <c:v>0.1597269376666669</c:v>
                </c:pt>
                <c:pt idx="4">
                  <c:v>0.14730849033333349</c:v>
                </c:pt>
                <c:pt idx="5">
                  <c:v>0.14931971277777789</c:v>
                </c:pt>
                <c:pt idx="6">
                  <c:v>0.17484575588888884</c:v>
                </c:pt>
                <c:pt idx="7">
                  <c:v>0.15911824788888895</c:v>
                </c:pt>
                <c:pt idx="8">
                  <c:v>0.12723360838888886</c:v>
                </c:pt>
                <c:pt idx="9">
                  <c:v>0.13383710488888878</c:v>
                </c:pt>
                <c:pt idx="10">
                  <c:v>0.1189497433333333</c:v>
                </c:pt>
                <c:pt idx="11">
                  <c:v>0.11857276916666648</c:v>
                </c:pt>
                <c:pt idx="12">
                  <c:v>0.12889521233333345</c:v>
                </c:pt>
                <c:pt idx="13">
                  <c:v>0.11843583872222185</c:v>
                </c:pt>
                <c:pt idx="14">
                  <c:v>0.11632767044444514</c:v>
                </c:pt>
                <c:pt idx="15">
                  <c:v>0.12492226372222226</c:v>
                </c:pt>
                <c:pt idx="16">
                  <c:v>0.13503192811111153</c:v>
                </c:pt>
                <c:pt idx="17">
                  <c:v>0.13096449472222227</c:v>
                </c:pt>
                <c:pt idx="18">
                  <c:v>0.1536194998888889</c:v>
                </c:pt>
                <c:pt idx="19">
                  <c:v>0.1914222636666667</c:v>
                </c:pt>
                <c:pt idx="20">
                  <c:v>0.19274108249999999</c:v>
                </c:pt>
                <c:pt idx="21">
                  <c:v>0.18630216933333399</c:v>
                </c:pt>
                <c:pt idx="22">
                  <c:v>0.19942351911111111</c:v>
                </c:pt>
                <c:pt idx="23">
                  <c:v>0.2032090932222218</c:v>
                </c:pt>
                <c:pt idx="24">
                  <c:v>0.21043671877777825</c:v>
                </c:pt>
                <c:pt idx="25">
                  <c:v>0.20771583277777794</c:v>
                </c:pt>
                <c:pt idx="26">
                  <c:v>0.20150970972222182</c:v>
                </c:pt>
                <c:pt idx="27">
                  <c:v>0.20247016438888876</c:v>
                </c:pt>
                <c:pt idx="28">
                  <c:v>0.20923936549999966</c:v>
                </c:pt>
                <c:pt idx="29">
                  <c:v>0.19497814322222262</c:v>
                </c:pt>
                <c:pt idx="30">
                  <c:v>0.19887175316666672</c:v>
                </c:pt>
                <c:pt idx="31">
                  <c:v>0.20338621027777781</c:v>
                </c:pt>
                <c:pt idx="32">
                  <c:v>0.1833114906666663</c:v>
                </c:pt>
                <c:pt idx="33">
                  <c:v>0.16844620288888901</c:v>
                </c:pt>
                <c:pt idx="34">
                  <c:v>0.16352245088888895</c:v>
                </c:pt>
                <c:pt idx="35">
                  <c:v>0.17255573349999997</c:v>
                </c:pt>
                <c:pt idx="36">
                  <c:v>0.16794787388888899</c:v>
                </c:pt>
                <c:pt idx="37">
                  <c:v>0.14791667299999967</c:v>
                </c:pt>
                <c:pt idx="38">
                  <c:v>0.14119024372222277</c:v>
                </c:pt>
                <c:pt idx="39">
                  <c:v>0.1505955857222222</c:v>
                </c:pt>
                <c:pt idx="40">
                  <c:v>0.14730580511111113</c:v>
                </c:pt>
                <c:pt idx="41">
                  <c:v>0.14841425227777771</c:v>
                </c:pt>
                <c:pt idx="42">
                  <c:v>0.1748048929444449</c:v>
                </c:pt>
                <c:pt idx="43">
                  <c:v>0.17072945922222238</c:v>
                </c:pt>
                <c:pt idx="44">
                  <c:v>0.16906477011111076</c:v>
                </c:pt>
                <c:pt idx="45">
                  <c:v>0.16625761866666655</c:v>
                </c:pt>
                <c:pt idx="46">
                  <c:v>0.17434932983333362</c:v>
                </c:pt>
                <c:pt idx="47">
                  <c:v>0.18189722472222214</c:v>
                </c:pt>
                <c:pt idx="48">
                  <c:v>0.18105410055555571</c:v>
                </c:pt>
                <c:pt idx="49">
                  <c:v>0.17035992377777798</c:v>
                </c:pt>
                <c:pt idx="50">
                  <c:v>0.18468566877777814</c:v>
                </c:pt>
                <c:pt idx="51">
                  <c:v>0.17770724766666657</c:v>
                </c:pt>
                <c:pt idx="52">
                  <c:v>0.18701786977777801</c:v>
                </c:pt>
                <c:pt idx="53">
                  <c:v>0.18208179838888883</c:v>
                </c:pt>
                <c:pt idx="54">
                  <c:v>0.17407906944444407</c:v>
                </c:pt>
                <c:pt idx="55">
                  <c:v>0.17593540761111093</c:v>
                </c:pt>
                <c:pt idx="56">
                  <c:v>0.2076338177777779</c:v>
                </c:pt>
                <c:pt idx="57">
                  <c:v>0.19839063788888844</c:v>
                </c:pt>
                <c:pt idx="58">
                  <c:v>0.20264937127777805</c:v>
                </c:pt>
                <c:pt idx="59">
                  <c:v>0.20549351111111114</c:v>
                </c:pt>
                <c:pt idx="60">
                  <c:v>0.21763616583333356</c:v>
                </c:pt>
                <c:pt idx="61">
                  <c:v>0.2239837901111108</c:v>
                </c:pt>
                <c:pt idx="62">
                  <c:v>0.21931179961111102</c:v>
                </c:pt>
                <c:pt idx="63">
                  <c:v>0.20889497399999957</c:v>
                </c:pt>
                <c:pt idx="64">
                  <c:v>0.22066152616666723</c:v>
                </c:pt>
                <c:pt idx="65">
                  <c:v>0.2265164679999998</c:v>
                </c:pt>
                <c:pt idx="66">
                  <c:v>0.25799865166666613</c:v>
                </c:pt>
                <c:pt idx="67">
                  <c:v>0.25111011394444416</c:v>
                </c:pt>
                <c:pt idx="68">
                  <c:v>0.24573448927777763</c:v>
                </c:pt>
                <c:pt idx="69">
                  <c:v>0.24187727905555523</c:v>
                </c:pt>
                <c:pt idx="70">
                  <c:v>0.24562940372222264</c:v>
                </c:pt>
                <c:pt idx="71">
                  <c:v>0.26198751749999971</c:v>
                </c:pt>
                <c:pt idx="72">
                  <c:v>0.27526651766666632</c:v>
                </c:pt>
                <c:pt idx="73">
                  <c:v>0.2810180566111109</c:v>
                </c:pt>
                <c:pt idx="74">
                  <c:v>0.2736826332222223</c:v>
                </c:pt>
                <c:pt idx="75">
                  <c:v>0.27320621399999978</c:v>
                </c:pt>
                <c:pt idx="76">
                  <c:v>0.27895875461111119</c:v>
                </c:pt>
                <c:pt idx="77">
                  <c:v>0.26758489605555524</c:v>
                </c:pt>
                <c:pt idx="78">
                  <c:v>0.26238704149999947</c:v>
                </c:pt>
                <c:pt idx="79">
                  <c:v>0.26907192133333413</c:v>
                </c:pt>
                <c:pt idx="80">
                  <c:v>0.22858341516666714</c:v>
                </c:pt>
                <c:pt idx="81">
                  <c:v>0.22167311544444424</c:v>
                </c:pt>
                <c:pt idx="82">
                  <c:v>0.2104976878888889</c:v>
                </c:pt>
                <c:pt idx="83">
                  <c:v>0.21608123566666593</c:v>
                </c:pt>
                <c:pt idx="84">
                  <c:v>0.21931519077777795</c:v>
                </c:pt>
                <c:pt idx="85">
                  <c:v>0.20683551722222182</c:v>
                </c:pt>
                <c:pt idx="86">
                  <c:v>0.24375065855555533</c:v>
                </c:pt>
                <c:pt idx="87">
                  <c:v>0.26506070555555628</c:v>
                </c:pt>
                <c:pt idx="88">
                  <c:v>0.25749851127777768</c:v>
                </c:pt>
                <c:pt idx="89">
                  <c:v>0.26159741083333332</c:v>
                </c:pt>
                <c:pt idx="90">
                  <c:v>0.24587897033333261</c:v>
                </c:pt>
                <c:pt idx="91">
                  <c:v>0.24053365155555606</c:v>
                </c:pt>
                <c:pt idx="92">
                  <c:v>0.31565925405555573</c:v>
                </c:pt>
                <c:pt idx="93">
                  <c:v>0.3196960360555553</c:v>
                </c:pt>
                <c:pt idx="94">
                  <c:v>0.31588269477777797</c:v>
                </c:pt>
                <c:pt idx="95">
                  <c:v>0.33451952172222232</c:v>
                </c:pt>
                <c:pt idx="96">
                  <c:v>0.31659101588888883</c:v>
                </c:pt>
                <c:pt idx="97">
                  <c:v>0.31488183511111101</c:v>
                </c:pt>
                <c:pt idx="98">
                  <c:v>0.31737446583333351</c:v>
                </c:pt>
                <c:pt idx="99">
                  <c:v>0.30070168561111066</c:v>
                </c:pt>
                <c:pt idx="100">
                  <c:v>0.28300829900000013</c:v>
                </c:pt>
                <c:pt idx="101">
                  <c:v>0.25282259177777811</c:v>
                </c:pt>
                <c:pt idx="102">
                  <c:v>0.25091047466666649</c:v>
                </c:pt>
                <c:pt idx="103">
                  <c:v>0.24866578711111109</c:v>
                </c:pt>
                <c:pt idx="104">
                  <c:v>0.25650323755555593</c:v>
                </c:pt>
                <c:pt idx="105">
                  <c:v>0.25904414305555601</c:v>
                </c:pt>
                <c:pt idx="106">
                  <c:v>0.24856043211111134</c:v>
                </c:pt>
                <c:pt idx="107">
                  <c:v>0.24842132016666685</c:v>
                </c:pt>
                <c:pt idx="108">
                  <c:v>0.22363734855555595</c:v>
                </c:pt>
                <c:pt idx="109">
                  <c:v>0.16103284033333332</c:v>
                </c:pt>
                <c:pt idx="110">
                  <c:v>0.16558496955555524</c:v>
                </c:pt>
                <c:pt idx="111">
                  <c:v>0.16857626727777764</c:v>
                </c:pt>
                <c:pt idx="112">
                  <c:v>0.19784723733333343</c:v>
                </c:pt>
                <c:pt idx="113">
                  <c:v>0.19614678638888894</c:v>
                </c:pt>
                <c:pt idx="114">
                  <c:v>0.17429406638888878</c:v>
                </c:pt>
                <c:pt idx="115">
                  <c:v>0.1474170053333328</c:v>
                </c:pt>
                <c:pt idx="116">
                  <c:v>0.16692060538888898</c:v>
                </c:pt>
                <c:pt idx="117">
                  <c:v>0.12924846727777728</c:v>
                </c:pt>
                <c:pt idx="118">
                  <c:v>0.13390485527777796</c:v>
                </c:pt>
                <c:pt idx="119">
                  <c:v>9.0856036444444399E-2</c:v>
                </c:pt>
                <c:pt idx="120">
                  <c:v>8.3940256333333352E-2</c:v>
                </c:pt>
                <c:pt idx="121">
                  <c:v>0.10785053016666646</c:v>
                </c:pt>
                <c:pt idx="122">
                  <c:v>9.9877596444444272E-2</c:v>
                </c:pt>
                <c:pt idx="123">
                  <c:v>0.10611861594444416</c:v>
                </c:pt>
                <c:pt idx="124">
                  <c:v>9.0291397833333287E-2</c:v>
                </c:pt>
                <c:pt idx="125">
                  <c:v>9.4123626111111025E-2</c:v>
                </c:pt>
                <c:pt idx="126">
                  <c:v>0.1094248963333333</c:v>
                </c:pt>
                <c:pt idx="127">
                  <c:v>0.11156315661111149</c:v>
                </c:pt>
                <c:pt idx="128">
                  <c:v>0.11065227666666699</c:v>
                </c:pt>
                <c:pt idx="129">
                  <c:v>0.12117842688888836</c:v>
                </c:pt>
                <c:pt idx="130">
                  <c:v>9.2340696388888976E-2</c:v>
                </c:pt>
                <c:pt idx="131">
                  <c:v>9.5323894333333214E-2</c:v>
                </c:pt>
                <c:pt idx="132">
                  <c:v>9.374346350000029E-2</c:v>
                </c:pt>
                <c:pt idx="133">
                  <c:v>8.811754977777797E-2</c:v>
                </c:pt>
                <c:pt idx="134">
                  <c:v>8.6509663222222422E-2</c:v>
                </c:pt>
                <c:pt idx="135">
                  <c:v>8.377527261111084E-2</c:v>
                </c:pt>
                <c:pt idx="136">
                  <c:v>9.143346233333316E-2</c:v>
                </c:pt>
                <c:pt idx="137">
                  <c:v>7.9515842388889091E-2</c:v>
                </c:pt>
                <c:pt idx="138">
                  <c:v>0.10527409683333344</c:v>
                </c:pt>
                <c:pt idx="139">
                  <c:v>9.2945243222222418E-2</c:v>
                </c:pt>
                <c:pt idx="140">
                  <c:v>0.10170726683333309</c:v>
                </c:pt>
                <c:pt idx="141">
                  <c:v>0.10553226488888934</c:v>
                </c:pt>
                <c:pt idx="142">
                  <c:v>9.481579205555557E-2</c:v>
                </c:pt>
                <c:pt idx="143">
                  <c:v>0.12879602411111046</c:v>
                </c:pt>
                <c:pt idx="144">
                  <c:v>0.20089685944444435</c:v>
                </c:pt>
                <c:pt idx="145">
                  <c:v>0.1973917952222225</c:v>
                </c:pt>
                <c:pt idx="146">
                  <c:v>0.16882033183333323</c:v>
                </c:pt>
                <c:pt idx="147">
                  <c:v>0.12969669772222248</c:v>
                </c:pt>
                <c:pt idx="148">
                  <c:v>0.12870259672222228</c:v>
                </c:pt>
                <c:pt idx="149">
                  <c:v>0.1389280079444446</c:v>
                </c:pt>
                <c:pt idx="150">
                  <c:v>0.14671278338888871</c:v>
                </c:pt>
                <c:pt idx="151">
                  <c:v>0.14390209366666684</c:v>
                </c:pt>
                <c:pt idx="152">
                  <c:v>0.1054834439444452</c:v>
                </c:pt>
                <c:pt idx="153">
                  <c:v>0.11373260055555567</c:v>
                </c:pt>
                <c:pt idx="154">
                  <c:v>0.10392147149999986</c:v>
                </c:pt>
                <c:pt idx="155">
                  <c:v>0.11532099688888897</c:v>
                </c:pt>
                <c:pt idx="156">
                  <c:v>0.10621201888888876</c:v>
                </c:pt>
                <c:pt idx="157">
                  <c:v>0.15525625977777779</c:v>
                </c:pt>
                <c:pt idx="158">
                  <c:v>0.14499908211111145</c:v>
                </c:pt>
                <c:pt idx="159">
                  <c:v>0.15447655600000021</c:v>
                </c:pt>
                <c:pt idx="160">
                  <c:v>0.1897452005555551</c:v>
                </c:pt>
                <c:pt idx="161">
                  <c:v>0.21271477400000005</c:v>
                </c:pt>
                <c:pt idx="162">
                  <c:v>0.173182011333333</c:v>
                </c:pt>
                <c:pt idx="163">
                  <c:v>0.17635172083333295</c:v>
                </c:pt>
                <c:pt idx="164">
                  <c:v>0.1824243235555556</c:v>
                </c:pt>
                <c:pt idx="165">
                  <c:v>0.18655114911111137</c:v>
                </c:pt>
                <c:pt idx="166">
                  <c:v>0.20237523872222241</c:v>
                </c:pt>
                <c:pt idx="167">
                  <c:v>0.18800481583333262</c:v>
                </c:pt>
                <c:pt idx="168">
                  <c:v>0.17604913838888936</c:v>
                </c:pt>
                <c:pt idx="169">
                  <c:v>0.15701688177777817</c:v>
                </c:pt>
                <c:pt idx="170">
                  <c:v>0.15238968849999945</c:v>
                </c:pt>
                <c:pt idx="171">
                  <c:v>0.15074753011111108</c:v>
                </c:pt>
                <c:pt idx="172">
                  <c:v>0.15132613005555562</c:v>
                </c:pt>
                <c:pt idx="173">
                  <c:v>0.16359331072222205</c:v>
                </c:pt>
                <c:pt idx="174">
                  <c:v>0.16369965722222213</c:v>
                </c:pt>
                <c:pt idx="175">
                  <c:v>0.15439080283333295</c:v>
                </c:pt>
                <c:pt idx="176">
                  <c:v>0.16610854738888825</c:v>
                </c:pt>
                <c:pt idx="177">
                  <c:v>0.16318444972222279</c:v>
                </c:pt>
                <c:pt idx="178">
                  <c:v>0.15234221383333291</c:v>
                </c:pt>
                <c:pt idx="179">
                  <c:v>0.16016601061111035</c:v>
                </c:pt>
                <c:pt idx="180">
                  <c:v>0.15492447444444402</c:v>
                </c:pt>
                <c:pt idx="181">
                  <c:v>0.14984471155555545</c:v>
                </c:pt>
                <c:pt idx="182">
                  <c:v>0.14498078000000048</c:v>
                </c:pt>
                <c:pt idx="183">
                  <c:v>0.15578081644444441</c:v>
                </c:pt>
                <c:pt idx="184">
                  <c:v>6.0448568563491789E-2</c:v>
                </c:pt>
                <c:pt idx="185">
                  <c:v>7.2781298333333355E-2</c:v>
                </c:pt>
                <c:pt idx="186">
                  <c:v>8.7973012722222244E-2</c:v>
                </c:pt>
                <c:pt idx="187">
                  <c:v>0.10183588383333275</c:v>
                </c:pt>
                <c:pt idx="188">
                  <c:v>9.9733686944444289E-2</c:v>
                </c:pt>
                <c:pt idx="189">
                  <c:v>0.11900685533333311</c:v>
                </c:pt>
                <c:pt idx="190">
                  <c:v>0.11772127905555563</c:v>
                </c:pt>
                <c:pt idx="191">
                  <c:v>0.12830751650000027</c:v>
                </c:pt>
                <c:pt idx="192">
                  <c:v>0.124721490166666</c:v>
                </c:pt>
                <c:pt idx="193">
                  <c:v>0.13151948088888876</c:v>
                </c:pt>
                <c:pt idx="194">
                  <c:v>0.12277849227777793</c:v>
                </c:pt>
                <c:pt idx="195">
                  <c:v>0.11914820566666695</c:v>
                </c:pt>
                <c:pt idx="196">
                  <c:v>0.1176739662777776</c:v>
                </c:pt>
                <c:pt idx="197">
                  <c:v>0.12661487727777787</c:v>
                </c:pt>
                <c:pt idx="198">
                  <c:v>0.11844409016666702</c:v>
                </c:pt>
                <c:pt idx="199">
                  <c:v>0.13085959883333331</c:v>
                </c:pt>
                <c:pt idx="200">
                  <c:v>0.1530033089999997</c:v>
                </c:pt>
                <c:pt idx="201">
                  <c:v>0.21044224411111101</c:v>
                </c:pt>
                <c:pt idx="202">
                  <c:v>0.21340812555555566</c:v>
                </c:pt>
                <c:pt idx="203">
                  <c:v>0.20044962377777842</c:v>
                </c:pt>
                <c:pt idx="204">
                  <c:v>0.22422964649999999</c:v>
                </c:pt>
                <c:pt idx="205">
                  <c:v>0.23129431066666684</c:v>
                </c:pt>
                <c:pt idx="206">
                  <c:v>0.23289765116666605</c:v>
                </c:pt>
                <c:pt idx="207">
                  <c:v>0.23866866716666668</c:v>
                </c:pt>
                <c:pt idx="208">
                  <c:v>0.24265733022222225</c:v>
                </c:pt>
                <c:pt idx="209">
                  <c:v>0.24065291066666639</c:v>
                </c:pt>
                <c:pt idx="210">
                  <c:v>0.24962091961111099</c:v>
                </c:pt>
                <c:pt idx="211">
                  <c:v>0.24772651988888839</c:v>
                </c:pt>
                <c:pt idx="212">
                  <c:v>0.24499409538888839</c:v>
                </c:pt>
                <c:pt idx="213">
                  <c:v>0.25677472838888871</c:v>
                </c:pt>
                <c:pt idx="214">
                  <c:v>0.26102327505555512</c:v>
                </c:pt>
                <c:pt idx="215">
                  <c:v>0.25816656266666727</c:v>
                </c:pt>
                <c:pt idx="216">
                  <c:v>0.26756660155555556</c:v>
                </c:pt>
                <c:pt idx="217">
                  <c:v>0.28291695177777754</c:v>
                </c:pt>
                <c:pt idx="218">
                  <c:v>0.28550129822222214</c:v>
                </c:pt>
                <c:pt idx="219">
                  <c:v>0.28000366133333321</c:v>
                </c:pt>
                <c:pt idx="220">
                  <c:v>0.28389415272222229</c:v>
                </c:pt>
                <c:pt idx="221">
                  <c:v>0.25859489850000017</c:v>
                </c:pt>
                <c:pt idx="222">
                  <c:v>0.25840739061111107</c:v>
                </c:pt>
                <c:pt idx="223">
                  <c:v>0.25701804827777719</c:v>
                </c:pt>
                <c:pt idx="224">
                  <c:v>0.22806677433333367</c:v>
                </c:pt>
                <c:pt idx="225">
                  <c:v>0.23517085250000003</c:v>
                </c:pt>
                <c:pt idx="226">
                  <c:v>0.26104843094444485</c:v>
                </c:pt>
                <c:pt idx="227">
                  <c:v>0.27711286472222219</c:v>
                </c:pt>
                <c:pt idx="228">
                  <c:v>0.28773564472222191</c:v>
                </c:pt>
                <c:pt idx="229">
                  <c:v>0.28412667988888951</c:v>
                </c:pt>
                <c:pt idx="230">
                  <c:v>0.2805210822777775</c:v>
                </c:pt>
                <c:pt idx="231">
                  <c:v>0.28394263600000003</c:v>
                </c:pt>
                <c:pt idx="232">
                  <c:v>0.29135592566666646</c:v>
                </c:pt>
                <c:pt idx="233">
                  <c:v>0.29023215522222234</c:v>
                </c:pt>
                <c:pt idx="234">
                  <c:v>0.29386936133333352</c:v>
                </c:pt>
                <c:pt idx="235">
                  <c:v>0.2954940200555557</c:v>
                </c:pt>
                <c:pt idx="236">
                  <c:v>0.28762547594444399</c:v>
                </c:pt>
                <c:pt idx="237">
                  <c:v>0.28006050733333354</c:v>
                </c:pt>
                <c:pt idx="238">
                  <c:v>0.28757850422222209</c:v>
                </c:pt>
                <c:pt idx="239">
                  <c:v>0.28661264294444422</c:v>
                </c:pt>
                <c:pt idx="240">
                  <c:v>0.28193612811111113</c:v>
                </c:pt>
                <c:pt idx="241">
                  <c:v>0.26441901594444361</c:v>
                </c:pt>
                <c:pt idx="242">
                  <c:v>0.25323005727777737</c:v>
                </c:pt>
                <c:pt idx="243">
                  <c:v>0.25692037133333356</c:v>
                </c:pt>
                <c:pt idx="244">
                  <c:v>0.255314553666667</c:v>
                </c:pt>
                <c:pt idx="245">
                  <c:v>0.24702647205555572</c:v>
                </c:pt>
                <c:pt idx="246">
                  <c:v>0.24853223994444429</c:v>
                </c:pt>
                <c:pt idx="247">
                  <c:v>0.23340214038888918</c:v>
                </c:pt>
                <c:pt idx="248">
                  <c:v>0.24225186833333279</c:v>
                </c:pt>
                <c:pt idx="249">
                  <c:v>0.19724410199999998</c:v>
                </c:pt>
                <c:pt idx="250">
                  <c:v>0.20091444622222232</c:v>
                </c:pt>
                <c:pt idx="251">
                  <c:v>0.21834593877777786</c:v>
                </c:pt>
                <c:pt idx="252">
                  <c:v>0.2056705528888888</c:v>
                </c:pt>
                <c:pt idx="253">
                  <c:v>0.19147997733333311</c:v>
                </c:pt>
                <c:pt idx="254">
                  <c:v>0.18666176016666636</c:v>
                </c:pt>
                <c:pt idx="255">
                  <c:v>0.19835144644444513</c:v>
                </c:pt>
                <c:pt idx="256">
                  <c:v>0.19647056877777747</c:v>
                </c:pt>
                <c:pt idx="257">
                  <c:v>0.18836851144444455</c:v>
                </c:pt>
                <c:pt idx="258">
                  <c:v>0.19864501288888825</c:v>
                </c:pt>
                <c:pt idx="259">
                  <c:v>0.11626841844444491</c:v>
                </c:pt>
                <c:pt idx="260">
                  <c:v>0.10658572955555545</c:v>
                </c:pt>
                <c:pt idx="261">
                  <c:v>0.10994061544444411</c:v>
                </c:pt>
                <c:pt idx="262">
                  <c:v>0.11544800861111126</c:v>
                </c:pt>
                <c:pt idx="263">
                  <c:v>0.12631606344444424</c:v>
                </c:pt>
                <c:pt idx="264">
                  <c:v>0.11689052488888896</c:v>
                </c:pt>
                <c:pt idx="265">
                  <c:v>0.11665545750000028</c:v>
                </c:pt>
                <c:pt idx="266">
                  <c:v>0.11514307677777713</c:v>
                </c:pt>
                <c:pt idx="267">
                  <c:v>0.11024661511111178</c:v>
                </c:pt>
                <c:pt idx="268">
                  <c:v>0.10260155288888928</c:v>
                </c:pt>
                <c:pt idx="269">
                  <c:v>0.10434399194444455</c:v>
                </c:pt>
                <c:pt idx="270">
                  <c:v>0.12095875261111122</c:v>
                </c:pt>
                <c:pt idx="271">
                  <c:v>0.12331683427777773</c:v>
                </c:pt>
                <c:pt idx="272">
                  <c:v>0.13035249266666626</c:v>
                </c:pt>
                <c:pt idx="273">
                  <c:v>0.12630955088888851</c:v>
                </c:pt>
                <c:pt idx="274">
                  <c:v>0.1360126528888892</c:v>
                </c:pt>
                <c:pt idx="275">
                  <c:v>0.13636223955555582</c:v>
                </c:pt>
                <c:pt idx="276">
                  <c:v>0.15049539733333339</c:v>
                </c:pt>
                <c:pt idx="277">
                  <c:v>0.14073346611111082</c:v>
                </c:pt>
                <c:pt idx="278">
                  <c:v>0.14310814449999998</c:v>
                </c:pt>
                <c:pt idx="279">
                  <c:v>0.17066286144444465</c:v>
                </c:pt>
                <c:pt idx="280">
                  <c:v>0.17443835522222195</c:v>
                </c:pt>
                <c:pt idx="281">
                  <c:v>0.15853686038888914</c:v>
                </c:pt>
                <c:pt idx="282">
                  <c:v>0.15602581494444467</c:v>
                </c:pt>
                <c:pt idx="283">
                  <c:v>0.15567886266666631</c:v>
                </c:pt>
                <c:pt idx="284">
                  <c:v>0.18013045777777792</c:v>
                </c:pt>
                <c:pt idx="285">
                  <c:v>0.19313432155555532</c:v>
                </c:pt>
                <c:pt idx="286">
                  <c:v>0.169167844555556</c:v>
                </c:pt>
                <c:pt idx="287">
                  <c:v>0.19696178611111104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32-49D1-81E5-FD5FAE021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solidFill>
                  <a:srgbClr val="FFFFFF"/>
                </a:solidFill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tickLblSkip val="12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txPr>
          <a:bodyPr anchorCtr="1"/>
          <a:lstStyle/>
          <a:p>
            <a:pPr>
              <a:defRPr sz="675">
                <a:solidFill>
                  <a:srgbClr val="FFFFFF"/>
                </a:solidFill>
              </a:defRPr>
            </a:pPr>
            <a:endParaRPr lang="ru-RU"/>
          </a:p>
        </c:txPr>
        <c:crossAx val="48650112"/>
        <c:crosses val="autoZero"/>
        <c:crossBetween val="between"/>
        <c:majorUnit val="0.2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Медиана</c:v>
          </c:tx>
          <c:spPr>
            <a:ln w="14288">
              <a:solidFill>
                <a:srgbClr val="2CA02C"/>
              </a:solidFill>
              <a:prstDash val="solid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Данные!$BE$2:$BE$289</c:f>
              <c:numCache>
                <c:formatCode>General</c:formatCode>
                <c:ptCount val="288"/>
                <c:pt idx="0">
                  <c:v>0.59436976666666674</c:v>
                </c:pt>
                <c:pt idx="1">
                  <c:v>0.60663416111111113</c:v>
                </c:pt>
                <c:pt idx="2">
                  <c:v>0.63199783333333293</c:v>
                </c:pt>
                <c:pt idx="3">
                  <c:v>0.62838330000000009</c:v>
                </c:pt>
                <c:pt idx="4">
                  <c:v>0.63618672777777763</c:v>
                </c:pt>
                <c:pt idx="5">
                  <c:v>0.63916017222222243</c:v>
                </c:pt>
                <c:pt idx="6">
                  <c:v>0.63270508333333353</c:v>
                </c:pt>
                <c:pt idx="7">
                  <c:v>0.62105416666666613</c:v>
                </c:pt>
                <c:pt idx="8">
                  <c:v>0.66879331111111118</c:v>
                </c:pt>
                <c:pt idx="9">
                  <c:v>0.66101194444444411</c:v>
                </c:pt>
                <c:pt idx="10">
                  <c:v>0.65855983333333279</c:v>
                </c:pt>
                <c:pt idx="11">
                  <c:v>0.66829689999999997</c:v>
                </c:pt>
                <c:pt idx="12">
                  <c:v>0.67153227777777824</c:v>
                </c:pt>
                <c:pt idx="13">
                  <c:v>0.6811775944444447</c:v>
                </c:pt>
                <c:pt idx="14">
                  <c:v>0.6753707888888888</c:v>
                </c:pt>
                <c:pt idx="15">
                  <c:v>0.65772980000000003</c:v>
                </c:pt>
                <c:pt idx="16">
                  <c:v>0.64748148333333333</c:v>
                </c:pt>
                <c:pt idx="17">
                  <c:v>0.66180636111111135</c:v>
                </c:pt>
                <c:pt idx="18">
                  <c:v>0.63929086666666657</c:v>
                </c:pt>
                <c:pt idx="19">
                  <c:v>0.63790172777777787</c:v>
                </c:pt>
                <c:pt idx="20">
                  <c:v>0.64178005000000005</c:v>
                </c:pt>
                <c:pt idx="21">
                  <c:v>0.63037490000000007</c:v>
                </c:pt>
                <c:pt idx="22">
                  <c:v>0.63438661666666663</c:v>
                </c:pt>
                <c:pt idx="23">
                  <c:v>0.63080037777777787</c:v>
                </c:pt>
                <c:pt idx="24">
                  <c:v>0.62533515000000017</c:v>
                </c:pt>
                <c:pt idx="25">
                  <c:v>0.62794123333333296</c:v>
                </c:pt>
                <c:pt idx="26">
                  <c:v>0.64235660555555596</c:v>
                </c:pt>
                <c:pt idx="27">
                  <c:v>0.64197898888888905</c:v>
                </c:pt>
                <c:pt idx="28">
                  <c:v>0.64687900555555555</c:v>
                </c:pt>
                <c:pt idx="29">
                  <c:v>0.63191860000000022</c:v>
                </c:pt>
                <c:pt idx="30">
                  <c:v>0.62532408333333356</c:v>
                </c:pt>
                <c:pt idx="31">
                  <c:v>0.61324930555555568</c:v>
                </c:pt>
                <c:pt idx="32">
                  <c:v>0.61030242222222231</c:v>
                </c:pt>
                <c:pt idx="33">
                  <c:v>0.61916870555555548</c:v>
                </c:pt>
                <c:pt idx="34">
                  <c:v>0.61949446111111139</c:v>
                </c:pt>
                <c:pt idx="35">
                  <c:v>0.62670879999999973</c:v>
                </c:pt>
                <c:pt idx="36">
                  <c:v>0.61939890555555577</c:v>
                </c:pt>
                <c:pt idx="37">
                  <c:v>0.61543929444444467</c:v>
                </c:pt>
                <c:pt idx="38">
                  <c:v>0.6109182166666669</c:v>
                </c:pt>
                <c:pt idx="39">
                  <c:v>0.59930309999999976</c:v>
                </c:pt>
                <c:pt idx="40">
                  <c:v>0.59368734444444449</c:v>
                </c:pt>
                <c:pt idx="41">
                  <c:v>0.58359755555555537</c:v>
                </c:pt>
                <c:pt idx="42">
                  <c:v>0.57937286111111097</c:v>
                </c:pt>
                <c:pt idx="43">
                  <c:v>0.59185447777777755</c:v>
                </c:pt>
                <c:pt idx="44">
                  <c:v>0.58138098888888878</c:v>
                </c:pt>
                <c:pt idx="45">
                  <c:v>0.59933320000000001</c:v>
                </c:pt>
                <c:pt idx="46">
                  <c:v>0.61485088333333326</c:v>
                </c:pt>
                <c:pt idx="47">
                  <c:v>0.61838721666666663</c:v>
                </c:pt>
                <c:pt idx="48">
                  <c:v>0.60951048888888903</c:v>
                </c:pt>
                <c:pt idx="49">
                  <c:v>0.60909714999999964</c:v>
                </c:pt>
                <c:pt idx="50">
                  <c:v>0.61902689999999949</c:v>
                </c:pt>
                <c:pt idx="51">
                  <c:v>0.61614029999999975</c:v>
                </c:pt>
                <c:pt idx="52">
                  <c:v>0.61775167222222205</c:v>
                </c:pt>
                <c:pt idx="53">
                  <c:v>0.60824132222222216</c:v>
                </c:pt>
                <c:pt idx="54">
                  <c:v>0.60937669444444453</c:v>
                </c:pt>
                <c:pt idx="55">
                  <c:v>0.60246893333333329</c:v>
                </c:pt>
                <c:pt idx="56">
                  <c:v>0.60294810555555589</c:v>
                </c:pt>
                <c:pt idx="57">
                  <c:v>0.59116727777777822</c:v>
                </c:pt>
                <c:pt idx="58">
                  <c:v>0.59954575555555556</c:v>
                </c:pt>
                <c:pt idx="59">
                  <c:v>0.58580137222222217</c:v>
                </c:pt>
                <c:pt idx="60">
                  <c:v>0.56304331666666652</c:v>
                </c:pt>
                <c:pt idx="61">
                  <c:v>0.56702331666666639</c:v>
                </c:pt>
                <c:pt idx="62">
                  <c:v>0.56205096111111108</c:v>
                </c:pt>
                <c:pt idx="63">
                  <c:v>0.56374029444444451</c:v>
                </c:pt>
                <c:pt idx="64">
                  <c:v>0.56788348333333305</c:v>
                </c:pt>
                <c:pt idx="65">
                  <c:v>0.55560142222222197</c:v>
                </c:pt>
                <c:pt idx="66">
                  <c:v>0.55259275555555543</c:v>
                </c:pt>
                <c:pt idx="67">
                  <c:v>0.57120853333333343</c:v>
                </c:pt>
                <c:pt idx="68">
                  <c:v>0.59258649444444444</c:v>
                </c:pt>
                <c:pt idx="69">
                  <c:v>0.57347040000000016</c:v>
                </c:pt>
                <c:pt idx="70">
                  <c:v>0.565444572222222</c:v>
                </c:pt>
                <c:pt idx="71">
                  <c:v>0.56183141666666658</c:v>
                </c:pt>
                <c:pt idx="72">
                  <c:v>0.54709975555555568</c:v>
                </c:pt>
                <c:pt idx="73">
                  <c:v>0.54640086111111119</c:v>
                </c:pt>
                <c:pt idx="74">
                  <c:v>0.54525738333333296</c:v>
                </c:pt>
                <c:pt idx="75">
                  <c:v>0.52852898888888866</c:v>
                </c:pt>
                <c:pt idx="76">
                  <c:v>0.52676637777777768</c:v>
                </c:pt>
                <c:pt idx="77">
                  <c:v>0.53337380000000001</c:v>
                </c:pt>
                <c:pt idx="78">
                  <c:v>0.53409287777777781</c:v>
                </c:pt>
                <c:pt idx="79">
                  <c:v>0.5336095666666667</c:v>
                </c:pt>
                <c:pt idx="80">
                  <c:v>0.5741180611111113</c:v>
                </c:pt>
                <c:pt idx="81">
                  <c:v>0.58089867777777759</c:v>
                </c:pt>
                <c:pt idx="82">
                  <c:v>0.56859097222222221</c:v>
                </c:pt>
                <c:pt idx="83">
                  <c:v>0.55427221111111125</c:v>
                </c:pt>
                <c:pt idx="84">
                  <c:v>0.54999133888888929</c:v>
                </c:pt>
                <c:pt idx="85">
                  <c:v>0.53986860555555571</c:v>
                </c:pt>
                <c:pt idx="86">
                  <c:v>0.53431404999999998</c:v>
                </c:pt>
                <c:pt idx="87">
                  <c:v>0.54089526111111086</c:v>
                </c:pt>
                <c:pt idx="88">
                  <c:v>0.54713211111111137</c:v>
                </c:pt>
                <c:pt idx="89">
                  <c:v>0.54550936111111092</c:v>
                </c:pt>
                <c:pt idx="90">
                  <c:v>0.56073604444444447</c:v>
                </c:pt>
                <c:pt idx="91">
                  <c:v>0.53758762222222201</c:v>
                </c:pt>
                <c:pt idx="92">
                  <c:v>0.52400351666666667</c:v>
                </c:pt>
                <c:pt idx="93">
                  <c:v>0.52593009999999984</c:v>
                </c:pt>
                <c:pt idx="94">
                  <c:v>0.53083386666666654</c:v>
                </c:pt>
                <c:pt idx="95">
                  <c:v>0.51067730555555557</c:v>
                </c:pt>
                <c:pt idx="96">
                  <c:v>0.49689738333333328</c:v>
                </c:pt>
                <c:pt idx="97">
                  <c:v>0.52154712777777756</c:v>
                </c:pt>
                <c:pt idx="98">
                  <c:v>0.52987177777777772</c:v>
                </c:pt>
                <c:pt idx="99">
                  <c:v>0.52098507222222212</c:v>
                </c:pt>
                <c:pt idx="100">
                  <c:v>0.54133453888888894</c:v>
                </c:pt>
                <c:pt idx="101">
                  <c:v>0.54531480555555545</c:v>
                </c:pt>
                <c:pt idx="102">
                  <c:v>0.5502512833333334</c:v>
                </c:pt>
                <c:pt idx="103">
                  <c:v>0.56166602222222206</c:v>
                </c:pt>
                <c:pt idx="104">
                  <c:v>0.57629853888888893</c:v>
                </c:pt>
                <c:pt idx="105">
                  <c:v>0.57237349444444441</c:v>
                </c:pt>
                <c:pt idx="106">
                  <c:v>0.56375217777777809</c:v>
                </c:pt>
                <c:pt idx="107">
                  <c:v>0.58190724999999988</c:v>
                </c:pt>
                <c:pt idx="108">
                  <c:v>0.57366788888888853</c:v>
                </c:pt>
                <c:pt idx="109">
                  <c:v>0.58661560555555536</c:v>
                </c:pt>
                <c:pt idx="110">
                  <c:v>0.57892612777777808</c:v>
                </c:pt>
                <c:pt idx="111">
                  <c:v>0.57257258888888884</c:v>
                </c:pt>
                <c:pt idx="112">
                  <c:v>0.56451981666666684</c:v>
                </c:pt>
                <c:pt idx="113">
                  <c:v>0.57809161666666664</c:v>
                </c:pt>
                <c:pt idx="114">
                  <c:v>0.57206622222222236</c:v>
                </c:pt>
                <c:pt idx="115">
                  <c:v>0.59134060555555579</c:v>
                </c:pt>
                <c:pt idx="116">
                  <c:v>0.59353017222222237</c:v>
                </c:pt>
                <c:pt idx="117">
                  <c:v>0.60930797222222222</c:v>
                </c:pt>
                <c:pt idx="118">
                  <c:v>0.59620105555555525</c:v>
                </c:pt>
                <c:pt idx="119">
                  <c:v>0.60813930555555573</c:v>
                </c:pt>
                <c:pt idx="120">
                  <c:v>0.61137767222222217</c:v>
                </c:pt>
                <c:pt idx="121">
                  <c:v>0.61713987777777801</c:v>
                </c:pt>
                <c:pt idx="122">
                  <c:v>0.60927917222222217</c:v>
                </c:pt>
                <c:pt idx="123">
                  <c:v>0.61535678333333366</c:v>
                </c:pt>
                <c:pt idx="124">
                  <c:v>0.62701011111111071</c:v>
                </c:pt>
                <c:pt idx="125">
                  <c:v>0.6197489944444442</c:v>
                </c:pt>
                <c:pt idx="126">
                  <c:v>0.61864427777777742</c:v>
                </c:pt>
                <c:pt idx="127">
                  <c:v>0.62230208888888894</c:v>
                </c:pt>
                <c:pt idx="128">
                  <c:v>0.616344911111111</c:v>
                </c:pt>
                <c:pt idx="129">
                  <c:v>0.6258081000000002</c:v>
                </c:pt>
                <c:pt idx="130">
                  <c:v>0.61665986666666683</c:v>
                </c:pt>
                <c:pt idx="131">
                  <c:v>0.61089116666666687</c:v>
                </c:pt>
                <c:pt idx="132">
                  <c:v>0.63276087222222244</c:v>
                </c:pt>
                <c:pt idx="133">
                  <c:v>0.63689472777777789</c:v>
                </c:pt>
                <c:pt idx="134">
                  <c:v>0.64554998333333302</c:v>
                </c:pt>
                <c:pt idx="135">
                  <c:v>0.65415377222222193</c:v>
                </c:pt>
                <c:pt idx="136">
                  <c:v>0.65009971666666666</c:v>
                </c:pt>
                <c:pt idx="137">
                  <c:v>0.64872161111111137</c:v>
                </c:pt>
                <c:pt idx="138">
                  <c:v>0.642909255555555</c:v>
                </c:pt>
                <c:pt idx="139">
                  <c:v>0.65021601111111094</c:v>
                </c:pt>
                <c:pt idx="140">
                  <c:v>0.64476703333333352</c:v>
                </c:pt>
                <c:pt idx="141">
                  <c:v>0.64550753888888845</c:v>
                </c:pt>
                <c:pt idx="142">
                  <c:v>0.64439483333333347</c:v>
                </c:pt>
                <c:pt idx="143">
                  <c:v>0.63488189444444409</c:v>
                </c:pt>
                <c:pt idx="144">
                  <c:v>0.6375555500000003</c:v>
                </c:pt>
                <c:pt idx="145">
                  <c:v>0.62481221666666653</c:v>
                </c:pt>
                <c:pt idx="146">
                  <c:v>0.62076726666666637</c:v>
                </c:pt>
                <c:pt idx="147">
                  <c:v>0.64050677777777798</c:v>
                </c:pt>
                <c:pt idx="148">
                  <c:v>0.6182747666666667</c:v>
                </c:pt>
                <c:pt idx="149">
                  <c:v>0.61058993888888902</c:v>
                </c:pt>
                <c:pt idx="150">
                  <c:v>0.6181369555555557</c:v>
                </c:pt>
                <c:pt idx="151">
                  <c:v>0.60820132222222223</c:v>
                </c:pt>
                <c:pt idx="152">
                  <c:v>0.64807272222222223</c:v>
                </c:pt>
                <c:pt idx="153">
                  <c:v>0.6546647277777774</c:v>
                </c:pt>
                <c:pt idx="154">
                  <c:v>0.65433080555555567</c:v>
                </c:pt>
                <c:pt idx="155">
                  <c:v>0.64477632222222203</c:v>
                </c:pt>
                <c:pt idx="156">
                  <c:v>0.65679821666666705</c:v>
                </c:pt>
                <c:pt idx="157">
                  <c:v>0.65885411111111114</c:v>
                </c:pt>
                <c:pt idx="158">
                  <c:v>0.66293265000000001</c:v>
                </c:pt>
                <c:pt idx="159">
                  <c:v>0.65861499999999973</c:v>
                </c:pt>
                <c:pt idx="160">
                  <c:v>0.65954253333333324</c:v>
                </c:pt>
                <c:pt idx="161">
                  <c:v>0.65858880555555577</c:v>
                </c:pt>
                <c:pt idx="162">
                  <c:v>0.65963805555555544</c:v>
                </c:pt>
                <c:pt idx="163">
                  <c:v>0.66459714444444429</c:v>
                </c:pt>
                <c:pt idx="164">
                  <c:v>0.6572195111111111</c:v>
                </c:pt>
                <c:pt idx="165">
                  <c:v>0.64754827222222233</c:v>
                </c:pt>
                <c:pt idx="166">
                  <c:v>0.63797729999999986</c:v>
                </c:pt>
                <c:pt idx="167">
                  <c:v>0.63797000000000026</c:v>
                </c:pt>
                <c:pt idx="168">
                  <c:v>0.63148176111111121</c:v>
                </c:pt>
                <c:pt idx="169">
                  <c:v>0.63979432777777767</c:v>
                </c:pt>
                <c:pt idx="170">
                  <c:v>0.64718998888888868</c:v>
                </c:pt>
                <c:pt idx="171">
                  <c:v>0.64808201666666654</c:v>
                </c:pt>
                <c:pt idx="172">
                  <c:v>0.65065630555555554</c:v>
                </c:pt>
                <c:pt idx="173">
                  <c:v>0.66350066111111117</c:v>
                </c:pt>
                <c:pt idx="174">
                  <c:v>0.65933975555555546</c:v>
                </c:pt>
                <c:pt idx="175">
                  <c:v>0.65100501666666633</c:v>
                </c:pt>
                <c:pt idx="176">
                  <c:v>0.64835528333333303</c:v>
                </c:pt>
                <c:pt idx="177">
                  <c:v>0.66999503888888889</c:v>
                </c:pt>
                <c:pt idx="178">
                  <c:v>0.65347368333333333</c:v>
                </c:pt>
                <c:pt idx="179">
                  <c:v>0.65055405555555568</c:v>
                </c:pt>
                <c:pt idx="180">
                  <c:v>0.65022896666666685</c:v>
                </c:pt>
                <c:pt idx="181">
                  <c:v>0.64200167777777795</c:v>
                </c:pt>
                <c:pt idx="182">
                  <c:v>0.62870407777777781</c:v>
                </c:pt>
                <c:pt idx="183">
                  <c:v>0.62162107777777753</c:v>
                </c:pt>
                <c:pt idx="184">
                  <c:v>0.62964832777777791</c:v>
                </c:pt>
                <c:pt idx="185">
                  <c:v>0.62280294999999963</c:v>
                </c:pt>
                <c:pt idx="186">
                  <c:v>0.62836302777777808</c:v>
                </c:pt>
                <c:pt idx="187">
                  <c:v>0.62703607777777781</c:v>
                </c:pt>
                <c:pt idx="188">
                  <c:v>0.62814213333333346</c:v>
                </c:pt>
                <c:pt idx="189">
                  <c:v>0.62988077222222272</c:v>
                </c:pt>
                <c:pt idx="190">
                  <c:v>0.62007660555555533</c:v>
                </c:pt>
                <c:pt idx="191">
                  <c:v>0.61774067222222218</c:v>
                </c:pt>
                <c:pt idx="192">
                  <c:v>0.62964853888888861</c:v>
                </c:pt>
                <c:pt idx="193">
                  <c:v>0.63674733888888901</c:v>
                </c:pt>
                <c:pt idx="194">
                  <c:v>0.64306618333333332</c:v>
                </c:pt>
                <c:pt idx="195">
                  <c:v>0.63397350000000041</c:v>
                </c:pt>
                <c:pt idx="196">
                  <c:v>0.6416407444444443</c:v>
                </c:pt>
                <c:pt idx="197">
                  <c:v>0.63154566666666689</c:v>
                </c:pt>
                <c:pt idx="198">
                  <c:v>0.61891675555555536</c:v>
                </c:pt>
                <c:pt idx="199">
                  <c:v>0.61338795555555592</c:v>
                </c:pt>
                <c:pt idx="200">
                  <c:v>0.61016868333333329</c:v>
                </c:pt>
                <c:pt idx="201">
                  <c:v>0.60903782222222258</c:v>
                </c:pt>
                <c:pt idx="202">
                  <c:v>0.60543342222222241</c:v>
                </c:pt>
                <c:pt idx="203">
                  <c:v>0.60482902222222223</c:v>
                </c:pt>
                <c:pt idx="204">
                  <c:v>0.60050603333333374</c:v>
                </c:pt>
                <c:pt idx="205">
                  <c:v>0.58868089999999995</c:v>
                </c:pt>
                <c:pt idx="206">
                  <c:v>0.58862626666666651</c:v>
                </c:pt>
                <c:pt idx="207">
                  <c:v>0.57273933888888862</c:v>
                </c:pt>
                <c:pt idx="208">
                  <c:v>0.55725131111111115</c:v>
                </c:pt>
                <c:pt idx="209">
                  <c:v>0.56272314444444416</c:v>
                </c:pt>
                <c:pt idx="210">
                  <c:v>0.56141632222222204</c:v>
                </c:pt>
                <c:pt idx="211">
                  <c:v>0.55398286666666718</c:v>
                </c:pt>
                <c:pt idx="212">
                  <c:v>0.56247095000000025</c:v>
                </c:pt>
                <c:pt idx="213">
                  <c:v>0.5606980611111112</c:v>
                </c:pt>
                <c:pt idx="214">
                  <c:v>0.55923893333333308</c:v>
                </c:pt>
                <c:pt idx="215">
                  <c:v>0.55149873333333321</c:v>
                </c:pt>
                <c:pt idx="216">
                  <c:v>0.56154563888888875</c:v>
                </c:pt>
                <c:pt idx="217">
                  <c:v>0.55779557222222198</c:v>
                </c:pt>
                <c:pt idx="218">
                  <c:v>0.56316152777777762</c:v>
                </c:pt>
                <c:pt idx="219">
                  <c:v>0.57312024999999989</c:v>
                </c:pt>
                <c:pt idx="220">
                  <c:v>0.57248350000000026</c:v>
                </c:pt>
                <c:pt idx="221">
                  <c:v>0.56697347222222227</c:v>
                </c:pt>
                <c:pt idx="222">
                  <c:v>0.55807845</c:v>
                </c:pt>
                <c:pt idx="223">
                  <c:v>0.55053523888888867</c:v>
                </c:pt>
                <c:pt idx="224">
                  <c:v>0.58744737222222221</c:v>
                </c:pt>
                <c:pt idx="225">
                  <c:v>0.5815260166666667</c:v>
                </c:pt>
                <c:pt idx="226">
                  <c:v>0.58446818888888874</c:v>
                </c:pt>
                <c:pt idx="227">
                  <c:v>0.57224456111111133</c:v>
                </c:pt>
                <c:pt idx="228">
                  <c:v>0.56623654444444405</c:v>
                </c:pt>
                <c:pt idx="229">
                  <c:v>0.56245981666666678</c:v>
                </c:pt>
                <c:pt idx="230">
                  <c:v>0.56903771111111079</c:v>
                </c:pt>
                <c:pt idx="231">
                  <c:v>0.56215306111111085</c:v>
                </c:pt>
                <c:pt idx="232">
                  <c:v>0.56928047222222211</c:v>
                </c:pt>
                <c:pt idx="233">
                  <c:v>0.56175239444444436</c:v>
                </c:pt>
                <c:pt idx="234">
                  <c:v>0.56216689444444456</c:v>
                </c:pt>
                <c:pt idx="235">
                  <c:v>0.56022845555555556</c:v>
                </c:pt>
                <c:pt idx="236">
                  <c:v>0.56165268333333307</c:v>
                </c:pt>
                <c:pt idx="237">
                  <c:v>0.5650018555555556</c:v>
                </c:pt>
                <c:pt idx="238">
                  <c:v>0.56658851111111108</c:v>
                </c:pt>
                <c:pt idx="239">
                  <c:v>0.55772806111111128</c:v>
                </c:pt>
                <c:pt idx="240">
                  <c:v>0.55267670555555559</c:v>
                </c:pt>
                <c:pt idx="241">
                  <c:v>0.55268997777777806</c:v>
                </c:pt>
                <c:pt idx="242">
                  <c:v>0.56966268333333336</c:v>
                </c:pt>
                <c:pt idx="243">
                  <c:v>0.56542633333333348</c:v>
                </c:pt>
                <c:pt idx="244">
                  <c:v>0.57440377777777762</c:v>
                </c:pt>
                <c:pt idx="245">
                  <c:v>0.57467700555555534</c:v>
                </c:pt>
                <c:pt idx="246">
                  <c:v>0.5893756</c:v>
                </c:pt>
                <c:pt idx="247">
                  <c:v>0.58114345555555547</c:v>
                </c:pt>
                <c:pt idx="248">
                  <c:v>0.58183849444444424</c:v>
                </c:pt>
                <c:pt idx="249">
                  <c:v>0.59517842222222228</c:v>
                </c:pt>
                <c:pt idx="250">
                  <c:v>0.59177637777777758</c:v>
                </c:pt>
                <c:pt idx="251">
                  <c:v>0.57890398888888894</c:v>
                </c:pt>
                <c:pt idx="252">
                  <c:v>0.58994539999999962</c:v>
                </c:pt>
                <c:pt idx="253">
                  <c:v>0.60020802222222214</c:v>
                </c:pt>
                <c:pt idx="254">
                  <c:v>0.59588429444444435</c:v>
                </c:pt>
                <c:pt idx="255">
                  <c:v>0.6020399166666669</c:v>
                </c:pt>
                <c:pt idx="256">
                  <c:v>0.6118816055555556</c:v>
                </c:pt>
                <c:pt idx="257">
                  <c:v>0.63332857777777796</c:v>
                </c:pt>
                <c:pt idx="258">
                  <c:v>0.62386894444444474</c:v>
                </c:pt>
                <c:pt idx="259">
                  <c:v>0.6458437055555557</c:v>
                </c:pt>
                <c:pt idx="260">
                  <c:v>0.65172551666666667</c:v>
                </c:pt>
                <c:pt idx="261">
                  <c:v>0.68123857777777808</c:v>
                </c:pt>
                <c:pt idx="262">
                  <c:v>0.65446395555555559</c:v>
                </c:pt>
                <c:pt idx="263">
                  <c:v>0.63807818888888934</c:v>
                </c:pt>
                <c:pt idx="264">
                  <c:v>0.63066151111111135</c:v>
                </c:pt>
                <c:pt idx="265">
                  <c:v>0.63797308888888893</c:v>
                </c:pt>
                <c:pt idx="266">
                  <c:v>0.64329307777777767</c:v>
                </c:pt>
                <c:pt idx="267">
                  <c:v>0.64536698888888866</c:v>
                </c:pt>
                <c:pt idx="268">
                  <c:v>0.65951476666666686</c:v>
                </c:pt>
                <c:pt idx="269">
                  <c:v>0.66117687777777789</c:v>
                </c:pt>
                <c:pt idx="270">
                  <c:v>0.65387257777777785</c:v>
                </c:pt>
                <c:pt idx="271">
                  <c:v>0.6422712277777779</c:v>
                </c:pt>
                <c:pt idx="272">
                  <c:v>0.6676994055555554</c:v>
                </c:pt>
                <c:pt idx="273">
                  <c:v>0.67599212222222194</c:v>
                </c:pt>
                <c:pt idx="274">
                  <c:v>0.67224419444444483</c:v>
                </c:pt>
                <c:pt idx="275">
                  <c:v>0.67086186666666647</c:v>
                </c:pt>
                <c:pt idx="276">
                  <c:v>0.67095862222222236</c:v>
                </c:pt>
                <c:pt idx="277">
                  <c:v>0.66626048333333343</c:v>
                </c:pt>
                <c:pt idx="278">
                  <c:v>0.65766264999999957</c:v>
                </c:pt>
                <c:pt idx="279">
                  <c:v>0.65156068333333317</c:v>
                </c:pt>
                <c:pt idx="280">
                  <c:v>0.67146071666666651</c:v>
                </c:pt>
                <c:pt idx="281">
                  <c:v>0.65882685000000007</c:v>
                </c:pt>
                <c:pt idx="282">
                  <c:v>0.65172571111111155</c:v>
                </c:pt>
                <c:pt idx="283">
                  <c:v>0.64500396666666682</c:v>
                </c:pt>
                <c:pt idx="284">
                  <c:v>0.62984457777777758</c:v>
                </c:pt>
                <c:pt idx="285">
                  <c:v>0.65185063888888906</c:v>
                </c:pt>
                <c:pt idx="286">
                  <c:v>0.62837446666666619</c:v>
                </c:pt>
                <c:pt idx="287">
                  <c:v>0.59888981666666707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5B-440B-A916-22E9E3FCE351}"/>
            </c:ext>
          </c:extLst>
        </c:ser>
        <c:ser>
          <c:idx val="1"/>
          <c:order val="1"/>
          <c:tx>
            <c:v>50% (нижняя)</c:v>
          </c:tx>
          <c:spPr>
            <a:ln w="9525">
              <a:solidFill>
                <a:srgbClr val="034D79"/>
              </a:solidFill>
              <a:prstDash val="solid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Данные!$BF$2:$BF$289</c:f>
              <c:numCache>
                <c:formatCode>General</c:formatCode>
                <c:ptCount val="288"/>
                <c:pt idx="0">
                  <c:v>0.54037228055555531</c:v>
                </c:pt>
                <c:pt idx="1">
                  <c:v>0.56247524166666674</c:v>
                </c:pt>
                <c:pt idx="2">
                  <c:v>0.5600726111111114</c:v>
                </c:pt>
                <c:pt idx="3">
                  <c:v>0.56092999999999971</c:v>
                </c:pt>
                <c:pt idx="4">
                  <c:v>0.55958576944444449</c:v>
                </c:pt>
                <c:pt idx="5">
                  <c:v>0.53703986944444448</c:v>
                </c:pt>
                <c:pt idx="6">
                  <c:v>0.54118489444444462</c:v>
                </c:pt>
                <c:pt idx="7">
                  <c:v>0.55699763888888876</c:v>
                </c:pt>
                <c:pt idx="8">
                  <c:v>0.61058156388888862</c:v>
                </c:pt>
                <c:pt idx="9">
                  <c:v>0.60179704722222227</c:v>
                </c:pt>
                <c:pt idx="10">
                  <c:v>0.59190644166666673</c:v>
                </c:pt>
                <c:pt idx="11">
                  <c:v>0.59710678611111112</c:v>
                </c:pt>
                <c:pt idx="12">
                  <c:v>0.59782060833333317</c:v>
                </c:pt>
                <c:pt idx="13">
                  <c:v>0.59338070833333312</c:v>
                </c:pt>
                <c:pt idx="14">
                  <c:v>0.58715123055555551</c:v>
                </c:pt>
                <c:pt idx="15">
                  <c:v>0.5958479138888888</c:v>
                </c:pt>
                <c:pt idx="16">
                  <c:v>0.58782687777777787</c:v>
                </c:pt>
                <c:pt idx="17">
                  <c:v>0.61181741944444457</c:v>
                </c:pt>
                <c:pt idx="18">
                  <c:v>0.59057505555555534</c:v>
                </c:pt>
                <c:pt idx="19">
                  <c:v>0.58157643055555552</c:v>
                </c:pt>
                <c:pt idx="20">
                  <c:v>0.58305379444444472</c:v>
                </c:pt>
                <c:pt idx="21">
                  <c:v>0.57912020277777754</c:v>
                </c:pt>
                <c:pt idx="22">
                  <c:v>0.58012893888888839</c:v>
                </c:pt>
                <c:pt idx="23">
                  <c:v>0.57453553055555551</c:v>
                </c:pt>
                <c:pt idx="24">
                  <c:v>0.56718338333333362</c:v>
                </c:pt>
                <c:pt idx="25">
                  <c:v>0.56774890000000056</c:v>
                </c:pt>
                <c:pt idx="26">
                  <c:v>0.57716874722222233</c:v>
                </c:pt>
                <c:pt idx="27">
                  <c:v>0.57802689722222234</c:v>
                </c:pt>
                <c:pt idx="28">
                  <c:v>0.56870329444444456</c:v>
                </c:pt>
                <c:pt idx="29">
                  <c:v>0.5804366972222218</c:v>
                </c:pt>
                <c:pt idx="30">
                  <c:v>0.57215787222222203</c:v>
                </c:pt>
                <c:pt idx="31">
                  <c:v>0.56797788888888889</c:v>
                </c:pt>
                <c:pt idx="32">
                  <c:v>0.55923795833333345</c:v>
                </c:pt>
                <c:pt idx="33">
                  <c:v>0.56838338333333349</c:v>
                </c:pt>
                <c:pt idx="34">
                  <c:v>0.56955584722222252</c:v>
                </c:pt>
                <c:pt idx="35">
                  <c:v>0.5701033361111113</c:v>
                </c:pt>
                <c:pt idx="36">
                  <c:v>0.56529370833333326</c:v>
                </c:pt>
                <c:pt idx="37">
                  <c:v>0.56871131666666674</c:v>
                </c:pt>
                <c:pt idx="38">
                  <c:v>0.55843829444444448</c:v>
                </c:pt>
                <c:pt idx="39">
                  <c:v>0.56025721666666661</c:v>
                </c:pt>
                <c:pt idx="40">
                  <c:v>0.53199774444444448</c:v>
                </c:pt>
                <c:pt idx="41">
                  <c:v>0.52866516111111139</c:v>
                </c:pt>
                <c:pt idx="42">
                  <c:v>0.54023047777777811</c:v>
                </c:pt>
                <c:pt idx="43">
                  <c:v>0.53935537500000008</c:v>
                </c:pt>
                <c:pt idx="44">
                  <c:v>0.54074775277777798</c:v>
                </c:pt>
                <c:pt idx="45">
                  <c:v>0.55114527777777766</c:v>
                </c:pt>
                <c:pt idx="46">
                  <c:v>0.55688803611111082</c:v>
                </c:pt>
                <c:pt idx="47">
                  <c:v>0.55854785833333331</c:v>
                </c:pt>
                <c:pt idx="48">
                  <c:v>0.53777653888888866</c:v>
                </c:pt>
                <c:pt idx="49">
                  <c:v>0.54801718611111083</c:v>
                </c:pt>
                <c:pt idx="50">
                  <c:v>0.54572625277777786</c:v>
                </c:pt>
                <c:pt idx="51">
                  <c:v>0.54538530277777775</c:v>
                </c:pt>
                <c:pt idx="52">
                  <c:v>0.54352474999999989</c:v>
                </c:pt>
                <c:pt idx="53">
                  <c:v>0.54882656944444441</c:v>
                </c:pt>
                <c:pt idx="54">
                  <c:v>0.54752606944444449</c:v>
                </c:pt>
                <c:pt idx="55">
                  <c:v>0.53042878888888845</c:v>
                </c:pt>
                <c:pt idx="56">
                  <c:v>0.52883448333333338</c:v>
                </c:pt>
                <c:pt idx="57">
                  <c:v>0.53814434722222204</c:v>
                </c:pt>
                <c:pt idx="58">
                  <c:v>0.53054447500000002</c:v>
                </c:pt>
                <c:pt idx="59">
                  <c:v>0.52410326944444419</c:v>
                </c:pt>
                <c:pt idx="60">
                  <c:v>0.50402115833333305</c:v>
                </c:pt>
                <c:pt idx="61">
                  <c:v>0.5096217833333333</c:v>
                </c:pt>
                <c:pt idx="62">
                  <c:v>0.50271287777777796</c:v>
                </c:pt>
                <c:pt idx="63">
                  <c:v>0.50583336388888889</c:v>
                </c:pt>
                <c:pt idx="64">
                  <c:v>0.49974033333333318</c:v>
                </c:pt>
                <c:pt idx="65">
                  <c:v>0.51301745277777777</c:v>
                </c:pt>
                <c:pt idx="66">
                  <c:v>0.50608906111111107</c:v>
                </c:pt>
                <c:pt idx="67">
                  <c:v>0.52357033888888871</c:v>
                </c:pt>
                <c:pt idx="68">
                  <c:v>0.5168099777777776</c:v>
                </c:pt>
                <c:pt idx="69">
                  <c:v>0.51545944722222214</c:v>
                </c:pt>
                <c:pt idx="70">
                  <c:v>0.5090376666666665</c:v>
                </c:pt>
                <c:pt idx="71">
                  <c:v>0.49868925555555565</c:v>
                </c:pt>
                <c:pt idx="72">
                  <c:v>0.47011868055555533</c:v>
                </c:pt>
                <c:pt idx="73">
                  <c:v>0.47832668333333339</c:v>
                </c:pt>
                <c:pt idx="74">
                  <c:v>0.48180712499999967</c:v>
                </c:pt>
                <c:pt idx="75">
                  <c:v>0.4808228944444442</c:v>
                </c:pt>
                <c:pt idx="76">
                  <c:v>0.48481300277777761</c:v>
                </c:pt>
                <c:pt idx="77">
                  <c:v>0.4875182222222223</c:v>
                </c:pt>
                <c:pt idx="78">
                  <c:v>0.48634700277777787</c:v>
                </c:pt>
                <c:pt idx="79">
                  <c:v>0.48283993333333336</c:v>
                </c:pt>
                <c:pt idx="80">
                  <c:v>0.51737982222222212</c:v>
                </c:pt>
                <c:pt idx="81">
                  <c:v>0.51756616944444434</c:v>
                </c:pt>
                <c:pt idx="82">
                  <c:v>0.49951341944444416</c:v>
                </c:pt>
                <c:pt idx="83">
                  <c:v>0.49598782777777795</c:v>
                </c:pt>
                <c:pt idx="84">
                  <c:v>0.49858701111111137</c:v>
                </c:pt>
                <c:pt idx="85">
                  <c:v>0.50412010277777763</c:v>
                </c:pt>
                <c:pt idx="86">
                  <c:v>0.48898687777777772</c:v>
                </c:pt>
                <c:pt idx="87">
                  <c:v>0.48975865000000007</c:v>
                </c:pt>
                <c:pt idx="88">
                  <c:v>0.48722948055555571</c:v>
                </c:pt>
                <c:pt idx="89">
                  <c:v>0.48503624444444421</c:v>
                </c:pt>
                <c:pt idx="90">
                  <c:v>0.49521264722222197</c:v>
                </c:pt>
                <c:pt idx="91">
                  <c:v>0.49611713888888848</c:v>
                </c:pt>
                <c:pt idx="92">
                  <c:v>0.46081188888888874</c:v>
                </c:pt>
                <c:pt idx="93">
                  <c:v>0.44123672777777756</c:v>
                </c:pt>
                <c:pt idx="94">
                  <c:v>0.44739416944444443</c:v>
                </c:pt>
                <c:pt idx="95">
                  <c:v>0.41867235555555576</c:v>
                </c:pt>
                <c:pt idx="96">
                  <c:v>0.40962098333333352</c:v>
                </c:pt>
                <c:pt idx="97">
                  <c:v>0.4354713472222223</c:v>
                </c:pt>
                <c:pt idx="98">
                  <c:v>0.44978737499999988</c:v>
                </c:pt>
                <c:pt idx="99">
                  <c:v>0.4603760305555552</c:v>
                </c:pt>
                <c:pt idx="100">
                  <c:v>0.480710427777778</c:v>
                </c:pt>
                <c:pt idx="101">
                  <c:v>0.43336933888888901</c:v>
                </c:pt>
                <c:pt idx="102">
                  <c:v>0.4457859055555552</c:v>
                </c:pt>
                <c:pt idx="103">
                  <c:v>0.46746301666666629</c:v>
                </c:pt>
                <c:pt idx="104">
                  <c:v>0.4733007333333335</c:v>
                </c:pt>
                <c:pt idx="105">
                  <c:v>0.46365373055555542</c:v>
                </c:pt>
                <c:pt idx="106">
                  <c:v>0.46194385555555556</c:v>
                </c:pt>
                <c:pt idx="107">
                  <c:v>0.47382666111111088</c:v>
                </c:pt>
                <c:pt idx="108">
                  <c:v>0.47376017500000006</c:v>
                </c:pt>
                <c:pt idx="109">
                  <c:v>0.4897808583333329</c:v>
                </c:pt>
                <c:pt idx="110">
                  <c:v>0.4976263666666661</c:v>
                </c:pt>
                <c:pt idx="111">
                  <c:v>0.472487636111111</c:v>
                </c:pt>
                <c:pt idx="112">
                  <c:v>0.47278241666666659</c:v>
                </c:pt>
                <c:pt idx="113">
                  <c:v>0.47282133888888894</c:v>
                </c:pt>
                <c:pt idx="114">
                  <c:v>0.47965767222222228</c:v>
                </c:pt>
                <c:pt idx="115">
                  <c:v>0.49856591666666644</c:v>
                </c:pt>
                <c:pt idx="116">
                  <c:v>0.51156158611111091</c:v>
                </c:pt>
                <c:pt idx="117">
                  <c:v>0.53226974166666663</c:v>
                </c:pt>
                <c:pt idx="118">
                  <c:v>0.5356616333333335</c:v>
                </c:pt>
                <c:pt idx="119">
                  <c:v>0.51739417499999973</c:v>
                </c:pt>
                <c:pt idx="120">
                  <c:v>0.56027430277777812</c:v>
                </c:pt>
                <c:pt idx="121">
                  <c:v>0.53977108888888869</c:v>
                </c:pt>
                <c:pt idx="122">
                  <c:v>0.55289754722222217</c:v>
                </c:pt>
                <c:pt idx="123">
                  <c:v>0.56499988055555539</c:v>
                </c:pt>
                <c:pt idx="124">
                  <c:v>0.57268191388888889</c:v>
                </c:pt>
                <c:pt idx="125">
                  <c:v>0.57288628055555546</c:v>
                </c:pt>
                <c:pt idx="126">
                  <c:v>0.57502308333333318</c:v>
                </c:pt>
                <c:pt idx="127">
                  <c:v>0.57222532777777779</c:v>
                </c:pt>
                <c:pt idx="128">
                  <c:v>0.55857620000000008</c:v>
                </c:pt>
                <c:pt idx="129">
                  <c:v>0.55184487777777791</c:v>
                </c:pt>
                <c:pt idx="130">
                  <c:v>0.55644188611111112</c:v>
                </c:pt>
                <c:pt idx="131">
                  <c:v>0.54564996111111097</c:v>
                </c:pt>
                <c:pt idx="132">
                  <c:v>0.55363223333333311</c:v>
                </c:pt>
                <c:pt idx="133">
                  <c:v>0.56910013055555553</c:v>
                </c:pt>
                <c:pt idx="134">
                  <c:v>0.56902775277777795</c:v>
                </c:pt>
                <c:pt idx="135">
                  <c:v>0.58300173888888884</c:v>
                </c:pt>
                <c:pt idx="136">
                  <c:v>0.56702854722222218</c:v>
                </c:pt>
                <c:pt idx="137">
                  <c:v>0.57769013611111097</c:v>
                </c:pt>
                <c:pt idx="138">
                  <c:v>0.56753148611111104</c:v>
                </c:pt>
                <c:pt idx="139">
                  <c:v>0.57818942222222203</c:v>
                </c:pt>
                <c:pt idx="140">
                  <c:v>0.5851882777777776</c:v>
                </c:pt>
                <c:pt idx="141">
                  <c:v>0.58035642222222217</c:v>
                </c:pt>
                <c:pt idx="142">
                  <c:v>0.57533765833333317</c:v>
                </c:pt>
                <c:pt idx="143">
                  <c:v>0.57017995555555567</c:v>
                </c:pt>
                <c:pt idx="144">
                  <c:v>0.56950921944444444</c:v>
                </c:pt>
                <c:pt idx="145">
                  <c:v>0.55657517222222208</c:v>
                </c:pt>
                <c:pt idx="146">
                  <c:v>0.56410634166666629</c:v>
                </c:pt>
                <c:pt idx="147">
                  <c:v>0.57636816944444402</c:v>
                </c:pt>
                <c:pt idx="148">
                  <c:v>0.56719460277777789</c:v>
                </c:pt>
                <c:pt idx="149">
                  <c:v>0.58150520277777806</c:v>
                </c:pt>
                <c:pt idx="150">
                  <c:v>0.56283673055555539</c:v>
                </c:pt>
                <c:pt idx="151">
                  <c:v>0.56811623055555593</c:v>
                </c:pt>
                <c:pt idx="152">
                  <c:v>0.60084439444444404</c:v>
                </c:pt>
                <c:pt idx="153">
                  <c:v>0.60308460833333355</c:v>
                </c:pt>
                <c:pt idx="154">
                  <c:v>0.59184420555555572</c:v>
                </c:pt>
                <c:pt idx="155">
                  <c:v>0.58085665833333344</c:v>
                </c:pt>
                <c:pt idx="156">
                  <c:v>0.57965755555555554</c:v>
                </c:pt>
                <c:pt idx="157">
                  <c:v>0.5904351222222225</c:v>
                </c:pt>
                <c:pt idx="158">
                  <c:v>0.59562945</c:v>
                </c:pt>
                <c:pt idx="159">
                  <c:v>0.58786246666666675</c:v>
                </c:pt>
                <c:pt idx="160">
                  <c:v>0.58051223888888881</c:v>
                </c:pt>
                <c:pt idx="161">
                  <c:v>0.57899168055555583</c:v>
                </c:pt>
                <c:pt idx="162">
                  <c:v>0.58912490277777796</c:v>
                </c:pt>
                <c:pt idx="163">
                  <c:v>0.58962061666666676</c:v>
                </c:pt>
                <c:pt idx="164">
                  <c:v>0.57466229444444406</c:v>
                </c:pt>
                <c:pt idx="165">
                  <c:v>0.58265341111111113</c:v>
                </c:pt>
                <c:pt idx="166">
                  <c:v>0.58085211111111101</c:v>
                </c:pt>
                <c:pt idx="167">
                  <c:v>0.56369617777777814</c:v>
                </c:pt>
                <c:pt idx="168">
                  <c:v>0.56930128333333319</c:v>
                </c:pt>
                <c:pt idx="169">
                  <c:v>0.5725944500000002</c:v>
                </c:pt>
                <c:pt idx="170">
                  <c:v>0.59130995833333322</c:v>
                </c:pt>
                <c:pt idx="171">
                  <c:v>0.5936910277777776</c:v>
                </c:pt>
                <c:pt idx="172">
                  <c:v>0.59932093055555558</c:v>
                </c:pt>
                <c:pt idx="173">
                  <c:v>0.57965680555555565</c:v>
                </c:pt>
                <c:pt idx="174">
                  <c:v>0.61158315277777764</c:v>
                </c:pt>
                <c:pt idx="175">
                  <c:v>0.61464002222222214</c:v>
                </c:pt>
                <c:pt idx="176">
                  <c:v>0.59620087500000019</c:v>
                </c:pt>
                <c:pt idx="177">
                  <c:v>0.56854002222222211</c:v>
                </c:pt>
                <c:pt idx="178">
                  <c:v>0.57914996111111128</c:v>
                </c:pt>
                <c:pt idx="179">
                  <c:v>0.57953913333333362</c:v>
                </c:pt>
                <c:pt idx="180">
                  <c:v>0.60094503333333371</c:v>
                </c:pt>
                <c:pt idx="181">
                  <c:v>0.59497667777777741</c:v>
                </c:pt>
                <c:pt idx="182">
                  <c:v>0.58089632222222221</c:v>
                </c:pt>
                <c:pt idx="183">
                  <c:v>0.58479414444444444</c:v>
                </c:pt>
                <c:pt idx="184">
                  <c:v>0.55969128055555573</c:v>
                </c:pt>
                <c:pt idx="185">
                  <c:v>0.58217739166666704</c:v>
                </c:pt>
                <c:pt idx="186">
                  <c:v>0.59396152499999999</c:v>
                </c:pt>
                <c:pt idx="187">
                  <c:v>0.59783023055555562</c:v>
                </c:pt>
                <c:pt idx="188">
                  <c:v>0.60014231944444474</c:v>
                </c:pt>
                <c:pt idx="189">
                  <c:v>0.59964520833333301</c:v>
                </c:pt>
                <c:pt idx="190">
                  <c:v>0.59731436388888903</c:v>
                </c:pt>
                <c:pt idx="191">
                  <c:v>0.59673850555555508</c:v>
                </c:pt>
                <c:pt idx="192">
                  <c:v>0.5758349055555555</c:v>
                </c:pt>
                <c:pt idx="193">
                  <c:v>0.57296009999999964</c:v>
                </c:pt>
                <c:pt idx="194">
                  <c:v>0.57655822777777754</c:v>
                </c:pt>
                <c:pt idx="195">
                  <c:v>0.59152442500000024</c:v>
                </c:pt>
                <c:pt idx="196">
                  <c:v>0.58527140833333335</c:v>
                </c:pt>
                <c:pt idx="197">
                  <c:v>0.57708097777777734</c:v>
                </c:pt>
                <c:pt idx="198">
                  <c:v>0.56304172222222193</c:v>
                </c:pt>
                <c:pt idx="199">
                  <c:v>0.56709798888888907</c:v>
                </c:pt>
                <c:pt idx="200">
                  <c:v>0.57640368888888893</c:v>
                </c:pt>
                <c:pt idx="201">
                  <c:v>0.56261640555555614</c:v>
                </c:pt>
                <c:pt idx="202">
                  <c:v>0.57572603888888862</c:v>
                </c:pt>
                <c:pt idx="203">
                  <c:v>0.55554918055555547</c:v>
                </c:pt>
                <c:pt idx="204">
                  <c:v>0.54707188888888869</c:v>
                </c:pt>
                <c:pt idx="205">
                  <c:v>0.54551913333333324</c:v>
                </c:pt>
                <c:pt idx="206">
                  <c:v>0.54556415555555549</c:v>
                </c:pt>
                <c:pt idx="207">
                  <c:v>0.52841510555555582</c:v>
                </c:pt>
                <c:pt idx="208">
                  <c:v>0.51850011388888861</c:v>
                </c:pt>
                <c:pt idx="209">
                  <c:v>0.51320343888888909</c:v>
                </c:pt>
                <c:pt idx="210">
                  <c:v>0.51648870277777803</c:v>
                </c:pt>
                <c:pt idx="211">
                  <c:v>0.52243018333333324</c:v>
                </c:pt>
                <c:pt idx="212">
                  <c:v>0.51974940833333316</c:v>
                </c:pt>
                <c:pt idx="213">
                  <c:v>0.51123610555555565</c:v>
                </c:pt>
                <c:pt idx="214">
                  <c:v>0.50598586666666689</c:v>
                </c:pt>
                <c:pt idx="215">
                  <c:v>0.51220490555555531</c:v>
                </c:pt>
                <c:pt idx="216">
                  <c:v>0.50132181111111129</c:v>
                </c:pt>
                <c:pt idx="217">
                  <c:v>0.50688374166666683</c:v>
                </c:pt>
                <c:pt idx="218">
                  <c:v>0.50437650555555558</c:v>
                </c:pt>
                <c:pt idx="219">
                  <c:v>0.50608680833333342</c:v>
                </c:pt>
                <c:pt idx="220">
                  <c:v>0.51489212500000003</c:v>
                </c:pt>
                <c:pt idx="221">
                  <c:v>0.50711041666666645</c:v>
                </c:pt>
                <c:pt idx="222">
                  <c:v>0.49551891388888908</c:v>
                </c:pt>
                <c:pt idx="223">
                  <c:v>0.49430360555555553</c:v>
                </c:pt>
                <c:pt idx="224">
                  <c:v>0.52730402500000007</c:v>
                </c:pt>
                <c:pt idx="225">
                  <c:v>0.50165123055555527</c:v>
                </c:pt>
                <c:pt idx="226">
                  <c:v>0.50600299722222253</c:v>
                </c:pt>
                <c:pt idx="227">
                  <c:v>0.50530352777777776</c:v>
                </c:pt>
                <c:pt idx="228">
                  <c:v>0.50547103611111077</c:v>
                </c:pt>
                <c:pt idx="229">
                  <c:v>0.50664834444444451</c:v>
                </c:pt>
                <c:pt idx="230">
                  <c:v>0.511337738888889</c:v>
                </c:pt>
                <c:pt idx="231">
                  <c:v>0.49658788333333359</c:v>
                </c:pt>
                <c:pt idx="232">
                  <c:v>0.49336856388888856</c:v>
                </c:pt>
                <c:pt idx="233">
                  <c:v>0.5097361388888888</c:v>
                </c:pt>
                <c:pt idx="234">
                  <c:v>0.50224420277777759</c:v>
                </c:pt>
                <c:pt idx="235">
                  <c:v>0.49811581388888893</c:v>
                </c:pt>
                <c:pt idx="236">
                  <c:v>0.50547213611111119</c:v>
                </c:pt>
                <c:pt idx="237">
                  <c:v>0.49637830277777784</c:v>
                </c:pt>
                <c:pt idx="238">
                  <c:v>0.49558895833333344</c:v>
                </c:pt>
                <c:pt idx="239">
                  <c:v>0.48511773055555507</c:v>
                </c:pt>
                <c:pt idx="240">
                  <c:v>0.48504838611111095</c:v>
                </c:pt>
                <c:pt idx="241">
                  <c:v>0.49668212777777809</c:v>
                </c:pt>
                <c:pt idx="242">
                  <c:v>0.49050612777777741</c:v>
                </c:pt>
                <c:pt idx="243">
                  <c:v>0.49560429166666686</c:v>
                </c:pt>
                <c:pt idx="244">
                  <c:v>0.49941138333333374</c:v>
                </c:pt>
                <c:pt idx="245">
                  <c:v>0.51336915277777795</c:v>
                </c:pt>
                <c:pt idx="246">
                  <c:v>0.53218529999999975</c:v>
                </c:pt>
                <c:pt idx="247">
                  <c:v>0.5360102916666668</c:v>
                </c:pt>
                <c:pt idx="248">
                  <c:v>0.53107316944444449</c:v>
                </c:pt>
                <c:pt idx="249">
                  <c:v>0.55609994722222233</c:v>
                </c:pt>
                <c:pt idx="250">
                  <c:v>0.54349866111111134</c:v>
                </c:pt>
                <c:pt idx="251">
                  <c:v>0.53272030555555583</c:v>
                </c:pt>
                <c:pt idx="252">
                  <c:v>0.53024293611111106</c:v>
                </c:pt>
                <c:pt idx="253">
                  <c:v>0.51837471944444469</c:v>
                </c:pt>
                <c:pt idx="254">
                  <c:v>0.53014218055555584</c:v>
                </c:pt>
                <c:pt idx="255">
                  <c:v>0.52180000833333362</c:v>
                </c:pt>
                <c:pt idx="256">
                  <c:v>0.53387116111111144</c:v>
                </c:pt>
                <c:pt idx="257">
                  <c:v>0.52909467777777774</c:v>
                </c:pt>
                <c:pt idx="258">
                  <c:v>0.54668501111111101</c:v>
                </c:pt>
                <c:pt idx="259">
                  <c:v>0.56290970555555542</c:v>
                </c:pt>
                <c:pt idx="260">
                  <c:v>0.56982197777777799</c:v>
                </c:pt>
                <c:pt idx="261">
                  <c:v>0.58361149166666682</c:v>
                </c:pt>
                <c:pt idx="262">
                  <c:v>0.59601138055555569</c:v>
                </c:pt>
                <c:pt idx="263">
                  <c:v>0.58210686666666667</c:v>
                </c:pt>
                <c:pt idx="264">
                  <c:v>0.56581698888888876</c:v>
                </c:pt>
                <c:pt idx="265">
                  <c:v>0.56961058333333348</c:v>
                </c:pt>
                <c:pt idx="266">
                  <c:v>0.5741951666666667</c:v>
                </c:pt>
                <c:pt idx="267">
                  <c:v>0.58065517499999986</c:v>
                </c:pt>
                <c:pt idx="268">
                  <c:v>0.59796613611111116</c:v>
                </c:pt>
                <c:pt idx="269">
                  <c:v>0.5973148972222222</c:v>
                </c:pt>
                <c:pt idx="270">
                  <c:v>0.599410238888889</c:v>
                </c:pt>
                <c:pt idx="271">
                  <c:v>0.59925515833333365</c:v>
                </c:pt>
                <c:pt idx="272">
                  <c:v>0.61344098333333352</c:v>
                </c:pt>
                <c:pt idx="273">
                  <c:v>0.61257244166666713</c:v>
                </c:pt>
                <c:pt idx="274">
                  <c:v>0.61512520000000037</c:v>
                </c:pt>
                <c:pt idx="275">
                  <c:v>0.61466790277777783</c:v>
                </c:pt>
                <c:pt idx="276">
                  <c:v>0.59992033611111095</c:v>
                </c:pt>
                <c:pt idx="277">
                  <c:v>0.59148199999999995</c:v>
                </c:pt>
                <c:pt idx="278">
                  <c:v>0.59372183611111118</c:v>
                </c:pt>
                <c:pt idx="279">
                  <c:v>0.59085415277777764</c:v>
                </c:pt>
                <c:pt idx="280">
                  <c:v>0.59155984444444465</c:v>
                </c:pt>
                <c:pt idx="281">
                  <c:v>0.57726614999999948</c:v>
                </c:pt>
                <c:pt idx="282">
                  <c:v>0.55110553055555522</c:v>
                </c:pt>
                <c:pt idx="283">
                  <c:v>0.58529852777777791</c:v>
                </c:pt>
                <c:pt idx="284">
                  <c:v>0.57859747499999992</c:v>
                </c:pt>
                <c:pt idx="285">
                  <c:v>0.57158771666666686</c:v>
                </c:pt>
                <c:pt idx="286">
                  <c:v>0.55824817777777758</c:v>
                </c:pt>
                <c:pt idx="287">
                  <c:v>0.53696568888888885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5B-440B-A916-22E9E3FCE351}"/>
            </c:ext>
          </c:extLst>
        </c:ser>
        <c:ser>
          <c:idx val="2"/>
          <c:order val="2"/>
          <c:tx>
            <c:v>50% (верхняя)</c:v>
          </c:tx>
          <c:spPr>
            <a:ln w="9525">
              <a:solidFill>
                <a:srgbClr val="034D79"/>
              </a:solidFill>
              <a:prstDash val="solid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Данные!$BG$2:$BG$289</c:f>
              <c:numCache>
                <c:formatCode>General</c:formatCode>
                <c:ptCount val="288"/>
                <c:pt idx="0">
                  <c:v>0.69228792499999992</c:v>
                </c:pt>
                <c:pt idx="1">
                  <c:v>0.69496341666666706</c:v>
                </c:pt>
                <c:pt idx="2">
                  <c:v>0.69305209722222272</c:v>
                </c:pt>
                <c:pt idx="3">
                  <c:v>0.6895434944444444</c:v>
                </c:pt>
                <c:pt idx="4">
                  <c:v>0.69583798333333347</c:v>
                </c:pt>
                <c:pt idx="5">
                  <c:v>0.68862476666666683</c:v>
                </c:pt>
                <c:pt idx="6">
                  <c:v>0.68941076388888878</c:v>
                </c:pt>
                <c:pt idx="7">
                  <c:v>0.68616236388888896</c:v>
                </c:pt>
                <c:pt idx="8">
                  <c:v>0.73264649722222197</c:v>
                </c:pt>
                <c:pt idx="9">
                  <c:v>0.73373361666666637</c:v>
                </c:pt>
                <c:pt idx="10">
                  <c:v>0.73108891944444443</c:v>
                </c:pt>
                <c:pt idx="11">
                  <c:v>0.73211786111111055</c:v>
                </c:pt>
                <c:pt idx="12">
                  <c:v>0.72983366666666671</c:v>
                </c:pt>
                <c:pt idx="13">
                  <c:v>0.72765300277777711</c:v>
                </c:pt>
                <c:pt idx="14">
                  <c:v>0.72970068333333349</c:v>
                </c:pt>
                <c:pt idx="15">
                  <c:v>0.71810918611111119</c:v>
                </c:pt>
                <c:pt idx="16">
                  <c:v>0.72467889444444489</c:v>
                </c:pt>
                <c:pt idx="17">
                  <c:v>0.72978962222222254</c:v>
                </c:pt>
                <c:pt idx="18">
                  <c:v>0.7283522333333331</c:v>
                </c:pt>
                <c:pt idx="19">
                  <c:v>0.73403495833333299</c:v>
                </c:pt>
                <c:pt idx="20">
                  <c:v>0.72978516944444471</c:v>
                </c:pt>
                <c:pt idx="21">
                  <c:v>0.73898769444444468</c:v>
                </c:pt>
                <c:pt idx="22">
                  <c:v>0.72348336944444447</c:v>
                </c:pt>
                <c:pt idx="23">
                  <c:v>0.714888644444444</c:v>
                </c:pt>
                <c:pt idx="24">
                  <c:v>0.69284377777777784</c:v>
                </c:pt>
                <c:pt idx="25">
                  <c:v>0.69479049166666662</c:v>
                </c:pt>
                <c:pt idx="26">
                  <c:v>0.69371865277777756</c:v>
                </c:pt>
                <c:pt idx="27">
                  <c:v>0.70454661666666651</c:v>
                </c:pt>
                <c:pt idx="28">
                  <c:v>0.68728894166666643</c:v>
                </c:pt>
                <c:pt idx="29">
                  <c:v>0.68103855555555581</c:v>
                </c:pt>
                <c:pt idx="30">
                  <c:v>0.66500477499999999</c:v>
                </c:pt>
                <c:pt idx="31">
                  <c:v>0.66711154444444432</c:v>
                </c:pt>
                <c:pt idx="32">
                  <c:v>0.65665758611111114</c:v>
                </c:pt>
                <c:pt idx="33">
                  <c:v>0.66408993055555554</c:v>
                </c:pt>
                <c:pt idx="34">
                  <c:v>0.6742242972222221</c:v>
                </c:pt>
                <c:pt idx="35">
                  <c:v>0.66273612499999979</c:v>
                </c:pt>
                <c:pt idx="36">
                  <c:v>0.66470646944444467</c:v>
                </c:pt>
                <c:pt idx="37">
                  <c:v>0.66964485833333343</c:v>
                </c:pt>
                <c:pt idx="38">
                  <c:v>0.66742988888888888</c:v>
                </c:pt>
                <c:pt idx="39">
                  <c:v>0.64552297777777801</c:v>
                </c:pt>
                <c:pt idx="40">
                  <c:v>0.64674725</c:v>
                </c:pt>
                <c:pt idx="41">
                  <c:v>0.65098055000000021</c:v>
                </c:pt>
                <c:pt idx="42">
                  <c:v>0.6547492416666667</c:v>
                </c:pt>
                <c:pt idx="43">
                  <c:v>0.6737949138888889</c:v>
                </c:pt>
                <c:pt idx="44">
                  <c:v>0.68595288888888895</c:v>
                </c:pt>
                <c:pt idx="45">
                  <c:v>0.69041478333333328</c:v>
                </c:pt>
                <c:pt idx="46">
                  <c:v>0.68975918055555541</c:v>
                </c:pt>
                <c:pt idx="47">
                  <c:v>0.68374516944444474</c:v>
                </c:pt>
                <c:pt idx="48">
                  <c:v>0.66128061388888915</c:v>
                </c:pt>
                <c:pt idx="49">
                  <c:v>0.66582074166666638</c:v>
                </c:pt>
                <c:pt idx="50">
                  <c:v>0.67585307222222213</c:v>
                </c:pt>
                <c:pt idx="51">
                  <c:v>0.67467075833333334</c:v>
                </c:pt>
                <c:pt idx="52">
                  <c:v>0.67636118611111062</c:v>
                </c:pt>
                <c:pt idx="53">
                  <c:v>0.67450762222222205</c:v>
                </c:pt>
                <c:pt idx="54">
                  <c:v>0.67150741111111101</c:v>
                </c:pt>
                <c:pt idx="55">
                  <c:v>0.65534784166666693</c:v>
                </c:pt>
                <c:pt idx="56">
                  <c:v>0.6601275555555558</c:v>
                </c:pt>
                <c:pt idx="57">
                  <c:v>0.6584656166666667</c:v>
                </c:pt>
                <c:pt idx="58">
                  <c:v>0.66284266944444425</c:v>
                </c:pt>
                <c:pt idx="59">
                  <c:v>0.66197252777777826</c:v>
                </c:pt>
                <c:pt idx="60">
                  <c:v>0.65263687777777768</c:v>
                </c:pt>
                <c:pt idx="61">
                  <c:v>0.64381346388888872</c:v>
                </c:pt>
                <c:pt idx="62">
                  <c:v>0.63905970833333348</c:v>
                </c:pt>
                <c:pt idx="63">
                  <c:v>0.6428701027777779</c:v>
                </c:pt>
                <c:pt idx="64">
                  <c:v>0.63566981666666678</c:v>
                </c:pt>
                <c:pt idx="65">
                  <c:v>0.65026845277777767</c:v>
                </c:pt>
                <c:pt idx="66">
                  <c:v>0.63071660277777752</c:v>
                </c:pt>
                <c:pt idx="67">
                  <c:v>0.64748045833333312</c:v>
                </c:pt>
                <c:pt idx="68">
                  <c:v>0.66323858333333341</c:v>
                </c:pt>
                <c:pt idx="69">
                  <c:v>0.66254606388888893</c:v>
                </c:pt>
                <c:pt idx="70">
                  <c:v>0.66189292222222196</c:v>
                </c:pt>
                <c:pt idx="71">
                  <c:v>0.64819254166666695</c:v>
                </c:pt>
                <c:pt idx="72">
                  <c:v>0.64503546388888877</c:v>
                </c:pt>
                <c:pt idx="73">
                  <c:v>0.63246041388888929</c:v>
                </c:pt>
                <c:pt idx="74">
                  <c:v>0.61935192222222213</c:v>
                </c:pt>
                <c:pt idx="75">
                  <c:v>0.6121583583333331</c:v>
                </c:pt>
                <c:pt idx="76">
                  <c:v>0.61250047500000016</c:v>
                </c:pt>
                <c:pt idx="77">
                  <c:v>0.61130294166666677</c:v>
                </c:pt>
                <c:pt idx="78">
                  <c:v>0.60335315277777768</c:v>
                </c:pt>
                <c:pt idx="79">
                  <c:v>0.59834784444444422</c:v>
                </c:pt>
                <c:pt idx="80">
                  <c:v>0.64766278055555571</c:v>
                </c:pt>
                <c:pt idx="81">
                  <c:v>0.64745146388888897</c:v>
                </c:pt>
                <c:pt idx="82">
                  <c:v>0.64193355833333343</c:v>
                </c:pt>
                <c:pt idx="83">
                  <c:v>0.64518287500000038</c:v>
                </c:pt>
                <c:pt idx="84">
                  <c:v>0.63869579722222236</c:v>
                </c:pt>
                <c:pt idx="85">
                  <c:v>0.63054402500000017</c:v>
                </c:pt>
                <c:pt idx="86">
                  <c:v>0.64783537777777744</c:v>
                </c:pt>
                <c:pt idx="87">
                  <c:v>0.63073308333333322</c:v>
                </c:pt>
                <c:pt idx="88">
                  <c:v>0.62714479166666626</c:v>
                </c:pt>
                <c:pt idx="89">
                  <c:v>0.61895658888888894</c:v>
                </c:pt>
                <c:pt idx="90">
                  <c:v>0.63517092777777728</c:v>
                </c:pt>
                <c:pt idx="91">
                  <c:v>0.61765129166666699</c:v>
                </c:pt>
                <c:pt idx="92">
                  <c:v>0.6092158249999996</c:v>
                </c:pt>
                <c:pt idx="93">
                  <c:v>0.60896774166666701</c:v>
                </c:pt>
                <c:pt idx="94">
                  <c:v>0.59961947222222234</c:v>
                </c:pt>
                <c:pt idx="95">
                  <c:v>0.58582551388888893</c:v>
                </c:pt>
                <c:pt idx="96">
                  <c:v>0.58564169444444447</c:v>
                </c:pt>
                <c:pt idx="97">
                  <c:v>0.58960915555555526</c:v>
                </c:pt>
                <c:pt idx="98">
                  <c:v>0.5992216944444444</c:v>
                </c:pt>
                <c:pt idx="99">
                  <c:v>0.61619936111111107</c:v>
                </c:pt>
                <c:pt idx="100">
                  <c:v>0.62705542777777767</c:v>
                </c:pt>
                <c:pt idx="101">
                  <c:v>0.60610722500000003</c:v>
                </c:pt>
                <c:pt idx="102">
                  <c:v>0.61825620555555538</c:v>
                </c:pt>
                <c:pt idx="103">
                  <c:v>0.62939249444444434</c:v>
                </c:pt>
                <c:pt idx="104">
                  <c:v>0.61171741111111133</c:v>
                </c:pt>
                <c:pt idx="105">
                  <c:v>0.62439091666666691</c:v>
                </c:pt>
                <c:pt idx="106">
                  <c:v>0.63307040000000048</c:v>
                </c:pt>
                <c:pt idx="107">
                  <c:v>0.61955870833333326</c:v>
                </c:pt>
                <c:pt idx="108">
                  <c:v>0.64286409166666669</c:v>
                </c:pt>
                <c:pt idx="109">
                  <c:v>0.657239072222222</c:v>
                </c:pt>
                <c:pt idx="110">
                  <c:v>0.64651500277777751</c:v>
                </c:pt>
                <c:pt idx="111">
                  <c:v>0.62894962777777774</c:v>
                </c:pt>
                <c:pt idx="112">
                  <c:v>0.61590673611111135</c:v>
                </c:pt>
                <c:pt idx="113">
                  <c:v>0.6195391083333337</c:v>
                </c:pt>
                <c:pt idx="114">
                  <c:v>0.63882860555555543</c:v>
                </c:pt>
                <c:pt idx="115">
                  <c:v>0.63536644722222269</c:v>
                </c:pt>
                <c:pt idx="116">
                  <c:v>0.64302258611111085</c:v>
                </c:pt>
                <c:pt idx="117">
                  <c:v>0.65021849722222247</c:v>
                </c:pt>
                <c:pt idx="118">
                  <c:v>0.65056197777777802</c:v>
                </c:pt>
                <c:pt idx="119">
                  <c:v>0.65221232500000015</c:v>
                </c:pt>
                <c:pt idx="120">
                  <c:v>0.65368828333333384</c:v>
                </c:pt>
                <c:pt idx="121">
                  <c:v>0.66048765833333345</c:v>
                </c:pt>
                <c:pt idx="122">
                  <c:v>0.65988405555555563</c:v>
                </c:pt>
                <c:pt idx="123">
                  <c:v>0.67944590555555562</c:v>
                </c:pt>
                <c:pt idx="124">
                  <c:v>0.68807246111111087</c:v>
                </c:pt>
                <c:pt idx="125">
                  <c:v>0.69958218611111112</c:v>
                </c:pt>
                <c:pt idx="126">
                  <c:v>0.6929907305555556</c:v>
                </c:pt>
                <c:pt idx="127">
                  <c:v>0.69114571111111101</c:v>
                </c:pt>
                <c:pt idx="128">
                  <c:v>0.68922937777777704</c:v>
                </c:pt>
                <c:pt idx="129">
                  <c:v>0.70466040555555598</c:v>
                </c:pt>
                <c:pt idx="130">
                  <c:v>0.70739863333333353</c:v>
                </c:pt>
                <c:pt idx="131">
                  <c:v>0.70445090555555545</c:v>
                </c:pt>
                <c:pt idx="132">
                  <c:v>0.70670470277777808</c:v>
                </c:pt>
                <c:pt idx="133">
                  <c:v>0.7124226305555561</c:v>
                </c:pt>
                <c:pt idx="134">
                  <c:v>0.71465086666666688</c:v>
                </c:pt>
                <c:pt idx="135">
                  <c:v>0.70205739166666692</c:v>
                </c:pt>
                <c:pt idx="136">
                  <c:v>0.69445355833333333</c:v>
                </c:pt>
                <c:pt idx="137">
                  <c:v>0.70366388888888898</c:v>
                </c:pt>
                <c:pt idx="138">
                  <c:v>0.69637928333333332</c:v>
                </c:pt>
                <c:pt idx="139">
                  <c:v>0.70422879999999988</c:v>
                </c:pt>
                <c:pt idx="140">
                  <c:v>0.71023259722222243</c:v>
                </c:pt>
                <c:pt idx="141">
                  <c:v>0.70943189722222211</c:v>
                </c:pt>
                <c:pt idx="142">
                  <c:v>0.70927598888888921</c:v>
                </c:pt>
                <c:pt idx="143">
                  <c:v>0.69009611388888881</c:v>
                </c:pt>
                <c:pt idx="144">
                  <c:v>0.68056194166666684</c:v>
                </c:pt>
                <c:pt idx="145">
                  <c:v>0.68547627499999997</c:v>
                </c:pt>
                <c:pt idx="146">
                  <c:v>0.68682377222222202</c:v>
                </c:pt>
                <c:pt idx="147">
                  <c:v>0.68812784444444419</c:v>
                </c:pt>
                <c:pt idx="148">
                  <c:v>0.69873154999999987</c:v>
                </c:pt>
                <c:pt idx="149">
                  <c:v>0.69438573888888888</c:v>
                </c:pt>
                <c:pt idx="150">
                  <c:v>0.68514423055555529</c:v>
                </c:pt>
                <c:pt idx="151">
                  <c:v>0.67033753333333368</c:v>
                </c:pt>
                <c:pt idx="152">
                  <c:v>0.71996496388888898</c:v>
                </c:pt>
                <c:pt idx="153">
                  <c:v>0.71370049166666649</c:v>
                </c:pt>
                <c:pt idx="154">
                  <c:v>0.7098862250000002</c:v>
                </c:pt>
                <c:pt idx="155">
                  <c:v>0.70340284444444412</c:v>
                </c:pt>
                <c:pt idx="156">
                  <c:v>0.70525122222222192</c:v>
                </c:pt>
                <c:pt idx="157">
                  <c:v>0.7009855361111107</c:v>
                </c:pt>
                <c:pt idx="158">
                  <c:v>0.70825391666666682</c:v>
                </c:pt>
                <c:pt idx="159">
                  <c:v>0.69655405555555561</c:v>
                </c:pt>
                <c:pt idx="160">
                  <c:v>0.69431608611111129</c:v>
                </c:pt>
                <c:pt idx="161">
                  <c:v>0.69546178055555563</c:v>
                </c:pt>
                <c:pt idx="162">
                  <c:v>0.7098893861111113</c:v>
                </c:pt>
                <c:pt idx="163">
                  <c:v>0.70484263333333308</c:v>
                </c:pt>
                <c:pt idx="164">
                  <c:v>0.72579952500000033</c:v>
                </c:pt>
                <c:pt idx="165">
                  <c:v>0.72741619999999962</c:v>
                </c:pt>
                <c:pt idx="166">
                  <c:v>0.7265475555555555</c:v>
                </c:pt>
                <c:pt idx="167">
                  <c:v>0.71894544722222209</c:v>
                </c:pt>
                <c:pt idx="168">
                  <c:v>0.72158059444444467</c:v>
                </c:pt>
                <c:pt idx="169">
                  <c:v>0.71305359722222239</c:v>
                </c:pt>
                <c:pt idx="170">
                  <c:v>0.71567362777777754</c:v>
                </c:pt>
                <c:pt idx="171">
                  <c:v>0.72603697499999964</c:v>
                </c:pt>
                <c:pt idx="172">
                  <c:v>0.72085847777777778</c:v>
                </c:pt>
                <c:pt idx="173">
                  <c:v>0.74015409166666657</c:v>
                </c:pt>
                <c:pt idx="174">
                  <c:v>0.72204127500000015</c:v>
                </c:pt>
                <c:pt idx="175">
                  <c:v>0.70182904999999995</c:v>
                </c:pt>
                <c:pt idx="176">
                  <c:v>0.69654675000000044</c:v>
                </c:pt>
                <c:pt idx="177">
                  <c:v>0.71947605833333306</c:v>
                </c:pt>
                <c:pt idx="178">
                  <c:v>0.72982483055555558</c:v>
                </c:pt>
                <c:pt idx="179">
                  <c:v>0.71651230833333379</c:v>
                </c:pt>
                <c:pt idx="180">
                  <c:v>0.7011115555555556</c:v>
                </c:pt>
                <c:pt idx="181">
                  <c:v>0.70586353333333285</c:v>
                </c:pt>
                <c:pt idx="182">
                  <c:v>0.69887434444444474</c:v>
                </c:pt>
                <c:pt idx="183">
                  <c:v>0.68067186666666624</c:v>
                </c:pt>
                <c:pt idx="184">
                  <c:v>0.68194483333333333</c:v>
                </c:pt>
                <c:pt idx="185">
                  <c:v>0.68220595833333331</c:v>
                </c:pt>
                <c:pt idx="186">
                  <c:v>0.68482409444444481</c:v>
                </c:pt>
                <c:pt idx="187">
                  <c:v>0.69414937777777808</c:v>
                </c:pt>
                <c:pt idx="188">
                  <c:v>0.6843217638888891</c:v>
                </c:pt>
                <c:pt idx="189">
                  <c:v>0.69100175277777787</c:v>
                </c:pt>
                <c:pt idx="190">
                  <c:v>0.69389536666666662</c:v>
                </c:pt>
                <c:pt idx="191">
                  <c:v>0.67618762777777797</c:v>
                </c:pt>
                <c:pt idx="192">
                  <c:v>0.66041386111111089</c:v>
                </c:pt>
                <c:pt idx="193">
                  <c:v>0.66440402222222228</c:v>
                </c:pt>
                <c:pt idx="194">
                  <c:v>0.66482977777777763</c:v>
                </c:pt>
                <c:pt idx="195">
                  <c:v>0.6726443777777783</c:v>
                </c:pt>
                <c:pt idx="196">
                  <c:v>0.67409112222222267</c:v>
                </c:pt>
                <c:pt idx="197">
                  <c:v>0.67239470833333326</c:v>
                </c:pt>
                <c:pt idx="198">
                  <c:v>0.6740279194444444</c:v>
                </c:pt>
                <c:pt idx="199">
                  <c:v>0.66848968888888882</c:v>
                </c:pt>
                <c:pt idx="200">
                  <c:v>0.64218122777777775</c:v>
                </c:pt>
                <c:pt idx="201">
                  <c:v>0.65817077499999932</c:v>
                </c:pt>
                <c:pt idx="202">
                  <c:v>0.65157892499999981</c:v>
                </c:pt>
                <c:pt idx="203">
                  <c:v>0.64364276666666653</c:v>
                </c:pt>
                <c:pt idx="204">
                  <c:v>0.62703202222222199</c:v>
                </c:pt>
                <c:pt idx="205">
                  <c:v>0.62745401666666722</c:v>
                </c:pt>
                <c:pt idx="206">
                  <c:v>0.64923638333333356</c:v>
                </c:pt>
                <c:pt idx="207">
                  <c:v>0.63271169444444419</c:v>
                </c:pt>
                <c:pt idx="208">
                  <c:v>0.62302988055555553</c:v>
                </c:pt>
                <c:pt idx="209">
                  <c:v>0.64509298055555553</c:v>
                </c:pt>
                <c:pt idx="210">
                  <c:v>0.6458583916666667</c:v>
                </c:pt>
                <c:pt idx="211">
                  <c:v>0.64799723888888849</c:v>
                </c:pt>
                <c:pt idx="212">
                  <c:v>0.65034848611111074</c:v>
                </c:pt>
                <c:pt idx="213">
                  <c:v>0.61743075555555549</c:v>
                </c:pt>
                <c:pt idx="214">
                  <c:v>0.61482849444444465</c:v>
                </c:pt>
                <c:pt idx="215">
                  <c:v>0.60357712777777728</c:v>
                </c:pt>
                <c:pt idx="216">
                  <c:v>0.61214030555555532</c:v>
                </c:pt>
                <c:pt idx="217">
                  <c:v>0.60745227222222242</c:v>
                </c:pt>
                <c:pt idx="218">
                  <c:v>0.61111366666666678</c:v>
                </c:pt>
                <c:pt idx="219">
                  <c:v>0.61200660555555564</c:v>
                </c:pt>
                <c:pt idx="220">
                  <c:v>0.6172551805555555</c:v>
                </c:pt>
                <c:pt idx="221">
                  <c:v>0.6275917249999996</c:v>
                </c:pt>
                <c:pt idx="222">
                  <c:v>0.61827518055555564</c:v>
                </c:pt>
                <c:pt idx="223">
                  <c:v>0.62689018055555545</c:v>
                </c:pt>
                <c:pt idx="224">
                  <c:v>0.65504999999999991</c:v>
                </c:pt>
                <c:pt idx="225">
                  <c:v>0.65544881111111108</c:v>
                </c:pt>
                <c:pt idx="226">
                  <c:v>0.62131268333333289</c:v>
                </c:pt>
                <c:pt idx="227">
                  <c:v>0.61157542499999995</c:v>
                </c:pt>
                <c:pt idx="228">
                  <c:v>0.60941089444444452</c:v>
                </c:pt>
                <c:pt idx="229">
                  <c:v>0.61051254166666669</c:v>
                </c:pt>
                <c:pt idx="230">
                  <c:v>0.60653758055555562</c:v>
                </c:pt>
                <c:pt idx="231">
                  <c:v>0.59589027777777781</c:v>
                </c:pt>
                <c:pt idx="232">
                  <c:v>0.59069007500000015</c:v>
                </c:pt>
                <c:pt idx="233">
                  <c:v>0.59900215555555558</c:v>
                </c:pt>
                <c:pt idx="234">
                  <c:v>0.58560357777777761</c:v>
                </c:pt>
                <c:pt idx="235">
                  <c:v>0.58345663611111109</c:v>
                </c:pt>
                <c:pt idx="236">
                  <c:v>0.58616983888888841</c:v>
                </c:pt>
                <c:pt idx="237">
                  <c:v>0.58851817499999981</c:v>
                </c:pt>
                <c:pt idx="238">
                  <c:v>0.58937850555555571</c:v>
                </c:pt>
                <c:pt idx="239">
                  <c:v>0.58048281944444469</c:v>
                </c:pt>
                <c:pt idx="240">
                  <c:v>0.57425762777777767</c:v>
                </c:pt>
                <c:pt idx="241">
                  <c:v>0.58119796111111133</c:v>
                </c:pt>
                <c:pt idx="242">
                  <c:v>0.59153388611111135</c:v>
                </c:pt>
                <c:pt idx="243">
                  <c:v>0.60363391666666633</c:v>
                </c:pt>
                <c:pt idx="244">
                  <c:v>0.62669365833333324</c:v>
                </c:pt>
                <c:pt idx="245">
                  <c:v>0.62220733611111123</c:v>
                </c:pt>
                <c:pt idx="246">
                  <c:v>0.6267706111111111</c:v>
                </c:pt>
                <c:pt idx="247">
                  <c:v>0.65105025555555551</c:v>
                </c:pt>
                <c:pt idx="248">
                  <c:v>0.65967870277777785</c:v>
                </c:pt>
                <c:pt idx="249">
                  <c:v>0.6702363138888886</c:v>
                </c:pt>
                <c:pt idx="250">
                  <c:v>0.70911186111111091</c:v>
                </c:pt>
                <c:pt idx="251">
                  <c:v>0.70144087222222207</c:v>
                </c:pt>
                <c:pt idx="252">
                  <c:v>0.69710078888888893</c:v>
                </c:pt>
                <c:pt idx="253">
                  <c:v>0.70728847499999969</c:v>
                </c:pt>
                <c:pt idx="254">
                  <c:v>0.7171933749999998</c:v>
                </c:pt>
                <c:pt idx="255">
                  <c:v>0.71902289722222246</c:v>
                </c:pt>
                <c:pt idx="256">
                  <c:v>0.72959341666666633</c:v>
                </c:pt>
                <c:pt idx="257">
                  <c:v>0.73076132777777825</c:v>
                </c:pt>
                <c:pt idx="258">
                  <c:v>0.72885712222222232</c:v>
                </c:pt>
                <c:pt idx="259">
                  <c:v>0.72506001388888885</c:v>
                </c:pt>
                <c:pt idx="260">
                  <c:v>0.72944664999999986</c:v>
                </c:pt>
                <c:pt idx="261">
                  <c:v>0.73466332777777765</c:v>
                </c:pt>
                <c:pt idx="262">
                  <c:v>0.74779696388888861</c:v>
                </c:pt>
                <c:pt idx="263">
                  <c:v>0.72723365277777763</c:v>
                </c:pt>
                <c:pt idx="264">
                  <c:v>0.73187585000000033</c:v>
                </c:pt>
                <c:pt idx="265">
                  <c:v>0.73904896944444465</c:v>
                </c:pt>
                <c:pt idx="266">
                  <c:v>0.74097708333333379</c:v>
                </c:pt>
                <c:pt idx="267">
                  <c:v>0.74038738055555586</c:v>
                </c:pt>
                <c:pt idx="268">
                  <c:v>0.74925519444444399</c:v>
                </c:pt>
                <c:pt idx="269">
                  <c:v>0.746976127777778</c:v>
                </c:pt>
                <c:pt idx="270">
                  <c:v>0.74156476666666638</c:v>
                </c:pt>
                <c:pt idx="271">
                  <c:v>0.73682448333333317</c:v>
                </c:pt>
                <c:pt idx="272">
                  <c:v>0.73387633888888859</c:v>
                </c:pt>
                <c:pt idx="273">
                  <c:v>0.73418170000000038</c:v>
                </c:pt>
                <c:pt idx="274">
                  <c:v>0.73092365555555561</c:v>
                </c:pt>
                <c:pt idx="275">
                  <c:v>0.73517903611111135</c:v>
                </c:pt>
                <c:pt idx="276">
                  <c:v>0.73070626388888926</c:v>
                </c:pt>
                <c:pt idx="277">
                  <c:v>0.73665034444444488</c:v>
                </c:pt>
                <c:pt idx="278">
                  <c:v>0.74101342499999978</c:v>
                </c:pt>
                <c:pt idx="279">
                  <c:v>0.72499324444444457</c:v>
                </c:pt>
                <c:pt idx="280">
                  <c:v>0.72202950833333335</c:v>
                </c:pt>
                <c:pt idx="281">
                  <c:v>0.72170046111111086</c:v>
                </c:pt>
                <c:pt idx="282">
                  <c:v>0.72202607499999971</c:v>
                </c:pt>
                <c:pt idx="283">
                  <c:v>0.73521501111111076</c:v>
                </c:pt>
                <c:pt idx="284">
                  <c:v>0.73495988333333295</c:v>
                </c:pt>
                <c:pt idx="285">
                  <c:v>0.72460805555555574</c:v>
                </c:pt>
                <c:pt idx="286">
                  <c:v>0.71199603611111129</c:v>
                </c:pt>
                <c:pt idx="287">
                  <c:v>0.70631465833333307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75B-440B-A916-22E9E3FCE351}"/>
            </c:ext>
          </c:extLst>
        </c:ser>
        <c:ser>
          <c:idx val="3"/>
          <c:order val="3"/>
          <c:tx>
            <c:v>90% (нижняя)</c:v>
          </c:tx>
          <c:spPr>
            <a:ln w="9525">
              <a:solidFill>
                <a:srgbClr val="4295C3"/>
              </a:solidFill>
              <a:prstDash val="solid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Данные!$BH$2:$BH$289</c:f>
              <c:numCache>
                <c:formatCode>General</c:formatCode>
                <c:ptCount val="288"/>
                <c:pt idx="0">
                  <c:v>0.43086175500000018</c:v>
                </c:pt>
                <c:pt idx="1">
                  <c:v>0.44220192666666691</c:v>
                </c:pt>
                <c:pt idx="2">
                  <c:v>0.45064356222222218</c:v>
                </c:pt>
                <c:pt idx="3">
                  <c:v>0.44659919055555597</c:v>
                </c:pt>
                <c:pt idx="4">
                  <c:v>0.45928674444444462</c:v>
                </c:pt>
                <c:pt idx="5">
                  <c:v>0.45896727388888908</c:v>
                </c:pt>
                <c:pt idx="6">
                  <c:v>0.48937258999999994</c:v>
                </c:pt>
                <c:pt idx="7">
                  <c:v>0.49354927500000001</c:v>
                </c:pt>
                <c:pt idx="8">
                  <c:v>0.52019072999999993</c:v>
                </c:pt>
                <c:pt idx="9">
                  <c:v>0.49519599388888857</c:v>
                </c:pt>
                <c:pt idx="10">
                  <c:v>0.49373567888888859</c:v>
                </c:pt>
                <c:pt idx="11">
                  <c:v>0.49167978666666656</c:v>
                </c:pt>
                <c:pt idx="12">
                  <c:v>0.49175527944444486</c:v>
                </c:pt>
                <c:pt idx="13">
                  <c:v>0.49079002944444439</c:v>
                </c:pt>
                <c:pt idx="14">
                  <c:v>0.49498814333333335</c:v>
                </c:pt>
                <c:pt idx="15">
                  <c:v>0.48634400444444448</c:v>
                </c:pt>
                <c:pt idx="16">
                  <c:v>0.4793138344444442</c:v>
                </c:pt>
                <c:pt idx="17">
                  <c:v>0.47659768500000005</c:v>
                </c:pt>
                <c:pt idx="18">
                  <c:v>0.46644303944444465</c:v>
                </c:pt>
                <c:pt idx="19">
                  <c:v>0.46444583555555558</c:v>
                </c:pt>
                <c:pt idx="20">
                  <c:v>0.46383482166666695</c:v>
                </c:pt>
                <c:pt idx="21">
                  <c:v>0.46035328999999969</c:v>
                </c:pt>
                <c:pt idx="22">
                  <c:v>0.46993128444444421</c:v>
                </c:pt>
                <c:pt idx="23">
                  <c:v>0.46557914500000003</c:v>
                </c:pt>
                <c:pt idx="24">
                  <c:v>0.44726088333333336</c:v>
                </c:pt>
                <c:pt idx="25">
                  <c:v>0.45757954000000001</c:v>
                </c:pt>
                <c:pt idx="26">
                  <c:v>0.47482310666666644</c:v>
                </c:pt>
                <c:pt idx="27">
                  <c:v>0.46031149277777755</c:v>
                </c:pt>
                <c:pt idx="28">
                  <c:v>0.45306145277777765</c:v>
                </c:pt>
                <c:pt idx="29">
                  <c:v>0.4514745166666671</c:v>
                </c:pt>
                <c:pt idx="30">
                  <c:v>0.44687645833333317</c:v>
                </c:pt>
                <c:pt idx="31">
                  <c:v>0.45411620111111067</c:v>
                </c:pt>
                <c:pt idx="32">
                  <c:v>0.44922846000000027</c:v>
                </c:pt>
                <c:pt idx="33">
                  <c:v>0.46030396166666648</c:v>
                </c:pt>
                <c:pt idx="34">
                  <c:v>0.4715573761111112</c:v>
                </c:pt>
                <c:pt idx="35">
                  <c:v>0.47778710500000032</c:v>
                </c:pt>
                <c:pt idx="36">
                  <c:v>0.49147086111111093</c:v>
                </c:pt>
                <c:pt idx="37">
                  <c:v>0.49900183611111121</c:v>
                </c:pt>
                <c:pt idx="38">
                  <c:v>0.48137132833333329</c:v>
                </c:pt>
                <c:pt idx="39">
                  <c:v>0.47364349000000006</c:v>
                </c:pt>
                <c:pt idx="40">
                  <c:v>0.48008269166666651</c:v>
                </c:pt>
                <c:pt idx="41">
                  <c:v>0.47052514888888891</c:v>
                </c:pt>
                <c:pt idx="42">
                  <c:v>0.49460841944444472</c:v>
                </c:pt>
                <c:pt idx="43">
                  <c:v>0.48903309944444451</c:v>
                </c:pt>
                <c:pt idx="44">
                  <c:v>0.50314190611111098</c:v>
                </c:pt>
                <c:pt idx="45">
                  <c:v>0.49346097166666703</c:v>
                </c:pt>
                <c:pt idx="46">
                  <c:v>0.50299021666666699</c:v>
                </c:pt>
                <c:pt idx="47">
                  <c:v>0.48395696388888881</c:v>
                </c:pt>
                <c:pt idx="48">
                  <c:v>0.45867850388888926</c:v>
                </c:pt>
                <c:pt idx="49">
                  <c:v>0.44868292388888886</c:v>
                </c:pt>
                <c:pt idx="50">
                  <c:v>0.44978182499999975</c:v>
                </c:pt>
                <c:pt idx="51">
                  <c:v>0.44554712555555548</c:v>
                </c:pt>
                <c:pt idx="52">
                  <c:v>0.44000718888888879</c:v>
                </c:pt>
                <c:pt idx="53">
                  <c:v>0.45341725999999988</c:v>
                </c:pt>
                <c:pt idx="54">
                  <c:v>0.46969977499999976</c:v>
                </c:pt>
                <c:pt idx="55">
                  <c:v>0.47741973888888878</c:v>
                </c:pt>
                <c:pt idx="56">
                  <c:v>0.46972529333333324</c:v>
                </c:pt>
                <c:pt idx="57">
                  <c:v>0.48416389722222203</c:v>
                </c:pt>
                <c:pt idx="58">
                  <c:v>0.48295774666666663</c:v>
                </c:pt>
                <c:pt idx="59">
                  <c:v>0.48195172500000022</c:v>
                </c:pt>
                <c:pt idx="60">
                  <c:v>0.46717127388888913</c:v>
                </c:pt>
                <c:pt idx="61">
                  <c:v>0.45840342277777774</c:v>
                </c:pt>
                <c:pt idx="62">
                  <c:v>0.48225228555555533</c:v>
                </c:pt>
                <c:pt idx="63">
                  <c:v>0.47409594388888887</c:v>
                </c:pt>
                <c:pt idx="64">
                  <c:v>0.47068555166666648</c:v>
                </c:pt>
                <c:pt idx="65">
                  <c:v>0.46688798444444457</c:v>
                </c:pt>
                <c:pt idx="66">
                  <c:v>0.46284781722222185</c:v>
                </c:pt>
                <c:pt idx="67">
                  <c:v>0.47058321944444437</c:v>
                </c:pt>
                <c:pt idx="68">
                  <c:v>0.47831543444444502</c:v>
                </c:pt>
                <c:pt idx="69">
                  <c:v>0.47735642055555549</c:v>
                </c:pt>
                <c:pt idx="70">
                  <c:v>0.47989576888888857</c:v>
                </c:pt>
                <c:pt idx="71">
                  <c:v>0.44351516055555534</c:v>
                </c:pt>
                <c:pt idx="72">
                  <c:v>0.41833050111111092</c:v>
                </c:pt>
                <c:pt idx="73">
                  <c:v>0.40353140777777785</c:v>
                </c:pt>
                <c:pt idx="74">
                  <c:v>0.39329932888888863</c:v>
                </c:pt>
                <c:pt idx="75">
                  <c:v>0.37643797166666687</c:v>
                </c:pt>
                <c:pt idx="76">
                  <c:v>0.38131605222222181</c:v>
                </c:pt>
                <c:pt idx="77">
                  <c:v>0.39137844611111083</c:v>
                </c:pt>
                <c:pt idx="78">
                  <c:v>0.41041792000000016</c:v>
                </c:pt>
                <c:pt idx="79">
                  <c:v>0.40607555999999995</c:v>
                </c:pt>
                <c:pt idx="80">
                  <c:v>0.44744616388888941</c:v>
                </c:pt>
                <c:pt idx="81">
                  <c:v>0.45061170055555549</c:v>
                </c:pt>
                <c:pt idx="82">
                  <c:v>0.450442356111111</c:v>
                </c:pt>
                <c:pt idx="83">
                  <c:v>0.44412317388888856</c:v>
                </c:pt>
                <c:pt idx="84">
                  <c:v>0.43431847277777769</c:v>
                </c:pt>
                <c:pt idx="85">
                  <c:v>0.44049761666666687</c:v>
                </c:pt>
                <c:pt idx="86">
                  <c:v>0.44696054611111108</c:v>
                </c:pt>
                <c:pt idx="87">
                  <c:v>0.44993828388888901</c:v>
                </c:pt>
                <c:pt idx="88">
                  <c:v>0.44362422722222256</c:v>
                </c:pt>
                <c:pt idx="89">
                  <c:v>0.43832983111111118</c:v>
                </c:pt>
                <c:pt idx="90">
                  <c:v>0.42862843444444421</c:v>
                </c:pt>
                <c:pt idx="91">
                  <c:v>0.40434107888888898</c:v>
                </c:pt>
                <c:pt idx="92">
                  <c:v>0.37587547111111114</c:v>
                </c:pt>
                <c:pt idx="93">
                  <c:v>0.35427899055555556</c:v>
                </c:pt>
                <c:pt idx="94">
                  <c:v>0.35370934444444446</c:v>
                </c:pt>
                <c:pt idx="95">
                  <c:v>0.34929355500000048</c:v>
                </c:pt>
                <c:pt idx="96">
                  <c:v>0.35472397555555535</c:v>
                </c:pt>
                <c:pt idx="97">
                  <c:v>0.36057324555555564</c:v>
                </c:pt>
                <c:pt idx="98">
                  <c:v>0.35605579444444418</c:v>
                </c:pt>
                <c:pt idx="99">
                  <c:v>0.36489899166666689</c:v>
                </c:pt>
                <c:pt idx="100">
                  <c:v>0.3668818905555557</c:v>
                </c:pt>
                <c:pt idx="101">
                  <c:v>0.37239168222222241</c:v>
                </c:pt>
                <c:pt idx="102">
                  <c:v>0.37156489333333348</c:v>
                </c:pt>
                <c:pt idx="103">
                  <c:v>0.37209460444444448</c:v>
                </c:pt>
                <c:pt idx="104">
                  <c:v>0.37106658833333345</c:v>
                </c:pt>
                <c:pt idx="105">
                  <c:v>0.379283893888889</c:v>
                </c:pt>
                <c:pt idx="106">
                  <c:v>0.36178949833333324</c:v>
                </c:pt>
                <c:pt idx="107">
                  <c:v>0.35975886777777788</c:v>
                </c:pt>
                <c:pt idx="108">
                  <c:v>0.26419493944444455</c:v>
                </c:pt>
                <c:pt idx="109">
                  <c:v>0.16006571111111104</c:v>
                </c:pt>
                <c:pt idx="110">
                  <c:v>0.15882675166666679</c:v>
                </c:pt>
                <c:pt idx="111">
                  <c:v>0.14799220555555531</c:v>
                </c:pt>
                <c:pt idx="112">
                  <c:v>0.14984920944444458</c:v>
                </c:pt>
                <c:pt idx="113">
                  <c:v>0.17391011111111129</c:v>
                </c:pt>
                <c:pt idx="114">
                  <c:v>0.18890367444444442</c:v>
                </c:pt>
                <c:pt idx="115">
                  <c:v>0.1931095044444443</c:v>
                </c:pt>
                <c:pt idx="116">
                  <c:v>0.20544155833333358</c:v>
                </c:pt>
                <c:pt idx="117">
                  <c:v>0.2406801522222225</c:v>
                </c:pt>
                <c:pt idx="118">
                  <c:v>0.28253882111111123</c:v>
                </c:pt>
                <c:pt idx="119">
                  <c:v>0.2656017361111111</c:v>
                </c:pt>
                <c:pt idx="120">
                  <c:v>0.26976787722222223</c:v>
                </c:pt>
                <c:pt idx="121">
                  <c:v>0.31466147166666664</c:v>
                </c:pt>
                <c:pt idx="122">
                  <c:v>0.43006687000000027</c:v>
                </c:pt>
                <c:pt idx="123">
                  <c:v>0.43148927000000004</c:v>
                </c:pt>
                <c:pt idx="124">
                  <c:v>0.44510901277777731</c:v>
                </c:pt>
                <c:pt idx="125">
                  <c:v>0.45517573611111101</c:v>
                </c:pt>
                <c:pt idx="126">
                  <c:v>0.44958226555555547</c:v>
                </c:pt>
                <c:pt idx="127">
                  <c:v>0.47852307999999993</c:v>
                </c:pt>
                <c:pt idx="128">
                  <c:v>0.49164748166666628</c:v>
                </c:pt>
                <c:pt idx="129">
                  <c:v>0.49309111888888918</c:v>
                </c:pt>
                <c:pt idx="130">
                  <c:v>0.48824034888888856</c:v>
                </c:pt>
                <c:pt idx="131">
                  <c:v>0.49086788833333322</c:v>
                </c:pt>
                <c:pt idx="132">
                  <c:v>0.48696186499999961</c:v>
                </c:pt>
                <c:pt idx="133">
                  <c:v>0.47452331500000006</c:v>
                </c:pt>
                <c:pt idx="134">
                  <c:v>0.49190130833333329</c:v>
                </c:pt>
                <c:pt idx="135">
                  <c:v>0.48497743722222214</c:v>
                </c:pt>
                <c:pt idx="136">
                  <c:v>0.48457236277777793</c:v>
                </c:pt>
                <c:pt idx="137">
                  <c:v>0.49274744388888908</c:v>
                </c:pt>
                <c:pt idx="138">
                  <c:v>0.47219304166666642</c:v>
                </c:pt>
                <c:pt idx="139">
                  <c:v>0.49235916666666679</c:v>
                </c:pt>
                <c:pt idx="140">
                  <c:v>0.49100056111111157</c:v>
                </c:pt>
                <c:pt idx="141">
                  <c:v>0.48741691833333367</c:v>
                </c:pt>
                <c:pt idx="142">
                  <c:v>0.49642385055555588</c:v>
                </c:pt>
                <c:pt idx="143">
                  <c:v>0.46577578000000025</c:v>
                </c:pt>
                <c:pt idx="144">
                  <c:v>0.46947889777777768</c:v>
                </c:pt>
                <c:pt idx="145">
                  <c:v>0.49345300277777765</c:v>
                </c:pt>
                <c:pt idx="146">
                  <c:v>0.48868383666666676</c:v>
                </c:pt>
                <c:pt idx="147">
                  <c:v>0.49229341388888892</c:v>
                </c:pt>
                <c:pt idx="148">
                  <c:v>0.49371850833333336</c:v>
                </c:pt>
                <c:pt idx="149">
                  <c:v>0.49179988944444447</c:v>
                </c:pt>
                <c:pt idx="150">
                  <c:v>0.49438659666666657</c:v>
                </c:pt>
                <c:pt idx="151">
                  <c:v>0.48747428388888875</c:v>
                </c:pt>
                <c:pt idx="152">
                  <c:v>0.52112965888888907</c:v>
                </c:pt>
                <c:pt idx="153">
                  <c:v>0.53271484444444439</c:v>
                </c:pt>
                <c:pt idx="154">
                  <c:v>0.52361130666666666</c:v>
                </c:pt>
                <c:pt idx="155">
                  <c:v>0.51371566111111078</c:v>
                </c:pt>
                <c:pt idx="156">
                  <c:v>0.50025403666666657</c:v>
                </c:pt>
                <c:pt idx="157">
                  <c:v>0.50885050888888939</c:v>
                </c:pt>
                <c:pt idx="158">
                  <c:v>0.50118585611111122</c:v>
                </c:pt>
                <c:pt idx="159">
                  <c:v>0.51452365666666655</c:v>
                </c:pt>
                <c:pt idx="160">
                  <c:v>0.50975162611111102</c:v>
                </c:pt>
                <c:pt idx="161">
                  <c:v>0.50756181277777801</c:v>
                </c:pt>
                <c:pt idx="162">
                  <c:v>0.50640566499999995</c:v>
                </c:pt>
                <c:pt idx="163">
                  <c:v>0.52524293</c:v>
                </c:pt>
                <c:pt idx="164">
                  <c:v>0.51520181055555536</c:v>
                </c:pt>
                <c:pt idx="165">
                  <c:v>0.5111931711111114</c:v>
                </c:pt>
                <c:pt idx="166">
                  <c:v>0.50575286999999991</c:v>
                </c:pt>
                <c:pt idx="167">
                  <c:v>0.49371816833333348</c:v>
                </c:pt>
                <c:pt idx="168">
                  <c:v>0.47727063833333339</c:v>
                </c:pt>
                <c:pt idx="169">
                  <c:v>0.50038945888888919</c:v>
                </c:pt>
                <c:pt idx="170">
                  <c:v>0.50723417444444419</c:v>
                </c:pt>
                <c:pt idx="171">
                  <c:v>0.51441444722222207</c:v>
                </c:pt>
                <c:pt idx="172">
                  <c:v>0.504828591111111</c:v>
                </c:pt>
                <c:pt idx="173">
                  <c:v>0.51192445388888885</c:v>
                </c:pt>
                <c:pt idx="174">
                  <c:v>0.5109840722222222</c:v>
                </c:pt>
                <c:pt idx="175">
                  <c:v>0.50973845611111124</c:v>
                </c:pt>
                <c:pt idx="176">
                  <c:v>0.50725981055555558</c:v>
                </c:pt>
                <c:pt idx="177">
                  <c:v>0.49980205777777764</c:v>
                </c:pt>
                <c:pt idx="178">
                  <c:v>0.50243424222222255</c:v>
                </c:pt>
                <c:pt idx="179">
                  <c:v>0.50523642333333341</c:v>
                </c:pt>
                <c:pt idx="180">
                  <c:v>0.51708064888888905</c:v>
                </c:pt>
                <c:pt idx="181">
                  <c:v>0.51004446888888921</c:v>
                </c:pt>
                <c:pt idx="182">
                  <c:v>0.50782016888888881</c:v>
                </c:pt>
                <c:pt idx="183">
                  <c:v>0.52053412666666676</c:v>
                </c:pt>
                <c:pt idx="184">
                  <c:v>0.50042662055555531</c:v>
                </c:pt>
                <c:pt idx="185">
                  <c:v>0.49262140499999985</c:v>
                </c:pt>
                <c:pt idx="186">
                  <c:v>0.49488315388888926</c:v>
                </c:pt>
                <c:pt idx="187">
                  <c:v>0.50441512944444455</c:v>
                </c:pt>
                <c:pt idx="188">
                  <c:v>0.52864145166666665</c:v>
                </c:pt>
                <c:pt idx="189">
                  <c:v>0.51873421611111104</c:v>
                </c:pt>
                <c:pt idx="190">
                  <c:v>0.51314580500000007</c:v>
                </c:pt>
                <c:pt idx="191">
                  <c:v>0.50463287444444416</c:v>
                </c:pt>
                <c:pt idx="192">
                  <c:v>0.49832487222222244</c:v>
                </c:pt>
                <c:pt idx="193">
                  <c:v>0.48713080055555535</c:v>
                </c:pt>
                <c:pt idx="194">
                  <c:v>0.50183937111111088</c:v>
                </c:pt>
                <c:pt idx="195">
                  <c:v>0.51106866666666706</c:v>
                </c:pt>
                <c:pt idx="196">
                  <c:v>0.48744586499999998</c:v>
                </c:pt>
                <c:pt idx="197">
                  <c:v>0.47847506944444468</c:v>
                </c:pt>
                <c:pt idx="198">
                  <c:v>0.46845568111111119</c:v>
                </c:pt>
                <c:pt idx="199">
                  <c:v>0.48533063111111124</c:v>
                </c:pt>
                <c:pt idx="200">
                  <c:v>0.47248955999999998</c:v>
                </c:pt>
                <c:pt idx="201">
                  <c:v>0.47977306500000033</c:v>
                </c:pt>
                <c:pt idx="202">
                  <c:v>0.48208044777777742</c:v>
                </c:pt>
                <c:pt idx="203">
                  <c:v>0.49053682777777796</c:v>
                </c:pt>
                <c:pt idx="204">
                  <c:v>0.50050285611111123</c:v>
                </c:pt>
                <c:pt idx="205">
                  <c:v>0.50075015222222219</c:v>
                </c:pt>
                <c:pt idx="206">
                  <c:v>0.49320077944444468</c:v>
                </c:pt>
                <c:pt idx="207">
                  <c:v>0.48196715222222186</c:v>
                </c:pt>
                <c:pt idx="208">
                  <c:v>0.4608451633333337</c:v>
                </c:pt>
                <c:pt idx="209">
                  <c:v>0.46331908055555537</c:v>
                </c:pt>
                <c:pt idx="210">
                  <c:v>0.46462442277777732</c:v>
                </c:pt>
                <c:pt idx="211">
                  <c:v>0.45386679333333357</c:v>
                </c:pt>
                <c:pt idx="212">
                  <c:v>0.46921693222222227</c:v>
                </c:pt>
                <c:pt idx="213">
                  <c:v>0.45749529111111131</c:v>
                </c:pt>
                <c:pt idx="214">
                  <c:v>0.45268835999999979</c:v>
                </c:pt>
                <c:pt idx="215">
                  <c:v>0.44104805055555579</c:v>
                </c:pt>
                <c:pt idx="216">
                  <c:v>0.42803318222222214</c:v>
                </c:pt>
                <c:pt idx="217">
                  <c:v>0.43751772333333305</c:v>
                </c:pt>
                <c:pt idx="218">
                  <c:v>0.43833758222222213</c:v>
                </c:pt>
                <c:pt idx="219">
                  <c:v>0.42130774722222242</c:v>
                </c:pt>
                <c:pt idx="220">
                  <c:v>0.42633658499999999</c:v>
                </c:pt>
                <c:pt idx="221">
                  <c:v>0.43165427777777798</c:v>
                </c:pt>
                <c:pt idx="222">
                  <c:v>0.42500453555555545</c:v>
                </c:pt>
                <c:pt idx="223">
                  <c:v>0.42058664888888869</c:v>
                </c:pt>
                <c:pt idx="224">
                  <c:v>0.44447860333333333</c:v>
                </c:pt>
                <c:pt idx="225">
                  <c:v>0.44137899888888904</c:v>
                </c:pt>
                <c:pt idx="226">
                  <c:v>0.44160250777777793</c:v>
                </c:pt>
                <c:pt idx="227">
                  <c:v>0.44319550111111067</c:v>
                </c:pt>
                <c:pt idx="228">
                  <c:v>0.43237190944444442</c:v>
                </c:pt>
                <c:pt idx="229">
                  <c:v>0.43741151277777801</c:v>
                </c:pt>
                <c:pt idx="230">
                  <c:v>0.43450690111111118</c:v>
                </c:pt>
                <c:pt idx="231">
                  <c:v>0.43352778722222229</c:v>
                </c:pt>
                <c:pt idx="232">
                  <c:v>0.42123365499999998</c:v>
                </c:pt>
                <c:pt idx="233">
                  <c:v>0.43165509833333304</c:v>
                </c:pt>
                <c:pt idx="234">
                  <c:v>0.4307844244444447</c:v>
                </c:pt>
                <c:pt idx="235">
                  <c:v>0.43316813333333359</c:v>
                </c:pt>
                <c:pt idx="236">
                  <c:v>0.43061545499999981</c:v>
                </c:pt>
                <c:pt idx="237">
                  <c:v>0.43462171055555521</c:v>
                </c:pt>
                <c:pt idx="238">
                  <c:v>0.43431284055555563</c:v>
                </c:pt>
                <c:pt idx="239">
                  <c:v>0.43125631166666667</c:v>
                </c:pt>
                <c:pt idx="240">
                  <c:v>0.42409193444444404</c:v>
                </c:pt>
                <c:pt idx="241">
                  <c:v>0.42752226611111138</c:v>
                </c:pt>
                <c:pt idx="242">
                  <c:v>0.41944974500000021</c:v>
                </c:pt>
                <c:pt idx="243">
                  <c:v>0.41341488944444427</c:v>
                </c:pt>
                <c:pt idx="244">
                  <c:v>0.44354493277777784</c:v>
                </c:pt>
                <c:pt idx="245">
                  <c:v>0.43554543555555514</c:v>
                </c:pt>
                <c:pt idx="246">
                  <c:v>0.4431224972222223</c:v>
                </c:pt>
                <c:pt idx="247">
                  <c:v>0.43604274722222208</c:v>
                </c:pt>
                <c:pt idx="248">
                  <c:v>0.43455926222222235</c:v>
                </c:pt>
                <c:pt idx="249">
                  <c:v>0.44325325777777774</c:v>
                </c:pt>
                <c:pt idx="250">
                  <c:v>0.44802893444444486</c:v>
                </c:pt>
                <c:pt idx="251">
                  <c:v>0.43873973500000013</c:v>
                </c:pt>
                <c:pt idx="252">
                  <c:v>0.40560860777777757</c:v>
                </c:pt>
                <c:pt idx="253">
                  <c:v>0.41534673777777786</c:v>
                </c:pt>
                <c:pt idx="254">
                  <c:v>0.42128188611111123</c:v>
                </c:pt>
                <c:pt idx="255">
                  <c:v>0.44270549111111118</c:v>
                </c:pt>
                <c:pt idx="256">
                  <c:v>0.44579039277777821</c:v>
                </c:pt>
                <c:pt idx="257">
                  <c:v>0.46462488999999974</c:v>
                </c:pt>
                <c:pt idx="258">
                  <c:v>0.47270554277777771</c:v>
                </c:pt>
                <c:pt idx="259">
                  <c:v>0.48679901777777773</c:v>
                </c:pt>
                <c:pt idx="260">
                  <c:v>0.48423969500000019</c:v>
                </c:pt>
                <c:pt idx="261">
                  <c:v>0.48726557444444429</c:v>
                </c:pt>
                <c:pt idx="262">
                  <c:v>0.48668193277777783</c:v>
                </c:pt>
                <c:pt idx="263">
                  <c:v>0.46308865499999985</c:v>
                </c:pt>
                <c:pt idx="264">
                  <c:v>0.47333114111111113</c:v>
                </c:pt>
                <c:pt idx="265">
                  <c:v>0.4685091466666666</c:v>
                </c:pt>
                <c:pt idx="266">
                  <c:v>0.48534043000000021</c:v>
                </c:pt>
                <c:pt idx="267">
                  <c:v>0.48406100055555573</c:v>
                </c:pt>
                <c:pt idx="268">
                  <c:v>0.50337947666666694</c:v>
                </c:pt>
                <c:pt idx="269">
                  <c:v>0.50426971999999992</c:v>
                </c:pt>
                <c:pt idx="270">
                  <c:v>0.49734377722222206</c:v>
                </c:pt>
                <c:pt idx="271">
                  <c:v>0.49279567055555556</c:v>
                </c:pt>
                <c:pt idx="272">
                  <c:v>0.49963406388888904</c:v>
                </c:pt>
                <c:pt idx="273">
                  <c:v>0.50522615555555572</c:v>
                </c:pt>
                <c:pt idx="274">
                  <c:v>0.50085727611111119</c:v>
                </c:pt>
                <c:pt idx="275">
                  <c:v>0.49157960555555535</c:v>
                </c:pt>
                <c:pt idx="276">
                  <c:v>0.50033465388888909</c:v>
                </c:pt>
                <c:pt idx="277">
                  <c:v>0.52769241555555557</c:v>
                </c:pt>
                <c:pt idx="278">
                  <c:v>0.51746272944444471</c:v>
                </c:pt>
                <c:pt idx="279">
                  <c:v>0.50678575777777768</c:v>
                </c:pt>
                <c:pt idx="280">
                  <c:v>0.49194886222222217</c:v>
                </c:pt>
                <c:pt idx="281">
                  <c:v>0.47986785999999998</c:v>
                </c:pt>
                <c:pt idx="282">
                  <c:v>0.20861497833333367</c:v>
                </c:pt>
                <c:pt idx="283">
                  <c:v>0.48721832388888892</c:v>
                </c:pt>
                <c:pt idx="284">
                  <c:v>0.4833544766666667</c:v>
                </c:pt>
                <c:pt idx="285">
                  <c:v>0.47714100499999978</c:v>
                </c:pt>
                <c:pt idx="286">
                  <c:v>0.45687507499999991</c:v>
                </c:pt>
                <c:pt idx="287">
                  <c:v>0.44937499222222232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75B-440B-A916-22E9E3FCE351}"/>
            </c:ext>
          </c:extLst>
        </c:ser>
        <c:ser>
          <c:idx val="4"/>
          <c:order val="4"/>
          <c:tx>
            <c:v>90% (верхняя)</c:v>
          </c:tx>
          <c:spPr>
            <a:ln w="9525">
              <a:solidFill>
                <a:srgbClr val="4295C3"/>
              </a:solidFill>
              <a:prstDash val="solid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Данные!$BI$2:$BI$289</c:f>
              <c:numCache>
                <c:formatCode>General</c:formatCode>
                <c:ptCount val="288"/>
                <c:pt idx="0">
                  <c:v>0.73080418555555537</c:v>
                </c:pt>
                <c:pt idx="1">
                  <c:v>0.76181451833333325</c:v>
                </c:pt>
                <c:pt idx="2">
                  <c:v>0.77402467055555579</c:v>
                </c:pt>
                <c:pt idx="3">
                  <c:v>0.80673243333333322</c:v>
                </c:pt>
                <c:pt idx="4">
                  <c:v>0.80044713166666648</c:v>
                </c:pt>
                <c:pt idx="5">
                  <c:v>0.79498044722222216</c:v>
                </c:pt>
                <c:pt idx="6">
                  <c:v>0.79159228611111088</c:v>
                </c:pt>
                <c:pt idx="7">
                  <c:v>0.81145507111111081</c:v>
                </c:pt>
                <c:pt idx="8">
                  <c:v>0.84007358611111094</c:v>
                </c:pt>
                <c:pt idx="9">
                  <c:v>0.83881827111111129</c:v>
                </c:pt>
                <c:pt idx="10">
                  <c:v>0.83478890166666675</c:v>
                </c:pt>
                <c:pt idx="11">
                  <c:v>0.83832957833333299</c:v>
                </c:pt>
                <c:pt idx="12">
                  <c:v>0.83840642666666643</c:v>
                </c:pt>
                <c:pt idx="13">
                  <c:v>0.83023196277777789</c:v>
                </c:pt>
                <c:pt idx="14">
                  <c:v>0.83765950555555535</c:v>
                </c:pt>
                <c:pt idx="15">
                  <c:v>0.82922852777777734</c:v>
                </c:pt>
                <c:pt idx="16">
                  <c:v>0.82741816388888889</c:v>
                </c:pt>
                <c:pt idx="17">
                  <c:v>0.82540371277777735</c:v>
                </c:pt>
                <c:pt idx="18">
                  <c:v>0.81754952611111065</c:v>
                </c:pt>
                <c:pt idx="19">
                  <c:v>0.79340236333333325</c:v>
                </c:pt>
                <c:pt idx="20">
                  <c:v>0.79090862999999989</c:v>
                </c:pt>
                <c:pt idx="21">
                  <c:v>0.80274804666666688</c:v>
                </c:pt>
                <c:pt idx="22">
                  <c:v>0.79670493388888886</c:v>
                </c:pt>
                <c:pt idx="23">
                  <c:v>0.78159958777777749</c:v>
                </c:pt>
                <c:pt idx="24">
                  <c:v>0.77324198222222185</c:v>
                </c:pt>
                <c:pt idx="25">
                  <c:v>0.77749828722222269</c:v>
                </c:pt>
                <c:pt idx="26">
                  <c:v>0.78275978777777766</c:v>
                </c:pt>
                <c:pt idx="27">
                  <c:v>0.77670043111111109</c:v>
                </c:pt>
                <c:pt idx="28">
                  <c:v>0.7690477250000004</c:v>
                </c:pt>
                <c:pt idx="29">
                  <c:v>0.77529317777777762</c:v>
                </c:pt>
                <c:pt idx="30">
                  <c:v>0.77960579833333277</c:v>
                </c:pt>
                <c:pt idx="31">
                  <c:v>0.78036084722222221</c:v>
                </c:pt>
                <c:pt idx="32">
                  <c:v>0.78713524833333337</c:v>
                </c:pt>
                <c:pt idx="33">
                  <c:v>0.7958276261111108</c:v>
                </c:pt>
                <c:pt idx="34">
                  <c:v>0.78545036611111085</c:v>
                </c:pt>
                <c:pt idx="35">
                  <c:v>0.7877148100000001</c:v>
                </c:pt>
                <c:pt idx="36">
                  <c:v>0.78339083111111119</c:v>
                </c:pt>
                <c:pt idx="37">
                  <c:v>0.80014460500000006</c:v>
                </c:pt>
                <c:pt idx="38">
                  <c:v>0.80012744777777822</c:v>
                </c:pt>
                <c:pt idx="39">
                  <c:v>0.79371602777777728</c:v>
                </c:pt>
                <c:pt idx="40">
                  <c:v>0.75970195888888825</c:v>
                </c:pt>
                <c:pt idx="41">
                  <c:v>0.76079802722222178</c:v>
                </c:pt>
                <c:pt idx="42">
                  <c:v>0.75988914055555568</c:v>
                </c:pt>
                <c:pt idx="43">
                  <c:v>0.76477220777777744</c:v>
                </c:pt>
                <c:pt idx="44">
                  <c:v>0.76750319888888829</c:v>
                </c:pt>
                <c:pt idx="45">
                  <c:v>0.78793493833333317</c:v>
                </c:pt>
                <c:pt idx="46">
                  <c:v>0.79363225166666596</c:v>
                </c:pt>
                <c:pt idx="47">
                  <c:v>0.78792357777777766</c:v>
                </c:pt>
                <c:pt idx="48">
                  <c:v>0.7792098844444445</c:v>
                </c:pt>
                <c:pt idx="49">
                  <c:v>0.78305851222222189</c:v>
                </c:pt>
                <c:pt idx="50">
                  <c:v>0.78281408222222182</c:v>
                </c:pt>
                <c:pt idx="51">
                  <c:v>0.78292677833333313</c:v>
                </c:pt>
                <c:pt idx="52">
                  <c:v>0.78188809222222211</c:v>
                </c:pt>
                <c:pt idx="53">
                  <c:v>0.78601425611111098</c:v>
                </c:pt>
                <c:pt idx="54">
                  <c:v>0.77348321055555547</c:v>
                </c:pt>
                <c:pt idx="55">
                  <c:v>0.76038011388888849</c:v>
                </c:pt>
                <c:pt idx="56">
                  <c:v>0.76078005722222219</c:v>
                </c:pt>
                <c:pt idx="57">
                  <c:v>0.76891500611111108</c:v>
                </c:pt>
                <c:pt idx="58">
                  <c:v>0.75697000722222219</c:v>
                </c:pt>
                <c:pt idx="59">
                  <c:v>0.74030569888888875</c:v>
                </c:pt>
                <c:pt idx="60">
                  <c:v>0.71791467666666664</c:v>
                </c:pt>
                <c:pt idx="61">
                  <c:v>0.71959597388888896</c:v>
                </c:pt>
                <c:pt idx="62">
                  <c:v>0.72955124388888881</c:v>
                </c:pt>
                <c:pt idx="63">
                  <c:v>0.72289517500000022</c:v>
                </c:pt>
                <c:pt idx="64">
                  <c:v>0.72254790833333327</c:v>
                </c:pt>
                <c:pt idx="65">
                  <c:v>0.71278107000000035</c:v>
                </c:pt>
                <c:pt idx="66">
                  <c:v>0.71246076833333372</c:v>
                </c:pt>
                <c:pt idx="67">
                  <c:v>0.73630894055555529</c:v>
                </c:pt>
                <c:pt idx="68">
                  <c:v>0.73867677222222239</c:v>
                </c:pt>
                <c:pt idx="69">
                  <c:v>0.74509223444444428</c:v>
                </c:pt>
                <c:pt idx="70">
                  <c:v>0.74043560277777765</c:v>
                </c:pt>
                <c:pt idx="71">
                  <c:v>0.72250273500000006</c:v>
                </c:pt>
                <c:pt idx="72">
                  <c:v>0.70673580833333383</c:v>
                </c:pt>
                <c:pt idx="73">
                  <c:v>0.71194887388888861</c:v>
                </c:pt>
                <c:pt idx="74">
                  <c:v>0.71849126277777764</c:v>
                </c:pt>
                <c:pt idx="75">
                  <c:v>0.71995314500000007</c:v>
                </c:pt>
                <c:pt idx="76">
                  <c:v>0.70683878888888896</c:v>
                </c:pt>
                <c:pt idx="77">
                  <c:v>0.70629198444444441</c:v>
                </c:pt>
                <c:pt idx="78">
                  <c:v>0.68712143500000034</c:v>
                </c:pt>
                <c:pt idx="79">
                  <c:v>0.67562216666666641</c:v>
                </c:pt>
                <c:pt idx="80">
                  <c:v>0.72170280333333292</c:v>
                </c:pt>
                <c:pt idx="81">
                  <c:v>0.73295520055555552</c:v>
                </c:pt>
                <c:pt idx="82">
                  <c:v>0.7396884161111108</c:v>
                </c:pt>
                <c:pt idx="83">
                  <c:v>0.75220397333333311</c:v>
                </c:pt>
                <c:pt idx="84">
                  <c:v>0.7294039172222222</c:v>
                </c:pt>
                <c:pt idx="85">
                  <c:v>0.73631016277777717</c:v>
                </c:pt>
                <c:pt idx="86">
                  <c:v>0.72982275444444467</c:v>
                </c:pt>
                <c:pt idx="87">
                  <c:v>0.69464043444444445</c:v>
                </c:pt>
                <c:pt idx="88">
                  <c:v>0.702874982222222</c:v>
                </c:pt>
                <c:pt idx="89">
                  <c:v>0.69182624166666662</c:v>
                </c:pt>
                <c:pt idx="90">
                  <c:v>0.71022976666666671</c:v>
                </c:pt>
                <c:pt idx="91">
                  <c:v>0.72954410444444451</c:v>
                </c:pt>
                <c:pt idx="92">
                  <c:v>0.67179910944444454</c:v>
                </c:pt>
                <c:pt idx="93">
                  <c:v>0.65948274444444455</c:v>
                </c:pt>
                <c:pt idx="94">
                  <c:v>0.65649200722222179</c:v>
                </c:pt>
                <c:pt idx="95">
                  <c:v>0.65338308777777765</c:v>
                </c:pt>
                <c:pt idx="96">
                  <c:v>0.65108927111111092</c:v>
                </c:pt>
                <c:pt idx="97">
                  <c:v>0.65613009388888899</c:v>
                </c:pt>
                <c:pt idx="98">
                  <c:v>0.66232867166666676</c:v>
                </c:pt>
                <c:pt idx="99">
                  <c:v>0.6734360788888889</c:v>
                </c:pt>
                <c:pt idx="100">
                  <c:v>0.70234012499999998</c:v>
                </c:pt>
                <c:pt idx="101">
                  <c:v>0.69370838222222175</c:v>
                </c:pt>
                <c:pt idx="102">
                  <c:v>0.7010021483333333</c:v>
                </c:pt>
                <c:pt idx="103">
                  <c:v>0.70509603388888897</c:v>
                </c:pt>
                <c:pt idx="104">
                  <c:v>0.69770171944444426</c:v>
                </c:pt>
                <c:pt idx="105">
                  <c:v>0.69931288444444395</c:v>
                </c:pt>
                <c:pt idx="106">
                  <c:v>0.7225296888888888</c:v>
                </c:pt>
                <c:pt idx="107">
                  <c:v>0.73839461833333309</c:v>
                </c:pt>
                <c:pt idx="108">
                  <c:v>0.72983193444444439</c:v>
                </c:pt>
                <c:pt idx="109">
                  <c:v>0.74249173166666693</c:v>
                </c:pt>
                <c:pt idx="110">
                  <c:v>0.73312574944444409</c:v>
                </c:pt>
                <c:pt idx="111">
                  <c:v>0.71200958222222233</c:v>
                </c:pt>
                <c:pt idx="112">
                  <c:v>0.7125607216666664</c:v>
                </c:pt>
                <c:pt idx="113">
                  <c:v>0.71369779611111095</c:v>
                </c:pt>
                <c:pt idx="114">
                  <c:v>0.75619986611111079</c:v>
                </c:pt>
                <c:pt idx="115">
                  <c:v>0.772860296666667</c:v>
                </c:pt>
                <c:pt idx="116">
                  <c:v>0.74930381111111088</c:v>
                </c:pt>
                <c:pt idx="117">
                  <c:v>0.75317608722222207</c:v>
                </c:pt>
                <c:pt idx="118">
                  <c:v>0.74926641722222176</c:v>
                </c:pt>
                <c:pt idx="119">
                  <c:v>0.75874833555555532</c:v>
                </c:pt>
                <c:pt idx="120">
                  <c:v>0.75071652666666644</c:v>
                </c:pt>
                <c:pt idx="121">
                  <c:v>0.78615570333333318</c:v>
                </c:pt>
                <c:pt idx="122">
                  <c:v>0.76248115055555532</c:v>
                </c:pt>
                <c:pt idx="123">
                  <c:v>0.76965256555555606</c:v>
                </c:pt>
                <c:pt idx="124">
                  <c:v>0.77430054166666618</c:v>
                </c:pt>
                <c:pt idx="125">
                  <c:v>0.76538710888888883</c:v>
                </c:pt>
                <c:pt idx="126">
                  <c:v>0.75267019666666657</c:v>
                </c:pt>
                <c:pt idx="127">
                  <c:v>0.77710136888888881</c:v>
                </c:pt>
                <c:pt idx="128">
                  <c:v>0.76491357333333321</c:v>
                </c:pt>
                <c:pt idx="129">
                  <c:v>0.75908366111111114</c:v>
                </c:pt>
                <c:pt idx="130">
                  <c:v>0.78755062611111071</c:v>
                </c:pt>
                <c:pt idx="131">
                  <c:v>0.79747548166666637</c:v>
                </c:pt>
                <c:pt idx="132">
                  <c:v>0.8078576799999998</c:v>
                </c:pt>
                <c:pt idx="133">
                  <c:v>0.81690427722222192</c:v>
                </c:pt>
                <c:pt idx="134">
                  <c:v>0.80308611777777761</c:v>
                </c:pt>
                <c:pt idx="135">
                  <c:v>0.78849911888888891</c:v>
                </c:pt>
                <c:pt idx="136">
                  <c:v>0.78987470166666629</c:v>
                </c:pt>
                <c:pt idx="137">
                  <c:v>0.78978634111111079</c:v>
                </c:pt>
                <c:pt idx="138">
                  <c:v>0.81523276666666666</c:v>
                </c:pt>
                <c:pt idx="139">
                  <c:v>0.81391204777777781</c:v>
                </c:pt>
                <c:pt idx="140">
                  <c:v>0.80519976166666674</c:v>
                </c:pt>
                <c:pt idx="141">
                  <c:v>0.79754091611111111</c:v>
                </c:pt>
                <c:pt idx="142">
                  <c:v>0.7897507194444443</c:v>
                </c:pt>
                <c:pt idx="143">
                  <c:v>0.76756878388888916</c:v>
                </c:pt>
                <c:pt idx="144">
                  <c:v>0.76658220555555578</c:v>
                </c:pt>
                <c:pt idx="145">
                  <c:v>0.76776621277777723</c:v>
                </c:pt>
                <c:pt idx="146">
                  <c:v>0.77418868166666654</c:v>
                </c:pt>
                <c:pt idx="147">
                  <c:v>0.77003557777777742</c:v>
                </c:pt>
                <c:pt idx="148">
                  <c:v>0.76495464277777747</c:v>
                </c:pt>
                <c:pt idx="149">
                  <c:v>0.76865903055555529</c:v>
                </c:pt>
                <c:pt idx="150">
                  <c:v>0.76900157611111108</c:v>
                </c:pt>
                <c:pt idx="151">
                  <c:v>0.77363801833333246</c:v>
                </c:pt>
                <c:pt idx="152">
                  <c:v>0.80817465555555523</c:v>
                </c:pt>
                <c:pt idx="153">
                  <c:v>0.79400818444444421</c:v>
                </c:pt>
                <c:pt idx="154">
                  <c:v>0.79549633500000039</c:v>
                </c:pt>
                <c:pt idx="155">
                  <c:v>0.79961066611111098</c:v>
                </c:pt>
                <c:pt idx="156">
                  <c:v>0.80069182611111078</c:v>
                </c:pt>
                <c:pt idx="157">
                  <c:v>0.78712970222222189</c:v>
                </c:pt>
                <c:pt idx="158">
                  <c:v>0.77961862388888892</c:v>
                </c:pt>
                <c:pt idx="159">
                  <c:v>0.77013005000000101</c:v>
                </c:pt>
                <c:pt idx="160">
                  <c:v>0.76297381944444409</c:v>
                </c:pt>
                <c:pt idx="161">
                  <c:v>0.76976245999999993</c:v>
                </c:pt>
                <c:pt idx="162">
                  <c:v>0.76931603666666704</c:v>
                </c:pt>
                <c:pt idx="163">
                  <c:v>0.75631281166666664</c:v>
                </c:pt>
                <c:pt idx="164">
                  <c:v>0.77019644444444446</c:v>
                </c:pt>
                <c:pt idx="165">
                  <c:v>0.78194527388888857</c:v>
                </c:pt>
                <c:pt idx="166">
                  <c:v>0.77974924777777777</c:v>
                </c:pt>
                <c:pt idx="167">
                  <c:v>0.78465019166666627</c:v>
                </c:pt>
                <c:pt idx="168">
                  <c:v>0.76815364111111128</c:v>
                </c:pt>
                <c:pt idx="169">
                  <c:v>0.78422898722222267</c:v>
                </c:pt>
                <c:pt idx="170">
                  <c:v>0.79217122500000003</c:v>
                </c:pt>
                <c:pt idx="171">
                  <c:v>0.78476960888888847</c:v>
                </c:pt>
                <c:pt idx="172">
                  <c:v>0.78203212944444445</c:v>
                </c:pt>
                <c:pt idx="173">
                  <c:v>0.78432564777777836</c:v>
                </c:pt>
                <c:pt idx="174">
                  <c:v>0.79060086277777797</c:v>
                </c:pt>
                <c:pt idx="175">
                  <c:v>0.78481734166666683</c:v>
                </c:pt>
                <c:pt idx="176">
                  <c:v>0.78428460111111109</c:v>
                </c:pt>
                <c:pt idx="177">
                  <c:v>0.77937008277777808</c:v>
                </c:pt>
                <c:pt idx="178">
                  <c:v>0.76523896166666661</c:v>
                </c:pt>
                <c:pt idx="179">
                  <c:v>0.7637620488888891</c:v>
                </c:pt>
                <c:pt idx="180">
                  <c:v>0.77945275999999952</c:v>
                </c:pt>
                <c:pt idx="181">
                  <c:v>0.79084484666666688</c:v>
                </c:pt>
                <c:pt idx="182">
                  <c:v>0.7774635777777773</c:v>
                </c:pt>
                <c:pt idx="183">
                  <c:v>0.76779264888888854</c:v>
                </c:pt>
                <c:pt idx="184">
                  <c:v>0.80998529722222212</c:v>
                </c:pt>
                <c:pt idx="185">
                  <c:v>0.79020592666666678</c:v>
                </c:pt>
                <c:pt idx="186">
                  <c:v>0.79199802777777706</c:v>
                </c:pt>
                <c:pt idx="187">
                  <c:v>0.79193688166666654</c:v>
                </c:pt>
                <c:pt idx="188">
                  <c:v>0.78811040555555578</c:v>
                </c:pt>
                <c:pt idx="189">
                  <c:v>0.80783543666666624</c:v>
                </c:pt>
                <c:pt idx="190">
                  <c:v>0.80630988444444485</c:v>
                </c:pt>
                <c:pt idx="191">
                  <c:v>0.81881071000000039</c:v>
                </c:pt>
                <c:pt idx="192">
                  <c:v>0.81606995333333365</c:v>
                </c:pt>
                <c:pt idx="193">
                  <c:v>0.83209560611111066</c:v>
                </c:pt>
                <c:pt idx="194">
                  <c:v>0.83166347222222192</c:v>
                </c:pt>
                <c:pt idx="195">
                  <c:v>0.83430476333333292</c:v>
                </c:pt>
                <c:pt idx="196">
                  <c:v>0.82176937722222221</c:v>
                </c:pt>
                <c:pt idx="197">
                  <c:v>0.7821837822222224</c:v>
                </c:pt>
                <c:pt idx="198">
                  <c:v>0.77626945333333308</c:v>
                </c:pt>
                <c:pt idx="199">
                  <c:v>0.76945921166666686</c:v>
                </c:pt>
                <c:pt idx="200">
                  <c:v>0.74999812500000063</c:v>
                </c:pt>
                <c:pt idx="201">
                  <c:v>0.7429470588888889</c:v>
                </c:pt>
                <c:pt idx="202">
                  <c:v>0.75142016444444437</c:v>
                </c:pt>
                <c:pt idx="203">
                  <c:v>0.77043555722222234</c:v>
                </c:pt>
                <c:pt idx="204">
                  <c:v>0.76000056499999968</c:v>
                </c:pt>
                <c:pt idx="205">
                  <c:v>0.76061005333333376</c:v>
                </c:pt>
                <c:pt idx="206">
                  <c:v>0.74481271333333343</c:v>
                </c:pt>
                <c:pt idx="207">
                  <c:v>0.7488980983333331</c:v>
                </c:pt>
                <c:pt idx="208">
                  <c:v>0.74419544277777827</c:v>
                </c:pt>
                <c:pt idx="209">
                  <c:v>0.75325243333333314</c:v>
                </c:pt>
                <c:pt idx="210">
                  <c:v>0.74702387388888924</c:v>
                </c:pt>
                <c:pt idx="211">
                  <c:v>0.74482784611111064</c:v>
                </c:pt>
                <c:pt idx="212">
                  <c:v>0.73431120611111145</c:v>
                </c:pt>
                <c:pt idx="213">
                  <c:v>0.717976701111111</c:v>
                </c:pt>
                <c:pt idx="214">
                  <c:v>0.72391113944444441</c:v>
                </c:pt>
                <c:pt idx="215">
                  <c:v>0.71212910833333387</c:v>
                </c:pt>
                <c:pt idx="216">
                  <c:v>0.6969822144444443</c:v>
                </c:pt>
                <c:pt idx="217">
                  <c:v>0.70276337722222226</c:v>
                </c:pt>
                <c:pt idx="218">
                  <c:v>0.69854930277777805</c:v>
                </c:pt>
                <c:pt idx="219">
                  <c:v>0.7012324916666669</c:v>
                </c:pt>
                <c:pt idx="220">
                  <c:v>0.69606500277777772</c:v>
                </c:pt>
                <c:pt idx="221">
                  <c:v>0.69703370499999984</c:v>
                </c:pt>
                <c:pt idx="222">
                  <c:v>0.69486449888888879</c:v>
                </c:pt>
                <c:pt idx="223">
                  <c:v>0.71805293722222241</c:v>
                </c:pt>
                <c:pt idx="224">
                  <c:v>0.72991127666666666</c:v>
                </c:pt>
                <c:pt idx="225">
                  <c:v>0.72270490999999981</c:v>
                </c:pt>
                <c:pt idx="226">
                  <c:v>0.70260785055555575</c:v>
                </c:pt>
                <c:pt idx="227">
                  <c:v>0.71256538277777781</c:v>
                </c:pt>
                <c:pt idx="228">
                  <c:v>0.70097725777777786</c:v>
                </c:pt>
                <c:pt idx="229">
                  <c:v>0.70927040111111117</c:v>
                </c:pt>
                <c:pt idx="230">
                  <c:v>0.71162522222222224</c:v>
                </c:pt>
                <c:pt idx="231">
                  <c:v>0.71050813999999995</c:v>
                </c:pt>
                <c:pt idx="232">
                  <c:v>0.70062572333333328</c:v>
                </c:pt>
                <c:pt idx="233">
                  <c:v>0.69904220777777815</c:v>
                </c:pt>
                <c:pt idx="234">
                  <c:v>0.68799654666666654</c:v>
                </c:pt>
                <c:pt idx="235">
                  <c:v>0.69750322944444421</c:v>
                </c:pt>
                <c:pt idx="236">
                  <c:v>0.70210609555555559</c:v>
                </c:pt>
                <c:pt idx="237">
                  <c:v>0.71059108166666651</c:v>
                </c:pt>
                <c:pt idx="238">
                  <c:v>0.70310354277777787</c:v>
                </c:pt>
                <c:pt idx="239">
                  <c:v>0.70662560055555546</c:v>
                </c:pt>
                <c:pt idx="240">
                  <c:v>0.70344323888888871</c:v>
                </c:pt>
                <c:pt idx="241">
                  <c:v>0.70534487555555547</c:v>
                </c:pt>
                <c:pt idx="242">
                  <c:v>0.71378383722222227</c:v>
                </c:pt>
                <c:pt idx="243">
                  <c:v>0.72030483666666656</c:v>
                </c:pt>
                <c:pt idx="244">
                  <c:v>0.72111000333333353</c:v>
                </c:pt>
                <c:pt idx="245">
                  <c:v>0.72811942444444411</c:v>
                </c:pt>
                <c:pt idx="246">
                  <c:v>0.74087186555555551</c:v>
                </c:pt>
                <c:pt idx="247">
                  <c:v>0.75000142611111065</c:v>
                </c:pt>
                <c:pt idx="248">
                  <c:v>0.7485368666666673</c:v>
                </c:pt>
                <c:pt idx="249">
                  <c:v>0.76074370000000024</c:v>
                </c:pt>
                <c:pt idx="250">
                  <c:v>0.77010353277777788</c:v>
                </c:pt>
                <c:pt idx="251">
                  <c:v>0.76292539722222197</c:v>
                </c:pt>
                <c:pt idx="252">
                  <c:v>0.76952462611111094</c:v>
                </c:pt>
                <c:pt idx="253">
                  <c:v>0.79917209666666655</c:v>
                </c:pt>
                <c:pt idx="254">
                  <c:v>0.79840022833333324</c:v>
                </c:pt>
                <c:pt idx="255">
                  <c:v>0.78673171555555499</c:v>
                </c:pt>
                <c:pt idx="256">
                  <c:v>0.79268709222222178</c:v>
                </c:pt>
                <c:pt idx="257">
                  <c:v>0.79226698055555544</c:v>
                </c:pt>
                <c:pt idx="258">
                  <c:v>0.79706938111111114</c:v>
                </c:pt>
                <c:pt idx="259">
                  <c:v>0.80863869055555548</c:v>
                </c:pt>
                <c:pt idx="260">
                  <c:v>0.81504639944444413</c:v>
                </c:pt>
                <c:pt idx="261">
                  <c:v>0.79653073055555557</c:v>
                </c:pt>
                <c:pt idx="262">
                  <c:v>0.81259670388888849</c:v>
                </c:pt>
                <c:pt idx="263">
                  <c:v>0.8231537155555555</c:v>
                </c:pt>
                <c:pt idx="264">
                  <c:v>0.80954877611111076</c:v>
                </c:pt>
                <c:pt idx="265">
                  <c:v>0.8013037850000001</c:v>
                </c:pt>
                <c:pt idx="266">
                  <c:v>0.80759107222222215</c:v>
                </c:pt>
                <c:pt idx="267">
                  <c:v>0.81088523388888889</c:v>
                </c:pt>
                <c:pt idx="268">
                  <c:v>0.85626544111111069</c:v>
                </c:pt>
                <c:pt idx="269">
                  <c:v>0.84483214555555541</c:v>
                </c:pt>
                <c:pt idx="270">
                  <c:v>0.80584922888888888</c:v>
                </c:pt>
                <c:pt idx="271">
                  <c:v>0.80472134722222233</c:v>
                </c:pt>
                <c:pt idx="272">
                  <c:v>0.80009913833333302</c:v>
                </c:pt>
                <c:pt idx="273">
                  <c:v>0.79845170611111094</c:v>
                </c:pt>
                <c:pt idx="274">
                  <c:v>0.80557128111111098</c:v>
                </c:pt>
                <c:pt idx="275">
                  <c:v>0.79887502444444425</c:v>
                </c:pt>
                <c:pt idx="276">
                  <c:v>0.7993615166666671</c:v>
                </c:pt>
                <c:pt idx="277">
                  <c:v>0.80252662888888882</c:v>
                </c:pt>
                <c:pt idx="278">
                  <c:v>0.80570848499999981</c:v>
                </c:pt>
                <c:pt idx="279">
                  <c:v>0.79677618555555574</c:v>
                </c:pt>
                <c:pt idx="280">
                  <c:v>0.80167331277777765</c:v>
                </c:pt>
                <c:pt idx="281">
                  <c:v>0.78508255611111111</c:v>
                </c:pt>
                <c:pt idx="282">
                  <c:v>0.79198175055555531</c:v>
                </c:pt>
                <c:pt idx="283">
                  <c:v>0.78023378333333315</c:v>
                </c:pt>
                <c:pt idx="284">
                  <c:v>0.77573465722222257</c:v>
                </c:pt>
                <c:pt idx="285">
                  <c:v>0.79341557444444455</c:v>
                </c:pt>
                <c:pt idx="286">
                  <c:v>0.78366638444444414</c:v>
                </c:pt>
                <c:pt idx="287">
                  <c:v>0.76246807888888846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75B-440B-A916-22E9E3FCE351}"/>
            </c:ext>
          </c:extLst>
        </c:ser>
        <c:ser>
          <c:idx val="5"/>
          <c:order val="5"/>
          <c:tx>
            <c:v>99% (нижняя)</c:v>
          </c:tx>
          <c:spPr>
            <a:ln w="9525">
              <a:solidFill>
                <a:srgbClr val="C0C9E2"/>
              </a:solidFill>
              <a:prstDash val="solid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Данные!$BJ$2:$BJ$289</c:f>
              <c:numCache>
                <c:formatCode>General</c:formatCode>
                <c:ptCount val="288"/>
                <c:pt idx="0">
                  <c:v>-1.2363834199999999</c:v>
                </c:pt>
                <c:pt idx="1">
                  <c:v>-1.2409836338333335</c:v>
                </c:pt>
                <c:pt idx="2">
                  <c:v>-1.2301015277777778</c:v>
                </c:pt>
                <c:pt idx="3">
                  <c:v>-1.2344863819444445</c:v>
                </c:pt>
                <c:pt idx="4">
                  <c:v>-1.2286689640555557</c:v>
                </c:pt>
                <c:pt idx="5">
                  <c:v>-1.227743218111111</c:v>
                </c:pt>
                <c:pt idx="6">
                  <c:v>-1.2189316875</c:v>
                </c:pt>
                <c:pt idx="7">
                  <c:v>-1.220030935</c:v>
                </c:pt>
                <c:pt idx="8">
                  <c:v>-1.2069995634999999</c:v>
                </c:pt>
                <c:pt idx="9">
                  <c:v>-1.2134210501111111</c:v>
                </c:pt>
                <c:pt idx="10">
                  <c:v>-1.2123268711111113</c:v>
                </c:pt>
                <c:pt idx="11">
                  <c:v>-1.2147265943333334</c:v>
                </c:pt>
                <c:pt idx="12">
                  <c:v>-1.2187088355555555</c:v>
                </c:pt>
                <c:pt idx="13">
                  <c:v>-1.2217533880555556</c:v>
                </c:pt>
                <c:pt idx="14">
                  <c:v>-1.2179796496666668</c:v>
                </c:pt>
                <c:pt idx="15">
                  <c:v>-1.2190705595555555</c:v>
                </c:pt>
                <c:pt idx="16">
                  <c:v>-1.2193174645555556</c:v>
                </c:pt>
                <c:pt idx="17">
                  <c:v>-1.205779927</c:v>
                </c:pt>
                <c:pt idx="18">
                  <c:v>-1.2168168635555556</c:v>
                </c:pt>
                <c:pt idx="19">
                  <c:v>-1.2205780384444445</c:v>
                </c:pt>
                <c:pt idx="20">
                  <c:v>-1.2242101803333332</c:v>
                </c:pt>
                <c:pt idx="21">
                  <c:v>-1.2241493080000001</c:v>
                </c:pt>
                <c:pt idx="22">
                  <c:v>-1.2266490145555558</c:v>
                </c:pt>
                <c:pt idx="23">
                  <c:v>-1.228165086</c:v>
                </c:pt>
                <c:pt idx="24">
                  <c:v>-1.2265725836666668</c:v>
                </c:pt>
                <c:pt idx="25">
                  <c:v>-1.2285928690000001</c:v>
                </c:pt>
                <c:pt idx="26">
                  <c:v>-1.2204234938333336</c:v>
                </c:pt>
                <c:pt idx="27">
                  <c:v>-1.2245609657222223</c:v>
                </c:pt>
                <c:pt idx="28">
                  <c:v>-1.2239032502222222</c:v>
                </c:pt>
                <c:pt idx="29">
                  <c:v>-1.2181608453333332</c:v>
                </c:pt>
                <c:pt idx="30">
                  <c:v>-1.2270671181666666</c:v>
                </c:pt>
                <c:pt idx="31">
                  <c:v>-1.223761233388889</c:v>
                </c:pt>
                <c:pt idx="32">
                  <c:v>-1.2295731194999999</c:v>
                </c:pt>
                <c:pt idx="33">
                  <c:v>-1.2258961938333333</c:v>
                </c:pt>
                <c:pt idx="34">
                  <c:v>-1.2230901288888889</c:v>
                </c:pt>
                <c:pt idx="35">
                  <c:v>-1.225991351</c:v>
                </c:pt>
                <c:pt idx="36">
                  <c:v>-1.220236413388889</c:v>
                </c:pt>
                <c:pt idx="37">
                  <c:v>-1.2205825263888888</c:v>
                </c:pt>
                <c:pt idx="38">
                  <c:v>-1.2254201596666667</c:v>
                </c:pt>
                <c:pt idx="39">
                  <c:v>-1.223205807</c:v>
                </c:pt>
                <c:pt idx="40">
                  <c:v>-1.2202138848333335</c:v>
                </c:pt>
                <c:pt idx="41">
                  <c:v>-1.2232742336111111</c:v>
                </c:pt>
                <c:pt idx="42">
                  <c:v>-1.2173087190555556</c:v>
                </c:pt>
                <c:pt idx="43">
                  <c:v>-1.2200786725555557</c:v>
                </c:pt>
                <c:pt idx="44">
                  <c:v>-1.2202572873888888</c:v>
                </c:pt>
                <c:pt idx="45">
                  <c:v>-1.2177453653333332</c:v>
                </c:pt>
                <c:pt idx="46">
                  <c:v>-1.2237065053333331</c:v>
                </c:pt>
                <c:pt idx="47">
                  <c:v>-1.2268979856111111</c:v>
                </c:pt>
                <c:pt idx="48">
                  <c:v>-1.2205560356111111</c:v>
                </c:pt>
                <c:pt idx="49">
                  <c:v>-1.2270532291111111</c:v>
                </c:pt>
                <c:pt idx="50">
                  <c:v>-1.2322514015000001</c:v>
                </c:pt>
                <c:pt idx="51">
                  <c:v>-1.2277179794444444</c:v>
                </c:pt>
                <c:pt idx="52">
                  <c:v>-1.2330298431111111</c:v>
                </c:pt>
                <c:pt idx="53">
                  <c:v>-1.231584432</c:v>
                </c:pt>
                <c:pt idx="54">
                  <c:v>-1.2267674990000002</c:v>
                </c:pt>
                <c:pt idx="55">
                  <c:v>-1.2219395156111112</c:v>
                </c:pt>
                <c:pt idx="56">
                  <c:v>-1.2275144011666665</c:v>
                </c:pt>
                <c:pt idx="57">
                  <c:v>-1.2226935662777778</c:v>
                </c:pt>
                <c:pt idx="58">
                  <c:v>-1.2202260408333334</c:v>
                </c:pt>
                <c:pt idx="59">
                  <c:v>-1.2222246465</c:v>
                </c:pt>
                <c:pt idx="60">
                  <c:v>-1.2252595421111112</c:v>
                </c:pt>
                <c:pt idx="61">
                  <c:v>-1.2336790137222222</c:v>
                </c:pt>
                <c:pt idx="62">
                  <c:v>-1.2197054854444445</c:v>
                </c:pt>
                <c:pt idx="63">
                  <c:v>-1.2202302576111113</c:v>
                </c:pt>
                <c:pt idx="64">
                  <c:v>-1.2245116123333333</c:v>
                </c:pt>
                <c:pt idx="65">
                  <c:v>-1.2205886745555556</c:v>
                </c:pt>
                <c:pt idx="66">
                  <c:v>-1.2221578742777779</c:v>
                </c:pt>
                <c:pt idx="67">
                  <c:v>-1.2223064195555555</c:v>
                </c:pt>
                <c:pt idx="68">
                  <c:v>-1.2191525075555556</c:v>
                </c:pt>
                <c:pt idx="69">
                  <c:v>-1.2208823689444444</c:v>
                </c:pt>
                <c:pt idx="70">
                  <c:v>-1.2221850526111113</c:v>
                </c:pt>
                <c:pt idx="71">
                  <c:v>-1.2334498294444445</c:v>
                </c:pt>
                <c:pt idx="72">
                  <c:v>-1.238502256888889</c:v>
                </c:pt>
                <c:pt idx="73">
                  <c:v>-1.2358653232222223</c:v>
                </c:pt>
                <c:pt idx="74">
                  <c:v>-1.229968007611111</c:v>
                </c:pt>
                <c:pt idx="75">
                  <c:v>-1.2403732433333332</c:v>
                </c:pt>
                <c:pt idx="76">
                  <c:v>-1.2401808167777777</c:v>
                </c:pt>
                <c:pt idx="77">
                  <c:v>-1.235298487388889</c:v>
                </c:pt>
                <c:pt idx="78">
                  <c:v>-1.2265451490000001</c:v>
                </c:pt>
                <c:pt idx="79">
                  <c:v>-1.2319724080000001</c:v>
                </c:pt>
                <c:pt idx="80">
                  <c:v>-1.2303689591111111</c:v>
                </c:pt>
                <c:pt idx="81">
                  <c:v>-1.2267977699444446</c:v>
                </c:pt>
                <c:pt idx="82">
                  <c:v>-1.225944683388889</c:v>
                </c:pt>
                <c:pt idx="83">
                  <c:v>-1.2323909681111112</c:v>
                </c:pt>
                <c:pt idx="84">
                  <c:v>-1.2318535092222223</c:v>
                </c:pt>
                <c:pt idx="85">
                  <c:v>-1.2308624103333334</c:v>
                </c:pt>
                <c:pt idx="86">
                  <c:v>-1.2247347838888887</c:v>
                </c:pt>
                <c:pt idx="87">
                  <c:v>-1.2199066991111112</c:v>
                </c:pt>
                <c:pt idx="88">
                  <c:v>-1.2269983827777777</c:v>
                </c:pt>
                <c:pt idx="89">
                  <c:v>-1.2247510153888888</c:v>
                </c:pt>
                <c:pt idx="90">
                  <c:v>-1.2288475485555557</c:v>
                </c:pt>
                <c:pt idx="91">
                  <c:v>-1.231355820111111</c:v>
                </c:pt>
                <c:pt idx="92">
                  <c:v>-1.239104930388889</c:v>
                </c:pt>
                <c:pt idx="93">
                  <c:v>-1.2485837224444445</c:v>
                </c:pt>
                <c:pt idx="94">
                  <c:v>-1.2450493290555555</c:v>
                </c:pt>
                <c:pt idx="95">
                  <c:v>-1.2467988299999999</c:v>
                </c:pt>
                <c:pt idx="96">
                  <c:v>-1.2424154799444445</c:v>
                </c:pt>
                <c:pt idx="97">
                  <c:v>-1.2401871359444445</c:v>
                </c:pt>
                <c:pt idx="98">
                  <c:v>-1.2367702520555557</c:v>
                </c:pt>
                <c:pt idx="99">
                  <c:v>-1.2358242593333335</c:v>
                </c:pt>
                <c:pt idx="100">
                  <c:v>-1.2396448824444444</c:v>
                </c:pt>
                <c:pt idx="101">
                  <c:v>-1.2429568832777778</c:v>
                </c:pt>
                <c:pt idx="102">
                  <c:v>-1.2510210086666667</c:v>
                </c:pt>
                <c:pt idx="103">
                  <c:v>-1.2495945035555553</c:v>
                </c:pt>
                <c:pt idx="104">
                  <c:v>-1.2485663056666667</c:v>
                </c:pt>
                <c:pt idx="105">
                  <c:v>-1.2474186376111112</c:v>
                </c:pt>
                <c:pt idx="106">
                  <c:v>-1.2437990836666666</c:v>
                </c:pt>
                <c:pt idx="107">
                  <c:v>-1.2416478682222223</c:v>
                </c:pt>
                <c:pt idx="108">
                  <c:v>-1.2670709125555555</c:v>
                </c:pt>
                <c:pt idx="109">
                  <c:v>-1.3031231988888889</c:v>
                </c:pt>
                <c:pt idx="110">
                  <c:v>-1.3152896413333333</c:v>
                </c:pt>
                <c:pt idx="111">
                  <c:v>-1.3132845289444444</c:v>
                </c:pt>
                <c:pt idx="112">
                  <c:v>-1.3209766200555557</c:v>
                </c:pt>
                <c:pt idx="113">
                  <c:v>-1.3094644668888888</c:v>
                </c:pt>
                <c:pt idx="114">
                  <c:v>-1.3130324300555554</c:v>
                </c:pt>
                <c:pt idx="115">
                  <c:v>-1.3168018755555555</c:v>
                </c:pt>
                <c:pt idx="116">
                  <c:v>-1.3100519011666667</c:v>
                </c:pt>
                <c:pt idx="117">
                  <c:v>-1.3009729042777778</c:v>
                </c:pt>
                <c:pt idx="118">
                  <c:v>-1.2846595893888888</c:v>
                </c:pt>
                <c:pt idx="119">
                  <c:v>-1.2959186908888889</c:v>
                </c:pt>
                <c:pt idx="120">
                  <c:v>-1.2934790322777778</c:v>
                </c:pt>
                <c:pt idx="121">
                  <c:v>-1.2960809523333334</c:v>
                </c:pt>
                <c:pt idx="122">
                  <c:v>-1.2727990944999998</c:v>
                </c:pt>
                <c:pt idx="123">
                  <c:v>-1.2778408480000001</c:v>
                </c:pt>
                <c:pt idx="124">
                  <c:v>-1.2720377422222222</c:v>
                </c:pt>
                <c:pt idx="125">
                  <c:v>-1.2684375928888889</c:v>
                </c:pt>
                <c:pt idx="126">
                  <c:v>-1.2716163454444445</c:v>
                </c:pt>
                <c:pt idx="127">
                  <c:v>-1.2642314755000001</c:v>
                </c:pt>
                <c:pt idx="128">
                  <c:v>-1.2081531653333335</c:v>
                </c:pt>
                <c:pt idx="129">
                  <c:v>-1.1512567696111111</c:v>
                </c:pt>
                <c:pt idx="130">
                  <c:v>-1.1481523431111111</c:v>
                </c:pt>
                <c:pt idx="131">
                  <c:v>-1.1451664696666668</c:v>
                </c:pt>
                <c:pt idx="132">
                  <c:v>-1.148699114</c:v>
                </c:pt>
                <c:pt idx="133">
                  <c:v>-1.1488716590000001</c:v>
                </c:pt>
                <c:pt idx="134">
                  <c:v>-1.1382789031666667</c:v>
                </c:pt>
                <c:pt idx="135">
                  <c:v>-1.1424170697777778</c:v>
                </c:pt>
                <c:pt idx="136">
                  <c:v>-1.1079003687222224</c:v>
                </c:pt>
                <c:pt idx="137">
                  <c:v>-1.002211216611111</c:v>
                </c:pt>
                <c:pt idx="138">
                  <c:v>-0.8262317703333335</c:v>
                </c:pt>
                <c:pt idx="139">
                  <c:v>-0.91430910183333347</c:v>
                </c:pt>
                <c:pt idx="140">
                  <c:v>-0.91083939338888875</c:v>
                </c:pt>
                <c:pt idx="141">
                  <c:v>-0.87150521416666671</c:v>
                </c:pt>
                <c:pt idx="142">
                  <c:v>-0.87048022744444431</c:v>
                </c:pt>
                <c:pt idx="143">
                  <c:v>-0.87743978699999992</c:v>
                </c:pt>
                <c:pt idx="144">
                  <c:v>-0.86543287672222236</c:v>
                </c:pt>
                <c:pt idx="145">
                  <c:v>-0.86530179672222218</c:v>
                </c:pt>
                <c:pt idx="146">
                  <c:v>-0.86440937433333331</c:v>
                </c:pt>
                <c:pt idx="147">
                  <c:v>-0.86039503661111094</c:v>
                </c:pt>
                <c:pt idx="148">
                  <c:v>-0.92030337016666663</c:v>
                </c:pt>
                <c:pt idx="149">
                  <c:v>-0.92282868355555547</c:v>
                </c:pt>
                <c:pt idx="150">
                  <c:v>-0.90816579583333346</c:v>
                </c:pt>
                <c:pt idx="151">
                  <c:v>-0.90975263761111103</c:v>
                </c:pt>
                <c:pt idx="152">
                  <c:v>-0.92359770511111117</c:v>
                </c:pt>
                <c:pt idx="153">
                  <c:v>-0.94812661755555561</c:v>
                </c:pt>
                <c:pt idx="154">
                  <c:v>-0.95087125983333332</c:v>
                </c:pt>
                <c:pt idx="155">
                  <c:v>-0.96099685888888897</c:v>
                </c:pt>
                <c:pt idx="156">
                  <c:v>-0.96205912633333357</c:v>
                </c:pt>
                <c:pt idx="157">
                  <c:v>-0.95969050511111098</c:v>
                </c:pt>
                <c:pt idx="158">
                  <c:v>-0.96991160588888892</c:v>
                </c:pt>
                <c:pt idx="159">
                  <c:v>-0.96457090183333338</c:v>
                </c:pt>
                <c:pt idx="160">
                  <c:v>-0.95386412988888891</c:v>
                </c:pt>
                <c:pt idx="161">
                  <c:v>-0.9705147927222223</c:v>
                </c:pt>
                <c:pt idx="162">
                  <c:v>-0.97826308900000014</c:v>
                </c:pt>
                <c:pt idx="163">
                  <c:v>-0.97763874599999989</c:v>
                </c:pt>
                <c:pt idx="164">
                  <c:v>-0.99928003744444449</c:v>
                </c:pt>
                <c:pt idx="165">
                  <c:v>-0.99283472488888891</c:v>
                </c:pt>
                <c:pt idx="166">
                  <c:v>-0.99538427399999996</c:v>
                </c:pt>
                <c:pt idx="167">
                  <c:v>-0.96688397016666661</c:v>
                </c:pt>
                <c:pt idx="168">
                  <c:v>-0.95536599816666679</c:v>
                </c:pt>
                <c:pt idx="169">
                  <c:v>-0.95093968111111116</c:v>
                </c:pt>
                <c:pt idx="170">
                  <c:v>-0.95418434005555552</c:v>
                </c:pt>
                <c:pt idx="171">
                  <c:v>-0.94679215277777784</c:v>
                </c:pt>
                <c:pt idx="172">
                  <c:v>-0.94851523588888886</c:v>
                </c:pt>
                <c:pt idx="173">
                  <c:v>-0.95353922611111119</c:v>
                </c:pt>
                <c:pt idx="174">
                  <c:v>-0.95189086077777774</c:v>
                </c:pt>
                <c:pt idx="175">
                  <c:v>-0.90256987488888896</c:v>
                </c:pt>
                <c:pt idx="176">
                  <c:v>-0.60528562144444431</c:v>
                </c:pt>
                <c:pt idx="177">
                  <c:v>-0.57063518322222229</c:v>
                </c:pt>
                <c:pt idx="178">
                  <c:v>-0.5755777327777778</c:v>
                </c:pt>
                <c:pt idx="179">
                  <c:v>-0.65027588116666679</c:v>
                </c:pt>
                <c:pt idx="180">
                  <c:v>0.49333934399999996</c:v>
                </c:pt>
                <c:pt idx="181">
                  <c:v>0.50145144444444456</c:v>
                </c:pt>
                <c:pt idx="182">
                  <c:v>0.50046263444444417</c:v>
                </c:pt>
                <c:pt idx="183">
                  <c:v>0.49853616422222208</c:v>
                </c:pt>
                <c:pt idx="184">
                  <c:v>0.47655899705555566</c:v>
                </c:pt>
                <c:pt idx="185">
                  <c:v>0.47987531649999982</c:v>
                </c:pt>
                <c:pt idx="186">
                  <c:v>0.48138481088888846</c:v>
                </c:pt>
                <c:pt idx="187">
                  <c:v>0.49309117844444428</c:v>
                </c:pt>
                <c:pt idx="188">
                  <c:v>0.47155090266666716</c:v>
                </c:pt>
                <c:pt idx="189">
                  <c:v>0.46724544861111128</c:v>
                </c:pt>
                <c:pt idx="190">
                  <c:v>0.46820595649999996</c:v>
                </c:pt>
                <c:pt idx="191">
                  <c:v>0.46006662644444474</c:v>
                </c:pt>
                <c:pt idx="192">
                  <c:v>0.46407580022222222</c:v>
                </c:pt>
                <c:pt idx="193">
                  <c:v>0.46901807155555525</c:v>
                </c:pt>
                <c:pt idx="194">
                  <c:v>0.46844075911111094</c:v>
                </c:pt>
                <c:pt idx="195">
                  <c:v>0.46309904466666646</c:v>
                </c:pt>
                <c:pt idx="196">
                  <c:v>0.44937041750000029</c:v>
                </c:pt>
                <c:pt idx="197">
                  <c:v>0.43615204344444464</c:v>
                </c:pt>
                <c:pt idx="198">
                  <c:v>0.43699769111111103</c:v>
                </c:pt>
                <c:pt idx="199">
                  <c:v>0.46376426561111084</c:v>
                </c:pt>
                <c:pt idx="200">
                  <c:v>0.44916434349999995</c:v>
                </c:pt>
                <c:pt idx="201">
                  <c:v>0.46899186850000024</c:v>
                </c:pt>
                <c:pt idx="202">
                  <c:v>0.46108652127777805</c:v>
                </c:pt>
                <c:pt idx="203">
                  <c:v>0.44548936927777716</c:v>
                </c:pt>
                <c:pt idx="204">
                  <c:v>0.46694396261111132</c:v>
                </c:pt>
                <c:pt idx="205">
                  <c:v>0.49403460272222222</c:v>
                </c:pt>
                <c:pt idx="206">
                  <c:v>0.48213374894444433</c:v>
                </c:pt>
                <c:pt idx="207">
                  <c:v>0.46736788072222196</c:v>
                </c:pt>
                <c:pt idx="208">
                  <c:v>0.36621752133333363</c:v>
                </c:pt>
                <c:pt idx="209">
                  <c:v>-0.31313706444444445</c:v>
                </c:pt>
                <c:pt idx="210">
                  <c:v>-0.12936840622222251</c:v>
                </c:pt>
                <c:pt idx="211">
                  <c:v>7.0351725333333281E-2</c:v>
                </c:pt>
                <c:pt idx="212">
                  <c:v>0.10630170022222228</c:v>
                </c:pt>
                <c:pt idx="213">
                  <c:v>0.11782899311111122</c:v>
                </c:pt>
                <c:pt idx="214">
                  <c:v>0.15298295200000001</c:v>
                </c:pt>
                <c:pt idx="215">
                  <c:v>0.12224431455555562</c:v>
                </c:pt>
                <c:pt idx="216">
                  <c:v>0.13223247922222253</c:v>
                </c:pt>
                <c:pt idx="217">
                  <c:v>0.1299805268333333</c:v>
                </c:pt>
                <c:pt idx="218">
                  <c:v>-1.3322326592777778</c:v>
                </c:pt>
                <c:pt idx="219">
                  <c:v>-1.3591107237777778</c:v>
                </c:pt>
                <c:pt idx="220">
                  <c:v>-1.3729004085000001</c:v>
                </c:pt>
                <c:pt idx="221">
                  <c:v>-1.3761928532222221</c:v>
                </c:pt>
                <c:pt idx="222">
                  <c:v>-1.3783307964444445</c:v>
                </c:pt>
                <c:pt idx="223">
                  <c:v>-1.3800102906111111</c:v>
                </c:pt>
                <c:pt idx="224">
                  <c:v>-1.3779108886666667</c:v>
                </c:pt>
                <c:pt idx="225">
                  <c:v>-1.3746327881111111</c:v>
                </c:pt>
                <c:pt idx="226">
                  <c:v>-1.3804335407222224</c:v>
                </c:pt>
                <c:pt idx="227">
                  <c:v>-1.383269429388889</c:v>
                </c:pt>
                <c:pt idx="228">
                  <c:v>-1.3919947730555555</c:v>
                </c:pt>
                <c:pt idx="229">
                  <c:v>-1.3827313697222223</c:v>
                </c:pt>
                <c:pt idx="230">
                  <c:v>-1.395008613388889</c:v>
                </c:pt>
                <c:pt idx="231">
                  <c:v>-1.3955808862777777</c:v>
                </c:pt>
                <c:pt idx="232">
                  <c:v>-1.4076916854999999</c:v>
                </c:pt>
                <c:pt idx="233">
                  <c:v>-1.4065732346666666</c:v>
                </c:pt>
                <c:pt idx="234">
                  <c:v>-1.4314015265555553</c:v>
                </c:pt>
                <c:pt idx="235">
                  <c:v>-1.3914339306666668</c:v>
                </c:pt>
                <c:pt idx="236">
                  <c:v>-1.3994230310000002</c:v>
                </c:pt>
                <c:pt idx="237">
                  <c:v>-1.3832683934444445</c:v>
                </c:pt>
                <c:pt idx="238">
                  <c:v>-1.3401542369444446</c:v>
                </c:pt>
                <c:pt idx="239">
                  <c:v>-1.3396787188333334</c:v>
                </c:pt>
                <c:pt idx="240">
                  <c:v>-1.3261532735555557</c:v>
                </c:pt>
                <c:pt idx="241">
                  <c:v>-1.3218581583888886</c:v>
                </c:pt>
                <c:pt idx="242">
                  <c:v>-1.2473281329999999</c:v>
                </c:pt>
                <c:pt idx="243">
                  <c:v>-1.2081933360555555</c:v>
                </c:pt>
                <c:pt idx="244">
                  <c:v>-1.2011823502222223</c:v>
                </c:pt>
                <c:pt idx="245">
                  <c:v>-1.2226212179444444</c:v>
                </c:pt>
                <c:pt idx="246">
                  <c:v>-1.2723821182777777</c:v>
                </c:pt>
                <c:pt idx="247">
                  <c:v>-1.2676673617777776</c:v>
                </c:pt>
                <c:pt idx="248">
                  <c:v>-1.2676829977777777</c:v>
                </c:pt>
                <c:pt idx="249">
                  <c:v>-1.2655012622222224</c:v>
                </c:pt>
                <c:pt idx="250">
                  <c:v>-1.2644738805555555</c:v>
                </c:pt>
                <c:pt idx="251">
                  <c:v>-1.2640230594999999</c:v>
                </c:pt>
                <c:pt idx="252">
                  <c:v>-1.2736629677222222</c:v>
                </c:pt>
                <c:pt idx="253">
                  <c:v>-1.2642404657222224</c:v>
                </c:pt>
                <c:pt idx="254">
                  <c:v>-1.2594751543888889</c:v>
                </c:pt>
                <c:pt idx="255">
                  <c:v>-1.2566507813888887</c:v>
                </c:pt>
                <c:pt idx="256">
                  <c:v>-1.2421512102222223</c:v>
                </c:pt>
                <c:pt idx="257">
                  <c:v>-1.2341496605</c:v>
                </c:pt>
                <c:pt idx="258">
                  <c:v>-1.2264052882222223</c:v>
                </c:pt>
                <c:pt idx="259">
                  <c:v>-1.2260645037222222</c:v>
                </c:pt>
                <c:pt idx="260">
                  <c:v>-1.2202866590000001</c:v>
                </c:pt>
                <c:pt idx="261">
                  <c:v>-1.2268509890555555</c:v>
                </c:pt>
                <c:pt idx="262">
                  <c:v>-1.2200267887222223</c:v>
                </c:pt>
                <c:pt idx="263">
                  <c:v>-1.2232292390000001</c:v>
                </c:pt>
                <c:pt idx="264">
                  <c:v>-1.223822804388889</c:v>
                </c:pt>
                <c:pt idx="265">
                  <c:v>-1.2275602808333332</c:v>
                </c:pt>
                <c:pt idx="266">
                  <c:v>-1.224349871</c:v>
                </c:pt>
                <c:pt idx="267">
                  <c:v>-1.2249377374444446</c:v>
                </c:pt>
                <c:pt idx="268">
                  <c:v>-1.2281092333333332</c:v>
                </c:pt>
                <c:pt idx="269">
                  <c:v>-1.2271633955000001</c:v>
                </c:pt>
                <c:pt idx="270">
                  <c:v>-1.2318200257777778</c:v>
                </c:pt>
                <c:pt idx="271">
                  <c:v>-1.2283608069444445</c:v>
                </c:pt>
                <c:pt idx="272">
                  <c:v>-1.2349897576111111</c:v>
                </c:pt>
                <c:pt idx="273">
                  <c:v>-1.2278115734444444</c:v>
                </c:pt>
                <c:pt idx="274">
                  <c:v>-1.231390152388889</c:v>
                </c:pt>
                <c:pt idx="275">
                  <c:v>-1.2293740504444446</c:v>
                </c:pt>
                <c:pt idx="276">
                  <c:v>-1.2310021966111111</c:v>
                </c:pt>
                <c:pt idx="277">
                  <c:v>-1.2270015704444446</c:v>
                </c:pt>
                <c:pt idx="278">
                  <c:v>-1.2240984290555554</c:v>
                </c:pt>
                <c:pt idx="279">
                  <c:v>-1.2236675037222222</c:v>
                </c:pt>
                <c:pt idx="280">
                  <c:v>-1.2244791687777778</c:v>
                </c:pt>
                <c:pt idx="281">
                  <c:v>-1.2265649665</c:v>
                </c:pt>
                <c:pt idx="282">
                  <c:v>-1.3385247021666666</c:v>
                </c:pt>
                <c:pt idx="283">
                  <c:v>-1.2303486496111111</c:v>
                </c:pt>
                <c:pt idx="284">
                  <c:v>-1.2271073318333334</c:v>
                </c:pt>
                <c:pt idx="285">
                  <c:v>-1.2326616460000002</c:v>
                </c:pt>
                <c:pt idx="286">
                  <c:v>-1.2357594750000001</c:v>
                </c:pt>
                <c:pt idx="287">
                  <c:v>-1.2378831802777779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75B-440B-A916-22E9E3FCE351}"/>
            </c:ext>
          </c:extLst>
        </c:ser>
        <c:ser>
          <c:idx val="6"/>
          <c:order val="6"/>
          <c:tx>
            <c:v>99% (верхняя)</c:v>
          </c:tx>
          <c:spPr>
            <a:ln w="9525">
              <a:solidFill>
                <a:srgbClr val="C0C9E2"/>
              </a:solidFill>
              <a:prstDash val="solid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Данные!$BK$2:$BK$289</c:f>
              <c:numCache>
                <c:formatCode>General</c:formatCode>
                <c:ptCount val="288"/>
                <c:pt idx="0">
                  <c:v>0.79592936705555495</c:v>
                </c:pt>
                <c:pt idx="1">
                  <c:v>0.79414544933333364</c:v>
                </c:pt>
                <c:pt idx="2">
                  <c:v>0.82452341405555607</c:v>
                </c:pt>
                <c:pt idx="3">
                  <c:v>0.8402730623333331</c:v>
                </c:pt>
                <c:pt idx="4">
                  <c:v>0.85269150966666651</c:v>
                </c:pt>
                <c:pt idx="5">
                  <c:v>0.85068028722222211</c:v>
                </c:pt>
                <c:pt idx="6">
                  <c:v>0.82515424411111116</c:v>
                </c:pt>
                <c:pt idx="7">
                  <c:v>0.84088175211111105</c:v>
                </c:pt>
                <c:pt idx="8">
                  <c:v>0.87276639161111114</c:v>
                </c:pt>
                <c:pt idx="9">
                  <c:v>0.86616289511111122</c:v>
                </c:pt>
                <c:pt idx="10">
                  <c:v>0.8810502566666667</c:v>
                </c:pt>
                <c:pt idx="11">
                  <c:v>0.88142723083333352</c:v>
                </c:pt>
                <c:pt idx="12">
                  <c:v>0.87110478766666655</c:v>
                </c:pt>
                <c:pt idx="13">
                  <c:v>0.88156416127777815</c:v>
                </c:pt>
                <c:pt idx="14">
                  <c:v>0.88367232955555486</c:v>
                </c:pt>
                <c:pt idx="15">
                  <c:v>0.87507773627777774</c:v>
                </c:pt>
                <c:pt idx="16">
                  <c:v>0.86496807188888847</c:v>
                </c:pt>
                <c:pt idx="17">
                  <c:v>0.86903550527777773</c:v>
                </c:pt>
                <c:pt idx="18">
                  <c:v>0.8463805001111111</c:v>
                </c:pt>
                <c:pt idx="19">
                  <c:v>0.8085777363333333</c:v>
                </c:pt>
                <c:pt idx="20">
                  <c:v>0.80725891750000001</c:v>
                </c:pt>
                <c:pt idx="21">
                  <c:v>0.81369783066666601</c:v>
                </c:pt>
                <c:pt idx="22">
                  <c:v>0.80057648088888889</c:v>
                </c:pt>
                <c:pt idx="23">
                  <c:v>0.7967909067777782</c:v>
                </c:pt>
                <c:pt idx="24">
                  <c:v>0.78956328122222175</c:v>
                </c:pt>
                <c:pt idx="25">
                  <c:v>0.79228416722222206</c:v>
                </c:pt>
                <c:pt idx="26">
                  <c:v>0.79849029027777818</c:v>
                </c:pt>
                <c:pt idx="27">
                  <c:v>0.79752983561111124</c:v>
                </c:pt>
                <c:pt idx="28">
                  <c:v>0.79076063450000034</c:v>
                </c:pt>
                <c:pt idx="29">
                  <c:v>0.80502185677777738</c:v>
                </c:pt>
                <c:pt idx="30">
                  <c:v>0.80112824683333328</c:v>
                </c:pt>
                <c:pt idx="31">
                  <c:v>0.79661378972222219</c:v>
                </c:pt>
                <c:pt idx="32">
                  <c:v>0.8166885093333337</c:v>
                </c:pt>
                <c:pt idx="33">
                  <c:v>0.83155379711111099</c:v>
                </c:pt>
                <c:pt idx="34">
                  <c:v>0.83647754911111105</c:v>
                </c:pt>
                <c:pt idx="35">
                  <c:v>0.82744426650000003</c:v>
                </c:pt>
                <c:pt idx="36">
                  <c:v>0.83205212611111101</c:v>
                </c:pt>
                <c:pt idx="37">
                  <c:v>0.85208332700000033</c:v>
                </c:pt>
                <c:pt idx="38">
                  <c:v>0.85880975627777723</c:v>
                </c:pt>
                <c:pt idx="39">
                  <c:v>0.8494044142777778</c:v>
                </c:pt>
                <c:pt idx="40">
                  <c:v>0.85269419488888887</c:v>
                </c:pt>
                <c:pt idx="41">
                  <c:v>0.85158574772222229</c:v>
                </c:pt>
                <c:pt idx="42">
                  <c:v>0.8251951070555551</c:v>
                </c:pt>
                <c:pt idx="43">
                  <c:v>0.82927054077777762</c:v>
                </c:pt>
                <c:pt idx="44">
                  <c:v>0.83093522988888924</c:v>
                </c:pt>
                <c:pt idx="45">
                  <c:v>0.83374238133333345</c:v>
                </c:pt>
                <c:pt idx="46">
                  <c:v>0.82565067016666638</c:v>
                </c:pt>
                <c:pt idx="47">
                  <c:v>0.81810277527777786</c:v>
                </c:pt>
                <c:pt idx="48">
                  <c:v>0.81894589944444429</c:v>
                </c:pt>
                <c:pt idx="49">
                  <c:v>0.82964007622222202</c:v>
                </c:pt>
                <c:pt idx="50">
                  <c:v>0.81531433122222186</c:v>
                </c:pt>
                <c:pt idx="51">
                  <c:v>0.82229275233333343</c:v>
                </c:pt>
                <c:pt idx="52">
                  <c:v>0.81298213022222199</c:v>
                </c:pt>
                <c:pt idx="53">
                  <c:v>0.81791820161111117</c:v>
                </c:pt>
                <c:pt idx="54">
                  <c:v>0.82592093055555593</c:v>
                </c:pt>
                <c:pt idx="55">
                  <c:v>0.82406459238888907</c:v>
                </c:pt>
                <c:pt idx="56">
                  <c:v>0.7923661822222221</c:v>
                </c:pt>
                <c:pt idx="57">
                  <c:v>0.80160936211111156</c:v>
                </c:pt>
                <c:pt idx="58">
                  <c:v>0.79735062872222195</c:v>
                </c:pt>
                <c:pt idx="59">
                  <c:v>0.79450648888888886</c:v>
                </c:pt>
                <c:pt idx="60">
                  <c:v>0.78236383416666644</c:v>
                </c:pt>
                <c:pt idx="61">
                  <c:v>0.7760162098888892</c:v>
                </c:pt>
                <c:pt idx="62">
                  <c:v>0.78068820038888898</c:v>
                </c:pt>
                <c:pt idx="63">
                  <c:v>0.79110502600000043</c:v>
                </c:pt>
                <c:pt idx="64">
                  <c:v>0.77933847383333277</c:v>
                </c:pt>
                <c:pt idx="65">
                  <c:v>0.7734835320000002</c:v>
                </c:pt>
                <c:pt idx="66">
                  <c:v>0.74200134833333387</c:v>
                </c:pt>
                <c:pt idx="67">
                  <c:v>0.74888988605555584</c:v>
                </c:pt>
                <c:pt idx="68">
                  <c:v>0.75426551072222237</c:v>
                </c:pt>
                <c:pt idx="69">
                  <c:v>0.75812272094444477</c:v>
                </c:pt>
                <c:pt idx="70">
                  <c:v>0.75437059627777736</c:v>
                </c:pt>
                <c:pt idx="71">
                  <c:v>0.73801248250000029</c:v>
                </c:pt>
                <c:pt idx="72">
                  <c:v>0.72473348233333368</c:v>
                </c:pt>
                <c:pt idx="73">
                  <c:v>0.7189819433888891</c:v>
                </c:pt>
                <c:pt idx="74">
                  <c:v>0.7263173667777777</c:v>
                </c:pt>
                <c:pt idx="75">
                  <c:v>0.72679378600000022</c:v>
                </c:pt>
                <c:pt idx="76">
                  <c:v>0.72104124538888881</c:v>
                </c:pt>
                <c:pt idx="77">
                  <c:v>0.73241510394444476</c:v>
                </c:pt>
                <c:pt idx="78">
                  <c:v>0.73761295850000053</c:v>
                </c:pt>
                <c:pt idx="79">
                  <c:v>0.73092807866666587</c:v>
                </c:pt>
                <c:pt idx="80">
                  <c:v>0.77141658483333286</c:v>
                </c:pt>
                <c:pt idx="81">
                  <c:v>0.77832688455555576</c:v>
                </c:pt>
                <c:pt idx="82">
                  <c:v>0.7895023121111111</c:v>
                </c:pt>
                <c:pt idx="83">
                  <c:v>0.78391876433333407</c:v>
                </c:pt>
                <c:pt idx="84">
                  <c:v>0.78068480922222205</c:v>
                </c:pt>
                <c:pt idx="85">
                  <c:v>0.79316448277777818</c:v>
                </c:pt>
                <c:pt idx="86">
                  <c:v>0.75624934144444467</c:v>
                </c:pt>
                <c:pt idx="87">
                  <c:v>0.73493929444444372</c:v>
                </c:pt>
                <c:pt idx="88">
                  <c:v>0.74250148872222232</c:v>
                </c:pt>
                <c:pt idx="89">
                  <c:v>0.73840258916666668</c:v>
                </c:pt>
                <c:pt idx="90">
                  <c:v>0.75412102966666739</c:v>
                </c:pt>
                <c:pt idx="91">
                  <c:v>0.75946634844444394</c:v>
                </c:pt>
                <c:pt idx="92">
                  <c:v>0.68434074594444427</c:v>
                </c:pt>
                <c:pt idx="93">
                  <c:v>0.6803039639444447</c:v>
                </c:pt>
                <c:pt idx="94">
                  <c:v>0.68411730522222203</c:v>
                </c:pt>
                <c:pt idx="95">
                  <c:v>0.66548047827777768</c:v>
                </c:pt>
                <c:pt idx="96">
                  <c:v>0.68340898411111117</c:v>
                </c:pt>
                <c:pt idx="97">
                  <c:v>0.68511816488888899</c:v>
                </c:pt>
                <c:pt idx="98">
                  <c:v>0.68262553416666649</c:v>
                </c:pt>
                <c:pt idx="99">
                  <c:v>0.69929831438888934</c:v>
                </c:pt>
                <c:pt idx="100">
                  <c:v>0.71699170099999987</c:v>
                </c:pt>
                <c:pt idx="101">
                  <c:v>0.74717740822222189</c:v>
                </c:pt>
                <c:pt idx="102">
                  <c:v>0.74908952533333351</c:v>
                </c:pt>
                <c:pt idx="103">
                  <c:v>0.75133421288888891</c:v>
                </c:pt>
                <c:pt idx="104">
                  <c:v>0.74349676244444407</c:v>
                </c:pt>
                <c:pt idx="105">
                  <c:v>0.74095585694444399</c:v>
                </c:pt>
                <c:pt idx="106">
                  <c:v>0.75143956788888866</c:v>
                </c:pt>
                <c:pt idx="107">
                  <c:v>0.75157867983333315</c:v>
                </c:pt>
                <c:pt idx="108">
                  <c:v>0.77636265144444405</c:v>
                </c:pt>
                <c:pt idx="109">
                  <c:v>0.83896715966666668</c:v>
                </c:pt>
                <c:pt idx="110">
                  <c:v>0.83441503044444476</c:v>
                </c:pt>
                <c:pt idx="111">
                  <c:v>0.83142373272222236</c:v>
                </c:pt>
                <c:pt idx="112">
                  <c:v>0.80215276266666657</c:v>
                </c:pt>
                <c:pt idx="113">
                  <c:v>0.80385321361111106</c:v>
                </c:pt>
                <c:pt idx="114">
                  <c:v>0.82570593361111122</c:v>
                </c:pt>
                <c:pt idx="115">
                  <c:v>0.8525829946666672</c:v>
                </c:pt>
                <c:pt idx="116">
                  <c:v>0.83307939461111102</c:v>
                </c:pt>
                <c:pt idx="117">
                  <c:v>0.87075153272222272</c:v>
                </c:pt>
                <c:pt idx="118">
                  <c:v>0.86609514472222204</c:v>
                </c:pt>
                <c:pt idx="119">
                  <c:v>0.9091439635555556</c:v>
                </c:pt>
                <c:pt idx="120">
                  <c:v>0.91605974366666665</c:v>
                </c:pt>
                <c:pt idx="121">
                  <c:v>0.89214946983333354</c:v>
                </c:pt>
                <c:pt idx="122">
                  <c:v>0.90012240355555573</c:v>
                </c:pt>
                <c:pt idx="123">
                  <c:v>0.89388138405555584</c:v>
                </c:pt>
                <c:pt idx="124">
                  <c:v>0.90970860216666671</c:v>
                </c:pt>
                <c:pt idx="125">
                  <c:v>0.90587637388888897</c:v>
                </c:pt>
                <c:pt idx="126">
                  <c:v>0.8905751036666667</c:v>
                </c:pt>
                <c:pt idx="127">
                  <c:v>0.88843684338888851</c:v>
                </c:pt>
                <c:pt idx="128">
                  <c:v>0.88934772333333301</c:v>
                </c:pt>
                <c:pt idx="129">
                  <c:v>0.87882157311111164</c:v>
                </c:pt>
                <c:pt idx="130">
                  <c:v>0.90765930361111102</c:v>
                </c:pt>
                <c:pt idx="131">
                  <c:v>0.90467610566666679</c:v>
                </c:pt>
                <c:pt idx="132">
                  <c:v>0.90625653649999971</c:v>
                </c:pt>
                <c:pt idx="133">
                  <c:v>0.91188245022222203</c:v>
                </c:pt>
                <c:pt idx="134">
                  <c:v>0.91349033677777758</c:v>
                </c:pt>
                <c:pt idx="135">
                  <c:v>0.91622472738888916</c:v>
                </c:pt>
                <c:pt idx="136">
                  <c:v>0.90856653766666684</c:v>
                </c:pt>
                <c:pt idx="137">
                  <c:v>0.92048415761111091</c:v>
                </c:pt>
                <c:pt idx="138">
                  <c:v>0.89472590316666656</c:v>
                </c:pt>
                <c:pt idx="139">
                  <c:v>0.90705475677777758</c:v>
                </c:pt>
                <c:pt idx="140">
                  <c:v>0.89829273316666691</c:v>
                </c:pt>
                <c:pt idx="141">
                  <c:v>0.89446773511111066</c:v>
                </c:pt>
                <c:pt idx="142">
                  <c:v>0.90518420794444443</c:v>
                </c:pt>
                <c:pt idx="143">
                  <c:v>0.87120397588888954</c:v>
                </c:pt>
                <c:pt idx="144">
                  <c:v>0.79910314055555565</c:v>
                </c:pt>
                <c:pt idx="145">
                  <c:v>0.8026082047777775</c:v>
                </c:pt>
                <c:pt idx="146">
                  <c:v>0.83117966816666677</c:v>
                </c:pt>
                <c:pt idx="147">
                  <c:v>0.87030330227777752</c:v>
                </c:pt>
                <c:pt idx="148">
                  <c:v>0.87129740327777772</c:v>
                </c:pt>
                <c:pt idx="149">
                  <c:v>0.8610719920555554</c:v>
                </c:pt>
                <c:pt idx="150">
                  <c:v>0.85328721661111129</c:v>
                </c:pt>
                <c:pt idx="151">
                  <c:v>0.85609790633333316</c:v>
                </c:pt>
                <c:pt idx="152">
                  <c:v>0.8945165560555548</c:v>
                </c:pt>
                <c:pt idx="153">
                  <c:v>0.88626739944444433</c:v>
                </c:pt>
                <c:pt idx="154">
                  <c:v>0.89607852850000014</c:v>
                </c:pt>
                <c:pt idx="155">
                  <c:v>0.88467900311111103</c:v>
                </c:pt>
                <c:pt idx="156">
                  <c:v>0.89378798111111124</c:v>
                </c:pt>
                <c:pt idx="157">
                  <c:v>0.84474374022222221</c:v>
                </c:pt>
                <c:pt idx="158">
                  <c:v>0.85500091788888855</c:v>
                </c:pt>
                <c:pt idx="159">
                  <c:v>0.84552344399999979</c:v>
                </c:pt>
                <c:pt idx="160">
                  <c:v>0.8102547994444449</c:v>
                </c:pt>
                <c:pt idx="161">
                  <c:v>0.78728522599999995</c:v>
                </c:pt>
                <c:pt idx="162">
                  <c:v>0.826817988666667</c:v>
                </c:pt>
                <c:pt idx="163">
                  <c:v>0.82364827916666705</c:v>
                </c:pt>
                <c:pt idx="164">
                  <c:v>0.8175756764444444</c:v>
                </c:pt>
                <c:pt idx="165">
                  <c:v>0.81344885088888863</c:v>
                </c:pt>
                <c:pt idx="166">
                  <c:v>0.79762476127777759</c:v>
                </c:pt>
                <c:pt idx="167">
                  <c:v>0.81199518416666738</c:v>
                </c:pt>
                <c:pt idx="168">
                  <c:v>0.82395086161111064</c:v>
                </c:pt>
                <c:pt idx="169">
                  <c:v>0.84298311822222183</c:v>
                </c:pt>
                <c:pt idx="170">
                  <c:v>0.84761031150000055</c:v>
                </c:pt>
                <c:pt idx="171">
                  <c:v>0.84925246988888892</c:v>
                </c:pt>
                <c:pt idx="172">
                  <c:v>0.84867386994444438</c:v>
                </c:pt>
                <c:pt idx="173">
                  <c:v>0.83640668927777795</c:v>
                </c:pt>
                <c:pt idx="174">
                  <c:v>0.83630034277777787</c:v>
                </c:pt>
                <c:pt idx="175">
                  <c:v>0.84560919716666705</c:v>
                </c:pt>
                <c:pt idx="176">
                  <c:v>0.83389145261111175</c:v>
                </c:pt>
                <c:pt idx="177">
                  <c:v>0.83681555027777721</c:v>
                </c:pt>
                <c:pt idx="178">
                  <c:v>0.84765778616666709</c:v>
                </c:pt>
                <c:pt idx="179">
                  <c:v>0.83983398938888965</c:v>
                </c:pt>
                <c:pt idx="180">
                  <c:v>0.84507552555555598</c:v>
                </c:pt>
                <c:pt idx="181">
                  <c:v>0.85015528844444455</c:v>
                </c:pt>
                <c:pt idx="182">
                  <c:v>0.85501921999999952</c:v>
                </c:pt>
                <c:pt idx="183">
                  <c:v>0.84421918355555559</c:v>
                </c:pt>
                <c:pt idx="184">
                  <c:v>0.93955143143650821</c:v>
                </c:pt>
                <c:pt idx="185">
                  <c:v>0.92721870166666664</c:v>
                </c:pt>
                <c:pt idx="186">
                  <c:v>0.91202698727777776</c:v>
                </c:pt>
                <c:pt idx="187">
                  <c:v>0.89816411616666725</c:v>
                </c:pt>
                <c:pt idx="188">
                  <c:v>0.90026631305555571</c:v>
                </c:pt>
                <c:pt idx="189">
                  <c:v>0.88099314466666689</c:v>
                </c:pt>
                <c:pt idx="190">
                  <c:v>0.88227872094444437</c:v>
                </c:pt>
                <c:pt idx="191">
                  <c:v>0.87169248349999973</c:v>
                </c:pt>
                <c:pt idx="192">
                  <c:v>0.875278509833334</c:v>
                </c:pt>
                <c:pt idx="193">
                  <c:v>0.86848051911111124</c:v>
                </c:pt>
                <c:pt idx="194">
                  <c:v>0.87722150772222207</c:v>
                </c:pt>
                <c:pt idx="195">
                  <c:v>0.88085179433333305</c:v>
                </c:pt>
                <c:pt idx="196">
                  <c:v>0.8823260337222224</c:v>
                </c:pt>
                <c:pt idx="197">
                  <c:v>0.87338512272222213</c:v>
                </c:pt>
                <c:pt idx="198">
                  <c:v>0.88155590983333298</c:v>
                </c:pt>
                <c:pt idx="199">
                  <c:v>0.86914040116666669</c:v>
                </c:pt>
                <c:pt idx="200">
                  <c:v>0.8469966910000003</c:v>
                </c:pt>
                <c:pt idx="201">
                  <c:v>0.78955775588888899</c:v>
                </c:pt>
                <c:pt idx="202">
                  <c:v>0.78659187444444434</c:v>
                </c:pt>
                <c:pt idx="203">
                  <c:v>0.79955037622222158</c:v>
                </c:pt>
                <c:pt idx="204">
                  <c:v>0.77577035350000001</c:v>
                </c:pt>
                <c:pt idx="205">
                  <c:v>0.76870568933333316</c:v>
                </c:pt>
                <c:pt idx="206">
                  <c:v>0.76710234883333395</c:v>
                </c:pt>
                <c:pt idx="207">
                  <c:v>0.76133133283333332</c:v>
                </c:pt>
                <c:pt idx="208">
                  <c:v>0.75734266977777775</c:v>
                </c:pt>
                <c:pt idx="209">
                  <c:v>0.75934708933333361</c:v>
                </c:pt>
                <c:pt idx="210">
                  <c:v>0.75037908038888901</c:v>
                </c:pt>
                <c:pt idx="211">
                  <c:v>0.75227348011111161</c:v>
                </c:pt>
                <c:pt idx="212">
                  <c:v>0.75500590461111161</c:v>
                </c:pt>
                <c:pt idx="213">
                  <c:v>0.74322527161111129</c:v>
                </c:pt>
                <c:pt idx="214">
                  <c:v>0.73897672494444488</c:v>
                </c:pt>
                <c:pt idx="215">
                  <c:v>0.74183343733333273</c:v>
                </c:pt>
                <c:pt idx="216">
                  <c:v>0.73243339844444444</c:v>
                </c:pt>
                <c:pt idx="217">
                  <c:v>0.71708304822222246</c:v>
                </c:pt>
                <c:pt idx="218">
                  <c:v>0.71449870177777786</c:v>
                </c:pt>
                <c:pt idx="219">
                  <c:v>0.71999633866666679</c:v>
                </c:pt>
                <c:pt idx="220">
                  <c:v>0.71610584727777771</c:v>
                </c:pt>
                <c:pt idx="221">
                  <c:v>0.74140510149999983</c:v>
                </c:pt>
                <c:pt idx="222">
                  <c:v>0.74159260938888893</c:v>
                </c:pt>
                <c:pt idx="223">
                  <c:v>0.74298195172222281</c:v>
                </c:pt>
                <c:pt idx="224">
                  <c:v>0.77193322566666633</c:v>
                </c:pt>
                <c:pt idx="225">
                  <c:v>0.76482914749999997</c:v>
                </c:pt>
                <c:pt idx="226">
                  <c:v>0.73895156905555515</c:v>
                </c:pt>
                <c:pt idx="227">
                  <c:v>0.72288713527777781</c:v>
                </c:pt>
                <c:pt idx="228">
                  <c:v>0.71226435527777809</c:v>
                </c:pt>
                <c:pt idx="229">
                  <c:v>0.71587332011111049</c:v>
                </c:pt>
                <c:pt idx="230">
                  <c:v>0.7194789177222225</c:v>
                </c:pt>
                <c:pt idx="231">
                  <c:v>0.71605736399999997</c:v>
                </c:pt>
                <c:pt idx="232">
                  <c:v>0.70864407433333354</c:v>
                </c:pt>
                <c:pt idx="233">
                  <c:v>0.70976784477777766</c:v>
                </c:pt>
                <c:pt idx="234">
                  <c:v>0.70613063866666648</c:v>
                </c:pt>
                <c:pt idx="235">
                  <c:v>0.7045059799444443</c:v>
                </c:pt>
                <c:pt idx="236">
                  <c:v>0.71237452405555601</c:v>
                </c:pt>
                <c:pt idx="237">
                  <c:v>0.71993949266666646</c:v>
                </c:pt>
                <c:pt idx="238">
                  <c:v>0.71242149577777791</c:v>
                </c:pt>
                <c:pt idx="239">
                  <c:v>0.71338735705555578</c:v>
                </c:pt>
                <c:pt idx="240">
                  <c:v>0.71806387188888887</c:v>
                </c:pt>
                <c:pt idx="241">
                  <c:v>0.73558098405555639</c:v>
                </c:pt>
                <c:pt idx="242">
                  <c:v>0.74676994272222263</c:v>
                </c:pt>
                <c:pt idx="243">
                  <c:v>0.74307962866666644</c:v>
                </c:pt>
                <c:pt idx="244">
                  <c:v>0.744685446333333</c:v>
                </c:pt>
                <c:pt idx="245">
                  <c:v>0.75297352794444428</c:v>
                </c:pt>
                <c:pt idx="246">
                  <c:v>0.75146776005555571</c:v>
                </c:pt>
                <c:pt idx="247">
                  <c:v>0.76659785961111082</c:v>
                </c:pt>
                <c:pt idx="248">
                  <c:v>0.75774813166666721</c:v>
                </c:pt>
                <c:pt idx="249">
                  <c:v>0.80275589800000002</c:v>
                </c:pt>
                <c:pt idx="250">
                  <c:v>0.79908555377777768</c:v>
                </c:pt>
                <c:pt idx="251">
                  <c:v>0.78165406122222214</c:v>
                </c:pt>
                <c:pt idx="252">
                  <c:v>0.7943294471111112</c:v>
                </c:pt>
                <c:pt idx="253">
                  <c:v>0.80852002266666689</c:v>
                </c:pt>
                <c:pt idx="254">
                  <c:v>0.81333823983333364</c:v>
                </c:pt>
                <c:pt idx="255">
                  <c:v>0.80164855355555487</c:v>
                </c:pt>
                <c:pt idx="256">
                  <c:v>0.80352943122222253</c:v>
                </c:pt>
                <c:pt idx="257">
                  <c:v>0.81163148855555545</c:v>
                </c:pt>
                <c:pt idx="258">
                  <c:v>0.80135498711111175</c:v>
                </c:pt>
                <c:pt idx="259">
                  <c:v>0.88373158155555509</c:v>
                </c:pt>
                <c:pt idx="260">
                  <c:v>0.89341427044444455</c:v>
                </c:pt>
                <c:pt idx="261">
                  <c:v>0.89005938455555589</c:v>
                </c:pt>
                <c:pt idx="262">
                  <c:v>0.88455199138888874</c:v>
                </c:pt>
                <c:pt idx="263">
                  <c:v>0.87368393655555576</c:v>
                </c:pt>
                <c:pt idx="264">
                  <c:v>0.88310947511111104</c:v>
                </c:pt>
                <c:pt idx="265">
                  <c:v>0.88334454249999972</c:v>
                </c:pt>
                <c:pt idx="266">
                  <c:v>0.88485692322222287</c:v>
                </c:pt>
                <c:pt idx="267">
                  <c:v>0.88975338488888822</c:v>
                </c:pt>
                <c:pt idx="268">
                  <c:v>0.89739844711111072</c:v>
                </c:pt>
                <c:pt idx="269">
                  <c:v>0.89565600805555545</c:v>
                </c:pt>
                <c:pt idx="270">
                  <c:v>0.87904124738888878</c:v>
                </c:pt>
                <c:pt idx="271">
                  <c:v>0.87668316572222227</c:v>
                </c:pt>
                <c:pt idx="272">
                  <c:v>0.86964750733333374</c:v>
                </c:pt>
                <c:pt idx="273">
                  <c:v>0.87369044911111149</c:v>
                </c:pt>
                <c:pt idx="274">
                  <c:v>0.8639873471111108</c:v>
                </c:pt>
                <c:pt idx="275">
                  <c:v>0.86363776044444418</c:v>
                </c:pt>
                <c:pt idx="276">
                  <c:v>0.84950460266666661</c:v>
                </c:pt>
                <c:pt idx="277">
                  <c:v>0.85926653388888918</c:v>
                </c:pt>
                <c:pt idx="278">
                  <c:v>0.85689185550000002</c:v>
                </c:pt>
                <c:pt idx="279">
                  <c:v>0.82933713855555535</c:v>
                </c:pt>
                <c:pt idx="280">
                  <c:v>0.82556164477777805</c:v>
                </c:pt>
                <c:pt idx="281">
                  <c:v>0.84146313961111086</c:v>
                </c:pt>
                <c:pt idx="282">
                  <c:v>0.84397418505555533</c:v>
                </c:pt>
                <c:pt idx="283">
                  <c:v>0.84432113733333369</c:v>
                </c:pt>
                <c:pt idx="284">
                  <c:v>0.81986954222222208</c:v>
                </c:pt>
                <c:pt idx="285">
                  <c:v>0.80686567844444468</c:v>
                </c:pt>
                <c:pt idx="286">
                  <c:v>0.830832155444444</c:v>
                </c:pt>
                <c:pt idx="287">
                  <c:v>0.80303821388888896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75B-440B-A916-22E9E3FCE351}"/>
            </c:ext>
          </c:extLst>
        </c:ser>
        <c:ser>
          <c:idx val="7"/>
          <c:order val="7"/>
          <c:tx>
            <c:v>Максимум</c:v>
          </c:tx>
          <c:spPr>
            <a:ln w="15240">
              <a:solidFill>
                <a:srgbClr val="D62728"/>
              </a:solidFill>
              <a:prstDash val="solid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Данные!$BL$2:$BL$289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75B-440B-A916-22E9E3FCE351}"/>
            </c:ext>
          </c:extLst>
        </c:ser>
        <c:ser>
          <c:idx val="8"/>
          <c:order val="8"/>
          <c:tx>
            <c:v>Порог 1</c:v>
          </c:tx>
          <c:spPr>
            <a:ln w="14288">
              <a:solidFill>
                <a:srgbClr val="D62728"/>
              </a:solidFill>
              <a:prstDash val="dash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Данные!$BM$2:$BM$289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75B-440B-A916-22E9E3FCE351}"/>
            </c:ext>
          </c:extLst>
        </c:ser>
        <c:ser>
          <c:idx val="9"/>
          <c:order val="9"/>
          <c:tx>
            <c:v>Порог 2</c:v>
          </c:tx>
          <c:spPr>
            <a:ln w="14288">
              <a:solidFill>
                <a:srgbClr val="1F77B4"/>
              </a:solidFill>
              <a:prstDash val="dash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Данные!$BN$2:$BN$289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75B-440B-A916-22E9E3FCE351}"/>
            </c:ext>
          </c:extLst>
        </c:ser>
        <c:ser>
          <c:idx val="10"/>
          <c:order val="10"/>
          <c:tx>
            <c:v>Порог 3</c:v>
          </c:tx>
          <c:spPr>
            <a:ln w="14288">
              <a:solidFill>
                <a:srgbClr val="FF7F0E"/>
              </a:solidFill>
              <a:prstDash val="dash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Данные!$BO$2:$BO$289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75B-440B-A916-22E9E3FCE351}"/>
            </c:ext>
          </c:extLst>
        </c:ser>
        <c:ser>
          <c:idx val="11"/>
          <c:order val="11"/>
          <c:tx>
            <c:v>Порог 4</c:v>
          </c:tx>
          <c:spPr>
            <a:ln w="14288">
              <a:solidFill>
                <a:srgbClr val="9467BD"/>
              </a:solidFill>
              <a:prstDash val="dash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Данные!$BP$2:$BP$289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75B-440B-A916-22E9E3FCE351}"/>
            </c:ext>
          </c:extLst>
        </c:ser>
        <c:ser>
          <c:idx val="12"/>
          <c:order val="12"/>
          <c:tx>
            <c:v>Порог 5</c:v>
          </c:tx>
          <c:spPr>
            <a:ln w="14288">
              <a:solidFill>
                <a:srgbClr val="8C564B"/>
              </a:solidFill>
              <a:prstDash val="dash"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Данные!$BQ$2:$BQ$289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75B-440B-A916-22E9E3FCE351}"/>
            </c:ext>
          </c:extLst>
        </c:ser>
        <c:ser>
          <c:idx val="13"/>
          <c:order val="13"/>
          <c:tx>
            <c:v>__scale__</c:v>
          </c:tx>
          <c:spPr>
            <a:ln w="0">
              <a:noFill/>
            </a:ln>
          </c:spPr>
          <c:marker>
            <c:symbol val="none"/>
          </c:marker>
          <c:cat>
            <c:strRef>
              <c:f>Данные!$A$2:$A$289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Данные!$BR$2:$BR$289</c:f>
              <c:numCache>
                <c:formatCode>General</c:formatCode>
                <c:ptCount val="2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75B-440B-A916-22E9E3FCE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94A3B8"/>
            </a:solidFill>
          </a:ln>
        </c:spPr>
        <c:txPr>
          <a:bodyPr anchorCtr="1"/>
          <a:lstStyle/>
          <a:p>
            <a:pPr>
              <a:defRPr sz="825"/>
            </a:pPr>
            <a:endParaRPr lang="ru-RU"/>
          </a:p>
        </c:txPr>
        <c:crossAx val="48672768"/>
        <c:crosses val="autoZero"/>
        <c:auto val="1"/>
        <c:lblAlgn val="ctr"/>
        <c:lblOffset val="100"/>
        <c:tickLblSkip val="12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6668">
              <a:solidFill>
                <a:srgbClr val="CBD5E1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one"/>
        <c:spPr>
          <a:ln w="9525">
            <a:solidFill>
              <a:srgbClr val="94A3B8"/>
            </a:solidFill>
          </a:ln>
        </c:spPr>
        <c:txPr>
          <a:bodyPr anchorCtr="1"/>
          <a:lstStyle/>
          <a:p>
            <a:pPr>
              <a:defRPr sz="675"/>
            </a:pPr>
            <a:endParaRPr lang="ru-RU"/>
          </a:p>
        </c:txPr>
        <c:crossAx val="48650112"/>
        <c:crosses val="autoZero"/>
        <c:crossBetween val="between"/>
        <c:majorUnit val="0.2"/>
      </c:valAx>
      <c:spPr>
        <a:noFill/>
      </c:spPr>
    </c:plotArea>
    <c:plotVisOnly val="1"/>
    <c:dispBlanksAs val="zero"/>
    <c:showDLblsOverMax val="1"/>
  </c:chart>
  <c:spPr>
    <a:noFill/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areaChart>
        <c:grouping val="stacked"/>
        <c:varyColors val="0"/>
        <c:ser>
          <c:idx val="0"/>
          <c:order val="0"/>
          <c:tx>
            <c:v>Base</c:v>
          </c:tx>
          <c:spPr>
            <a:solidFill>
              <a:srgbClr val="FFFFFF"/>
            </a:solidFill>
          </c:spP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Данные!$BT$2:$BT$289</c:f>
              <c:numCache>
                <c:formatCode>General</c:formatCode>
                <c:ptCount val="288"/>
                <c:pt idx="0">
                  <c:v>0.49855978738888884</c:v>
                </c:pt>
                <c:pt idx="1">
                  <c:v>0.49083882322222205</c:v>
                </c:pt>
                <c:pt idx="2">
                  <c:v>0.52118761716666662</c:v>
                </c:pt>
                <c:pt idx="3">
                  <c:v>0.52821156833333283</c:v>
                </c:pt>
                <c:pt idx="4">
                  <c:v>0.53719498833333268</c:v>
                </c:pt>
                <c:pt idx="5">
                  <c:v>0.54631517572222221</c:v>
                </c:pt>
                <c:pt idx="6">
                  <c:v>0.58018623599999986</c:v>
                </c:pt>
                <c:pt idx="7">
                  <c:v>0.52820493172222238</c:v>
                </c:pt>
                <c:pt idx="8">
                  <c:v>0.553894507222222</c:v>
                </c:pt>
                <c:pt idx="9">
                  <c:v>0.53475610638888882</c:v>
                </c:pt>
                <c:pt idx="10">
                  <c:v>0.52350651605555532</c:v>
                </c:pt>
                <c:pt idx="11">
                  <c:v>0.51896321655555555</c:v>
                </c:pt>
                <c:pt idx="12">
                  <c:v>0.48811124983333293</c:v>
                </c:pt>
                <c:pt idx="13">
                  <c:v>0.49535592572222231</c:v>
                </c:pt>
                <c:pt idx="14">
                  <c:v>0.51136765088888869</c:v>
                </c:pt>
                <c:pt idx="15">
                  <c:v>0.47980713066666675</c:v>
                </c:pt>
                <c:pt idx="16">
                  <c:v>0.45450347838888866</c:v>
                </c:pt>
                <c:pt idx="17">
                  <c:v>0.4521321322777776</c:v>
                </c:pt>
                <c:pt idx="18">
                  <c:v>0.45326599705555509</c:v>
                </c:pt>
                <c:pt idx="19">
                  <c:v>0.4608917302222223</c:v>
                </c:pt>
                <c:pt idx="20">
                  <c:v>0.46781748483333319</c:v>
                </c:pt>
                <c:pt idx="21">
                  <c:v>0.4608452203888892</c:v>
                </c:pt>
                <c:pt idx="22">
                  <c:v>0.46812431355555539</c:v>
                </c:pt>
                <c:pt idx="23">
                  <c:v>0.45871599555555559</c:v>
                </c:pt>
                <c:pt idx="24">
                  <c:v>0.48680210866666612</c:v>
                </c:pt>
                <c:pt idx="25">
                  <c:v>0.48965911372222215</c:v>
                </c:pt>
                <c:pt idx="26">
                  <c:v>0.49819569805555541</c:v>
                </c:pt>
                <c:pt idx="27">
                  <c:v>0.5028575993333334</c:v>
                </c:pt>
                <c:pt idx="28">
                  <c:v>0.51706930555555541</c:v>
                </c:pt>
                <c:pt idx="29">
                  <c:v>0.51809531233333317</c:v>
                </c:pt>
                <c:pt idx="30">
                  <c:v>0.50267228905555572</c:v>
                </c:pt>
                <c:pt idx="31">
                  <c:v>0.49961748588888927</c:v>
                </c:pt>
                <c:pt idx="32">
                  <c:v>0.49998307627777799</c:v>
                </c:pt>
                <c:pt idx="33">
                  <c:v>0.49273149444444425</c:v>
                </c:pt>
                <c:pt idx="34">
                  <c:v>0.49561715288888869</c:v>
                </c:pt>
                <c:pt idx="35">
                  <c:v>0.48306132288888876</c:v>
                </c:pt>
                <c:pt idx="36">
                  <c:v>0.4610994575555557</c:v>
                </c:pt>
                <c:pt idx="37">
                  <c:v>0.46451156911111108</c:v>
                </c:pt>
                <c:pt idx="38">
                  <c:v>0.4645135043333336</c:v>
                </c:pt>
                <c:pt idx="39">
                  <c:v>0.47227652249999996</c:v>
                </c:pt>
                <c:pt idx="40">
                  <c:v>0.46838175044444413</c:v>
                </c:pt>
                <c:pt idx="41">
                  <c:v>0.44449709722222241</c:v>
                </c:pt>
                <c:pt idx="42">
                  <c:v>0.43171163961111142</c:v>
                </c:pt>
                <c:pt idx="43">
                  <c:v>0.42807618322222213</c:v>
                </c:pt>
                <c:pt idx="44">
                  <c:v>0.43646522233333296</c:v>
                </c:pt>
                <c:pt idx="45">
                  <c:v>0.44034394788888886</c:v>
                </c:pt>
                <c:pt idx="46">
                  <c:v>0.44057995583333315</c:v>
                </c:pt>
                <c:pt idx="47">
                  <c:v>0.43849348866666699</c:v>
                </c:pt>
                <c:pt idx="48">
                  <c:v>0.43532009099999991</c:v>
                </c:pt>
                <c:pt idx="49">
                  <c:v>0.42971022427777794</c:v>
                </c:pt>
                <c:pt idx="50">
                  <c:v>0.43779347577777783</c:v>
                </c:pt>
                <c:pt idx="51">
                  <c:v>0.4214283561666668</c:v>
                </c:pt>
                <c:pt idx="52">
                  <c:v>0.42539452538888872</c:v>
                </c:pt>
                <c:pt idx="53">
                  <c:v>0.42554791627777799</c:v>
                </c:pt>
                <c:pt idx="54">
                  <c:v>0.42553339133333307</c:v>
                </c:pt>
                <c:pt idx="55">
                  <c:v>0.42787924933333304</c:v>
                </c:pt>
                <c:pt idx="56">
                  <c:v>0.42004045377777793</c:v>
                </c:pt>
                <c:pt idx="57">
                  <c:v>0.41865994005555512</c:v>
                </c:pt>
                <c:pt idx="58">
                  <c:v>0.40877934766666657</c:v>
                </c:pt>
                <c:pt idx="59">
                  <c:v>0.40201116555555533</c:v>
                </c:pt>
                <c:pt idx="60">
                  <c:v>0.38400408161111077</c:v>
                </c:pt>
                <c:pt idx="61">
                  <c:v>0.38643465716666653</c:v>
                </c:pt>
                <c:pt idx="62">
                  <c:v>0.38785901088888902</c:v>
                </c:pt>
                <c:pt idx="63">
                  <c:v>0.3891978877222218</c:v>
                </c:pt>
                <c:pt idx="64">
                  <c:v>0.4025373513333334</c:v>
                </c:pt>
                <c:pt idx="65">
                  <c:v>0.38873634138888885</c:v>
                </c:pt>
                <c:pt idx="66">
                  <c:v>0.41159125955555526</c:v>
                </c:pt>
                <c:pt idx="67">
                  <c:v>0.41401109766666683</c:v>
                </c:pt>
                <c:pt idx="68">
                  <c:v>0.41674929772222274</c:v>
                </c:pt>
                <c:pt idx="69">
                  <c:v>0.39233687733333317</c:v>
                </c:pt>
                <c:pt idx="70">
                  <c:v>0.40055850894444422</c:v>
                </c:pt>
                <c:pt idx="71">
                  <c:v>0.381464649111111</c:v>
                </c:pt>
                <c:pt idx="72">
                  <c:v>0.38810320611111093</c:v>
                </c:pt>
                <c:pt idx="73">
                  <c:v>0.39985893788888915</c:v>
                </c:pt>
                <c:pt idx="74">
                  <c:v>0.42786138788888911</c:v>
                </c:pt>
                <c:pt idx="75">
                  <c:v>0.44148841622222246</c:v>
                </c:pt>
                <c:pt idx="76">
                  <c:v>0.44899382200000004</c:v>
                </c:pt>
                <c:pt idx="77">
                  <c:v>0.4493711597222218</c:v>
                </c:pt>
                <c:pt idx="78">
                  <c:v>0.44172266155555523</c:v>
                </c:pt>
                <c:pt idx="79">
                  <c:v>0.43771251988888887</c:v>
                </c:pt>
                <c:pt idx="80">
                  <c:v>0.48121232844444423</c:v>
                </c:pt>
                <c:pt idx="81">
                  <c:v>0.46229313583333353</c:v>
                </c:pt>
                <c:pt idx="82">
                  <c:v>0.45867496538888886</c:v>
                </c:pt>
                <c:pt idx="83">
                  <c:v>0.43925440049999998</c:v>
                </c:pt>
                <c:pt idx="84">
                  <c:v>0.42547781038888871</c:v>
                </c:pt>
                <c:pt idx="85">
                  <c:v>0.43059039438888913</c:v>
                </c:pt>
                <c:pt idx="86">
                  <c:v>0.43381627499999981</c:v>
                </c:pt>
                <c:pt idx="87">
                  <c:v>0.41971604344444435</c:v>
                </c:pt>
                <c:pt idx="88">
                  <c:v>0.42709576427777757</c:v>
                </c:pt>
                <c:pt idx="89">
                  <c:v>0.42045339366666667</c:v>
                </c:pt>
                <c:pt idx="90">
                  <c:v>0.43182795999999962</c:v>
                </c:pt>
                <c:pt idx="91">
                  <c:v>0.42604004655555522</c:v>
                </c:pt>
                <c:pt idx="92">
                  <c:v>0.42866019305555531</c:v>
                </c:pt>
                <c:pt idx="93">
                  <c:v>0.42154968411111104</c:v>
                </c:pt>
                <c:pt idx="94">
                  <c:v>0.42752501044444396</c:v>
                </c:pt>
                <c:pt idx="95">
                  <c:v>0.42627312049999999</c:v>
                </c:pt>
                <c:pt idx="96">
                  <c:v>0.40202411711111141</c:v>
                </c:pt>
                <c:pt idx="97">
                  <c:v>0.4149571667222226</c:v>
                </c:pt>
                <c:pt idx="98">
                  <c:v>0.41177261711111107</c:v>
                </c:pt>
                <c:pt idx="99">
                  <c:v>0.42200116299999962</c:v>
                </c:pt>
                <c:pt idx="100">
                  <c:v>0.41434911027777765</c:v>
                </c:pt>
                <c:pt idx="101">
                  <c:v>0.42533880449999956</c:v>
                </c:pt>
                <c:pt idx="102">
                  <c:v>0.42339805049999996</c:v>
                </c:pt>
                <c:pt idx="103">
                  <c:v>0.43031572555555553</c:v>
                </c:pt>
                <c:pt idx="104">
                  <c:v>0.43652063427777771</c:v>
                </c:pt>
                <c:pt idx="105">
                  <c:v>0.42719379311111122</c:v>
                </c:pt>
                <c:pt idx="106">
                  <c:v>0.44544285216666685</c:v>
                </c:pt>
                <c:pt idx="107">
                  <c:v>0.43758826211111135</c:v>
                </c:pt>
                <c:pt idx="108">
                  <c:v>0.43181483433333323</c:v>
                </c:pt>
                <c:pt idx="109">
                  <c:v>0.43509001772222228</c:v>
                </c:pt>
                <c:pt idx="110">
                  <c:v>0.43614667149999969</c:v>
                </c:pt>
                <c:pt idx="111">
                  <c:v>0.43661365999999996</c:v>
                </c:pt>
                <c:pt idx="112">
                  <c:v>0.39007750122222234</c:v>
                </c:pt>
                <c:pt idx="113">
                  <c:v>0.3707078345</c:v>
                </c:pt>
                <c:pt idx="114">
                  <c:v>0.35881651105555529</c:v>
                </c:pt>
                <c:pt idx="115">
                  <c:v>0.37483479238888839</c:v>
                </c:pt>
                <c:pt idx="116">
                  <c:v>0.37164057322222227</c:v>
                </c:pt>
                <c:pt idx="117">
                  <c:v>0.38044792777777758</c:v>
                </c:pt>
                <c:pt idx="118">
                  <c:v>0.37745686183333388</c:v>
                </c:pt>
                <c:pt idx="119">
                  <c:v>0.36701505927777783</c:v>
                </c:pt>
                <c:pt idx="120">
                  <c:v>0.38033560522222221</c:v>
                </c:pt>
                <c:pt idx="121">
                  <c:v>0.41542824955555596</c:v>
                </c:pt>
                <c:pt idx="122">
                  <c:v>0.43209038083333356</c:v>
                </c:pt>
                <c:pt idx="123">
                  <c:v>0.43503473616666727</c:v>
                </c:pt>
                <c:pt idx="124">
                  <c:v>0.42824859616666677</c:v>
                </c:pt>
                <c:pt idx="125">
                  <c:v>0.42424286872222211</c:v>
                </c:pt>
                <c:pt idx="126">
                  <c:v>0.4552888977222222</c:v>
                </c:pt>
                <c:pt idx="127">
                  <c:v>0.4958351905555558</c:v>
                </c:pt>
                <c:pt idx="128">
                  <c:v>0.49322440366666676</c:v>
                </c:pt>
                <c:pt idx="129">
                  <c:v>0.48521468622222197</c:v>
                </c:pt>
                <c:pt idx="130">
                  <c:v>0.52655133500000006</c:v>
                </c:pt>
                <c:pt idx="131">
                  <c:v>0.52568738066666654</c:v>
                </c:pt>
                <c:pt idx="132">
                  <c:v>0.51495104672222258</c:v>
                </c:pt>
                <c:pt idx="133">
                  <c:v>0.5685766815555553</c:v>
                </c:pt>
                <c:pt idx="134">
                  <c:v>0.57972847038888908</c:v>
                </c:pt>
                <c:pt idx="135">
                  <c:v>0.55891182716666721</c:v>
                </c:pt>
                <c:pt idx="136">
                  <c:v>0.56377595244444456</c:v>
                </c:pt>
                <c:pt idx="137">
                  <c:v>0.54817817916666689</c:v>
                </c:pt>
                <c:pt idx="138">
                  <c:v>0.5646070397222217</c:v>
                </c:pt>
                <c:pt idx="139">
                  <c:v>0.57633306955555574</c:v>
                </c:pt>
                <c:pt idx="140">
                  <c:v>0.5418949862777781</c:v>
                </c:pt>
                <c:pt idx="141">
                  <c:v>0.54929229955555581</c:v>
                </c:pt>
                <c:pt idx="142">
                  <c:v>0.5301030733333334</c:v>
                </c:pt>
                <c:pt idx="143">
                  <c:v>0.53480647477777776</c:v>
                </c:pt>
                <c:pt idx="144">
                  <c:v>0.5289593367222224</c:v>
                </c:pt>
                <c:pt idx="145">
                  <c:v>0.51872514183333351</c:v>
                </c:pt>
                <c:pt idx="146">
                  <c:v>0.52528564433333369</c:v>
                </c:pt>
                <c:pt idx="147">
                  <c:v>0.5000124058333334</c:v>
                </c:pt>
                <c:pt idx="148">
                  <c:v>0.48970897627777804</c:v>
                </c:pt>
                <c:pt idx="149">
                  <c:v>0.49344044177777807</c:v>
                </c:pt>
                <c:pt idx="150">
                  <c:v>0.49637704638888863</c:v>
                </c:pt>
                <c:pt idx="151">
                  <c:v>0.49041376261111114</c:v>
                </c:pt>
                <c:pt idx="152">
                  <c:v>0.52096090416666685</c:v>
                </c:pt>
                <c:pt idx="153">
                  <c:v>0.52318715722222264</c:v>
                </c:pt>
                <c:pt idx="154">
                  <c:v>0.51550750588888872</c:v>
                </c:pt>
                <c:pt idx="155">
                  <c:v>0.50604057883333342</c:v>
                </c:pt>
                <c:pt idx="156">
                  <c:v>0.52103038505555588</c:v>
                </c:pt>
                <c:pt idx="157">
                  <c:v>0.54151098666666686</c:v>
                </c:pt>
                <c:pt idx="158">
                  <c:v>0.52568108416666659</c:v>
                </c:pt>
                <c:pt idx="159">
                  <c:v>0.52952261916666732</c:v>
                </c:pt>
                <c:pt idx="160">
                  <c:v>0.52419882372222193</c:v>
                </c:pt>
                <c:pt idx="161">
                  <c:v>0.52639010849999979</c:v>
                </c:pt>
                <c:pt idx="162">
                  <c:v>0.5216849600000002</c:v>
                </c:pt>
                <c:pt idx="163">
                  <c:v>0.52669143122222251</c:v>
                </c:pt>
                <c:pt idx="164">
                  <c:v>0.51991769266666688</c:v>
                </c:pt>
                <c:pt idx="165">
                  <c:v>0.52294444066666645</c:v>
                </c:pt>
                <c:pt idx="166">
                  <c:v>0.51224772627777804</c:v>
                </c:pt>
                <c:pt idx="167">
                  <c:v>0.51571952722222214</c:v>
                </c:pt>
                <c:pt idx="168">
                  <c:v>0.52946876327777748</c:v>
                </c:pt>
                <c:pt idx="169">
                  <c:v>0.52675159616666645</c:v>
                </c:pt>
                <c:pt idx="170">
                  <c:v>0.54077208899999973</c:v>
                </c:pt>
                <c:pt idx="171">
                  <c:v>0.53548498427777758</c:v>
                </c:pt>
                <c:pt idx="172">
                  <c:v>0.54763346183333361</c:v>
                </c:pt>
                <c:pt idx="173">
                  <c:v>0.5411435152777776</c:v>
                </c:pt>
                <c:pt idx="174">
                  <c:v>0.54567479505555516</c:v>
                </c:pt>
                <c:pt idx="175">
                  <c:v>0.50467062655555517</c:v>
                </c:pt>
                <c:pt idx="176">
                  <c:v>0.48841686161111103</c:v>
                </c:pt>
                <c:pt idx="177">
                  <c:v>0.49414206855555554</c:v>
                </c:pt>
                <c:pt idx="178">
                  <c:v>0.4914693106111111</c:v>
                </c:pt>
                <c:pt idx="179">
                  <c:v>0.49829399433333371</c:v>
                </c:pt>
                <c:pt idx="180">
                  <c:v>0.50051526327777784</c:v>
                </c:pt>
                <c:pt idx="181">
                  <c:v>0.49778043355555535</c:v>
                </c:pt>
                <c:pt idx="182">
                  <c:v>0.50021949366666685</c:v>
                </c:pt>
                <c:pt idx="183">
                  <c:v>0.49831447044444455</c:v>
                </c:pt>
                <c:pt idx="184">
                  <c:v>0.48258007772222178</c:v>
                </c:pt>
                <c:pt idx="185">
                  <c:v>0.46096970872222237</c:v>
                </c:pt>
                <c:pt idx="186">
                  <c:v>0.46904127155555547</c:v>
                </c:pt>
                <c:pt idx="187">
                  <c:v>0.50380093044444496</c:v>
                </c:pt>
                <c:pt idx="188">
                  <c:v>0.52622653850000034</c:v>
                </c:pt>
                <c:pt idx="189">
                  <c:v>0.52522629522222242</c:v>
                </c:pt>
                <c:pt idx="190">
                  <c:v>0.51944125766666704</c:v>
                </c:pt>
                <c:pt idx="191">
                  <c:v>0.50851176938888876</c:v>
                </c:pt>
                <c:pt idx="192">
                  <c:v>0.50131928249999969</c:v>
                </c:pt>
                <c:pt idx="193">
                  <c:v>0.48902602649999971</c:v>
                </c:pt>
                <c:pt idx="194">
                  <c:v>0.50971927205555589</c:v>
                </c:pt>
                <c:pt idx="195">
                  <c:v>0.51717885361111049</c:v>
                </c:pt>
                <c:pt idx="196">
                  <c:v>0.52960844827777809</c:v>
                </c:pt>
                <c:pt idx="197">
                  <c:v>0.52458888599999987</c:v>
                </c:pt>
                <c:pt idx="198">
                  <c:v>0.51267467566666647</c:v>
                </c:pt>
                <c:pt idx="199">
                  <c:v>0.50771592338888849</c:v>
                </c:pt>
                <c:pt idx="200">
                  <c:v>0.51023770088888853</c:v>
                </c:pt>
                <c:pt idx="201">
                  <c:v>0.53296214377777773</c:v>
                </c:pt>
                <c:pt idx="202">
                  <c:v>0.54361332372222204</c:v>
                </c:pt>
                <c:pt idx="203">
                  <c:v>0.53603354144444437</c:v>
                </c:pt>
                <c:pt idx="204">
                  <c:v>0.54191810722222244</c:v>
                </c:pt>
                <c:pt idx="205">
                  <c:v>0.52548905811111069</c:v>
                </c:pt>
                <c:pt idx="206">
                  <c:v>0.50487285977777807</c:v>
                </c:pt>
                <c:pt idx="207">
                  <c:v>0.50795292588888852</c:v>
                </c:pt>
                <c:pt idx="208">
                  <c:v>0.49981421094444461</c:v>
                </c:pt>
                <c:pt idx="209">
                  <c:v>0.47651606433333321</c:v>
                </c:pt>
                <c:pt idx="210">
                  <c:v>0.48204371811111107</c:v>
                </c:pt>
                <c:pt idx="211">
                  <c:v>0.47332598838888923</c:v>
                </c:pt>
                <c:pt idx="212">
                  <c:v>0.47121629066666687</c:v>
                </c:pt>
                <c:pt idx="213">
                  <c:v>0.48180725088888904</c:v>
                </c:pt>
                <c:pt idx="214">
                  <c:v>0.48895336477777768</c:v>
                </c:pt>
                <c:pt idx="215">
                  <c:v>0.50584346094444421</c:v>
                </c:pt>
                <c:pt idx="216">
                  <c:v>0.48678461855555544</c:v>
                </c:pt>
                <c:pt idx="217">
                  <c:v>0.49211390055555571</c:v>
                </c:pt>
                <c:pt idx="218">
                  <c:v>0.49818361116666682</c:v>
                </c:pt>
                <c:pt idx="219">
                  <c:v>0.46514129977777735</c:v>
                </c:pt>
                <c:pt idx="220">
                  <c:v>0.46489435872222201</c:v>
                </c:pt>
                <c:pt idx="221">
                  <c:v>0.46371649977777818</c:v>
                </c:pt>
                <c:pt idx="222">
                  <c:v>0.48187340155555558</c:v>
                </c:pt>
                <c:pt idx="223">
                  <c:v>0.47928985194444401</c:v>
                </c:pt>
                <c:pt idx="224">
                  <c:v>0.51209081938888867</c:v>
                </c:pt>
                <c:pt idx="225">
                  <c:v>0.50923500205555527</c:v>
                </c:pt>
                <c:pt idx="226">
                  <c:v>0.47382455505555543</c:v>
                </c:pt>
                <c:pt idx="227">
                  <c:v>0.45026088466666653</c:v>
                </c:pt>
                <c:pt idx="228">
                  <c:v>0.45828681349999989</c:v>
                </c:pt>
                <c:pt idx="229">
                  <c:v>0.46301681149999996</c:v>
                </c:pt>
                <c:pt idx="230">
                  <c:v>0.47055781377777778</c:v>
                </c:pt>
                <c:pt idx="231">
                  <c:v>0.46058335500000036</c:v>
                </c:pt>
                <c:pt idx="232">
                  <c:v>0.45966801811111146</c:v>
                </c:pt>
                <c:pt idx="233">
                  <c:v>0.45333425683333312</c:v>
                </c:pt>
                <c:pt idx="234">
                  <c:v>0.44711784411111116</c:v>
                </c:pt>
                <c:pt idx="235">
                  <c:v>0.44643424055555592</c:v>
                </c:pt>
                <c:pt idx="236">
                  <c:v>0.45554480988888885</c:v>
                </c:pt>
                <c:pt idx="237">
                  <c:v>0.46347478905555545</c:v>
                </c:pt>
                <c:pt idx="238">
                  <c:v>0.46271782233333364</c:v>
                </c:pt>
                <c:pt idx="239">
                  <c:v>0.43607646183333326</c:v>
                </c:pt>
                <c:pt idx="240">
                  <c:v>0.44232488088888899</c:v>
                </c:pt>
                <c:pt idx="241">
                  <c:v>0.43147840072222216</c:v>
                </c:pt>
                <c:pt idx="242">
                  <c:v>0.43285178272222219</c:v>
                </c:pt>
                <c:pt idx="243">
                  <c:v>0.44170174244444477</c:v>
                </c:pt>
                <c:pt idx="244">
                  <c:v>0.44253104788888897</c:v>
                </c:pt>
                <c:pt idx="245">
                  <c:v>0.43856374149999983</c:v>
                </c:pt>
                <c:pt idx="246">
                  <c:v>0.43885223633333287</c:v>
                </c:pt>
                <c:pt idx="247">
                  <c:v>0.43909920899999966</c:v>
                </c:pt>
                <c:pt idx="248">
                  <c:v>0.45139925888888893</c:v>
                </c:pt>
                <c:pt idx="249">
                  <c:v>0.4546463991666666</c:v>
                </c:pt>
                <c:pt idx="250">
                  <c:v>0.44451046044444442</c:v>
                </c:pt>
                <c:pt idx="251">
                  <c:v>0.45808779466666694</c:v>
                </c:pt>
                <c:pt idx="252">
                  <c:v>0.45384658677777739</c:v>
                </c:pt>
                <c:pt idx="253">
                  <c:v>0.46894696911111139</c:v>
                </c:pt>
                <c:pt idx="254">
                  <c:v>0.46885795255555546</c:v>
                </c:pt>
                <c:pt idx="255">
                  <c:v>0.41385711827777749</c:v>
                </c:pt>
                <c:pt idx="256">
                  <c:v>0.42395992772222235</c:v>
                </c:pt>
                <c:pt idx="257">
                  <c:v>0.41707125250000021</c:v>
                </c:pt>
                <c:pt idx="258">
                  <c:v>0.44047173122222283</c:v>
                </c:pt>
                <c:pt idx="259">
                  <c:v>0.43514890883333285</c:v>
                </c:pt>
                <c:pt idx="260">
                  <c:v>0.43537913161111069</c:v>
                </c:pt>
                <c:pt idx="261">
                  <c:v>0.44369632122222263</c:v>
                </c:pt>
                <c:pt idx="262">
                  <c:v>0.45624986083333352</c:v>
                </c:pt>
                <c:pt idx="263">
                  <c:v>0.45212805149999985</c:v>
                </c:pt>
                <c:pt idx="264">
                  <c:v>0.43503192055555551</c:v>
                </c:pt>
                <c:pt idx="265">
                  <c:v>0.43845461772222188</c:v>
                </c:pt>
                <c:pt idx="266">
                  <c:v>0.44210921900000055</c:v>
                </c:pt>
                <c:pt idx="267">
                  <c:v>0.5076381550000002</c:v>
                </c:pt>
                <c:pt idx="268">
                  <c:v>0.54639012983333302</c:v>
                </c:pt>
                <c:pt idx="269">
                  <c:v>0.55394043838888896</c:v>
                </c:pt>
                <c:pt idx="270">
                  <c:v>0.553023167166667</c:v>
                </c:pt>
                <c:pt idx="271">
                  <c:v>0.55434975111111118</c:v>
                </c:pt>
                <c:pt idx="272">
                  <c:v>0.55175145399999992</c:v>
                </c:pt>
                <c:pt idx="273">
                  <c:v>0.55406865105555581</c:v>
                </c:pt>
                <c:pt idx="274">
                  <c:v>0.57067957661111146</c:v>
                </c:pt>
                <c:pt idx="275">
                  <c:v>0.57281358977777808</c:v>
                </c:pt>
                <c:pt idx="276">
                  <c:v>0.5761293489444439</c:v>
                </c:pt>
                <c:pt idx="277">
                  <c:v>0.59312214350000003</c:v>
                </c:pt>
                <c:pt idx="278">
                  <c:v>0.59134568477777827</c:v>
                </c:pt>
                <c:pt idx="279">
                  <c:v>0.58760875011111113</c:v>
                </c:pt>
                <c:pt idx="280">
                  <c:v>0.58285034633333366</c:v>
                </c:pt>
                <c:pt idx="281">
                  <c:v>0.57046009205555581</c:v>
                </c:pt>
                <c:pt idx="282">
                  <c:v>0.56748863733333321</c:v>
                </c:pt>
                <c:pt idx="283">
                  <c:v>0.57477694161111081</c:v>
                </c:pt>
                <c:pt idx="284">
                  <c:v>0.55786584033333353</c:v>
                </c:pt>
                <c:pt idx="285">
                  <c:v>0.54938059661111094</c:v>
                </c:pt>
                <c:pt idx="286">
                  <c:v>0.52763841688888868</c:v>
                </c:pt>
                <c:pt idx="287">
                  <c:v>0.53839897205555587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0-4A3B-99D0-39A7E64A2786}"/>
            </c:ext>
          </c:extLst>
        </c:ser>
        <c:ser>
          <c:idx val="1"/>
          <c:order val="1"/>
          <c:tx>
            <c:v>Band99_L</c:v>
          </c:tx>
          <c:spPr>
            <a:solidFill>
              <a:srgbClr val="E8E8E8"/>
            </a:solidFill>
          </c:spP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Данные!$BU$2:$BU$289</c:f>
              <c:numCache>
                <c:formatCode>General</c:formatCode>
                <c:ptCount val="288"/>
                <c:pt idx="0">
                  <c:v>2.3190986500000066E-2</c:v>
                </c:pt>
                <c:pt idx="1">
                  <c:v>4.295190900000001E-2</c:v>
                </c:pt>
                <c:pt idx="2">
                  <c:v>3.1228554500000172E-2</c:v>
                </c:pt>
                <c:pt idx="3">
                  <c:v>2.2328515000000215E-2</c:v>
                </c:pt>
                <c:pt idx="4">
                  <c:v>2.7383895000000602E-2</c:v>
                </c:pt>
                <c:pt idx="5">
                  <c:v>1.8008281500000223E-2</c:v>
                </c:pt>
                <c:pt idx="6">
                  <c:v>5.9299240000000308E-3</c:v>
                </c:pt>
                <c:pt idx="7">
                  <c:v>2.7556985500000075E-2</c:v>
                </c:pt>
                <c:pt idx="8">
                  <c:v>1.8349265000000115E-2</c:v>
                </c:pt>
                <c:pt idx="9">
                  <c:v>2.4484157500000103E-2</c:v>
                </c:pt>
                <c:pt idx="10">
                  <c:v>3.7986844500000227E-2</c:v>
                </c:pt>
                <c:pt idx="11">
                  <c:v>3.3537449000000108E-2</c:v>
                </c:pt>
                <c:pt idx="12">
                  <c:v>5.2044448500000062E-2</c:v>
                </c:pt>
                <c:pt idx="13">
                  <c:v>5.0783331499999806E-2</c:v>
                </c:pt>
                <c:pt idx="14">
                  <c:v>3.1283758000000272E-2</c:v>
                </c:pt>
                <c:pt idx="15">
                  <c:v>5.1707876000000097E-2</c:v>
                </c:pt>
                <c:pt idx="16">
                  <c:v>6.3631705499999913E-2</c:v>
                </c:pt>
                <c:pt idx="17">
                  <c:v>6.3250390500000031E-2</c:v>
                </c:pt>
                <c:pt idx="18">
                  <c:v>4.7090873500000241E-2</c:v>
                </c:pt>
                <c:pt idx="19">
                  <c:v>4.6420571999999938E-2</c:v>
                </c:pt>
                <c:pt idx="20">
                  <c:v>5.3471863500000216E-2</c:v>
                </c:pt>
                <c:pt idx="21">
                  <c:v>4.8393383499999776E-2</c:v>
                </c:pt>
                <c:pt idx="22">
                  <c:v>4.8341722000000087E-2</c:v>
                </c:pt>
                <c:pt idx="23">
                  <c:v>4.7933160000000197E-2</c:v>
                </c:pt>
                <c:pt idx="24">
                  <c:v>3.0082778000000643E-2</c:v>
                </c:pt>
                <c:pt idx="25">
                  <c:v>3.3316123500000128E-2</c:v>
                </c:pt>
                <c:pt idx="26">
                  <c:v>2.8623182500000177E-2</c:v>
                </c:pt>
                <c:pt idx="27">
                  <c:v>9.5881939999998833E-3</c:v>
                </c:pt>
                <c:pt idx="28">
                  <c:v>6.35085000000013E-3</c:v>
                </c:pt>
                <c:pt idx="29">
                  <c:v>1.2353011000000191E-2</c:v>
                </c:pt>
                <c:pt idx="30">
                  <c:v>7.7279015000000228E-3</c:v>
                </c:pt>
                <c:pt idx="31">
                  <c:v>2.1975172999999792E-2</c:v>
                </c:pt>
                <c:pt idx="32">
                  <c:v>9.9293864999996928E-3</c:v>
                </c:pt>
                <c:pt idx="33">
                  <c:v>2.5813150000000229E-2</c:v>
                </c:pt>
                <c:pt idx="34">
                  <c:v>3.4415876000000012E-2</c:v>
                </c:pt>
                <c:pt idx="35">
                  <c:v>5.9259706000000134E-2</c:v>
                </c:pt>
                <c:pt idx="36">
                  <c:v>7.5864118000000147E-2</c:v>
                </c:pt>
                <c:pt idx="37">
                  <c:v>7.5620621999999804E-2</c:v>
                </c:pt>
                <c:pt idx="38">
                  <c:v>7.3949138999999997E-2</c:v>
                </c:pt>
                <c:pt idx="39">
                  <c:v>5.0855502499999927E-2</c:v>
                </c:pt>
                <c:pt idx="40">
                  <c:v>5.1644054000000328E-2</c:v>
                </c:pt>
                <c:pt idx="41">
                  <c:v>5.1694774999999915E-2</c:v>
                </c:pt>
                <c:pt idx="42">
                  <c:v>7.0432356500000071E-2</c:v>
                </c:pt>
                <c:pt idx="43">
                  <c:v>7.8763948999999778E-2</c:v>
                </c:pt>
                <c:pt idx="44">
                  <c:v>7.8965601000000163E-2</c:v>
                </c:pt>
                <c:pt idx="45">
                  <c:v>7.1748830999999846E-2</c:v>
                </c:pt>
                <c:pt idx="46">
                  <c:v>6.0796202500000007E-2</c:v>
                </c:pt>
                <c:pt idx="47">
                  <c:v>5.1433997999999481E-2</c:v>
                </c:pt>
                <c:pt idx="48">
                  <c:v>3.8009718999999664E-2</c:v>
                </c:pt>
                <c:pt idx="49">
                  <c:v>3.9963918499999973E-2</c:v>
                </c:pt>
                <c:pt idx="50">
                  <c:v>2.7401682000000038E-2</c:v>
                </c:pt>
                <c:pt idx="51">
                  <c:v>4.9725505500000156E-2</c:v>
                </c:pt>
                <c:pt idx="52">
                  <c:v>5.0912328499999882E-2</c:v>
                </c:pt>
                <c:pt idx="53">
                  <c:v>5.166624649999968E-2</c:v>
                </c:pt>
                <c:pt idx="54">
                  <c:v>4.150082200000027E-2</c:v>
                </c:pt>
                <c:pt idx="55">
                  <c:v>2.8985044000000348E-2</c:v>
                </c:pt>
                <c:pt idx="56">
                  <c:v>3.7922984000000159E-2</c:v>
                </c:pt>
                <c:pt idx="57">
                  <c:v>4.2101460500000354E-2</c:v>
                </c:pt>
                <c:pt idx="58">
                  <c:v>4.5789029000000203E-2</c:v>
                </c:pt>
                <c:pt idx="59">
                  <c:v>4.5984290000000039E-2</c:v>
                </c:pt>
                <c:pt idx="60">
                  <c:v>5.1813734500000153E-2</c:v>
                </c:pt>
                <c:pt idx="61">
                  <c:v>4.6854714500000227E-2</c:v>
                </c:pt>
                <c:pt idx="62">
                  <c:v>4.0806898000000091E-2</c:v>
                </c:pt>
                <c:pt idx="63">
                  <c:v>4.153648949999994E-2</c:v>
                </c:pt>
                <c:pt idx="64">
                  <c:v>3.3482262000000151E-2</c:v>
                </c:pt>
                <c:pt idx="65">
                  <c:v>3.6064572500000058E-2</c:v>
                </c:pt>
                <c:pt idx="66">
                  <c:v>2.4515436000000279E-2</c:v>
                </c:pt>
                <c:pt idx="67">
                  <c:v>1.9058478999999628E-2</c:v>
                </c:pt>
                <c:pt idx="68">
                  <c:v>3.9317794999997324E-3</c:v>
                </c:pt>
                <c:pt idx="69">
                  <c:v>1.3750396000000387E-2</c:v>
                </c:pt>
                <c:pt idx="70">
                  <c:v>1.5446805000004504E-3</c:v>
                </c:pt>
                <c:pt idx="71">
                  <c:v>7.8465420000002339E-3</c:v>
                </c:pt>
                <c:pt idx="72">
                  <c:v>1.1338854999999981E-2</c:v>
                </c:pt>
                <c:pt idx="73">
                  <c:v>7.8851409999997624E-3</c:v>
                </c:pt>
                <c:pt idx="74">
                  <c:v>1.0216909999996027E-3</c:v>
                </c:pt>
                <c:pt idx="75">
                  <c:v>7.3610459999996491E-3</c:v>
                </c:pt>
                <c:pt idx="76">
                  <c:v>4.1306979999996551E-3</c:v>
                </c:pt>
                <c:pt idx="77">
                  <c:v>5.5606375000000763E-3</c:v>
                </c:pt>
                <c:pt idx="78">
                  <c:v>9.470054000000061E-3</c:v>
                </c:pt>
                <c:pt idx="79">
                  <c:v>2.5936790000002374E-3</c:v>
                </c:pt>
                <c:pt idx="80">
                  <c:v>3.3054560000000399E-3</c:v>
                </c:pt>
                <c:pt idx="81">
                  <c:v>7.9582249999959886E-4</c:v>
                </c:pt>
                <c:pt idx="82">
                  <c:v>8.087788500000026E-3</c:v>
                </c:pt>
                <c:pt idx="83">
                  <c:v>1.3856804500000153E-2</c:v>
                </c:pt>
                <c:pt idx="84">
                  <c:v>1.9201693500000172E-2</c:v>
                </c:pt>
                <c:pt idx="85">
                  <c:v>2.0919849499999754E-2</c:v>
                </c:pt>
                <c:pt idx="86">
                  <c:v>1.7665175000000088E-2</c:v>
                </c:pt>
                <c:pt idx="87">
                  <c:v>1.7434791000000283E-2</c:v>
                </c:pt>
                <c:pt idx="88">
                  <c:v>2.3562478499999984E-2</c:v>
                </c:pt>
                <c:pt idx="89">
                  <c:v>2.2676643000000107E-2</c:v>
                </c:pt>
                <c:pt idx="90">
                  <c:v>1.5209040000000007E-2</c:v>
                </c:pt>
                <c:pt idx="91">
                  <c:v>1.7942419000000265E-2</c:v>
                </c:pt>
                <c:pt idx="92">
                  <c:v>1.5765337500000254E-2</c:v>
                </c:pt>
                <c:pt idx="93">
                  <c:v>1.6593357000000086E-2</c:v>
                </c:pt>
                <c:pt idx="94">
                  <c:v>1.2676994000000386E-2</c:v>
                </c:pt>
                <c:pt idx="95">
                  <c:v>1.1784184500000572E-2</c:v>
                </c:pt>
                <c:pt idx="96">
                  <c:v>1.7720053999999708E-2</c:v>
                </c:pt>
                <c:pt idx="97">
                  <c:v>1.1784800499999637E-2</c:v>
                </c:pt>
                <c:pt idx="98">
                  <c:v>1.7541854000000079E-2</c:v>
                </c:pt>
                <c:pt idx="99">
                  <c:v>1.1719367000000258E-2</c:v>
                </c:pt>
                <c:pt idx="100">
                  <c:v>1.7321892500000102E-2</c:v>
                </c:pt>
                <c:pt idx="101">
                  <c:v>1.4540740499999927E-2</c:v>
                </c:pt>
                <c:pt idx="102">
                  <c:v>1.3489954500000456E-2</c:v>
                </c:pt>
                <c:pt idx="103">
                  <c:v>7.414330000000191E-3</c:v>
                </c:pt>
                <c:pt idx="104">
                  <c:v>6.540308499999814E-3</c:v>
                </c:pt>
                <c:pt idx="105">
                  <c:v>2.2012737999999754E-2</c:v>
                </c:pt>
                <c:pt idx="106">
                  <c:v>2.2562369500000068E-2</c:v>
                </c:pt>
                <c:pt idx="107">
                  <c:v>2.8312558999999959E-2</c:v>
                </c:pt>
                <c:pt idx="108">
                  <c:v>3.4578709000000374E-2</c:v>
                </c:pt>
                <c:pt idx="109">
                  <c:v>2.1933059499999852E-2</c:v>
                </c:pt>
                <c:pt idx="110">
                  <c:v>1.1027043499999889E-2</c:v>
                </c:pt>
                <c:pt idx="111">
                  <c:v>1.5423540000000124E-2</c:v>
                </c:pt>
                <c:pt idx="112">
                  <c:v>1.4679510999999978E-2</c:v>
                </c:pt>
                <c:pt idx="113">
                  <c:v>3.1320910500000243E-2</c:v>
                </c:pt>
                <c:pt idx="114">
                  <c:v>5.1061499499999885E-2</c:v>
                </c:pt>
                <c:pt idx="115">
                  <c:v>7.0977131500000068E-2</c:v>
                </c:pt>
                <c:pt idx="116">
                  <c:v>7.4324459000000065E-2</c:v>
                </c:pt>
                <c:pt idx="117">
                  <c:v>6.7003749999999862E-2</c:v>
                </c:pt>
                <c:pt idx="118">
                  <c:v>6.4901556499999347E-2</c:v>
                </c:pt>
                <c:pt idx="119">
                  <c:v>6.958763349999969E-2</c:v>
                </c:pt>
                <c:pt idx="120">
                  <c:v>5.6312047000000032E-2</c:v>
                </c:pt>
                <c:pt idx="121">
                  <c:v>4.9629645999999694E-2</c:v>
                </c:pt>
                <c:pt idx="122">
                  <c:v>4.255352749999991E-2</c:v>
                </c:pt>
                <c:pt idx="123">
                  <c:v>3.6761125499999547E-2</c:v>
                </c:pt>
                <c:pt idx="124">
                  <c:v>4.1445365499999776E-2</c:v>
                </c:pt>
                <c:pt idx="125">
                  <c:v>4.3797418500000018E-2</c:v>
                </c:pt>
                <c:pt idx="126">
                  <c:v>2.6311279500000062E-2</c:v>
                </c:pt>
                <c:pt idx="127">
                  <c:v>4.797814999999872E-3</c:v>
                </c:pt>
                <c:pt idx="128">
                  <c:v>7.5133299999985415E-4</c:v>
                </c:pt>
                <c:pt idx="129">
                  <c:v>5.86757599999993E-3</c:v>
                </c:pt>
                <c:pt idx="130">
                  <c:v>1.0067914999999927E-2</c:v>
                </c:pt>
                <c:pt idx="131">
                  <c:v>1.9787526000000111E-2</c:v>
                </c:pt>
                <c:pt idx="132">
                  <c:v>2.6712020499999767E-2</c:v>
                </c:pt>
                <c:pt idx="133">
                  <c:v>1.0036334000000369E-2</c:v>
                </c:pt>
                <c:pt idx="134">
                  <c:v>1.2119233499999882E-2</c:v>
                </c:pt>
                <c:pt idx="135">
                  <c:v>1.6520344499999506E-2</c:v>
                </c:pt>
                <c:pt idx="136">
                  <c:v>1.3701072000000147E-2</c:v>
                </c:pt>
                <c:pt idx="137">
                  <c:v>1.8135012500000158E-2</c:v>
                </c:pt>
                <c:pt idx="138">
                  <c:v>2.9406575000006097E-3</c:v>
                </c:pt>
                <c:pt idx="139">
                  <c:v>8.1572260000002395E-3</c:v>
                </c:pt>
                <c:pt idx="140">
                  <c:v>2.4899176499999731E-2</c:v>
                </c:pt>
                <c:pt idx="141">
                  <c:v>2.659289599999981E-2</c:v>
                </c:pt>
                <c:pt idx="142">
                  <c:v>3.1719159999999968E-2</c:v>
                </c:pt>
                <c:pt idx="143">
                  <c:v>2.224907300000023E-2</c:v>
                </c:pt>
                <c:pt idx="144">
                  <c:v>7.619430499999913E-3</c:v>
                </c:pt>
                <c:pt idx="145">
                  <c:v>1.2285476499999892E-2</c:v>
                </c:pt>
                <c:pt idx="146">
                  <c:v>1.1027598999999944E-2</c:v>
                </c:pt>
                <c:pt idx="147">
                  <c:v>7.0606525000003195E-3</c:v>
                </c:pt>
                <c:pt idx="148">
                  <c:v>8.8436864999997256E-3</c:v>
                </c:pt>
                <c:pt idx="149">
                  <c:v>1.697475999999698E-3</c:v>
                </c:pt>
                <c:pt idx="150">
                  <c:v>3.9643175000000919E-3</c:v>
                </c:pt>
                <c:pt idx="151">
                  <c:v>1.1210963500000282E-2</c:v>
                </c:pt>
                <c:pt idx="152">
                  <c:v>2.3350937499999724E-2</c:v>
                </c:pt>
                <c:pt idx="153">
                  <c:v>1.3750714999999469E-2</c:v>
                </c:pt>
                <c:pt idx="154">
                  <c:v>2.4817352999999764E-2</c:v>
                </c:pt>
                <c:pt idx="155">
                  <c:v>1.7030909499999969E-2</c:v>
                </c:pt>
                <c:pt idx="156">
                  <c:v>6.7920654999995556E-3</c:v>
                </c:pt>
                <c:pt idx="157">
                  <c:v>7.3479999999959134E-5</c:v>
                </c:pt>
                <c:pt idx="158">
                  <c:v>1.0153357500000015E-2</c:v>
                </c:pt>
                <c:pt idx="159">
                  <c:v>7.4733724999993534E-3</c:v>
                </c:pt>
                <c:pt idx="160">
                  <c:v>1.3382913500000204E-2</c:v>
                </c:pt>
                <c:pt idx="161">
                  <c:v>9.2571765000005746E-3</c:v>
                </c:pt>
                <c:pt idx="162">
                  <c:v>8.8263999999982357E-4</c:v>
                </c:pt>
                <c:pt idx="163">
                  <c:v>2.0962809999998111E-3</c:v>
                </c:pt>
                <c:pt idx="164">
                  <c:v>7.7714339999995774E-3</c:v>
                </c:pt>
                <c:pt idx="165">
                  <c:v>1.7369066000000211E-2</c:v>
                </c:pt>
                <c:pt idx="166">
                  <c:v>1.9003836499999816E-2</c:v>
                </c:pt>
                <c:pt idx="167">
                  <c:v>1.6711144999999927E-2</c:v>
                </c:pt>
                <c:pt idx="168">
                  <c:v>3.7974695000002612E-3</c:v>
                </c:pt>
                <c:pt idx="169">
                  <c:v>7.156165499999978E-3</c:v>
                </c:pt>
                <c:pt idx="170">
                  <c:v>9.616100999999988E-3</c:v>
                </c:pt>
                <c:pt idx="171">
                  <c:v>2.6967858500000164E-2</c:v>
                </c:pt>
                <c:pt idx="172">
                  <c:v>1.5144156499999895E-2</c:v>
                </c:pt>
                <c:pt idx="173">
                  <c:v>1.5789537500000117E-2</c:v>
                </c:pt>
                <c:pt idx="174">
                  <c:v>3.7141555000002047E-3</c:v>
                </c:pt>
                <c:pt idx="175">
                  <c:v>6.9921390000002859E-3</c:v>
                </c:pt>
                <c:pt idx="176">
                  <c:v>1.933425449999987E-2</c:v>
                </c:pt>
                <c:pt idx="177">
                  <c:v>3.0478216999999863E-2</c:v>
                </c:pt>
                <c:pt idx="178">
                  <c:v>3.4591595500000349E-2</c:v>
                </c:pt>
                <c:pt idx="179">
                  <c:v>2.1556248999999916E-2</c:v>
                </c:pt>
                <c:pt idx="180">
                  <c:v>2.6299069500000161E-2</c:v>
                </c:pt>
                <c:pt idx="181">
                  <c:v>2.504680200000009E-2</c:v>
                </c:pt>
                <c:pt idx="182">
                  <c:v>2.2758043000000061E-2</c:v>
                </c:pt>
                <c:pt idx="183">
                  <c:v>1.0609433999999918E-2</c:v>
                </c:pt>
                <c:pt idx="184">
                  <c:v>1.3188499500000339E-2</c:v>
                </c:pt>
                <c:pt idx="185">
                  <c:v>2.6657878500000176E-2</c:v>
                </c:pt>
                <c:pt idx="186">
                  <c:v>2.4883143999999746E-2</c:v>
                </c:pt>
                <c:pt idx="187">
                  <c:v>4.276073999999741E-3</c:v>
                </c:pt>
                <c:pt idx="188">
                  <c:v>1.57831464999999E-2</c:v>
                </c:pt>
                <c:pt idx="189">
                  <c:v>3.0180556999999997E-2</c:v>
                </c:pt>
                <c:pt idx="190">
                  <c:v>3.3079518999999835E-2</c:v>
                </c:pt>
                <c:pt idx="191">
                  <c:v>2.8924824500000224E-2</c:v>
                </c:pt>
                <c:pt idx="192">
                  <c:v>2.9974642500000259E-2</c:v>
                </c:pt>
                <c:pt idx="193">
                  <c:v>4.213223850000003E-2</c:v>
                </c:pt>
                <c:pt idx="194">
                  <c:v>3.1923248499999834E-2</c:v>
                </c:pt>
                <c:pt idx="195">
                  <c:v>1.8350282500000148E-2</c:v>
                </c:pt>
                <c:pt idx="196">
                  <c:v>2.267913449999992E-2</c:v>
                </c:pt>
                <c:pt idx="197">
                  <c:v>2.8132873999999863E-2</c:v>
                </c:pt>
                <c:pt idx="198">
                  <c:v>3.6745180999999905E-2</c:v>
                </c:pt>
                <c:pt idx="199">
                  <c:v>3.880311049999996E-2</c:v>
                </c:pt>
                <c:pt idx="200">
                  <c:v>3.0842108000000201E-2</c:v>
                </c:pt>
                <c:pt idx="201">
                  <c:v>1.356029400000025E-2</c:v>
                </c:pt>
                <c:pt idx="202">
                  <c:v>4.7798135000002295E-3</c:v>
                </c:pt>
                <c:pt idx="203">
                  <c:v>2.1937299999996718E-4</c:v>
                </c:pt>
                <c:pt idx="204">
                  <c:v>3.2246500000021605E-4</c:v>
                </c:pt>
                <c:pt idx="205">
                  <c:v>7.554723000000152E-3</c:v>
                </c:pt>
                <c:pt idx="206">
                  <c:v>1.2889337999999695E-2</c:v>
                </c:pt>
                <c:pt idx="207">
                  <c:v>9.4358330000001711E-3</c:v>
                </c:pt>
                <c:pt idx="208">
                  <c:v>1.1722298499999895E-2</c:v>
                </c:pt>
                <c:pt idx="209">
                  <c:v>1.3862078999999861E-2</c:v>
                </c:pt>
                <c:pt idx="210">
                  <c:v>3.2398629999997319E-3</c:v>
                </c:pt>
                <c:pt idx="211">
                  <c:v>1.4003995499999589E-2</c:v>
                </c:pt>
                <c:pt idx="212">
                  <c:v>1.9401315999999502E-2</c:v>
                </c:pt>
                <c:pt idx="213">
                  <c:v>1.8151958000000079E-2</c:v>
                </c:pt>
                <c:pt idx="214">
                  <c:v>5.0781830000002359E-3</c:v>
                </c:pt>
                <c:pt idx="215">
                  <c:v>5.0944850000023134E-4</c:v>
                </c:pt>
                <c:pt idx="216">
                  <c:v>6.5306670000002676E-3</c:v>
                </c:pt>
                <c:pt idx="217">
                  <c:v>5.0199050000001022E-3</c:v>
                </c:pt>
                <c:pt idx="218">
                  <c:v>2.5646005000001248E-3</c:v>
                </c:pt>
                <c:pt idx="219">
                  <c:v>1.4058198000000577E-2</c:v>
                </c:pt>
                <c:pt idx="220">
                  <c:v>2.1225528500000146E-2</c:v>
                </c:pt>
                <c:pt idx="221">
                  <c:v>1.9350297999999988E-2</c:v>
                </c:pt>
                <c:pt idx="222">
                  <c:v>1.3782713999999918E-2</c:v>
                </c:pt>
                <c:pt idx="223">
                  <c:v>1.6424567500000209E-2</c:v>
                </c:pt>
                <c:pt idx="224">
                  <c:v>1.4372374500000062E-2</c:v>
                </c:pt>
                <c:pt idx="225">
                  <c:v>9.0418185000001872E-3</c:v>
                </c:pt>
                <c:pt idx="226">
                  <c:v>1.6341495500000136E-2</c:v>
                </c:pt>
                <c:pt idx="227">
                  <c:v>1.4708562000000147E-2</c:v>
                </c:pt>
                <c:pt idx="228">
                  <c:v>5.6051215000000876E-3</c:v>
                </c:pt>
                <c:pt idx="229">
                  <c:v>4.5355035000002597E-3</c:v>
                </c:pt>
                <c:pt idx="230">
                  <c:v>1.752123999999966E-3</c:v>
                </c:pt>
                <c:pt idx="231">
                  <c:v>1.037794999999897E-3</c:v>
                </c:pt>
                <c:pt idx="232">
                  <c:v>4.4806299999983201E-4</c:v>
                </c:pt>
                <c:pt idx="233">
                  <c:v>3.1707115000002006E-3</c:v>
                </c:pt>
                <c:pt idx="234">
                  <c:v>8.043496999999955E-3</c:v>
                </c:pt>
                <c:pt idx="235">
                  <c:v>8.9365649999996744E-3</c:v>
                </c:pt>
                <c:pt idx="236">
                  <c:v>3.3153890000000574E-3</c:v>
                </c:pt>
                <c:pt idx="237">
                  <c:v>1.1114015000002753E-3</c:v>
                </c:pt>
                <c:pt idx="238">
                  <c:v>5.5835009999997687E-3</c:v>
                </c:pt>
                <c:pt idx="239">
                  <c:v>1.5510456500000158E-2</c:v>
                </c:pt>
                <c:pt idx="240">
                  <c:v>4.5193280000000446E-3</c:v>
                </c:pt>
                <c:pt idx="241">
                  <c:v>1.0713906500000092E-2</c:v>
                </c:pt>
                <c:pt idx="242">
                  <c:v>1.3115844500000085E-2</c:v>
                </c:pt>
                <c:pt idx="243">
                  <c:v>8.9612819999996263E-3</c:v>
                </c:pt>
                <c:pt idx="244">
                  <c:v>1.4439931000000183E-2</c:v>
                </c:pt>
                <c:pt idx="245">
                  <c:v>1.4716773499999947E-2</c:v>
                </c:pt>
                <c:pt idx="246">
                  <c:v>1.5284026999999978E-2</c:v>
                </c:pt>
                <c:pt idx="247">
                  <c:v>8.5983810000000993E-3</c:v>
                </c:pt>
                <c:pt idx="248">
                  <c:v>4.5719300000003904E-3</c:v>
                </c:pt>
                <c:pt idx="249">
                  <c:v>2.2925924999999681E-3</c:v>
                </c:pt>
                <c:pt idx="250">
                  <c:v>1.165124399999995E-2</c:v>
                </c:pt>
                <c:pt idx="251">
                  <c:v>2.8493519999995831E-3</c:v>
                </c:pt>
                <c:pt idx="252">
                  <c:v>1.6647081000000064E-2</c:v>
                </c:pt>
                <c:pt idx="253">
                  <c:v>7.2248219999997976E-3</c:v>
                </c:pt>
                <c:pt idx="254">
                  <c:v>7.3066729999997082E-3</c:v>
                </c:pt>
                <c:pt idx="255">
                  <c:v>2.5045564499999839E-2</c:v>
                </c:pt>
                <c:pt idx="256">
                  <c:v>1.9104849500000132E-2</c:v>
                </c:pt>
                <c:pt idx="257">
                  <c:v>2.398547250000016E-2</c:v>
                </c:pt>
                <c:pt idx="258">
                  <c:v>1.3267880999999759E-2</c:v>
                </c:pt>
                <c:pt idx="259">
                  <c:v>1.7059179500000299E-2</c:v>
                </c:pt>
                <c:pt idx="260">
                  <c:v>2.1861284500000411E-2</c:v>
                </c:pt>
                <c:pt idx="261">
                  <c:v>1.3693690999999786E-2</c:v>
                </c:pt>
                <c:pt idx="262">
                  <c:v>3.1488847500000083E-2</c:v>
                </c:pt>
                <c:pt idx="263">
                  <c:v>4.7164463500000253E-2</c:v>
                </c:pt>
                <c:pt idx="264">
                  <c:v>5.1112985000000055E-2</c:v>
                </c:pt>
                <c:pt idx="265">
                  <c:v>4.4519359500000077E-2</c:v>
                </c:pt>
                <c:pt idx="266">
                  <c:v>4.029477099999984E-2</c:v>
                </c:pt>
                <c:pt idx="267">
                  <c:v>1.9206494999999824E-2</c:v>
                </c:pt>
                <c:pt idx="268">
                  <c:v>6.1306684999999916E-3</c:v>
                </c:pt>
                <c:pt idx="269">
                  <c:v>8.0898455000000258E-3</c:v>
                </c:pt>
                <c:pt idx="270">
                  <c:v>3.2286045000003982E-3</c:v>
                </c:pt>
                <c:pt idx="271">
                  <c:v>2.1071599999998858E-3</c:v>
                </c:pt>
                <c:pt idx="272">
                  <c:v>4.5828860000001193E-3</c:v>
                </c:pt>
                <c:pt idx="273">
                  <c:v>1.5180159499999957E-2</c:v>
                </c:pt>
                <c:pt idx="274">
                  <c:v>6.7049894999999804E-3</c:v>
                </c:pt>
                <c:pt idx="275">
                  <c:v>4.4542079999995154E-3</c:v>
                </c:pt>
                <c:pt idx="276">
                  <c:v>2.8939405000004692E-3</c:v>
                </c:pt>
                <c:pt idx="277">
                  <c:v>9.0229149999998537E-4</c:v>
                </c:pt>
                <c:pt idx="278">
                  <c:v>1.0530629999996322E-3</c:v>
                </c:pt>
                <c:pt idx="279">
                  <c:v>7.0335099999985218E-4</c:v>
                </c:pt>
                <c:pt idx="280">
                  <c:v>3.2611699999962607E-4</c:v>
                </c:pt>
                <c:pt idx="281">
                  <c:v>2.6399284999998329E-3</c:v>
                </c:pt>
                <c:pt idx="282">
                  <c:v>4.1325360000000755E-3</c:v>
                </c:pt>
                <c:pt idx="283">
                  <c:v>3.0786744999998783E-3</c:v>
                </c:pt>
                <c:pt idx="284">
                  <c:v>1.3098062999999716E-2</c:v>
                </c:pt>
                <c:pt idx="285">
                  <c:v>6.5507695000003308E-3</c:v>
                </c:pt>
                <c:pt idx="286">
                  <c:v>1.497905200000027E-2</c:v>
                </c:pt>
                <c:pt idx="287">
                  <c:v>3.4334849999950734E-4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0-4A3B-99D0-39A7E64A2786}"/>
            </c:ext>
          </c:extLst>
        </c:ser>
        <c:ser>
          <c:idx val="2"/>
          <c:order val="2"/>
          <c:tx>
            <c:v>Band90_L</c:v>
          </c:tx>
          <c:spPr>
            <a:solidFill>
              <a:srgbClr val="C8C8C8"/>
            </a:solidFill>
          </c:spP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Данные!$BV$2:$BV$289</c:f>
              <c:numCache>
                <c:formatCode>General</c:formatCode>
                <c:ptCount val="288"/>
                <c:pt idx="0">
                  <c:v>4.1000267777777766E-2</c:v>
                </c:pt>
                <c:pt idx="1">
                  <c:v>4.4107042777778327E-2</c:v>
                </c:pt>
                <c:pt idx="2">
                  <c:v>4.3070042222221883E-2</c:v>
                </c:pt>
                <c:pt idx="3">
                  <c:v>5.4493141666667411E-2</c:v>
                </c:pt>
                <c:pt idx="4">
                  <c:v>3.9464722222221971E-2</c:v>
                </c:pt>
                <c:pt idx="5">
                  <c:v>4.9809728888889016E-2</c:v>
                </c:pt>
                <c:pt idx="6">
                  <c:v>7.8471261111111579E-3</c:v>
                </c:pt>
                <c:pt idx="7">
                  <c:v>2.6522599444443795E-2</c:v>
                </c:pt>
                <c:pt idx="8">
                  <c:v>4.909385000000055E-2</c:v>
                </c:pt>
                <c:pt idx="9">
                  <c:v>6.1026888888888853E-2</c:v>
                </c:pt>
                <c:pt idx="10">
                  <c:v>5.4830047777777779E-2</c:v>
                </c:pt>
                <c:pt idx="11">
                  <c:v>7.0324506666666453E-2</c:v>
                </c:pt>
                <c:pt idx="12">
                  <c:v>7.1342760000000172E-2</c:v>
                </c:pt>
                <c:pt idx="13">
                  <c:v>6.7904817777778237E-2</c:v>
                </c:pt>
                <c:pt idx="14">
                  <c:v>6.9224682777778046E-2</c:v>
                </c:pt>
                <c:pt idx="15">
                  <c:v>5.1705782222221996E-2</c:v>
                </c:pt>
                <c:pt idx="16">
                  <c:v>7.0903241111111459E-2</c:v>
                </c:pt>
                <c:pt idx="17">
                  <c:v>6.3960730000000354E-2</c:v>
                </c:pt>
                <c:pt idx="18">
                  <c:v>8.2278471111111418E-2</c:v>
                </c:pt>
                <c:pt idx="19">
                  <c:v>9.7638492222222428E-2</c:v>
                </c:pt>
                <c:pt idx="20">
                  <c:v>8.4532284999999652E-2</c:v>
                </c:pt>
                <c:pt idx="21">
                  <c:v>9.0038332222221795E-2</c:v>
                </c:pt>
                <c:pt idx="22">
                  <c:v>9.2064181111110921E-2</c:v>
                </c:pt>
                <c:pt idx="23">
                  <c:v>9.6956474999999709E-2</c:v>
                </c:pt>
                <c:pt idx="24">
                  <c:v>8.6787854999999858E-2</c:v>
                </c:pt>
                <c:pt idx="25">
                  <c:v>8.2031401666666781E-2</c:v>
                </c:pt>
                <c:pt idx="26">
                  <c:v>7.3461813888888727E-2</c:v>
                </c:pt>
                <c:pt idx="27">
                  <c:v>5.7726934444444544E-2</c:v>
                </c:pt>
                <c:pt idx="28">
                  <c:v>3.1912594444444609E-2</c:v>
                </c:pt>
                <c:pt idx="29">
                  <c:v>2.4802035E-2</c:v>
                </c:pt>
                <c:pt idx="30">
                  <c:v>4.6958973333332876E-2</c:v>
                </c:pt>
                <c:pt idx="31">
                  <c:v>7.1441818888888564E-2</c:v>
                </c:pt>
                <c:pt idx="32">
                  <c:v>7.5656809444444306E-2</c:v>
                </c:pt>
                <c:pt idx="33">
                  <c:v>8.0846038888889193E-2</c:v>
                </c:pt>
                <c:pt idx="34">
                  <c:v>7.9844943333333251E-2</c:v>
                </c:pt>
                <c:pt idx="35">
                  <c:v>7.4409851666666915E-2</c:v>
                </c:pt>
                <c:pt idx="36">
                  <c:v>9.1653954999999732E-2</c:v>
                </c:pt>
                <c:pt idx="37">
                  <c:v>8.3938856111111515E-2</c:v>
                </c:pt>
                <c:pt idx="38">
                  <c:v>8.9635212222221483E-2</c:v>
                </c:pt>
                <c:pt idx="39">
                  <c:v>8.0939427777777961E-2</c:v>
                </c:pt>
                <c:pt idx="40">
                  <c:v>7.1447742777777989E-2</c:v>
                </c:pt>
                <c:pt idx="41">
                  <c:v>8.5791036111111107E-2</c:v>
                </c:pt>
                <c:pt idx="42">
                  <c:v>8.1744945555555226E-2</c:v>
                </c:pt>
                <c:pt idx="43">
                  <c:v>8.1292503888889533E-2</c:v>
                </c:pt>
                <c:pt idx="44">
                  <c:v>7.8978743333333767E-2</c:v>
                </c:pt>
                <c:pt idx="45">
                  <c:v>8.2402646111111699E-2</c:v>
                </c:pt>
                <c:pt idx="46">
                  <c:v>8.9216030555555603E-2</c:v>
                </c:pt>
                <c:pt idx="47">
                  <c:v>9.3228474444445097E-2</c:v>
                </c:pt>
                <c:pt idx="48">
                  <c:v>0.11392946222222239</c:v>
                </c:pt>
                <c:pt idx="49">
                  <c:v>0.11463186277777787</c:v>
                </c:pt>
                <c:pt idx="50">
                  <c:v>0.10718855333333344</c:v>
                </c:pt>
                <c:pt idx="51">
                  <c:v>9.8678791111110553E-2</c:v>
                </c:pt>
                <c:pt idx="52">
                  <c:v>0.10444957666666654</c:v>
                </c:pt>
                <c:pt idx="53">
                  <c:v>5.4845262222222357E-2</c:v>
                </c:pt>
                <c:pt idx="54">
                  <c:v>5.5239778333333323E-2</c:v>
                </c:pt>
                <c:pt idx="55">
                  <c:v>8.3683570555555586E-2</c:v>
                </c:pt>
                <c:pt idx="56">
                  <c:v>9.0272042777777284E-2</c:v>
                </c:pt>
                <c:pt idx="57">
                  <c:v>8.8566466111111297E-2</c:v>
                </c:pt>
                <c:pt idx="58">
                  <c:v>8.7146295555555031E-2</c:v>
                </c:pt>
                <c:pt idx="59">
                  <c:v>6.0139547222222089E-2</c:v>
                </c:pt>
                <c:pt idx="60">
                  <c:v>6.3743181111111269E-2</c:v>
                </c:pt>
                <c:pt idx="61">
                  <c:v>5.4802611666666057E-2</c:v>
                </c:pt>
                <c:pt idx="62">
                  <c:v>7.3431943888888851E-2</c:v>
                </c:pt>
                <c:pt idx="63">
                  <c:v>6.9462572777778453E-2</c:v>
                </c:pt>
                <c:pt idx="64">
                  <c:v>5.7760044999999982E-2</c:v>
                </c:pt>
                <c:pt idx="65">
                  <c:v>7.1185063888888789E-2</c:v>
                </c:pt>
                <c:pt idx="66">
                  <c:v>5.9070393333333415E-2</c:v>
                </c:pt>
                <c:pt idx="67">
                  <c:v>6.8748334444444836E-2</c:v>
                </c:pt>
                <c:pt idx="68">
                  <c:v>8.2125439444444392E-2</c:v>
                </c:pt>
                <c:pt idx="69">
                  <c:v>6.1045482222222114E-2</c:v>
                </c:pt>
                <c:pt idx="70">
                  <c:v>9.3772610555555413E-2</c:v>
                </c:pt>
                <c:pt idx="71">
                  <c:v>0.10787584222222174</c:v>
                </c:pt>
                <c:pt idx="72">
                  <c:v>0.1001254000000002</c:v>
                </c:pt>
                <c:pt idx="73">
                  <c:v>0.1032589849999998</c:v>
                </c:pt>
                <c:pt idx="74">
                  <c:v>5.739591555555551E-2</c:v>
                </c:pt>
                <c:pt idx="75">
                  <c:v>5.8902273888888579E-2</c:v>
                </c:pt>
                <c:pt idx="76">
                  <c:v>5.7765843888889279E-2</c:v>
                </c:pt>
                <c:pt idx="77">
                  <c:v>5.1715250000000546E-2</c:v>
                </c:pt>
                <c:pt idx="78">
                  <c:v>5.8800167777778078E-2</c:v>
                </c:pt>
                <c:pt idx="79">
                  <c:v>6.1206931666666575E-2</c:v>
                </c:pt>
                <c:pt idx="80">
                  <c:v>1.4359048888888837E-2</c:v>
                </c:pt>
                <c:pt idx="81">
                  <c:v>1.7532833333333331E-2</c:v>
                </c:pt>
                <c:pt idx="82">
                  <c:v>8.1572877777780217E-3</c:v>
                </c:pt>
                <c:pt idx="83">
                  <c:v>1.3532700555555222E-2</c:v>
                </c:pt>
                <c:pt idx="84">
                  <c:v>2.3182798888889022E-2</c:v>
                </c:pt>
                <c:pt idx="85">
                  <c:v>2.722424222222225E-2</c:v>
                </c:pt>
                <c:pt idx="86">
                  <c:v>2.7164183333333647E-2</c:v>
                </c:pt>
                <c:pt idx="87">
                  <c:v>3.9126776666666974E-2</c:v>
                </c:pt>
                <c:pt idx="88">
                  <c:v>2.8453515555555586E-2</c:v>
                </c:pt>
                <c:pt idx="89">
                  <c:v>3.5676529999999984E-2</c:v>
                </c:pt>
                <c:pt idx="90">
                  <c:v>2.6343930555556061E-2</c:v>
                </c:pt>
                <c:pt idx="91">
                  <c:v>2.8440473333333383E-2</c:v>
                </c:pt>
                <c:pt idx="92">
                  <c:v>2.0248861111111183E-2</c:v>
                </c:pt>
                <c:pt idx="93">
                  <c:v>2.8080211666666355E-2</c:v>
                </c:pt>
                <c:pt idx="94">
                  <c:v>1.8802751111111349E-2</c:v>
                </c:pt>
                <c:pt idx="95">
                  <c:v>1.8704739444444118E-2</c:v>
                </c:pt>
                <c:pt idx="96">
                  <c:v>2.077937055555501E-2</c:v>
                </c:pt>
                <c:pt idx="97">
                  <c:v>2.1609682777777695E-2</c:v>
                </c:pt>
                <c:pt idx="98">
                  <c:v>2.1360378888888865E-2</c:v>
                </c:pt>
                <c:pt idx="99">
                  <c:v>2.429609222222251E-2</c:v>
                </c:pt>
                <c:pt idx="100">
                  <c:v>3.0183205555555759E-2</c:v>
                </c:pt>
                <c:pt idx="101">
                  <c:v>3.5626032777778482E-2</c:v>
                </c:pt>
                <c:pt idx="102">
                  <c:v>2.7725922777777356E-2</c:v>
                </c:pt>
                <c:pt idx="103">
                  <c:v>2.452116666666676E-2</c:v>
                </c:pt>
                <c:pt idx="104">
                  <c:v>3.4247007222222237E-2</c:v>
                </c:pt>
                <c:pt idx="105">
                  <c:v>4.5090157777777973E-2</c:v>
                </c:pt>
                <c:pt idx="106">
                  <c:v>2.7012569999999902E-2</c:v>
                </c:pt>
                <c:pt idx="107">
                  <c:v>5.3375214999999754E-2</c:v>
                </c:pt>
                <c:pt idx="108">
                  <c:v>5.0128948333333034E-2</c:v>
                </c:pt>
                <c:pt idx="109">
                  <c:v>6.9240942222222657E-2</c:v>
                </c:pt>
                <c:pt idx="110">
                  <c:v>7.5322340555555756E-2</c:v>
                </c:pt>
                <c:pt idx="111">
                  <c:v>5.6720513888889046E-2</c:v>
                </c:pt>
                <c:pt idx="112">
                  <c:v>9.6531012777777814E-2</c:v>
                </c:pt>
                <c:pt idx="113">
                  <c:v>0.10048763555555557</c:v>
                </c:pt>
                <c:pt idx="114">
                  <c:v>0.11157447277777799</c:v>
                </c:pt>
                <c:pt idx="115">
                  <c:v>9.1374498333333887E-2</c:v>
                </c:pt>
                <c:pt idx="116">
                  <c:v>9.8933587222222175E-2</c:v>
                </c:pt>
                <c:pt idx="117">
                  <c:v>0.10982467500000043</c:v>
                </c:pt>
                <c:pt idx="118">
                  <c:v>0.14495041777777806</c:v>
                </c:pt>
                <c:pt idx="119">
                  <c:v>0.13017134611111125</c:v>
                </c:pt>
                <c:pt idx="120">
                  <c:v>0.1088886894444443</c:v>
                </c:pt>
                <c:pt idx="121">
                  <c:v>8.9450912777777725E-2</c:v>
                </c:pt>
                <c:pt idx="122">
                  <c:v>7.4214341666666406E-2</c:v>
                </c:pt>
                <c:pt idx="123">
                  <c:v>8.0093107777777395E-2</c:v>
                </c:pt>
                <c:pt idx="124">
                  <c:v>8.196486611111109E-2</c:v>
                </c:pt>
                <c:pt idx="125">
                  <c:v>0.11442437944444461</c:v>
                </c:pt>
                <c:pt idx="126">
                  <c:v>7.8857733888889059E-2</c:v>
                </c:pt>
                <c:pt idx="127">
                  <c:v>4.8312033333333337E-2</c:v>
                </c:pt>
                <c:pt idx="128">
                  <c:v>7.4401085555555246E-2</c:v>
                </c:pt>
                <c:pt idx="129">
                  <c:v>0.1209260294444448</c:v>
                </c:pt>
                <c:pt idx="130">
                  <c:v>7.1327649999999965E-2</c:v>
                </c:pt>
                <c:pt idx="131">
                  <c:v>6.3120082222222318E-2</c:v>
                </c:pt>
                <c:pt idx="132">
                  <c:v>5.9506018888888623E-2</c:v>
                </c:pt>
                <c:pt idx="133">
                  <c:v>4.5971628888888172E-2</c:v>
                </c:pt>
                <c:pt idx="134">
                  <c:v>2.3644737777777647E-2</c:v>
                </c:pt>
                <c:pt idx="135">
                  <c:v>3.9645986666666411E-2</c:v>
                </c:pt>
                <c:pt idx="136">
                  <c:v>4.0454950555555147E-2</c:v>
                </c:pt>
                <c:pt idx="137">
                  <c:v>4.7527236111111093E-2</c:v>
                </c:pt>
                <c:pt idx="138">
                  <c:v>3.4836911111111091E-2</c:v>
                </c:pt>
                <c:pt idx="139">
                  <c:v>1.6557351666666387E-2</c:v>
                </c:pt>
                <c:pt idx="140">
                  <c:v>4.4544781666666533E-2</c:v>
                </c:pt>
                <c:pt idx="141">
                  <c:v>3.9616893333333403E-2</c:v>
                </c:pt>
                <c:pt idx="142">
                  <c:v>4.5011775000000531E-2</c:v>
                </c:pt>
                <c:pt idx="143">
                  <c:v>2.6020568888888485E-2</c:v>
                </c:pt>
                <c:pt idx="144">
                  <c:v>3.6185980000000173E-2</c:v>
                </c:pt>
                <c:pt idx="145">
                  <c:v>4.9155620555555224E-2</c:v>
                </c:pt>
                <c:pt idx="146">
                  <c:v>4.1728478888888643E-2</c:v>
                </c:pt>
                <c:pt idx="147">
                  <c:v>6.2663097222221631E-2</c:v>
                </c:pt>
                <c:pt idx="148">
                  <c:v>7.8696948333333294E-2</c:v>
                </c:pt>
                <c:pt idx="149">
                  <c:v>9.6182273888889169E-2</c:v>
                </c:pt>
                <c:pt idx="150">
                  <c:v>9.0832494444444856E-2</c:v>
                </c:pt>
                <c:pt idx="151">
                  <c:v>7.6122187777777461E-2</c:v>
                </c:pt>
                <c:pt idx="152">
                  <c:v>6.4807772222222781E-2</c:v>
                </c:pt>
                <c:pt idx="153">
                  <c:v>8.1157258333333981E-2</c:v>
                </c:pt>
                <c:pt idx="154">
                  <c:v>7.6411993888889529E-2</c:v>
                </c:pt>
                <c:pt idx="155">
                  <c:v>8.3894294999999675E-2</c:v>
                </c:pt>
                <c:pt idx="156">
                  <c:v>7.3382643888888821E-2</c:v>
                </c:pt>
                <c:pt idx="157">
                  <c:v>5.8821630555555227E-2</c:v>
                </c:pt>
                <c:pt idx="158">
                  <c:v>6.1308797222221934E-2</c:v>
                </c:pt>
                <c:pt idx="159">
                  <c:v>5.2015558333333156E-2</c:v>
                </c:pt>
                <c:pt idx="160">
                  <c:v>4.1704093333333692E-2</c:v>
                </c:pt>
                <c:pt idx="161">
                  <c:v>4.4230548333333508E-2</c:v>
                </c:pt>
                <c:pt idx="162">
                  <c:v>5.6681452777777586E-2</c:v>
                </c:pt>
                <c:pt idx="163">
                  <c:v>5.3595376666666805E-2</c:v>
                </c:pt>
                <c:pt idx="164">
                  <c:v>6.1302412222222324E-2</c:v>
                </c:pt>
                <c:pt idx="165">
                  <c:v>5.6972026666666342E-2</c:v>
                </c:pt>
                <c:pt idx="166">
                  <c:v>9.4037723333333156E-2</c:v>
                </c:pt>
                <c:pt idx="167">
                  <c:v>7.5435016666666965E-2</c:v>
                </c:pt>
                <c:pt idx="168">
                  <c:v>7.2310661666666665E-2</c:v>
                </c:pt>
                <c:pt idx="169">
                  <c:v>7.6846485555556288E-2</c:v>
                </c:pt>
                <c:pt idx="170">
                  <c:v>8.8157437777778402E-2</c:v>
                </c:pt>
                <c:pt idx="171">
                  <c:v>9.212255722222229E-2</c:v>
                </c:pt>
                <c:pt idx="172">
                  <c:v>7.6942739999999787E-2</c:v>
                </c:pt>
                <c:pt idx="173">
                  <c:v>6.4306016666666799E-2</c:v>
                </c:pt>
                <c:pt idx="174">
                  <c:v>7.1220493888889291E-2</c:v>
                </c:pt>
                <c:pt idx="175">
                  <c:v>0.10055039277777822</c:v>
                </c:pt>
                <c:pt idx="176">
                  <c:v>0.1408246588888894</c:v>
                </c:pt>
                <c:pt idx="177">
                  <c:v>0.12717741444444497</c:v>
                </c:pt>
                <c:pt idx="178">
                  <c:v>0.12463266611111101</c:v>
                </c:pt>
                <c:pt idx="179">
                  <c:v>0.13553332888888869</c:v>
                </c:pt>
                <c:pt idx="180">
                  <c:v>0.14323553111111076</c:v>
                </c:pt>
                <c:pt idx="181">
                  <c:v>0.14206652277777754</c:v>
                </c:pt>
                <c:pt idx="182">
                  <c:v>0.10845591055555548</c:v>
                </c:pt>
                <c:pt idx="183">
                  <c:v>9.8630931666666588E-2</c:v>
                </c:pt>
                <c:pt idx="184">
                  <c:v>0.12122780611111106</c:v>
                </c:pt>
                <c:pt idx="185">
                  <c:v>0.12461867666666637</c:v>
                </c:pt>
                <c:pt idx="186">
                  <c:v>0.12132662055555554</c:v>
                </c:pt>
                <c:pt idx="187">
                  <c:v>0.10230981499999958</c:v>
                </c:pt>
                <c:pt idx="188">
                  <c:v>8.3244659444444258E-2</c:v>
                </c:pt>
                <c:pt idx="189">
                  <c:v>8.1612275555555169E-2</c:v>
                </c:pt>
                <c:pt idx="190">
                  <c:v>7.0010359444444226E-2</c:v>
                </c:pt>
                <c:pt idx="191">
                  <c:v>7.3179967222221975E-2</c:v>
                </c:pt>
                <c:pt idx="192">
                  <c:v>7.0908866666666626E-2</c:v>
                </c:pt>
                <c:pt idx="193">
                  <c:v>9.1571835000000323E-2</c:v>
                </c:pt>
                <c:pt idx="194">
                  <c:v>7.4770907222222127E-2</c:v>
                </c:pt>
                <c:pt idx="195">
                  <c:v>7.9185677777778407E-2</c:v>
                </c:pt>
                <c:pt idx="196">
                  <c:v>5.6197261666666498E-2</c:v>
                </c:pt>
                <c:pt idx="197">
                  <c:v>5.3348251111111522E-2</c:v>
                </c:pt>
                <c:pt idx="198">
                  <c:v>5.3538943333333644E-2</c:v>
                </c:pt>
                <c:pt idx="199">
                  <c:v>5.8773710555555581E-2</c:v>
                </c:pt>
                <c:pt idx="200">
                  <c:v>5.0330093888889316E-2</c:v>
                </c:pt>
                <c:pt idx="201">
                  <c:v>3.7917664999999934E-2</c:v>
                </c:pt>
                <c:pt idx="202">
                  <c:v>3.8395385000000504E-2</c:v>
                </c:pt>
                <c:pt idx="203">
                  <c:v>2.4278168888888674E-2</c:v>
                </c:pt>
                <c:pt idx="204">
                  <c:v>1.5082944444444024E-2</c:v>
                </c:pt>
                <c:pt idx="205">
                  <c:v>2.9093666111111194E-2</c:v>
                </c:pt>
                <c:pt idx="206">
                  <c:v>3.0401799444444433E-2</c:v>
                </c:pt>
                <c:pt idx="207">
                  <c:v>2.8769516111111337E-2</c:v>
                </c:pt>
                <c:pt idx="208">
                  <c:v>1.540867388888878E-2</c:v>
                </c:pt>
                <c:pt idx="209">
                  <c:v>3.297079000000025E-2</c:v>
                </c:pt>
                <c:pt idx="210">
                  <c:v>3.5376188333333336E-2</c:v>
                </c:pt>
                <c:pt idx="211">
                  <c:v>4.1389207777777881E-2</c:v>
                </c:pt>
                <c:pt idx="212">
                  <c:v>4.0380015555555759E-2</c:v>
                </c:pt>
                <c:pt idx="213">
                  <c:v>4.4185710555555424E-2</c:v>
                </c:pt>
                <c:pt idx="214">
                  <c:v>4.099941888888925E-2</c:v>
                </c:pt>
                <c:pt idx="215">
                  <c:v>2.2428573888888415E-2</c:v>
                </c:pt>
                <c:pt idx="216">
                  <c:v>2.2379717222222095E-2</c:v>
                </c:pt>
                <c:pt idx="217">
                  <c:v>1.3368994444444449E-2</c:v>
                </c:pt>
                <c:pt idx="218">
                  <c:v>1.4799618888888921E-2</c:v>
                </c:pt>
                <c:pt idx="219">
                  <c:v>4.3653321666666356E-2</c:v>
                </c:pt>
                <c:pt idx="220">
                  <c:v>2.8984993333333431E-2</c:v>
                </c:pt>
                <c:pt idx="221">
                  <c:v>3.2760454999999911E-2</c:v>
                </c:pt>
                <c:pt idx="222">
                  <c:v>2.4698437222222591E-2</c:v>
                </c:pt>
                <c:pt idx="223">
                  <c:v>3.1770813888888638E-2</c:v>
                </c:pt>
                <c:pt idx="224">
                  <c:v>3.1504681111111488E-2</c:v>
                </c:pt>
                <c:pt idx="225">
                  <c:v>2.8048007222222338E-2</c:v>
                </c:pt>
                <c:pt idx="226">
                  <c:v>4.1746407777777994E-2</c:v>
                </c:pt>
                <c:pt idx="227">
                  <c:v>6.2376822777777841E-2</c:v>
                </c:pt>
                <c:pt idx="228">
                  <c:v>5.2929598333333161E-2</c:v>
                </c:pt>
                <c:pt idx="229">
                  <c:v>4.5712810000000326E-2</c:v>
                </c:pt>
                <c:pt idx="230">
                  <c:v>5.1310065000000238E-2</c:v>
                </c:pt>
                <c:pt idx="231">
                  <c:v>4.4704258333333136E-2</c:v>
                </c:pt>
                <c:pt idx="232">
                  <c:v>2.9494066111111328E-2</c:v>
                </c:pt>
                <c:pt idx="233">
                  <c:v>4.0781884444444583E-2</c:v>
                </c:pt>
                <c:pt idx="234">
                  <c:v>4.9636850555555612E-2</c:v>
                </c:pt>
                <c:pt idx="235">
                  <c:v>4.2742672222222333E-2</c:v>
                </c:pt>
                <c:pt idx="236">
                  <c:v>4.4922423333333128E-2</c:v>
                </c:pt>
                <c:pt idx="237">
                  <c:v>3.7005117777777485E-2</c:v>
                </c:pt>
                <c:pt idx="238">
                  <c:v>4.006768500000002E-2</c:v>
                </c:pt>
                <c:pt idx="239">
                  <c:v>4.1492828888888666E-2</c:v>
                </c:pt>
                <c:pt idx="240">
                  <c:v>3.7860110555555326E-2</c:v>
                </c:pt>
                <c:pt idx="241">
                  <c:v>4.5894028888889216E-2</c:v>
                </c:pt>
                <c:pt idx="242">
                  <c:v>6.0347856111111153E-2</c:v>
                </c:pt>
                <c:pt idx="243">
                  <c:v>4.6822567222222444E-2</c:v>
                </c:pt>
                <c:pt idx="244">
                  <c:v>3.6915504444444192E-2</c:v>
                </c:pt>
                <c:pt idx="245">
                  <c:v>5.2065385000000131E-2</c:v>
                </c:pt>
                <c:pt idx="246">
                  <c:v>7.1273239444445025E-2</c:v>
                </c:pt>
                <c:pt idx="247">
                  <c:v>7.6340726666666914E-2</c:v>
                </c:pt>
                <c:pt idx="248">
                  <c:v>7.266741666666654E-2</c:v>
                </c:pt>
                <c:pt idx="249">
                  <c:v>7.0556833333333346E-2</c:v>
                </c:pt>
                <c:pt idx="250">
                  <c:v>8.1773031666666607E-2</c:v>
                </c:pt>
                <c:pt idx="251">
                  <c:v>6.2054136666666926E-2</c:v>
                </c:pt>
                <c:pt idx="252">
                  <c:v>5.7009904444444426E-2</c:v>
                </c:pt>
                <c:pt idx="253">
                  <c:v>4.0767692222222096E-2</c:v>
                </c:pt>
                <c:pt idx="254">
                  <c:v>3.8864580000000704E-2</c:v>
                </c:pt>
                <c:pt idx="255">
                  <c:v>8.4578067222222719E-2</c:v>
                </c:pt>
                <c:pt idx="256">
                  <c:v>0.10525737833333315</c:v>
                </c:pt>
                <c:pt idx="257">
                  <c:v>0.11424958055555479</c:v>
                </c:pt>
                <c:pt idx="258">
                  <c:v>0.10701537388888849</c:v>
                </c:pt>
                <c:pt idx="259">
                  <c:v>0.11374159777777793</c:v>
                </c:pt>
                <c:pt idx="260">
                  <c:v>0.11786109777777831</c:v>
                </c:pt>
                <c:pt idx="261">
                  <c:v>0.10871491555555535</c:v>
                </c:pt>
                <c:pt idx="262">
                  <c:v>7.4526847222221748E-2</c:v>
                </c:pt>
                <c:pt idx="263">
                  <c:v>7.6019334999999966E-2</c:v>
                </c:pt>
                <c:pt idx="264">
                  <c:v>7.7886172222222383E-2</c:v>
                </c:pt>
                <c:pt idx="265">
                  <c:v>9.8192697777778448E-2</c:v>
                </c:pt>
                <c:pt idx="266">
                  <c:v>0.10251490999999963</c:v>
                </c:pt>
                <c:pt idx="267">
                  <c:v>9.8431647222221974E-2</c:v>
                </c:pt>
                <c:pt idx="268">
                  <c:v>6.6267068333333512E-2</c:v>
                </c:pt>
                <c:pt idx="269">
                  <c:v>8.3977746666666464E-2</c:v>
                </c:pt>
                <c:pt idx="270">
                  <c:v>8.1551714444443535E-2</c:v>
                </c:pt>
                <c:pt idx="271">
                  <c:v>7.1408133333333401E-2</c:v>
                </c:pt>
                <c:pt idx="272">
                  <c:v>6.7433112777778081E-2</c:v>
                </c:pt>
                <c:pt idx="273">
                  <c:v>5.2795689444443905E-2</c:v>
                </c:pt>
                <c:pt idx="274">
                  <c:v>4.789584499999977E-2</c:v>
                </c:pt>
                <c:pt idx="275">
                  <c:v>5.93142300000008E-2</c:v>
                </c:pt>
                <c:pt idx="276">
                  <c:v>3.0621571666666569E-2</c:v>
                </c:pt>
                <c:pt idx="277">
                  <c:v>2.4283914999999934E-2</c:v>
                </c:pt>
                <c:pt idx="278">
                  <c:v>2.0685288333333496E-2</c:v>
                </c:pt>
                <c:pt idx="279">
                  <c:v>1.6039743333333134E-2</c:v>
                </c:pt>
                <c:pt idx="280">
                  <c:v>2.4119900555555684E-2</c:v>
                </c:pt>
                <c:pt idx="281">
                  <c:v>4.2450248888889264E-2</c:v>
                </c:pt>
                <c:pt idx="282">
                  <c:v>5.0252448888888801E-2</c:v>
                </c:pt>
                <c:pt idx="283">
                  <c:v>3.4252020000000494E-2</c:v>
                </c:pt>
                <c:pt idx="284">
                  <c:v>1.5473941111111111E-2</c:v>
                </c:pt>
                <c:pt idx="285">
                  <c:v>2.4229550555555091E-2</c:v>
                </c:pt>
                <c:pt idx="286">
                  <c:v>2.9175875555555675E-2</c:v>
                </c:pt>
                <c:pt idx="287">
                  <c:v>2.7054021111111437E-2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B0-4A3B-99D0-39A7E64A2786}"/>
            </c:ext>
          </c:extLst>
        </c:ser>
        <c:ser>
          <c:idx val="3"/>
          <c:order val="3"/>
          <c:tx>
            <c:v>Band50_L</c:v>
          </c:tx>
          <c:spPr>
            <a:solidFill>
              <a:srgbClr val="ACACAC"/>
            </a:solidFill>
          </c:spP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Данные!$BW$2:$BW$289</c:f>
              <c:numCache>
                <c:formatCode>General</c:formatCode>
                <c:ptCount val="288"/>
                <c:pt idx="0">
                  <c:v>2.2182669444444136E-2</c:v>
                </c:pt>
                <c:pt idx="1">
                  <c:v>3.0260086111111084E-2</c:v>
                </c:pt>
                <c:pt idx="2">
                  <c:v>2.0351108333333645E-2</c:v>
                </c:pt>
                <c:pt idx="3">
                  <c:v>2.82232972222215E-2</c:v>
                </c:pt>
                <c:pt idx="4">
                  <c:v>3.0973977777777995E-2</c:v>
                </c:pt>
                <c:pt idx="5">
                  <c:v>1.2493536111110481E-2</c:v>
                </c:pt>
                <c:pt idx="6">
                  <c:v>1.1048263888888799E-2</c:v>
                </c:pt>
                <c:pt idx="7">
                  <c:v>2.7615583333333915E-2</c:v>
                </c:pt>
                <c:pt idx="8">
                  <c:v>3.6535466666666183E-2</c:v>
                </c:pt>
                <c:pt idx="9">
                  <c:v>3.668886388888859E-2</c:v>
                </c:pt>
                <c:pt idx="10">
                  <c:v>4.1814908333333123E-2</c:v>
                </c:pt>
                <c:pt idx="11">
                  <c:v>3.9160700000000048E-2</c:v>
                </c:pt>
                <c:pt idx="12">
                  <c:v>3.9552691666666751E-2</c:v>
                </c:pt>
                <c:pt idx="13">
                  <c:v>2.9189974999999646E-2</c:v>
                </c:pt>
                <c:pt idx="14">
                  <c:v>3.4405869444444126E-2</c:v>
                </c:pt>
                <c:pt idx="15">
                  <c:v>7.050797777777762E-2</c:v>
                </c:pt>
                <c:pt idx="16">
                  <c:v>7.046700277777751E-2</c:v>
                </c:pt>
                <c:pt idx="17">
                  <c:v>7.4975947222221895E-2</c:v>
                </c:pt>
                <c:pt idx="18">
                  <c:v>7.0386624999999814E-2</c:v>
                </c:pt>
                <c:pt idx="19">
                  <c:v>4.4806611111110728E-2</c:v>
                </c:pt>
                <c:pt idx="20">
                  <c:v>3.9106505555556059E-2</c:v>
                </c:pt>
                <c:pt idx="21">
                  <c:v>6.5000513888888833E-2</c:v>
                </c:pt>
                <c:pt idx="22">
                  <c:v>4.1770033333333845E-2</c:v>
                </c:pt>
                <c:pt idx="23">
                  <c:v>4.2976491666666949E-2</c:v>
                </c:pt>
                <c:pt idx="24">
                  <c:v>3.3827919444444521E-2</c:v>
                </c:pt>
                <c:pt idx="25">
                  <c:v>4.3430083333333647E-2</c:v>
                </c:pt>
                <c:pt idx="26">
                  <c:v>4.0720899999999949E-2</c:v>
                </c:pt>
                <c:pt idx="27">
                  <c:v>8.1802294444444423E-2</c:v>
                </c:pt>
                <c:pt idx="28">
                  <c:v>0.1037883555555551</c:v>
                </c:pt>
                <c:pt idx="29">
                  <c:v>0.11667089722222224</c:v>
                </c:pt>
                <c:pt idx="30">
                  <c:v>0.1192289194444448</c:v>
                </c:pt>
                <c:pt idx="31">
                  <c:v>7.9635966666666946E-2</c:v>
                </c:pt>
                <c:pt idx="32">
                  <c:v>8.6112661111111266E-2</c:v>
                </c:pt>
                <c:pt idx="33">
                  <c:v>5.794458888888887E-2</c:v>
                </c:pt>
                <c:pt idx="34">
                  <c:v>5.6392872222222667E-2</c:v>
                </c:pt>
                <c:pt idx="35">
                  <c:v>4.998825277777752E-2</c:v>
                </c:pt>
                <c:pt idx="36">
                  <c:v>4.5547325000000138E-2</c:v>
                </c:pt>
                <c:pt idx="37">
                  <c:v>3.9587741666666232E-2</c:v>
                </c:pt>
                <c:pt idx="38">
                  <c:v>3.7645772222222762E-2</c:v>
                </c:pt>
                <c:pt idx="39">
                  <c:v>2.6770174999999341E-2</c:v>
                </c:pt>
                <c:pt idx="40">
                  <c:v>1.8448197222222018E-2</c:v>
                </c:pt>
                <c:pt idx="41">
                  <c:v>2.5301380555555308E-2</c:v>
                </c:pt>
                <c:pt idx="42">
                  <c:v>1.3160886111110881E-2</c:v>
                </c:pt>
                <c:pt idx="43">
                  <c:v>1.7312313888888875E-2</c:v>
                </c:pt>
                <c:pt idx="44">
                  <c:v>1.6158799999999807E-2</c:v>
                </c:pt>
                <c:pt idx="45">
                  <c:v>1.8943419444443776E-2</c:v>
                </c:pt>
                <c:pt idx="46">
                  <c:v>4.1686544444444529E-2</c:v>
                </c:pt>
                <c:pt idx="47">
                  <c:v>3.9645983333333135E-2</c:v>
                </c:pt>
                <c:pt idx="48">
                  <c:v>3.1330300000000477E-2</c:v>
                </c:pt>
                <c:pt idx="49">
                  <c:v>3.4614983333333238E-2</c:v>
                </c:pt>
                <c:pt idx="50">
                  <c:v>5.2970161111110969E-2</c:v>
                </c:pt>
                <c:pt idx="51">
                  <c:v>4.8191163888888999E-2</c:v>
                </c:pt>
                <c:pt idx="52">
                  <c:v>4.0727952777778298E-2</c:v>
                </c:pt>
                <c:pt idx="53">
                  <c:v>8.3170802777777442E-2</c:v>
                </c:pt>
                <c:pt idx="54">
                  <c:v>8.9531625000000226E-2</c:v>
                </c:pt>
                <c:pt idx="55">
                  <c:v>7.3439525000000061E-2</c:v>
                </c:pt>
                <c:pt idx="56">
                  <c:v>5.9502719444444407E-2</c:v>
                </c:pt>
                <c:pt idx="57">
                  <c:v>4.2711966666666767E-2</c:v>
                </c:pt>
                <c:pt idx="58">
                  <c:v>5.8159888888889233E-2</c:v>
                </c:pt>
                <c:pt idx="59">
                  <c:v>8.0186080555556094E-2</c:v>
                </c:pt>
                <c:pt idx="60">
                  <c:v>9.2117791666666504E-2</c:v>
                </c:pt>
                <c:pt idx="61">
                  <c:v>0.1030065500000007</c:v>
                </c:pt>
                <c:pt idx="62">
                  <c:v>6.8084730555555306E-2</c:v>
                </c:pt>
                <c:pt idx="63">
                  <c:v>6.6437727777777567E-2</c:v>
                </c:pt>
                <c:pt idx="64">
                  <c:v>8.1506247222222272E-2</c:v>
                </c:pt>
                <c:pt idx="65">
                  <c:v>6.0980688888888801E-2</c:v>
                </c:pt>
                <c:pt idx="66">
                  <c:v>7.8379988888888918E-2</c:v>
                </c:pt>
                <c:pt idx="67">
                  <c:v>8.2521316666666511E-2</c:v>
                </c:pt>
                <c:pt idx="68">
                  <c:v>5.6452833333333396E-2</c:v>
                </c:pt>
                <c:pt idx="69">
                  <c:v>8.2162272222221833E-2</c:v>
                </c:pt>
                <c:pt idx="70">
                  <c:v>6.7882166666667243E-2</c:v>
                </c:pt>
                <c:pt idx="71">
                  <c:v>6.0050172222222253E-2</c:v>
                </c:pt>
                <c:pt idx="72">
                  <c:v>4.4621983333333171E-2</c:v>
                </c:pt>
                <c:pt idx="73">
                  <c:v>4.2732991666666442E-2</c:v>
                </c:pt>
                <c:pt idx="74">
                  <c:v>6.3644538888889324E-2</c:v>
                </c:pt>
                <c:pt idx="75">
                  <c:v>3.3272186111111601E-2</c:v>
                </c:pt>
                <c:pt idx="76">
                  <c:v>3.3651175000000366E-2</c:v>
                </c:pt>
                <c:pt idx="77">
                  <c:v>3.4707491666666312E-2</c:v>
                </c:pt>
                <c:pt idx="78">
                  <c:v>3.7975461111110831E-2</c:v>
                </c:pt>
                <c:pt idx="79">
                  <c:v>2.7260269444444041E-2</c:v>
                </c:pt>
                <c:pt idx="80">
                  <c:v>6.6697933333333514E-2</c:v>
                </c:pt>
                <c:pt idx="81">
                  <c:v>7.4733108333333187E-2</c:v>
                </c:pt>
                <c:pt idx="82">
                  <c:v>5.6184580555555197E-2</c:v>
                </c:pt>
                <c:pt idx="83">
                  <c:v>6.3871583333333537E-2</c:v>
                </c:pt>
                <c:pt idx="84">
                  <c:v>6.0854980555554883E-2</c:v>
                </c:pt>
                <c:pt idx="85">
                  <c:v>5.1007974999999872E-2</c:v>
                </c:pt>
                <c:pt idx="86">
                  <c:v>4.3333083333333633E-2</c:v>
                </c:pt>
                <c:pt idx="87">
                  <c:v>5.2716622222221898E-2</c:v>
                </c:pt>
                <c:pt idx="88">
                  <c:v>5.2420597222222531E-2</c:v>
                </c:pt>
                <c:pt idx="89">
                  <c:v>5.1396500000000178E-2</c:v>
                </c:pt>
                <c:pt idx="90">
                  <c:v>6.4063247222222397E-2</c:v>
                </c:pt>
                <c:pt idx="91">
                  <c:v>6.4515422222222396E-2</c:v>
                </c:pt>
                <c:pt idx="92">
                  <c:v>6.0091030555555369E-2</c:v>
                </c:pt>
                <c:pt idx="93">
                  <c:v>6.266290277777814E-2</c:v>
                </c:pt>
                <c:pt idx="94">
                  <c:v>6.8106122222222065E-2</c:v>
                </c:pt>
                <c:pt idx="95">
                  <c:v>6.9478372222222196E-2</c:v>
                </c:pt>
                <c:pt idx="96">
                  <c:v>7.7894847222222785E-2</c:v>
                </c:pt>
                <c:pt idx="97">
                  <c:v>7.9910816666666495E-2</c:v>
                </c:pt>
                <c:pt idx="98">
                  <c:v>5.8106916666666286E-2</c:v>
                </c:pt>
                <c:pt idx="99">
                  <c:v>5.6286994444444294E-2</c:v>
                </c:pt>
                <c:pt idx="100">
                  <c:v>6.5252108333333447E-2</c:v>
                </c:pt>
                <c:pt idx="101">
                  <c:v>7.0007927777777923E-2</c:v>
                </c:pt>
                <c:pt idx="102">
                  <c:v>8.572387777777779E-2</c:v>
                </c:pt>
                <c:pt idx="103">
                  <c:v>8.4946338888888362E-2</c:v>
                </c:pt>
                <c:pt idx="104">
                  <c:v>6.5880872222222331E-2</c:v>
                </c:pt>
                <c:pt idx="105">
                  <c:v>6.5207138888888683E-2</c:v>
                </c:pt>
                <c:pt idx="106">
                  <c:v>6.9445119444444203E-2</c:v>
                </c:pt>
                <c:pt idx="107">
                  <c:v>4.6566941666666639E-2</c:v>
                </c:pt>
                <c:pt idx="108">
                  <c:v>6.1806774999999647E-2</c:v>
                </c:pt>
                <c:pt idx="109">
                  <c:v>4.8379852777777121E-2</c:v>
                </c:pt>
                <c:pt idx="110">
                  <c:v>4.6481822222222635E-2</c:v>
                </c:pt>
                <c:pt idx="111">
                  <c:v>5.2926691666666303E-2</c:v>
                </c:pt>
                <c:pt idx="112">
                  <c:v>0.10950994166666683</c:v>
                </c:pt>
                <c:pt idx="113">
                  <c:v>0.10040161944444415</c:v>
                </c:pt>
                <c:pt idx="114">
                  <c:v>6.7415216666666944E-2</c:v>
                </c:pt>
                <c:pt idx="115">
                  <c:v>6.128739444444431E-2</c:v>
                </c:pt>
                <c:pt idx="116">
                  <c:v>8.0827686111111352E-2</c:v>
                </c:pt>
                <c:pt idx="117">
                  <c:v>8.4459075000000383E-2</c:v>
                </c:pt>
                <c:pt idx="118">
                  <c:v>6.7537658333333361E-2</c:v>
                </c:pt>
                <c:pt idx="119">
                  <c:v>7.5919511111111837E-2</c:v>
                </c:pt>
                <c:pt idx="120">
                  <c:v>9.8517163888889092E-2</c:v>
                </c:pt>
                <c:pt idx="121">
                  <c:v>7.9591113888888954E-2</c:v>
                </c:pt>
                <c:pt idx="122">
                  <c:v>8.2303544444444654E-2</c:v>
                </c:pt>
                <c:pt idx="123">
                  <c:v>8.0103736111110879E-2</c:v>
                </c:pt>
                <c:pt idx="124">
                  <c:v>7.6155327777778115E-2</c:v>
                </c:pt>
                <c:pt idx="125">
                  <c:v>3.3215305555555408E-2</c:v>
                </c:pt>
                <c:pt idx="126">
                  <c:v>7.8615427777777414E-2</c:v>
                </c:pt>
                <c:pt idx="127">
                  <c:v>9.2770761111111266E-2</c:v>
                </c:pt>
                <c:pt idx="128">
                  <c:v>6.2850294444444454E-2</c:v>
                </c:pt>
                <c:pt idx="129">
                  <c:v>3.5843941666666379E-2</c:v>
                </c:pt>
                <c:pt idx="130">
                  <c:v>3.6954555555555602E-2</c:v>
                </c:pt>
                <c:pt idx="131">
                  <c:v>2.8773822222221801E-2</c:v>
                </c:pt>
                <c:pt idx="132">
                  <c:v>4.0673502777777704E-2</c:v>
                </c:pt>
                <c:pt idx="133">
                  <c:v>2.1274583333333874E-2</c:v>
                </c:pt>
                <c:pt idx="134">
                  <c:v>4.2833913888889019E-2</c:v>
                </c:pt>
                <c:pt idx="135">
                  <c:v>3.1014475000000541E-2</c:v>
                </c:pt>
                <c:pt idx="136">
                  <c:v>2.8955636111111405E-2</c:v>
                </c:pt>
                <c:pt idx="137">
                  <c:v>4.0585961111110902E-2</c:v>
                </c:pt>
                <c:pt idx="138">
                  <c:v>3.7551969444444389E-2</c:v>
                </c:pt>
                <c:pt idx="139">
                  <c:v>3.5867591666666421E-2</c:v>
                </c:pt>
                <c:pt idx="140">
                  <c:v>2.4518861111111345E-2</c:v>
                </c:pt>
                <c:pt idx="141">
                  <c:v>2.1288216666666582E-2</c:v>
                </c:pt>
                <c:pt idx="142">
                  <c:v>2.8685252777777337E-2</c:v>
                </c:pt>
                <c:pt idx="143">
                  <c:v>5.9718766666666867E-2</c:v>
                </c:pt>
                <c:pt idx="144">
                  <c:v>7.6634880555555673E-2</c:v>
                </c:pt>
                <c:pt idx="145">
                  <c:v>5.983868333333342E-2</c:v>
                </c:pt>
                <c:pt idx="146">
                  <c:v>5.5320477777777599E-2</c:v>
                </c:pt>
                <c:pt idx="147">
                  <c:v>5.399541111111128E-2</c:v>
                </c:pt>
                <c:pt idx="148">
                  <c:v>6.2048666666666863E-2</c:v>
                </c:pt>
                <c:pt idx="149">
                  <c:v>5.2362424999999657E-2</c:v>
                </c:pt>
                <c:pt idx="150">
                  <c:v>5.2753252777777537E-2</c:v>
                </c:pt>
                <c:pt idx="151">
                  <c:v>4.2357924999999907E-2</c:v>
                </c:pt>
                <c:pt idx="152">
                  <c:v>5.097043611111074E-2</c:v>
                </c:pt>
                <c:pt idx="153">
                  <c:v>4.0481630555554982E-2</c:v>
                </c:pt>
                <c:pt idx="154">
                  <c:v>4.5740502777777414E-2</c:v>
                </c:pt>
                <c:pt idx="155">
                  <c:v>3.9781427777777933E-2</c:v>
                </c:pt>
                <c:pt idx="156">
                  <c:v>2.2723188888889134E-2</c:v>
                </c:pt>
                <c:pt idx="157">
                  <c:v>3.0309902777777675E-2</c:v>
                </c:pt>
                <c:pt idx="158">
                  <c:v>3.1404550000000531E-2</c:v>
                </c:pt>
                <c:pt idx="159">
                  <c:v>4.6515716666666762E-2</c:v>
                </c:pt>
                <c:pt idx="160">
                  <c:v>7.4731102777777503E-2</c:v>
                </c:pt>
                <c:pt idx="161">
                  <c:v>8.2685566666666155E-2</c:v>
                </c:pt>
                <c:pt idx="162">
                  <c:v>8.240294166666684E-2</c:v>
                </c:pt>
                <c:pt idx="163">
                  <c:v>4.8065705555555338E-2</c:v>
                </c:pt>
                <c:pt idx="164">
                  <c:v>5.5815244444444079E-2</c:v>
                </c:pt>
                <c:pt idx="165">
                  <c:v>8.2308394444444932E-2</c:v>
                </c:pt>
                <c:pt idx="166">
                  <c:v>5.9496819444444515E-2</c:v>
                </c:pt>
                <c:pt idx="167">
                  <c:v>8.003867777777729E-2</c:v>
                </c:pt>
                <c:pt idx="168">
                  <c:v>7.7217972222222042E-2</c:v>
                </c:pt>
                <c:pt idx="169">
                  <c:v>8.0385174999999531E-2</c:v>
                </c:pt>
                <c:pt idx="170">
                  <c:v>5.8335111111110893E-2</c:v>
                </c:pt>
                <c:pt idx="171">
                  <c:v>4.3025777777777829E-2</c:v>
                </c:pt>
                <c:pt idx="172">
                  <c:v>5.4623658333333269E-2</c:v>
                </c:pt>
                <c:pt idx="173">
                  <c:v>7.0067469444444197E-2</c:v>
                </c:pt>
                <c:pt idx="174">
                  <c:v>6.3564272222222162E-2</c:v>
                </c:pt>
                <c:pt idx="175">
                  <c:v>6.6253041666665902E-2</c:v>
                </c:pt>
                <c:pt idx="176">
                  <c:v>4.1417024999999663E-2</c:v>
                </c:pt>
                <c:pt idx="177">
                  <c:v>4.8093038888888828E-2</c:v>
                </c:pt>
                <c:pt idx="178">
                  <c:v>6.0403972222222047E-2</c:v>
                </c:pt>
                <c:pt idx="179">
                  <c:v>4.9956333333333269E-2</c:v>
                </c:pt>
                <c:pt idx="180">
                  <c:v>2.3207330555555683E-2</c:v>
                </c:pt>
                <c:pt idx="181">
                  <c:v>4.8861602777778068E-2</c:v>
                </c:pt>
                <c:pt idx="182">
                  <c:v>7.4761541666666709E-2</c:v>
                </c:pt>
                <c:pt idx="183">
                  <c:v>8.722649722222231E-2</c:v>
                </c:pt>
                <c:pt idx="184">
                  <c:v>5.7287150000000064E-2</c:v>
                </c:pt>
                <c:pt idx="185">
                  <c:v>5.394301944444424E-2</c:v>
                </c:pt>
                <c:pt idx="186">
                  <c:v>5.7338091666666813E-2</c:v>
                </c:pt>
                <c:pt idx="187">
                  <c:v>7.2875475000000467E-2</c:v>
                </c:pt>
                <c:pt idx="188">
                  <c:v>5.265105555555516E-2</c:v>
                </c:pt>
                <c:pt idx="189">
                  <c:v>3.7485672222222433E-2</c:v>
                </c:pt>
                <c:pt idx="190">
                  <c:v>6.0043441666666975E-2</c:v>
                </c:pt>
                <c:pt idx="191">
                  <c:v>5.8105311111111391E-2</c:v>
                </c:pt>
                <c:pt idx="192">
                  <c:v>6.3308041666666814E-2</c:v>
                </c:pt>
                <c:pt idx="193">
                  <c:v>1.4081450000000273E-2</c:v>
                </c:pt>
                <c:pt idx="194">
                  <c:v>2.2507505555555585E-2</c:v>
                </c:pt>
                <c:pt idx="195">
                  <c:v>2.0600474999999951E-2</c:v>
                </c:pt>
                <c:pt idx="196">
                  <c:v>2.9962649999999758E-2</c:v>
                </c:pt>
                <c:pt idx="197">
                  <c:v>2.6807305555555438E-2</c:v>
                </c:pt>
                <c:pt idx="198">
                  <c:v>2.4888694444444526E-2</c:v>
                </c:pt>
                <c:pt idx="199">
                  <c:v>3.1956422222223058E-2</c:v>
                </c:pt>
                <c:pt idx="200">
                  <c:v>3.8318313888888622E-2</c:v>
                </c:pt>
                <c:pt idx="201">
                  <c:v>4.937986944444428E-2</c:v>
                </c:pt>
                <c:pt idx="202">
                  <c:v>3.3648238888888349E-2</c:v>
                </c:pt>
                <c:pt idx="203">
                  <c:v>4.1978266666667263E-2</c:v>
                </c:pt>
                <c:pt idx="204">
                  <c:v>5.531728888888876E-2</c:v>
                </c:pt>
                <c:pt idx="205">
                  <c:v>2.8797258333333353E-2</c:v>
                </c:pt>
                <c:pt idx="206">
                  <c:v>4.1738258333333222E-2</c:v>
                </c:pt>
                <c:pt idx="207">
                  <c:v>3.6290930555555323E-2</c:v>
                </c:pt>
                <c:pt idx="208">
                  <c:v>5.5784772222222223E-2</c:v>
                </c:pt>
                <c:pt idx="209">
                  <c:v>5.4471261111111224E-2</c:v>
                </c:pt>
                <c:pt idx="210">
                  <c:v>4.9816880555555776E-2</c:v>
                </c:pt>
                <c:pt idx="211">
                  <c:v>4.9952319444444337E-2</c:v>
                </c:pt>
                <c:pt idx="212">
                  <c:v>4.9495127777777315E-2</c:v>
                </c:pt>
                <c:pt idx="213">
                  <c:v>4.3063624999999828E-2</c:v>
                </c:pt>
                <c:pt idx="214">
                  <c:v>4.5216694444443983E-2</c:v>
                </c:pt>
                <c:pt idx="215">
                  <c:v>5.7905672222223092E-2</c:v>
                </c:pt>
                <c:pt idx="216">
                  <c:v>5.2755058333333493E-2</c:v>
                </c:pt>
                <c:pt idx="217">
                  <c:v>6.3853849999999435E-2</c:v>
                </c:pt>
                <c:pt idx="218">
                  <c:v>4.8283469444443949E-2</c:v>
                </c:pt>
                <c:pt idx="219">
                  <c:v>4.8259013888889424E-2</c:v>
                </c:pt>
                <c:pt idx="220">
                  <c:v>6.0058552777777607E-2</c:v>
                </c:pt>
                <c:pt idx="221">
                  <c:v>5.4875297222221842E-2</c:v>
                </c:pt>
                <c:pt idx="222">
                  <c:v>3.075326944444412E-2</c:v>
                </c:pt>
                <c:pt idx="223">
                  <c:v>2.72787555555557E-2</c:v>
                </c:pt>
                <c:pt idx="224">
                  <c:v>1.9499613888888878E-2</c:v>
                </c:pt>
                <c:pt idx="225">
                  <c:v>2.4669355555555716E-2</c:v>
                </c:pt>
                <c:pt idx="226">
                  <c:v>3.5701630555555308E-2</c:v>
                </c:pt>
                <c:pt idx="227">
                  <c:v>3.4723169444444535E-2</c:v>
                </c:pt>
                <c:pt idx="228">
                  <c:v>2.9071366666666987E-2</c:v>
                </c:pt>
                <c:pt idx="229">
                  <c:v>4.5548947222221581E-2</c:v>
                </c:pt>
                <c:pt idx="230">
                  <c:v>3.5739147222222267E-2</c:v>
                </c:pt>
                <c:pt idx="231">
                  <c:v>4.6058875000000055E-2</c:v>
                </c:pt>
                <c:pt idx="232">
                  <c:v>5.9655352777777448E-2</c:v>
                </c:pt>
                <c:pt idx="233">
                  <c:v>5.6139497222221835E-2</c:v>
                </c:pt>
                <c:pt idx="234">
                  <c:v>4.0129736111111036E-2</c:v>
                </c:pt>
                <c:pt idx="235">
                  <c:v>4.5458783333333197E-2</c:v>
                </c:pt>
                <c:pt idx="236">
                  <c:v>3.5616294444444918E-2</c:v>
                </c:pt>
                <c:pt idx="237">
                  <c:v>2.9348274999999924E-2</c:v>
                </c:pt>
                <c:pt idx="238">
                  <c:v>2.5890213888888902E-2</c:v>
                </c:pt>
                <c:pt idx="239">
                  <c:v>2.9649113888888634E-2</c:v>
                </c:pt>
                <c:pt idx="240">
                  <c:v>3.6636658333333849E-2</c:v>
                </c:pt>
                <c:pt idx="241">
                  <c:v>3.1833624999999921E-2</c:v>
                </c:pt>
                <c:pt idx="242">
                  <c:v>1.5853783333333094E-2</c:v>
                </c:pt>
                <c:pt idx="243">
                  <c:v>1.8057097222221929E-2</c:v>
                </c:pt>
                <c:pt idx="244">
                  <c:v>4.8274977777777839E-2</c:v>
                </c:pt>
                <c:pt idx="245">
                  <c:v>2.5604888888889121E-2</c:v>
                </c:pt>
                <c:pt idx="246">
                  <c:v>2.7256763888888647E-2</c:v>
                </c:pt>
                <c:pt idx="247">
                  <c:v>2.500632222222221E-2</c:v>
                </c:pt>
                <c:pt idx="248">
                  <c:v>2.5312677777777348E-2</c:v>
                </c:pt>
                <c:pt idx="249">
                  <c:v>3.2787374999999952E-2</c:v>
                </c:pt>
                <c:pt idx="250">
                  <c:v>2.5829136111111484E-2</c:v>
                </c:pt>
                <c:pt idx="251">
                  <c:v>3.0837272222222101E-2</c:v>
                </c:pt>
                <c:pt idx="252">
                  <c:v>2.9198155555555827E-2</c:v>
                </c:pt>
                <c:pt idx="253">
                  <c:v>5.0228088888888744E-2</c:v>
                </c:pt>
                <c:pt idx="254">
                  <c:v>7.1576372222222129E-2</c:v>
                </c:pt>
                <c:pt idx="255">
                  <c:v>5.3411616666666828E-2</c:v>
                </c:pt>
                <c:pt idx="256">
                  <c:v>3.6820061111110802E-2</c:v>
                </c:pt>
                <c:pt idx="257">
                  <c:v>3.6349500000000257E-2</c:v>
                </c:pt>
                <c:pt idx="258">
                  <c:v>3.3179497222222354E-2</c:v>
                </c:pt>
                <c:pt idx="259">
                  <c:v>2.9224969444444526E-2</c:v>
                </c:pt>
                <c:pt idx="260">
                  <c:v>2.734219166666596E-2</c:v>
                </c:pt>
                <c:pt idx="261">
                  <c:v>4.164727222222242E-2</c:v>
                </c:pt>
                <c:pt idx="262">
                  <c:v>4.3172811111111264E-2</c:v>
                </c:pt>
                <c:pt idx="263">
                  <c:v>3.5780711111111141E-2</c:v>
                </c:pt>
                <c:pt idx="264">
                  <c:v>4.7026733333332849E-2</c:v>
                </c:pt>
                <c:pt idx="265">
                  <c:v>7.1604586111110646E-2</c:v>
                </c:pt>
                <c:pt idx="266">
                  <c:v>6.6061483333333504E-2</c:v>
                </c:pt>
                <c:pt idx="267">
                  <c:v>5.3414302777777922E-2</c:v>
                </c:pt>
                <c:pt idx="268">
                  <c:v>6.3414338888889143E-2</c:v>
                </c:pt>
                <c:pt idx="269">
                  <c:v>3.505845277777786E-2</c:v>
                </c:pt>
                <c:pt idx="270">
                  <c:v>4.5101891666666893E-2</c:v>
                </c:pt>
                <c:pt idx="271">
                  <c:v>4.8898588888888872E-2</c:v>
                </c:pt>
                <c:pt idx="272">
                  <c:v>4.5724097222221927E-2</c:v>
                </c:pt>
                <c:pt idx="273">
                  <c:v>4.9645455555556217E-2</c:v>
                </c:pt>
                <c:pt idx="274">
                  <c:v>4.356955555555575E-2</c:v>
                </c:pt>
                <c:pt idx="275">
                  <c:v>2.2909911111110626E-2</c:v>
                </c:pt>
                <c:pt idx="276">
                  <c:v>5.0190427777778157E-2</c:v>
                </c:pt>
                <c:pt idx="277">
                  <c:v>5.3961994444444494E-2</c:v>
                </c:pt>
                <c:pt idx="278">
                  <c:v>4.8863163888888561E-2</c:v>
                </c:pt>
                <c:pt idx="279">
                  <c:v>4.2130344444444745E-2</c:v>
                </c:pt>
                <c:pt idx="280">
                  <c:v>6.7538230555555301E-2</c:v>
                </c:pt>
                <c:pt idx="281">
                  <c:v>5.6712336111110706E-2</c:v>
                </c:pt>
                <c:pt idx="282">
                  <c:v>1.099265555555573E-2</c:v>
                </c:pt>
                <c:pt idx="283">
                  <c:v>3.2638491666666547E-2</c:v>
                </c:pt>
                <c:pt idx="284">
                  <c:v>5.2379894444444908E-2</c:v>
                </c:pt>
                <c:pt idx="285">
                  <c:v>5.0859399999999999E-2</c:v>
                </c:pt>
                <c:pt idx="286">
                  <c:v>4.7703188888888914E-2</c:v>
                </c:pt>
                <c:pt idx="287">
                  <c:v>3.7150230555554997E-2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B0-4A3B-99D0-39A7E64A2786}"/>
            </c:ext>
          </c:extLst>
        </c:ser>
        <c:ser>
          <c:idx val="4"/>
          <c:order val="4"/>
          <c:tx>
            <c:v>Band50_U</c:v>
          </c:tx>
          <c:spPr>
            <a:solidFill>
              <a:srgbClr val="ACACAC"/>
            </a:solidFill>
          </c:spP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Данные!$BX$2:$BX$289</c:f>
              <c:numCache>
                <c:formatCode>General</c:formatCode>
                <c:ptCount val="288"/>
                <c:pt idx="0">
                  <c:v>2.9423166666667111E-2</c:v>
                </c:pt>
                <c:pt idx="1">
                  <c:v>4.1566622222221961E-2</c:v>
                </c:pt>
                <c:pt idx="2">
                  <c:v>4.2753997222222062E-2</c:v>
                </c:pt>
                <c:pt idx="3">
                  <c:v>1.0552661111111528E-2</c:v>
                </c:pt>
                <c:pt idx="4">
                  <c:v>2.0363713888889245E-2</c:v>
                </c:pt>
                <c:pt idx="5">
                  <c:v>8.8720222222224976E-3</c:v>
                </c:pt>
                <c:pt idx="6">
                  <c:v>2.9178299999999657E-2</c:v>
                </c:pt>
                <c:pt idx="7">
                  <c:v>2.0945361111110561E-2</c:v>
                </c:pt>
                <c:pt idx="8">
                  <c:v>1.8869266666666329E-2</c:v>
                </c:pt>
                <c:pt idx="9">
                  <c:v>1.5880063888889073E-2</c:v>
                </c:pt>
                <c:pt idx="10">
                  <c:v>3.5135024999999875E-2</c:v>
                </c:pt>
                <c:pt idx="11">
                  <c:v>1.9369688888889014E-2</c:v>
                </c:pt>
                <c:pt idx="12">
                  <c:v>3.4262966666666506E-2</c:v>
                </c:pt>
                <c:pt idx="13">
                  <c:v>6.4921472222222665E-2</c:v>
                </c:pt>
                <c:pt idx="14">
                  <c:v>5.1067869444444414E-2</c:v>
                </c:pt>
                <c:pt idx="15">
                  <c:v>5.5475424999999912E-2</c:v>
                </c:pt>
                <c:pt idx="16">
                  <c:v>5.7730819444445136E-2</c:v>
                </c:pt>
                <c:pt idx="17">
                  <c:v>6.3173302777777884E-2</c:v>
                </c:pt>
                <c:pt idx="18">
                  <c:v>5.9629533333333429E-2</c:v>
                </c:pt>
                <c:pt idx="19">
                  <c:v>6.2578386111111661E-2</c:v>
                </c:pt>
                <c:pt idx="20">
                  <c:v>6.5489847222221842E-2</c:v>
                </c:pt>
                <c:pt idx="21">
                  <c:v>5.1797261111111159E-2</c:v>
                </c:pt>
                <c:pt idx="22">
                  <c:v>6.9480763888888464E-2</c:v>
                </c:pt>
                <c:pt idx="23">
                  <c:v>4.579057777777773E-2</c:v>
                </c:pt>
                <c:pt idx="24">
                  <c:v>5.8831361111111091E-2</c:v>
                </c:pt>
                <c:pt idx="25">
                  <c:v>4.6482672222221799E-2</c:v>
                </c:pt>
                <c:pt idx="26">
                  <c:v>6.5115788888889248E-2</c:v>
                </c:pt>
                <c:pt idx="27">
                  <c:v>8.8804861111111077E-2</c:v>
                </c:pt>
                <c:pt idx="28">
                  <c:v>8.7439583333333459E-2</c:v>
                </c:pt>
                <c:pt idx="29">
                  <c:v>6.963707222222193E-2</c:v>
                </c:pt>
                <c:pt idx="30">
                  <c:v>5.8919150000000253E-2</c:v>
                </c:pt>
                <c:pt idx="31">
                  <c:v>4.8260019444444024E-2</c:v>
                </c:pt>
                <c:pt idx="32">
                  <c:v>2.1040213888888881E-2</c:v>
                </c:pt>
                <c:pt idx="33">
                  <c:v>4.3685111111111286E-2</c:v>
                </c:pt>
                <c:pt idx="34">
                  <c:v>3.2094777777777028E-2</c:v>
                </c:pt>
                <c:pt idx="35">
                  <c:v>2.8919152777777901E-2</c:v>
                </c:pt>
                <c:pt idx="36">
                  <c:v>3.3139080555555034E-2</c:v>
                </c:pt>
                <c:pt idx="37">
                  <c:v>3.2548633333333465E-2</c:v>
                </c:pt>
                <c:pt idx="38">
                  <c:v>2.3733055555555493E-2</c:v>
                </c:pt>
                <c:pt idx="39">
                  <c:v>6.2304452777778407E-2</c:v>
                </c:pt>
                <c:pt idx="40">
                  <c:v>9.450728055555524E-2</c:v>
                </c:pt>
                <c:pt idx="41">
                  <c:v>7.9964275000000251E-2</c:v>
                </c:pt>
                <c:pt idx="42">
                  <c:v>8.6540197222222504E-2</c:v>
                </c:pt>
                <c:pt idx="43">
                  <c:v>8.3933788888888583E-2</c:v>
                </c:pt>
                <c:pt idx="44">
                  <c:v>8.3128319444444432E-2</c:v>
                </c:pt>
                <c:pt idx="45">
                  <c:v>5.620037500000008E-2</c:v>
                </c:pt>
                <c:pt idx="46">
                  <c:v>3.5645108333333453E-2</c:v>
                </c:pt>
                <c:pt idx="47">
                  <c:v>4.5962380555555349E-2</c:v>
                </c:pt>
                <c:pt idx="48">
                  <c:v>5.6842399999999849E-2</c:v>
                </c:pt>
                <c:pt idx="49">
                  <c:v>5.8039108333333145E-2</c:v>
                </c:pt>
                <c:pt idx="50">
                  <c:v>4.3666552777777423E-2</c:v>
                </c:pt>
                <c:pt idx="51">
                  <c:v>4.6162580555555555E-2</c:v>
                </c:pt>
                <c:pt idx="52">
                  <c:v>3.1524538888888842E-2</c:v>
                </c:pt>
                <c:pt idx="53">
                  <c:v>2.5809719444444434E-2</c:v>
                </c:pt>
                <c:pt idx="54">
                  <c:v>4.5120788888888375E-2</c:v>
                </c:pt>
                <c:pt idx="55">
                  <c:v>6.6742447222222223E-2</c:v>
                </c:pt>
                <c:pt idx="56">
                  <c:v>9.1011405555556202E-2</c:v>
                </c:pt>
                <c:pt idx="57">
                  <c:v>9.4480383333332973E-2</c:v>
                </c:pt>
                <c:pt idx="58">
                  <c:v>8.7336302777777486E-2</c:v>
                </c:pt>
                <c:pt idx="59">
                  <c:v>8.8089477777777536E-2</c:v>
                </c:pt>
                <c:pt idx="60">
                  <c:v>6.7214341666666844E-2</c:v>
                </c:pt>
                <c:pt idx="61">
                  <c:v>6.2892999999999644E-2</c:v>
                </c:pt>
                <c:pt idx="62">
                  <c:v>8.983438333333349E-2</c:v>
                </c:pt>
                <c:pt idx="63">
                  <c:v>9.9684425000000076E-2</c:v>
                </c:pt>
                <c:pt idx="64">
                  <c:v>9.2862652777777499E-2</c:v>
                </c:pt>
                <c:pt idx="65">
                  <c:v>8.2588536111111388E-2</c:v>
                </c:pt>
                <c:pt idx="66">
                  <c:v>8.1101766666666353E-2</c:v>
                </c:pt>
                <c:pt idx="67">
                  <c:v>4.3287013888889003E-2</c:v>
                </c:pt>
                <c:pt idx="68">
                  <c:v>5.9608663888888302E-2</c:v>
                </c:pt>
                <c:pt idx="69">
                  <c:v>6.9365044444444801E-2</c:v>
                </c:pt>
                <c:pt idx="70">
                  <c:v>3.7207505555554521E-2</c:v>
                </c:pt>
                <c:pt idx="71">
                  <c:v>4.0720911111111757E-2</c:v>
                </c:pt>
                <c:pt idx="72">
                  <c:v>6.6939555555555641E-2</c:v>
                </c:pt>
                <c:pt idx="73">
                  <c:v>4.3520111111111537E-2</c:v>
                </c:pt>
                <c:pt idx="74">
                  <c:v>3.3784999999999843E-2</c:v>
                </c:pt>
                <c:pt idx="75">
                  <c:v>5.069087777777781E-2</c:v>
                </c:pt>
                <c:pt idx="76">
                  <c:v>4.1498569444443967E-2</c:v>
                </c:pt>
                <c:pt idx="77">
                  <c:v>4.602178611111174E-2</c:v>
                </c:pt>
                <c:pt idx="78">
                  <c:v>4.1846291666666757E-2</c:v>
                </c:pt>
                <c:pt idx="79">
                  <c:v>5.4533505555555806E-2</c:v>
                </c:pt>
                <c:pt idx="80">
                  <c:v>6.6753408333333653E-2</c:v>
                </c:pt>
                <c:pt idx="81">
                  <c:v>7.7765725000000563E-2</c:v>
                </c:pt>
                <c:pt idx="82">
                  <c:v>7.9810675000000386E-2</c:v>
                </c:pt>
                <c:pt idx="83">
                  <c:v>6.8114383333332973E-2</c:v>
                </c:pt>
                <c:pt idx="84">
                  <c:v>9.7705944444444914E-2</c:v>
                </c:pt>
                <c:pt idx="85">
                  <c:v>9.5601661111111458E-2</c:v>
                </c:pt>
                <c:pt idx="86">
                  <c:v>0.12285764722222203</c:v>
                </c:pt>
                <c:pt idx="87">
                  <c:v>0.12930087499999954</c:v>
                </c:pt>
                <c:pt idx="88">
                  <c:v>0.11578307777777752</c:v>
                </c:pt>
                <c:pt idx="89">
                  <c:v>8.4048258333333181E-2</c:v>
                </c:pt>
                <c:pt idx="90">
                  <c:v>7.9612613888888517E-2</c:v>
                </c:pt>
                <c:pt idx="91">
                  <c:v>5.7746533333333017E-2</c:v>
                </c:pt>
                <c:pt idx="92">
                  <c:v>7.429231666666658E-2</c:v>
                </c:pt>
                <c:pt idx="93">
                  <c:v>6.6992847222222096E-2</c:v>
                </c:pt>
                <c:pt idx="94">
                  <c:v>6.7298227777777719E-2</c:v>
                </c:pt>
                <c:pt idx="95">
                  <c:v>4.6794883333332926E-2</c:v>
                </c:pt>
                <c:pt idx="96">
                  <c:v>5.8191116666666876E-2</c:v>
                </c:pt>
                <c:pt idx="97">
                  <c:v>4.6392936111111283E-2</c:v>
                </c:pt>
                <c:pt idx="98">
                  <c:v>9.3558516666667035E-2</c:v>
                </c:pt>
                <c:pt idx="99">
                  <c:v>8.5509749999999607E-2</c:v>
                </c:pt>
                <c:pt idx="100">
                  <c:v>7.6559424999999681E-2</c:v>
                </c:pt>
                <c:pt idx="101">
                  <c:v>5.3228633333332942E-2</c:v>
                </c:pt>
                <c:pt idx="102">
                  <c:v>6.4638797222222544E-2</c:v>
                </c:pt>
                <c:pt idx="103">
                  <c:v>6.3367366666667202E-2</c:v>
                </c:pt>
                <c:pt idx="104">
                  <c:v>8.3323263888889443E-2</c:v>
                </c:pt>
                <c:pt idx="105">
                  <c:v>9.9720427777778231E-2</c:v>
                </c:pt>
                <c:pt idx="106">
                  <c:v>6.6770147222222187E-2</c:v>
                </c:pt>
                <c:pt idx="107">
                  <c:v>6.6231999999999958E-2</c:v>
                </c:pt>
                <c:pt idx="108">
                  <c:v>7.4272711111111445E-2</c:v>
                </c:pt>
                <c:pt idx="109">
                  <c:v>6.1589833333333788E-2</c:v>
                </c:pt>
                <c:pt idx="110">
                  <c:v>0.10640922777777762</c:v>
                </c:pt>
                <c:pt idx="111">
                  <c:v>0.10119512777777795</c:v>
                </c:pt>
                <c:pt idx="112">
                  <c:v>6.9024441666666436E-2</c:v>
                </c:pt>
                <c:pt idx="113">
                  <c:v>0.1278281722222222</c:v>
                </c:pt>
                <c:pt idx="114">
                  <c:v>0.14169635833333327</c:v>
                </c:pt>
                <c:pt idx="115">
                  <c:v>0.10275652777777811</c:v>
                </c:pt>
                <c:pt idx="116">
                  <c:v>9.5038125000000084E-2</c:v>
                </c:pt>
                <c:pt idx="117">
                  <c:v>0.10550890277777702</c:v>
                </c:pt>
                <c:pt idx="118">
                  <c:v>7.2234544444444548E-2</c:v>
                </c:pt>
                <c:pt idx="119">
                  <c:v>6.5566063888888193E-2</c:v>
                </c:pt>
                <c:pt idx="120">
                  <c:v>5.6768949999999707E-2</c:v>
                </c:pt>
                <c:pt idx="121">
                  <c:v>7.7339591666666818E-2</c:v>
                </c:pt>
                <c:pt idx="122">
                  <c:v>7.4825913888888818E-2</c:v>
                </c:pt>
                <c:pt idx="123">
                  <c:v>6.1619116666667084E-2</c:v>
                </c:pt>
                <c:pt idx="124">
                  <c:v>7.693689999999942E-2</c:v>
                </c:pt>
                <c:pt idx="125">
                  <c:v>0.10149986944444422</c:v>
                </c:pt>
                <c:pt idx="126">
                  <c:v>8.0692233333333863E-2</c:v>
                </c:pt>
                <c:pt idx="127">
                  <c:v>7.8447213888888312E-2</c:v>
                </c:pt>
                <c:pt idx="128">
                  <c:v>9.2218983333334115E-2</c:v>
                </c:pt>
                <c:pt idx="129">
                  <c:v>7.7167697222222387E-2</c:v>
                </c:pt>
                <c:pt idx="130">
                  <c:v>6.3206899999999622E-2</c:v>
                </c:pt>
                <c:pt idx="131">
                  <c:v>4.0517813888888976E-2</c:v>
                </c:pt>
                <c:pt idx="132">
                  <c:v>3.6527236111111416E-2</c:v>
                </c:pt>
                <c:pt idx="133">
                  <c:v>2.9729511111110996E-2</c:v>
                </c:pt>
                <c:pt idx="134">
                  <c:v>8.355680555555689E-3</c:v>
                </c:pt>
                <c:pt idx="135">
                  <c:v>2.8652702777777428E-2</c:v>
                </c:pt>
                <c:pt idx="136">
                  <c:v>1.9816663888888808E-2</c:v>
                </c:pt>
                <c:pt idx="137">
                  <c:v>1.734859166666658E-2</c:v>
                </c:pt>
                <c:pt idx="138">
                  <c:v>5.3456477777777844E-2</c:v>
                </c:pt>
                <c:pt idx="139">
                  <c:v>7.5174294444444678E-2</c:v>
                </c:pt>
                <c:pt idx="140">
                  <c:v>9.3661302777777511E-2</c:v>
                </c:pt>
                <c:pt idx="141">
                  <c:v>0.10028937499999968</c:v>
                </c:pt>
                <c:pt idx="142">
                  <c:v>8.9038155555555609E-2</c:v>
                </c:pt>
                <c:pt idx="143">
                  <c:v>7.2398116666666845E-2</c:v>
                </c:pt>
                <c:pt idx="144">
                  <c:v>4.0988372222221736E-2</c:v>
                </c:pt>
                <c:pt idx="145">
                  <c:v>3.1274719444444599E-2</c:v>
                </c:pt>
                <c:pt idx="146">
                  <c:v>4.1916222222222466E-2</c:v>
                </c:pt>
                <c:pt idx="147">
                  <c:v>6.4676013888888884E-2</c:v>
                </c:pt>
                <c:pt idx="148">
                  <c:v>5.1032958333333212E-2</c:v>
                </c:pt>
                <c:pt idx="149">
                  <c:v>4.7672050000000188E-2</c:v>
                </c:pt>
                <c:pt idx="150">
                  <c:v>3.1429274999999812E-2</c:v>
                </c:pt>
                <c:pt idx="151">
                  <c:v>6.7160705555555422E-2</c:v>
                </c:pt>
                <c:pt idx="152">
                  <c:v>7.3034097222222094E-2</c:v>
                </c:pt>
                <c:pt idx="153">
                  <c:v>6.129775000000004E-2</c:v>
                </c:pt>
                <c:pt idx="154">
                  <c:v>6.2089336111111448E-2</c:v>
                </c:pt>
                <c:pt idx="155">
                  <c:v>5.6183761111111119E-2</c:v>
                </c:pt>
                <c:pt idx="156">
                  <c:v>8.8581797222221814E-2</c:v>
                </c:pt>
                <c:pt idx="157">
                  <c:v>9.9905975000000646E-2</c:v>
                </c:pt>
                <c:pt idx="158">
                  <c:v>0.10159666111111043</c:v>
                </c:pt>
                <c:pt idx="159">
                  <c:v>8.6855199999999688E-2</c:v>
                </c:pt>
                <c:pt idx="160">
                  <c:v>6.7553161111110982E-2</c:v>
                </c:pt>
                <c:pt idx="161">
                  <c:v>8.2599955555555105E-2</c:v>
                </c:pt>
                <c:pt idx="162">
                  <c:v>8.5601105555555446E-2</c:v>
                </c:pt>
                <c:pt idx="163">
                  <c:v>0.11987322499999997</c:v>
                </c:pt>
                <c:pt idx="164">
                  <c:v>0.11849652500000041</c:v>
                </c:pt>
                <c:pt idx="165">
                  <c:v>4.7831033333332607E-2</c:v>
                </c:pt>
                <c:pt idx="166">
                  <c:v>4.4109686111110658E-2</c:v>
                </c:pt>
                <c:pt idx="167">
                  <c:v>3.9873933333333667E-2</c:v>
                </c:pt>
                <c:pt idx="168">
                  <c:v>3.165839722222219E-2</c:v>
                </c:pt>
                <c:pt idx="169">
                  <c:v>2.3683552777777783E-2</c:v>
                </c:pt>
                <c:pt idx="170">
                  <c:v>2.7604149999999272E-2</c:v>
                </c:pt>
                <c:pt idx="171">
                  <c:v>3.925384444444413E-2</c:v>
                </c:pt>
                <c:pt idx="172">
                  <c:v>2.8480275000000277E-2</c:v>
                </c:pt>
                <c:pt idx="173">
                  <c:v>3.1961269444444662E-2</c:v>
                </c:pt>
                <c:pt idx="174">
                  <c:v>3.9457208333333216E-2</c:v>
                </c:pt>
                <c:pt idx="175">
                  <c:v>3.7694416666667174E-2</c:v>
                </c:pt>
                <c:pt idx="176">
                  <c:v>1.9045644444444454E-2</c:v>
                </c:pt>
                <c:pt idx="177">
                  <c:v>3.0903952777777466E-2</c:v>
                </c:pt>
                <c:pt idx="178">
                  <c:v>2.8690616666667057E-2</c:v>
                </c:pt>
                <c:pt idx="179">
                  <c:v>3.2938850000000741E-2</c:v>
                </c:pt>
                <c:pt idx="180">
                  <c:v>3.6828611111111353E-2</c:v>
                </c:pt>
                <c:pt idx="181">
                  <c:v>2.6641788888889018E-2</c:v>
                </c:pt>
                <c:pt idx="182">
                  <c:v>3.2538988888888842E-2</c:v>
                </c:pt>
                <c:pt idx="183">
                  <c:v>2.7307730555555909E-2</c:v>
                </c:pt>
                <c:pt idx="184">
                  <c:v>2.7734505555555455E-2</c:v>
                </c:pt>
                <c:pt idx="185">
                  <c:v>4.8419900000000182E-2</c:v>
                </c:pt>
                <c:pt idx="186">
                  <c:v>5.9476711111111413E-2</c:v>
                </c:pt>
                <c:pt idx="187">
                  <c:v>3.5928805555555221E-2</c:v>
                </c:pt>
                <c:pt idx="188">
                  <c:v>3.8285686111111272E-2</c:v>
                </c:pt>
                <c:pt idx="189">
                  <c:v>3.8914555555555674E-2</c:v>
                </c:pt>
                <c:pt idx="190">
                  <c:v>1.5596344444444132E-2</c:v>
                </c:pt>
                <c:pt idx="191">
                  <c:v>4.4257958333333014E-2</c:v>
                </c:pt>
                <c:pt idx="192">
                  <c:v>3.1370036111110777E-2</c:v>
                </c:pt>
                <c:pt idx="193">
                  <c:v>6.1487702777777153E-2</c:v>
                </c:pt>
                <c:pt idx="194">
                  <c:v>7.2200708333333474E-2</c:v>
                </c:pt>
                <c:pt idx="195">
                  <c:v>7.8766516666666564E-2</c:v>
                </c:pt>
                <c:pt idx="196">
                  <c:v>5.3258166666666829E-2</c:v>
                </c:pt>
                <c:pt idx="197">
                  <c:v>5.9185630555555369E-2</c:v>
                </c:pt>
                <c:pt idx="198">
                  <c:v>7.3915900000000256E-2</c:v>
                </c:pt>
                <c:pt idx="199">
                  <c:v>5.2592969444443916E-2</c:v>
                </c:pt>
                <c:pt idx="200">
                  <c:v>5.796820833333316E-2</c:v>
                </c:pt>
                <c:pt idx="201">
                  <c:v>6.1977119444444506E-2</c:v>
                </c:pt>
                <c:pt idx="202">
                  <c:v>7.5118241666666696E-2</c:v>
                </c:pt>
                <c:pt idx="203">
                  <c:v>7.4495550000000188E-2</c:v>
                </c:pt>
                <c:pt idx="204">
                  <c:v>6.0154458333333438E-2</c:v>
                </c:pt>
                <c:pt idx="205">
                  <c:v>7.8873952777778311E-2</c:v>
                </c:pt>
                <c:pt idx="206">
                  <c:v>6.5350836111111366E-2</c:v>
                </c:pt>
                <c:pt idx="207">
                  <c:v>7.58557027777782E-2</c:v>
                </c:pt>
                <c:pt idx="208">
                  <c:v>5.7230202777778127E-2</c:v>
                </c:pt>
                <c:pt idx="209">
                  <c:v>5.6537888888888665E-2</c:v>
                </c:pt>
                <c:pt idx="210">
                  <c:v>8.0073666666667154E-2</c:v>
                </c:pt>
                <c:pt idx="211">
                  <c:v>6.3419063888889182E-2</c:v>
                </c:pt>
                <c:pt idx="212">
                  <c:v>7.3795088888889304E-2</c:v>
                </c:pt>
                <c:pt idx="213">
                  <c:v>6.9908905555555623E-2</c:v>
                </c:pt>
                <c:pt idx="214">
                  <c:v>7.5448461111111143E-2</c:v>
                </c:pt>
                <c:pt idx="215">
                  <c:v>3.9538397222222299E-2</c:v>
                </c:pt>
                <c:pt idx="216">
                  <c:v>3.9133124999999658E-2</c:v>
                </c:pt>
                <c:pt idx="217">
                  <c:v>4.003954444444513E-2</c:v>
                </c:pt>
                <c:pt idx="218">
                  <c:v>4.7015402777778048E-2</c:v>
                </c:pt>
                <c:pt idx="219">
                  <c:v>4.052936388888817E-2</c:v>
                </c:pt>
                <c:pt idx="220">
                  <c:v>2.3100758333333915E-2</c:v>
                </c:pt>
                <c:pt idx="221">
                  <c:v>2.3222505555555495E-2</c:v>
                </c:pt>
                <c:pt idx="222">
                  <c:v>3.6233166666666317E-2</c:v>
                </c:pt>
                <c:pt idx="223">
                  <c:v>4.0686700000000187E-2</c:v>
                </c:pt>
                <c:pt idx="224">
                  <c:v>4.1324833333333144E-2</c:v>
                </c:pt>
                <c:pt idx="225">
                  <c:v>4.6023294444444529E-2</c:v>
                </c:pt>
                <c:pt idx="226">
                  <c:v>5.8393377777777755E-2</c:v>
                </c:pt>
                <c:pt idx="227">
                  <c:v>5.6380488888888691E-2</c:v>
                </c:pt>
                <c:pt idx="228">
                  <c:v>5.6672299999999565E-2</c:v>
                </c:pt>
                <c:pt idx="229">
                  <c:v>4.4029758333333446E-2</c:v>
                </c:pt>
                <c:pt idx="230">
                  <c:v>4.0198727777777332E-2</c:v>
                </c:pt>
                <c:pt idx="231">
                  <c:v>2.2296824999999743E-2</c:v>
                </c:pt>
                <c:pt idx="232">
                  <c:v>2.9339788888888552E-2</c:v>
                </c:pt>
                <c:pt idx="233">
                  <c:v>3.2075769444444679E-2</c:v>
                </c:pt>
                <c:pt idx="234">
                  <c:v>3.6833911111111117E-2</c:v>
                </c:pt>
                <c:pt idx="235">
                  <c:v>3.7880741666666773E-2</c:v>
                </c:pt>
                <c:pt idx="236">
                  <c:v>4.6572399999999736E-2</c:v>
                </c:pt>
                <c:pt idx="237">
                  <c:v>6.3621886111110748E-2</c:v>
                </c:pt>
                <c:pt idx="238">
                  <c:v>5.192324166666662E-2</c:v>
                </c:pt>
                <c:pt idx="239">
                  <c:v>5.2588219444445139E-2</c:v>
                </c:pt>
                <c:pt idx="240">
                  <c:v>5.0566463888888635E-2</c:v>
                </c:pt>
                <c:pt idx="241">
                  <c:v>7.7275427777777295E-2</c:v>
                </c:pt>
                <c:pt idx="242">
                  <c:v>7.5682286111111274E-2</c:v>
                </c:pt>
                <c:pt idx="243">
                  <c:v>7.1627000000000107E-2</c:v>
                </c:pt>
                <c:pt idx="244">
                  <c:v>4.7764377777777867E-2</c:v>
                </c:pt>
                <c:pt idx="245">
                  <c:v>6.1429841666666984E-2</c:v>
                </c:pt>
                <c:pt idx="246">
                  <c:v>4.4942241666666605E-2</c:v>
                </c:pt>
                <c:pt idx="247">
                  <c:v>0.12202458888888879</c:v>
                </c:pt>
                <c:pt idx="248">
                  <c:v>0.11992273611111159</c:v>
                </c:pt>
                <c:pt idx="249">
                  <c:v>0.11053359166666721</c:v>
                </c:pt>
                <c:pt idx="250">
                  <c:v>0.1272910916666663</c:v>
                </c:pt>
                <c:pt idx="251">
                  <c:v>0.13317760277777801</c:v>
                </c:pt>
                <c:pt idx="252">
                  <c:v>0.12746090277777788</c:v>
                </c:pt>
                <c:pt idx="253">
                  <c:v>0.11135081666666669</c:v>
                </c:pt>
                <c:pt idx="254">
                  <c:v>0.14076645277777733</c:v>
                </c:pt>
                <c:pt idx="255">
                  <c:v>0.17057091666666635</c:v>
                </c:pt>
                <c:pt idx="256">
                  <c:v>0.16457798333333395</c:v>
                </c:pt>
                <c:pt idx="257">
                  <c:v>0.15423543333333334</c:v>
                </c:pt>
                <c:pt idx="258">
                  <c:v>0.16341060000000018</c:v>
                </c:pt>
                <c:pt idx="259">
                  <c:v>0.16713767777777833</c:v>
                </c:pt>
                <c:pt idx="260">
                  <c:v>0.15964238888888949</c:v>
                </c:pt>
                <c:pt idx="261">
                  <c:v>0.16526727222222204</c:v>
                </c:pt>
                <c:pt idx="262">
                  <c:v>0.18755029999999961</c:v>
                </c:pt>
                <c:pt idx="263">
                  <c:v>0.16740476944444405</c:v>
                </c:pt>
                <c:pt idx="264">
                  <c:v>0.16149873611111099</c:v>
                </c:pt>
                <c:pt idx="265">
                  <c:v>0.12679452499999988</c:v>
                </c:pt>
                <c:pt idx="266">
                  <c:v>0.10906504999999989</c:v>
                </c:pt>
                <c:pt idx="267">
                  <c:v>5.2433283333333081E-2</c:v>
                </c:pt>
                <c:pt idx="268">
                  <c:v>4.7916144444444364E-2</c:v>
                </c:pt>
                <c:pt idx="269">
                  <c:v>4.8559361111111476E-2</c:v>
                </c:pt>
                <c:pt idx="270">
                  <c:v>5.4448100000000221E-2</c:v>
                </c:pt>
                <c:pt idx="271">
                  <c:v>6.3840883333333598E-2</c:v>
                </c:pt>
                <c:pt idx="272">
                  <c:v>7.1825430555555903E-2</c:v>
                </c:pt>
                <c:pt idx="273">
                  <c:v>5.9074913888888081E-2</c:v>
                </c:pt>
                <c:pt idx="274">
                  <c:v>6.0239130555555409E-2</c:v>
                </c:pt>
                <c:pt idx="275">
                  <c:v>6.1719797222221762E-2</c:v>
                </c:pt>
                <c:pt idx="276">
                  <c:v>6.7108680555555411E-2</c:v>
                </c:pt>
                <c:pt idx="277">
                  <c:v>6.1602550000000256E-2</c:v>
                </c:pt>
                <c:pt idx="278">
                  <c:v>6.4920030555555619E-2</c:v>
                </c:pt>
                <c:pt idx="279">
                  <c:v>7.4286819444444818E-2</c:v>
                </c:pt>
                <c:pt idx="280">
                  <c:v>4.9601155555555665E-2</c:v>
                </c:pt>
                <c:pt idx="281">
                  <c:v>5.5261063888888851E-2</c:v>
                </c:pt>
                <c:pt idx="282">
                  <c:v>9.1973999999999889E-2</c:v>
                </c:pt>
                <c:pt idx="283">
                  <c:v>6.9094194444444534E-2</c:v>
                </c:pt>
                <c:pt idx="284">
                  <c:v>7.9607236111111201E-2</c:v>
                </c:pt>
                <c:pt idx="285">
                  <c:v>7.9809294444444623E-2</c:v>
                </c:pt>
                <c:pt idx="286">
                  <c:v>7.075709722222201E-2</c:v>
                </c:pt>
                <c:pt idx="287">
                  <c:v>6.104236666666718E-2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B0-4A3B-99D0-39A7E64A2786}"/>
            </c:ext>
          </c:extLst>
        </c:ser>
        <c:ser>
          <c:idx val="5"/>
          <c:order val="5"/>
          <c:tx>
            <c:v>Band90_U</c:v>
          </c:tx>
          <c:spPr>
            <a:solidFill>
              <a:srgbClr val="C8C8C8"/>
            </a:solidFill>
          </c:spP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Данные!$BY$2:$BY$289</c:f>
              <c:numCache>
                <c:formatCode>General</c:formatCode>
                <c:ptCount val="288"/>
                <c:pt idx="0">
                  <c:v>0.16830476666666649</c:v>
                </c:pt>
                <c:pt idx="1">
                  <c:v>0.13873756166666673</c:v>
                </c:pt>
                <c:pt idx="2">
                  <c:v>0.14795043999999991</c:v>
                </c:pt>
                <c:pt idx="3">
                  <c:v>0.15580192666666637</c:v>
                </c:pt>
                <c:pt idx="4">
                  <c:v>0.13646996444444415</c:v>
                </c:pt>
                <c:pt idx="5">
                  <c:v>0.15168470000000045</c:v>
                </c:pt>
                <c:pt idx="6">
                  <c:v>0.14958108888888932</c:v>
                </c:pt>
                <c:pt idx="7">
                  <c:v>0.16925618611111171</c:v>
                </c:pt>
                <c:pt idx="8">
                  <c:v>0.18312814222222273</c:v>
                </c:pt>
                <c:pt idx="9">
                  <c:v>0.18472409555555602</c:v>
                </c:pt>
                <c:pt idx="10">
                  <c:v>0.15364613222222223</c:v>
                </c:pt>
                <c:pt idx="11">
                  <c:v>0.14643112722222185</c:v>
                </c:pt>
                <c:pt idx="12">
                  <c:v>0.14634891722222232</c:v>
                </c:pt>
                <c:pt idx="13">
                  <c:v>0.1310720949999995</c:v>
                </c:pt>
                <c:pt idx="14">
                  <c:v>0.13855213055555582</c:v>
                </c:pt>
                <c:pt idx="15">
                  <c:v>0.11501617277777831</c:v>
                </c:pt>
                <c:pt idx="16">
                  <c:v>9.9443363333332924E-2</c:v>
                </c:pt>
                <c:pt idx="17">
                  <c:v>9.3516742777777884E-2</c:v>
                </c:pt>
                <c:pt idx="18">
                  <c:v>0.114565955</c:v>
                </c:pt>
                <c:pt idx="19">
                  <c:v>0.1178088361111107</c:v>
                </c:pt>
                <c:pt idx="20">
                  <c:v>0.11808665777777783</c:v>
                </c:pt>
                <c:pt idx="21">
                  <c:v>0.11729295611111135</c:v>
                </c:pt>
                <c:pt idx="22">
                  <c:v>0.11868810055555545</c:v>
                </c:pt>
                <c:pt idx="23">
                  <c:v>0.13261949722222166</c:v>
                </c:pt>
                <c:pt idx="24">
                  <c:v>0.12057693333333308</c:v>
                </c:pt>
                <c:pt idx="25">
                  <c:v>0.1198198972222223</c:v>
                </c:pt>
                <c:pt idx="26">
                  <c:v>0.11454608999999982</c:v>
                </c:pt>
                <c:pt idx="27">
                  <c:v>8.2721154444444722E-2</c:v>
                </c:pt>
                <c:pt idx="28">
                  <c:v>9.2455062777778374E-2</c:v>
                </c:pt>
                <c:pt idx="29">
                  <c:v>8.722447500000019E-2</c:v>
                </c:pt>
                <c:pt idx="30">
                  <c:v>9.1239824444444229E-2</c:v>
                </c:pt>
                <c:pt idx="31">
                  <c:v>0.10417658333333324</c:v>
                </c:pt>
                <c:pt idx="32">
                  <c:v>0.12244983277777766</c:v>
                </c:pt>
                <c:pt idx="33">
                  <c:v>9.6524419999999056E-2</c:v>
                </c:pt>
                <c:pt idx="34">
                  <c:v>0.11490307833333402</c:v>
                </c:pt>
                <c:pt idx="35">
                  <c:v>0.13048519777777801</c:v>
                </c:pt>
                <c:pt idx="36">
                  <c:v>0.12620899166666766</c:v>
                </c:pt>
                <c:pt idx="37">
                  <c:v>0.13005683611111118</c:v>
                </c:pt>
                <c:pt idx="38">
                  <c:v>0.12777989277777824</c:v>
                </c:pt>
                <c:pt idx="39">
                  <c:v>0.12322991777777803</c:v>
                </c:pt>
                <c:pt idx="40">
                  <c:v>0.12573002611111139</c:v>
                </c:pt>
                <c:pt idx="41">
                  <c:v>0.13701046166666675</c:v>
                </c:pt>
                <c:pt idx="42">
                  <c:v>0.13110703722222206</c:v>
                </c:pt>
                <c:pt idx="43">
                  <c:v>0.11824925888888871</c:v>
                </c:pt>
                <c:pt idx="44">
                  <c:v>0.13751013722222272</c:v>
                </c:pt>
                <c:pt idx="45">
                  <c:v>0.16228614888888937</c:v>
                </c:pt>
                <c:pt idx="46">
                  <c:v>0.17782301388888844</c:v>
                </c:pt>
                <c:pt idx="47">
                  <c:v>0.1723248372222218</c:v>
                </c:pt>
                <c:pt idx="48">
                  <c:v>0.15953513111111084</c:v>
                </c:pt>
                <c:pt idx="49">
                  <c:v>0.15414660388888901</c:v>
                </c:pt>
                <c:pt idx="50">
                  <c:v>0.17309766722222264</c:v>
                </c:pt>
                <c:pt idx="51">
                  <c:v>0.17533346944444417</c:v>
                </c:pt>
                <c:pt idx="52">
                  <c:v>0.18593720888888887</c:v>
                </c:pt>
                <c:pt idx="53">
                  <c:v>0.1789985127777779</c:v>
                </c:pt>
                <c:pt idx="54">
                  <c:v>0.18786439388888909</c:v>
                </c:pt>
                <c:pt idx="55">
                  <c:v>0.16347052166666587</c:v>
                </c:pt>
                <c:pt idx="56">
                  <c:v>0.15094710944444401</c:v>
                </c:pt>
                <c:pt idx="57">
                  <c:v>0.16773727555555584</c:v>
                </c:pt>
                <c:pt idx="58">
                  <c:v>0.15847851277777747</c:v>
                </c:pt>
                <c:pt idx="59">
                  <c:v>0.15383787777777747</c:v>
                </c:pt>
                <c:pt idx="60">
                  <c:v>0.17242169833333287</c:v>
                </c:pt>
                <c:pt idx="61">
                  <c:v>0.18775785722222227</c:v>
                </c:pt>
                <c:pt idx="62">
                  <c:v>0.18031394888888885</c:v>
                </c:pt>
                <c:pt idx="63">
                  <c:v>0.16624544444444445</c:v>
                </c:pt>
                <c:pt idx="64">
                  <c:v>0.12998906222222251</c:v>
                </c:pt>
                <c:pt idx="65">
                  <c:v>0.15512362611111075</c:v>
                </c:pt>
                <c:pt idx="66">
                  <c:v>0.14195009999999997</c:v>
                </c:pt>
                <c:pt idx="67">
                  <c:v>0.18138245833333289</c:v>
                </c:pt>
                <c:pt idx="68">
                  <c:v>0.19247514000000043</c:v>
                </c:pt>
                <c:pt idx="69">
                  <c:v>0.18965032000000004</c:v>
                </c:pt>
                <c:pt idx="70">
                  <c:v>0.20479365500000035</c:v>
                </c:pt>
                <c:pt idx="71">
                  <c:v>0.17144378611111066</c:v>
                </c:pt>
                <c:pt idx="72">
                  <c:v>0.13164511666666689</c:v>
                </c:pt>
                <c:pt idx="73">
                  <c:v>0.17241650111111084</c:v>
                </c:pt>
                <c:pt idx="74">
                  <c:v>0.18903153277777807</c:v>
                </c:pt>
                <c:pt idx="75">
                  <c:v>0.16857844499999941</c:v>
                </c:pt>
                <c:pt idx="76">
                  <c:v>0.17290982666666666</c:v>
                </c:pt>
                <c:pt idx="77">
                  <c:v>0.17499872722222121</c:v>
                </c:pt>
                <c:pt idx="78">
                  <c:v>0.17826468722222244</c:v>
                </c:pt>
                <c:pt idx="79">
                  <c:v>0.16933915444444481</c:v>
                </c:pt>
                <c:pt idx="80">
                  <c:v>0.15063373166666649</c:v>
                </c:pt>
                <c:pt idx="81">
                  <c:v>0.14053341222222238</c:v>
                </c:pt>
                <c:pt idx="82">
                  <c:v>0.1619385866666665</c:v>
                </c:pt>
                <c:pt idx="83">
                  <c:v>0.17282373777777804</c:v>
                </c:pt>
                <c:pt idx="84">
                  <c:v>0.13962045444444415</c:v>
                </c:pt>
                <c:pt idx="85">
                  <c:v>0.13766003999999976</c:v>
                </c:pt>
                <c:pt idx="86">
                  <c:v>0.12512965888888872</c:v>
                </c:pt>
                <c:pt idx="87">
                  <c:v>0.10227144555555545</c:v>
                </c:pt>
                <c:pt idx="88">
                  <c:v>0.1089086744444443</c:v>
                </c:pt>
                <c:pt idx="89">
                  <c:v>0.11312119777777763</c:v>
                </c:pt>
                <c:pt idx="90">
                  <c:v>0.10267381999999992</c:v>
                </c:pt>
                <c:pt idx="91">
                  <c:v>0.12644898222222245</c:v>
                </c:pt>
                <c:pt idx="92">
                  <c:v>0.12120387722222259</c:v>
                </c:pt>
                <c:pt idx="93">
                  <c:v>0.12890748055555556</c:v>
                </c:pt>
                <c:pt idx="94">
                  <c:v>0.11967734333333313</c:v>
                </c:pt>
                <c:pt idx="95">
                  <c:v>0.13485536722222247</c:v>
                </c:pt>
                <c:pt idx="96">
                  <c:v>0.12137845333333308</c:v>
                </c:pt>
                <c:pt idx="97">
                  <c:v>0.13087804111111145</c:v>
                </c:pt>
                <c:pt idx="98">
                  <c:v>0.10366211611111087</c:v>
                </c:pt>
                <c:pt idx="99">
                  <c:v>9.7288148333333435E-2</c:v>
                </c:pt>
                <c:pt idx="100">
                  <c:v>9.6859973888889117E-2</c:v>
                </c:pt>
                <c:pt idx="101">
                  <c:v>0.10883005388888889</c:v>
                </c:pt>
                <c:pt idx="102">
                  <c:v>9.7991134999999563E-2</c:v>
                </c:pt>
                <c:pt idx="103">
                  <c:v>0.13196746666666637</c:v>
                </c:pt>
                <c:pt idx="104">
                  <c:v>0.13502962166666688</c:v>
                </c:pt>
                <c:pt idx="105">
                  <c:v>0.13678517444444416</c:v>
                </c:pt>
                <c:pt idx="106">
                  <c:v>0.16353409888888937</c:v>
                </c:pt>
                <c:pt idx="107">
                  <c:v>0.16587375388888903</c:v>
                </c:pt>
                <c:pt idx="108">
                  <c:v>0.17924386833333361</c:v>
                </c:pt>
                <c:pt idx="109">
                  <c:v>0.17775363666666633</c:v>
                </c:pt>
                <c:pt idx="110">
                  <c:v>0.16502398777777727</c:v>
                </c:pt>
                <c:pt idx="111">
                  <c:v>0.16509567833333316</c:v>
                </c:pt>
                <c:pt idx="112">
                  <c:v>0.14611655888888897</c:v>
                </c:pt>
                <c:pt idx="113">
                  <c:v>7.9627582222221993E-2</c:v>
                </c:pt>
                <c:pt idx="114">
                  <c:v>8.0342306666666197E-2</c:v>
                </c:pt>
                <c:pt idx="115">
                  <c:v>0.10692968277777803</c:v>
                </c:pt>
                <c:pt idx="116">
                  <c:v>9.0090015000000023E-2</c:v>
                </c:pt>
                <c:pt idx="117">
                  <c:v>6.3675732777777716E-2</c:v>
                </c:pt>
                <c:pt idx="118">
                  <c:v>7.9752766666666197E-2</c:v>
                </c:pt>
                <c:pt idx="119">
                  <c:v>0.10660878277777797</c:v>
                </c:pt>
                <c:pt idx="120">
                  <c:v>9.5882418888888932E-2</c:v>
                </c:pt>
                <c:pt idx="121">
                  <c:v>9.1247553888888389E-2</c:v>
                </c:pt>
                <c:pt idx="122">
                  <c:v>0.10445306277777799</c:v>
                </c:pt>
                <c:pt idx="123">
                  <c:v>0.11962903055555552</c:v>
                </c:pt>
                <c:pt idx="124">
                  <c:v>0.10545536611111128</c:v>
                </c:pt>
                <c:pt idx="125">
                  <c:v>9.9629894444444589E-2</c:v>
                </c:pt>
                <c:pt idx="126">
                  <c:v>0.1360226983333328</c:v>
                </c:pt>
                <c:pt idx="127">
                  <c:v>0.12293979555555601</c:v>
                </c:pt>
                <c:pt idx="128">
                  <c:v>0.12941075722222195</c:v>
                </c:pt>
                <c:pt idx="129">
                  <c:v>0.12044507333333365</c:v>
                </c:pt>
                <c:pt idx="130">
                  <c:v>0.15345899611111136</c:v>
                </c:pt>
                <c:pt idx="131">
                  <c:v>0.18686762944444435</c:v>
                </c:pt>
                <c:pt idx="132">
                  <c:v>0.16441204222222194</c:v>
                </c:pt>
                <c:pt idx="133">
                  <c:v>0.18436761166666682</c:v>
                </c:pt>
                <c:pt idx="134">
                  <c:v>0.20599349777777753</c:v>
                </c:pt>
                <c:pt idx="135">
                  <c:v>0.1979823500000002</c:v>
                </c:pt>
                <c:pt idx="136">
                  <c:v>0.21164194277777759</c:v>
                </c:pt>
                <c:pt idx="137">
                  <c:v>0.2011245266666668</c:v>
                </c:pt>
                <c:pt idx="138">
                  <c:v>0.18305466111111124</c:v>
                </c:pt>
                <c:pt idx="139">
                  <c:v>0.15017763611111112</c:v>
                </c:pt>
                <c:pt idx="140">
                  <c:v>0.11243167499999984</c:v>
                </c:pt>
                <c:pt idx="141">
                  <c:v>0.12251209333333335</c:v>
                </c:pt>
                <c:pt idx="142">
                  <c:v>0.1403695555555553</c:v>
                </c:pt>
                <c:pt idx="143">
                  <c:v>0.1279428355555553</c:v>
                </c:pt>
                <c:pt idx="144">
                  <c:v>0.14823254444444411</c:v>
                </c:pt>
                <c:pt idx="145">
                  <c:v>0.15335244833333306</c:v>
                </c:pt>
                <c:pt idx="146">
                  <c:v>0.15233697166666693</c:v>
                </c:pt>
                <c:pt idx="147">
                  <c:v>0.1254470855555555</c:v>
                </c:pt>
                <c:pt idx="148">
                  <c:v>0.11578913055555495</c:v>
                </c:pt>
                <c:pt idx="149">
                  <c:v>0.10533123000000033</c:v>
                </c:pt>
                <c:pt idx="150">
                  <c:v>0.13090949222222203</c:v>
                </c:pt>
                <c:pt idx="151">
                  <c:v>0.11846796000000015</c:v>
                </c:pt>
                <c:pt idx="152">
                  <c:v>0.11193269166666686</c:v>
                </c:pt>
                <c:pt idx="153">
                  <c:v>0.12292609277777833</c:v>
                </c:pt>
                <c:pt idx="154">
                  <c:v>0.12086164111111131</c:v>
                </c:pt>
                <c:pt idx="155">
                  <c:v>0.13112881777777785</c:v>
                </c:pt>
                <c:pt idx="156">
                  <c:v>0.12037410722222253</c:v>
                </c:pt>
                <c:pt idx="157">
                  <c:v>0.12350535333333301</c:v>
                </c:pt>
                <c:pt idx="158">
                  <c:v>0.13106676222222291</c:v>
                </c:pt>
                <c:pt idx="159">
                  <c:v>0.12023179222222247</c:v>
                </c:pt>
                <c:pt idx="160">
                  <c:v>0.10473506000000055</c:v>
                </c:pt>
                <c:pt idx="161">
                  <c:v>0.10229336055555605</c:v>
                </c:pt>
                <c:pt idx="162">
                  <c:v>0.10136438888888921</c:v>
                </c:pt>
                <c:pt idx="163">
                  <c:v>8.8036419999999782E-2</c:v>
                </c:pt>
                <c:pt idx="164">
                  <c:v>5.1569444444444668E-2</c:v>
                </c:pt>
                <c:pt idx="165">
                  <c:v>6.5734396666667361E-2</c:v>
                </c:pt>
                <c:pt idx="166">
                  <c:v>6.6238364444445086E-2</c:v>
                </c:pt>
                <c:pt idx="167">
                  <c:v>5.973732333333337E-2</c:v>
                </c:pt>
                <c:pt idx="168">
                  <c:v>8.729431388888953E-2</c:v>
                </c:pt>
                <c:pt idx="169">
                  <c:v>8.8428659999999937E-2</c:v>
                </c:pt>
                <c:pt idx="170">
                  <c:v>0.10593329666666729</c:v>
                </c:pt>
                <c:pt idx="171">
                  <c:v>6.7884667222222639E-2</c:v>
                </c:pt>
                <c:pt idx="172">
                  <c:v>8.3120001111110731E-2</c:v>
                </c:pt>
                <c:pt idx="173">
                  <c:v>7.8773300000000157E-2</c:v>
                </c:pt>
                <c:pt idx="174">
                  <c:v>8.5822557222222429E-2</c:v>
                </c:pt>
                <c:pt idx="175">
                  <c:v>0.11129110222222205</c:v>
                </c:pt>
                <c:pt idx="176">
                  <c:v>0.1219845294444446</c:v>
                </c:pt>
                <c:pt idx="177">
                  <c:v>0.10161109333333351</c:v>
                </c:pt>
                <c:pt idx="178">
                  <c:v>0.10354014277777723</c:v>
                </c:pt>
                <c:pt idx="179">
                  <c:v>8.56969083333321E-2</c:v>
                </c:pt>
                <c:pt idx="180">
                  <c:v>9.1061551111111139E-2</c:v>
                </c:pt>
                <c:pt idx="181">
                  <c:v>7.9506407222221909E-2</c:v>
                </c:pt>
                <c:pt idx="182">
                  <c:v>8.7230822222221782E-2</c:v>
                </c:pt>
                <c:pt idx="183">
                  <c:v>9.0441898888888872E-2</c:v>
                </c:pt>
                <c:pt idx="184">
                  <c:v>0.10113611666666666</c:v>
                </c:pt>
                <c:pt idx="185">
                  <c:v>6.7757556666666718E-2</c:v>
                </c:pt>
                <c:pt idx="186">
                  <c:v>4.7352260555555414E-2</c:v>
                </c:pt>
                <c:pt idx="187">
                  <c:v>8.4210096666666456E-2</c:v>
                </c:pt>
                <c:pt idx="188">
                  <c:v>0.1017164977777778</c:v>
                </c:pt>
                <c:pt idx="189">
                  <c:v>0.10591902499999994</c:v>
                </c:pt>
                <c:pt idx="190">
                  <c:v>0.12077271833333303</c:v>
                </c:pt>
                <c:pt idx="191">
                  <c:v>9.5085199444444379E-2</c:v>
                </c:pt>
                <c:pt idx="192">
                  <c:v>0.12123255388888932</c:v>
                </c:pt>
                <c:pt idx="193">
                  <c:v>0.12649358277777789</c:v>
                </c:pt>
                <c:pt idx="194">
                  <c:v>0.11828843666666677</c:v>
                </c:pt>
                <c:pt idx="195">
                  <c:v>0.11300736055555538</c:v>
                </c:pt>
                <c:pt idx="196">
                  <c:v>0.13599324166666649</c:v>
                </c:pt>
                <c:pt idx="197">
                  <c:v>0.10338540611111113</c:v>
                </c:pt>
                <c:pt idx="198">
                  <c:v>8.563213999999908E-2</c:v>
                </c:pt>
                <c:pt idx="199">
                  <c:v>8.087591500000002E-2</c:v>
                </c:pt>
                <c:pt idx="200">
                  <c:v>8.5724444444444381E-2</c:v>
                </c:pt>
                <c:pt idx="201">
                  <c:v>7.4813816111110376E-2</c:v>
                </c:pt>
                <c:pt idx="202">
                  <c:v>7.7835937222222151E-2</c:v>
                </c:pt>
                <c:pt idx="203">
                  <c:v>9.5466891666666331E-2</c:v>
                </c:pt>
                <c:pt idx="204">
                  <c:v>9.0356218333333294E-2</c:v>
                </c:pt>
                <c:pt idx="205">
                  <c:v>9.9049779444444486E-2</c:v>
                </c:pt>
                <c:pt idx="206">
                  <c:v>0.12952505666666669</c:v>
                </c:pt>
                <c:pt idx="207">
                  <c:v>0.11991021999999973</c:v>
                </c:pt>
                <c:pt idx="208">
                  <c:v>0.14283609277777731</c:v>
                </c:pt>
                <c:pt idx="209">
                  <c:v>0.14914794833333322</c:v>
                </c:pt>
                <c:pt idx="210">
                  <c:v>0.12509414666666574</c:v>
                </c:pt>
                <c:pt idx="211">
                  <c:v>0.13114609333333282</c:v>
                </c:pt>
                <c:pt idx="212">
                  <c:v>0.12882647833333372</c:v>
                </c:pt>
                <c:pt idx="213">
                  <c:v>0.13060811000000017</c:v>
                </c:pt>
                <c:pt idx="214">
                  <c:v>0.14333213444444426</c:v>
                </c:pt>
                <c:pt idx="215">
                  <c:v>0.18777365666666657</c:v>
                </c:pt>
                <c:pt idx="216">
                  <c:v>0.20335934055555605</c:v>
                </c:pt>
                <c:pt idx="217">
                  <c:v>0.18149734833333298</c:v>
                </c:pt>
                <c:pt idx="218">
                  <c:v>0.16674641833333315</c:v>
                </c:pt>
                <c:pt idx="219">
                  <c:v>0.15945879222222237</c:v>
                </c:pt>
                <c:pt idx="220">
                  <c:v>0.17267658111111084</c:v>
                </c:pt>
                <c:pt idx="221">
                  <c:v>0.17550566722222238</c:v>
                </c:pt>
                <c:pt idx="222">
                  <c:v>0.17546168333333356</c:v>
                </c:pt>
                <c:pt idx="223">
                  <c:v>0.17571258388888911</c:v>
                </c:pt>
                <c:pt idx="224">
                  <c:v>0.18572894111111049</c:v>
                </c:pt>
                <c:pt idx="225">
                  <c:v>0.16717129888888793</c:v>
                </c:pt>
                <c:pt idx="226">
                  <c:v>0.15899342111111092</c:v>
                </c:pt>
                <c:pt idx="227">
                  <c:v>0.14562410722222185</c:v>
                </c:pt>
                <c:pt idx="228">
                  <c:v>0.15214440777777838</c:v>
                </c:pt>
                <c:pt idx="229">
                  <c:v>0.16818223722222192</c:v>
                </c:pt>
                <c:pt idx="230">
                  <c:v>0.16193876499999993</c:v>
                </c:pt>
                <c:pt idx="231">
                  <c:v>0.17302781722222216</c:v>
                </c:pt>
                <c:pt idx="232">
                  <c:v>0.16994796666666723</c:v>
                </c:pt>
                <c:pt idx="233">
                  <c:v>0.15021181000000039</c:v>
                </c:pt>
                <c:pt idx="234">
                  <c:v>0.15617435555555559</c:v>
                </c:pt>
                <c:pt idx="235">
                  <c:v>0.15015309777777752</c:v>
                </c:pt>
                <c:pt idx="236">
                  <c:v>0.15917479444444449</c:v>
                </c:pt>
                <c:pt idx="237">
                  <c:v>0.14269480388888922</c:v>
                </c:pt>
                <c:pt idx="238">
                  <c:v>0.154834076111111</c:v>
                </c:pt>
                <c:pt idx="239">
                  <c:v>0.15407367166666641</c:v>
                </c:pt>
                <c:pt idx="240">
                  <c:v>0.16464180277777751</c:v>
                </c:pt>
                <c:pt idx="241">
                  <c:v>0.13864644777777779</c:v>
                </c:pt>
                <c:pt idx="242">
                  <c:v>0.14337959777777753</c:v>
                </c:pt>
                <c:pt idx="243">
                  <c:v>0.15295470222222229</c:v>
                </c:pt>
                <c:pt idx="244">
                  <c:v>0.15971462388888835</c:v>
                </c:pt>
                <c:pt idx="245">
                  <c:v>0.14984768166666618</c:v>
                </c:pt>
                <c:pt idx="246">
                  <c:v>0.13630276222222248</c:v>
                </c:pt>
                <c:pt idx="247">
                  <c:v>8.4961423888888943E-2</c:v>
                </c:pt>
                <c:pt idx="248">
                  <c:v>0.10062305333333277</c:v>
                </c:pt>
                <c:pt idx="249">
                  <c:v>0.11975461444444435</c:v>
                </c:pt>
                <c:pt idx="250">
                  <c:v>9.7635397777777744E-2</c:v>
                </c:pt>
                <c:pt idx="251">
                  <c:v>0.10453571500000003</c:v>
                </c:pt>
                <c:pt idx="252">
                  <c:v>9.5152762222222242E-2</c:v>
                </c:pt>
                <c:pt idx="253">
                  <c:v>0.11167547444444459</c:v>
                </c:pt>
                <c:pt idx="254">
                  <c:v>5.7058022777777606E-2</c:v>
                </c:pt>
                <c:pt idx="255">
                  <c:v>2.1219202222222511E-2</c:v>
                </c:pt>
                <c:pt idx="256">
                  <c:v>2.9814043888888198E-2</c:v>
                </c:pt>
                <c:pt idx="257">
                  <c:v>3.3054580555555768E-2</c:v>
                </c:pt>
                <c:pt idx="258">
                  <c:v>2.4600913888888187E-2</c:v>
                </c:pt>
                <c:pt idx="259">
                  <c:v>3.9208640555555285E-2</c:v>
                </c:pt>
                <c:pt idx="260">
                  <c:v>4.1236833888888214E-2</c:v>
                </c:pt>
                <c:pt idx="261">
                  <c:v>3.1298237777777738E-2</c:v>
                </c:pt>
                <c:pt idx="262">
                  <c:v>1.7142455000001E-2</c:v>
                </c:pt>
                <c:pt idx="263">
                  <c:v>3.0501117222222152E-2</c:v>
                </c:pt>
                <c:pt idx="264">
                  <c:v>1.5363725000000494E-2</c:v>
                </c:pt>
                <c:pt idx="265">
                  <c:v>1.9504552777777739E-2</c:v>
                </c:pt>
                <c:pt idx="266">
                  <c:v>4.0531551666666887E-2</c:v>
                </c:pt>
                <c:pt idx="267">
                  <c:v>7.731068111111139E-2</c:v>
                </c:pt>
                <c:pt idx="268">
                  <c:v>8.2636037777778282E-2</c:v>
                </c:pt>
                <c:pt idx="269">
                  <c:v>9.1304696666666074E-2</c:v>
                </c:pt>
                <c:pt idx="270">
                  <c:v>7.1022157222221716E-2</c:v>
                </c:pt>
                <c:pt idx="271">
                  <c:v>7.7495716666666326E-2</c:v>
                </c:pt>
                <c:pt idx="272">
                  <c:v>7.295663499999927E-2</c:v>
                </c:pt>
                <c:pt idx="273">
                  <c:v>8.9755352222222418E-2</c:v>
                </c:pt>
                <c:pt idx="274">
                  <c:v>8.1531852222222367E-2</c:v>
                </c:pt>
                <c:pt idx="275">
                  <c:v>9.1897046666667204E-2</c:v>
                </c:pt>
                <c:pt idx="276">
                  <c:v>9.8391488333333332E-2</c:v>
                </c:pt>
                <c:pt idx="277">
                  <c:v>8.3860682777777251E-2</c:v>
                </c:pt>
                <c:pt idx="278">
                  <c:v>9.3588077222222066E-2</c:v>
                </c:pt>
                <c:pt idx="279">
                  <c:v>8.5247931111110731E-2</c:v>
                </c:pt>
                <c:pt idx="280">
                  <c:v>7.2217458333333817E-2</c:v>
                </c:pt>
                <c:pt idx="281">
                  <c:v>0.1282554205555555</c:v>
                </c:pt>
                <c:pt idx="282">
                  <c:v>0.13342395111111083</c:v>
                </c:pt>
                <c:pt idx="283">
                  <c:v>0.11798823388888924</c:v>
                </c:pt>
                <c:pt idx="284">
                  <c:v>9.7036313333333402E-2</c:v>
                </c:pt>
                <c:pt idx="285">
                  <c:v>0.10971288777777832</c:v>
                </c:pt>
                <c:pt idx="286">
                  <c:v>0.11926863333333315</c:v>
                </c:pt>
                <c:pt idx="287">
                  <c:v>0.13655675777777709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B0-4A3B-99D0-39A7E64A2786}"/>
            </c:ext>
          </c:extLst>
        </c:ser>
        <c:ser>
          <c:idx val="6"/>
          <c:order val="6"/>
          <c:tx>
            <c:v>Band99_U</c:v>
          </c:tx>
          <c:spPr>
            <a:solidFill>
              <a:srgbClr val="E8E8E8"/>
            </a:solidFill>
          </c:spP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Данные!$BZ$2:$BZ$289</c:f>
              <c:numCache>
                <c:formatCode>General</c:formatCode>
                <c:ptCount val="288"/>
                <c:pt idx="0">
                  <c:v>3.5138729999999896E-2</c:v>
                </c:pt>
                <c:pt idx="1">
                  <c:v>4.6164519500000112E-2</c:v>
                </c:pt>
                <c:pt idx="2">
                  <c:v>3.5983106499999917E-2</c:v>
                </c:pt>
                <c:pt idx="3">
                  <c:v>3.2504791000000588E-2</c:v>
                </c:pt>
                <c:pt idx="4">
                  <c:v>3.6003434499999765E-2</c:v>
                </c:pt>
                <c:pt idx="5">
                  <c:v>3.1915069999999712E-2</c:v>
                </c:pt>
                <c:pt idx="6">
                  <c:v>3.442444499999997E-2</c:v>
                </c:pt>
                <c:pt idx="7">
                  <c:v>2.525657750000021E-2</c:v>
                </c:pt>
                <c:pt idx="8">
                  <c:v>1.9197881999999167E-2</c:v>
                </c:pt>
                <c:pt idx="9">
                  <c:v>9.0659414999996191E-3</c:v>
                </c:pt>
                <c:pt idx="10">
                  <c:v>2.0047153500000303E-2</c:v>
                </c:pt>
                <c:pt idx="11">
                  <c:v>2.5057510500000046E-2</c:v>
                </c:pt>
                <c:pt idx="12">
                  <c:v>2.4288929499999834E-2</c:v>
                </c:pt>
                <c:pt idx="13">
                  <c:v>1.9365934500000237E-2</c:v>
                </c:pt>
                <c:pt idx="14">
                  <c:v>1.6989005000000668E-2</c:v>
                </c:pt>
                <c:pt idx="15">
                  <c:v>2.8631019999993956E-3</c:v>
                </c:pt>
                <c:pt idx="16">
                  <c:v>8.4684105000002452E-3</c:v>
                </c:pt>
                <c:pt idx="17">
                  <c:v>5.4063900000012044E-4</c:v>
                </c:pt>
                <c:pt idx="18">
                  <c:v>6.7239204999999247E-3</c:v>
                </c:pt>
                <c:pt idx="19">
                  <c:v>7.9777500000088875E-4</c:v>
                </c:pt>
                <c:pt idx="20">
                  <c:v>3.4898105000005231E-3</c:v>
                </c:pt>
                <c:pt idx="21">
                  <c:v>4.3895995000002852E-3</c:v>
                </c:pt>
                <c:pt idx="22">
                  <c:v>5.8690169999996433E-3</c:v>
                </c:pt>
                <c:pt idx="23">
                  <c:v>3.8419425000005836E-3</c:v>
                </c:pt>
                <c:pt idx="24">
                  <c:v>1.4629670000000261E-2</c:v>
                </c:pt>
                <c:pt idx="25">
                  <c:v>1.4333027500000095E-2</c:v>
                </c:pt>
                <c:pt idx="26">
                  <c:v>1.8784743999999964E-2</c:v>
                </c:pt>
                <c:pt idx="27">
                  <c:v>2.3977976000000067E-2</c:v>
                </c:pt>
                <c:pt idx="28">
                  <c:v>1.5525933499999756E-2</c:v>
                </c:pt>
                <c:pt idx="29">
                  <c:v>6.3628675000000356E-3</c:v>
                </c:pt>
                <c:pt idx="30">
                  <c:v>7.9162379999998533E-3</c:v>
                </c:pt>
                <c:pt idx="31">
                  <c:v>4.3335874999999024E-3</c:v>
                </c:pt>
                <c:pt idx="32">
                  <c:v>1.5191417999999679E-2</c:v>
                </c:pt>
                <c:pt idx="33">
                  <c:v>3.126394700000068E-2</c:v>
                </c:pt>
                <c:pt idx="34">
                  <c:v>1.5401039499999825E-2</c:v>
                </c:pt>
                <c:pt idx="35">
                  <c:v>3.9089544999993953E-3</c:v>
                </c:pt>
                <c:pt idx="36">
                  <c:v>7.459594999999708E-3</c:v>
                </c:pt>
                <c:pt idx="37">
                  <c:v>2.9901574999997571E-3</c:v>
                </c:pt>
                <c:pt idx="38">
                  <c:v>6.0356614999993452E-3</c:v>
                </c:pt>
                <c:pt idx="39">
                  <c:v>9.0759514999996238E-3</c:v>
                </c:pt>
                <c:pt idx="40">
                  <c:v>1.233577400000041E-2</c:v>
                </c:pt>
                <c:pt idx="41">
                  <c:v>1.4216697000000389E-2</c:v>
                </c:pt>
                <c:pt idx="42">
                  <c:v>6.7376540000004814E-3</c:v>
                </c:pt>
                <c:pt idx="43">
                  <c:v>4.8321020000002823E-3</c:v>
                </c:pt>
                <c:pt idx="44">
                  <c:v>2.1498938999999773E-2</c:v>
                </c:pt>
                <c:pt idx="45">
                  <c:v>1.8412168499999715E-2</c:v>
                </c:pt>
                <c:pt idx="46">
                  <c:v>3.6499210000000559E-2</c:v>
                </c:pt>
                <c:pt idx="47">
                  <c:v>3.4174184000000163E-2</c:v>
                </c:pt>
                <c:pt idx="48">
                  <c:v>3.5602566999999863E-2</c:v>
                </c:pt>
                <c:pt idx="49">
                  <c:v>3.4001318999999586E-2</c:v>
                </c:pt>
                <c:pt idx="50">
                  <c:v>2.9765306999999686E-2</c:v>
                </c:pt>
                <c:pt idx="51">
                  <c:v>2.5654310000000513E-2</c:v>
                </c:pt>
                <c:pt idx="52">
                  <c:v>3.2214402000000253E-2</c:v>
                </c:pt>
                <c:pt idx="53">
                  <c:v>1.5136836000000264E-2</c:v>
                </c:pt>
                <c:pt idx="54">
                  <c:v>1.1315430500000057E-2</c:v>
                </c:pt>
                <c:pt idx="55">
                  <c:v>2.2714779999999379E-3</c:v>
                </c:pt>
                <c:pt idx="56">
                  <c:v>8.7495265000003819E-3</c:v>
                </c:pt>
                <c:pt idx="57">
                  <c:v>1.0901517000000194E-2</c:v>
                </c:pt>
                <c:pt idx="58">
                  <c:v>2.2478621000000198E-2</c:v>
                </c:pt>
                <c:pt idx="59">
                  <c:v>2.2303875000000195E-2</c:v>
                </c:pt>
                <c:pt idx="60">
                  <c:v>1.1680174000000432E-2</c:v>
                </c:pt>
                <c:pt idx="61">
                  <c:v>1.5529618500000009E-2</c:v>
                </c:pt>
                <c:pt idx="62">
                  <c:v>2.8596436000000391E-2</c:v>
                </c:pt>
                <c:pt idx="63">
                  <c:v>2.8081377499999949E-2</c:v>
                </c:pt>
                <c:pt idx="64">
                  <c:v>1.0842314999996994E-3</c:v>
                </c:pt>
                <c:pt idx="65">
                  <c:v>6.4164540000001269E-3</c:v>
                </c:pt>
                <c:pt idx="66">
                  <c:v>1.7324999999979163E-4</c:v>
                </c:pt>
                <c:pt idx="67">
                  <c:v>3.7299900000004049E-3</c:v>
                </c:pt>
                <c:pt idx="68">
                  <c:v>1.4158501500000087E-2</c:v>
                </c:pt>
                <c:pt idx="69">
                  <c:v>1.5402937000000061E-2</c:v>
                </c:pt>
                <c:pt idx="70">
                  <c:v>4.0363455000000936E-3</c:v>
                </c:pt>
                <c:pt idx="71">
                  <c:v>1.3241387499999591E-2</c:v>
                </c:pt>
                <c:pt idx="72">
                  <c:v>7.7380049999998812E-3</c:v>
                </c:pt>
                <c:pt idx="73">
                  <c:v>4.1102490000000103E-3</c:v>
                </c:pt>
                <c:pt idx="74">
                  <c:v>2.1011050500000517E-2</c:v>
                </c:pt>
                <c:pt idx="75">
                  <c:v>3.2351599499999772E-2</c:v>
                </c:pt>
                <c:pt idx="76">
                  <c:v>3.446358849999942E-2</c:v>
                </c:pt>
                <c:pt idx="77">
                  <c:v>3.4833953000000584E-2</c:v>
                </c:pt>
                <c:pt idx="78">
                  <c:v>2.9888088999999396E-2</c:v>
                </c:pt>
                <c:pt idx="79">
                  <c:v>2.7957555999999939E-2</c:v>
                </c:pt>
                <c:pt idx="80">
                  <c:v>1.9744604000000665E-2</c:v>
                </c:pt>
                <c:pt idx="81">
                  <c:v>1.2171406500000259E-2</c:v>
                </c:pt>
                <c:pt idx="82">
                  <c:v>6.3477645000002969E-3</c:v>
                </c:pt>
                <c:pt idx="83">
                  <c:v>8.3359209999998019E-3</c:v>
                </c:pt>
                <c:pt idx="84">
                  <c:v>8.5633460000001937E-3</c:v>
                </c:pt>
                <c:pt idx="85">
                  <c:v>8.1166140000004106E-3</c:v>
                </c:pt>
                <c:pt idx="86">
                  <c:v>6.0287094999997848E-3</c:v>
                </c:pt>
                <c:pt idx="87">
                  <c:v>7.4841415000004297E-3</c:v>
                </c:pt>
                <c:pt idx="88">
                  <c:v>6.0409030000003749E-3</c:v>
                </c:pt>
                <c:pt idx="89">
                  <c:v>8.1072694999996253E-3</c:v>
                </c:pt>
                <c:pt idx="90">
                  <c:v>3.128950000008679E-5</c:v>
                </c:pt>
                <c:pt idx="91">
                  <c:v>4.3948409999999827E-3</c:v>
                </c:pt>
                <c:pt idx="92">
                  <c:v>7.5322554999999181E-3</c:v>
                </c:pt>
                <c:pt idx="93">
                  <c:v>2.9729149999999649E-3</c:v>
                </c:pt>
                <c:pt idx="94">
                  <c:v>8.7391259999998194E-3</c:v>
                </c:pt>
                <c:pt idx="95">
                  <c:v>5.8716294999997531E-3</c:v>
                </c:pt>
                <c:pt idx="96">
                  <c:v>6.2916700000004155E-4</c:v>
                </c:pt>
                <c:pt idx="97">
                  <c:v>7.2313504999999001E-3</c:v>
                </c:pt>
                <c:pt idx="98">
                  <c:v>4.4556104999998736E-3</c:v>
                </c:pt>
                <c:pt idx="99">
                  <c:v>1.322718650000021E-2</c:v>
                </c:pt>
                <c:pt idx="100">
                  <c:v>7.1279560000000464E-3</c:v>
                </c:pt>
                <c:pt idx="101">
                  <c:v>2.5923864999998214E-3</c:v>
                </c:pt>
                <c:pt idx="102">
                  <c:v>4.278956000000167E-3</c:v>
                </c:pt>
                <c:pt idx="103">
                  <c:v>3.6919574999999871E-2</c:v>
                </c:pt>
                <c:pt idx="104">
                  <c:v>6.1564172999999389E-2</c:v>
                </c:pt>
                <c:pt idx="105">
                  <c:v>3.6271322999999689E-2</c:v>
                </c:pt>
                <c:pt idx="106">
                  <c:v>3.4721098499999492E-2</c:v>
                </c:pt>
                <c:pt idx="107">
                  <c:v>3.915325149999993E-2</c:v>
                </c:pt>
                <c:pt idx="108">
                  <c:v>5.2820058500000044E-2</c:v>
                </c:pt>
                <c:pt idx="109">
                  <c:v>6.2079292000000397E-2</c:v>
                </c:pt>
                <c:pt idx="110">
                  <c:v>5.6856976000000281E-2</c:v>
                </c:pt>
                <c:pt idx="111">
                  <c:v>5.9804739500000648E-2</c:v>
                </c:pt>
                <c:pt idx="112">
                  <c:v>7.0129999500000206E-2</c:v>
                </c:pt>
                <c:pt idx="113">
                  <c:v>5.5336721000000866E-2</c:v>
                </c:pt>
                <c:pt idx="114">
                  <c:v>4.2992031499999861E-2</c:v>
                </c:pt>
                <c:pt idx="115">
                  <c:v>4.5636255500000167E-2</c:v>
                </c:pt>
                <c:pt idx="116">
                  <c:v>3.9259758999999894E-2</c:v>
                </c:pt>
                <c:pt idx="117">
                  <c:v>3.1186243000000169E-2</c:v>
                </c:pt>
                <c:pt idx="118">
                  <c:v>3.9042794999999964E-2</c:v>
                </c:pt>
                <c:pt idx="119">
                  <c:v>4.1843482999999959E-2</c:v>
                </c:pt>
                <c:pt idx="120">
                  <c:v>5.0694302999999663E-2</c:v>
                </c:pt>
                <c:pt idx="121">
                  <c:v>5.3787129000000267E-2</c:v>
                </c:pt>
                <c:pt idx="122">
                  <c:v>5.3435316000000399E-2</c:v>
                </c:pt>
                <c:pt idx="123">
                  <c:v>5.2938572499999892E-2</c:v>
                </c:pt>
                <c:pt idx="124">
                  <c:v>4.845077050000024E-2</c:v>
                </c:pt>
                <c:pt idx="125">
                  <c:v>5.7305297500000352E-2</c:v>
                </c:pt>
                <c:pt idx="126">
                  <c:v>4.3478066500000523E-2</c:v>
                </c:pt>
                <c:pt idx="127">
                  <c:v>6.2831851499999702E-2</c:v>
                </c:pt>
                <c:pt idx="128">
                  <c:v>6.6094088499999426E-2</c:v>
                </c:pt>
                <c:pt idx="129">
                  <c:v>6.21282365000001E-2</c:v>
                </c:pt>
                <c:pt idx="130">
                  <c:v>5.7495773500000125E-2</c:v>
                </c:pt>
                <c:pt idx="131">
                  <c:v>5.8792480999999785E-2</c:v>
                </c:pt>
                <c:pt idx="132">
                  <c:v>6.5705909499999771E-2</c:v>
                </c:pt>
                <c:pt idx="133">
                  <c:v>5.7719304500000401E-2</c:v>
                </c:pt>
                <c:pt idx="134">
                  <c:v>3.6540619500000204E-2</c:v>
                </c:pt>
                <c:pt idx="135">
                  <c:v>2.1506842500000234E-2</c:v>
                </c:pt>
                <c:pt idx="136">
                  <c:v>1.5364293999999723E-2</c:v>
                </c:pt>
                <c:pt idx="137">
                  <c:v>1.5166893500000334E-2</c:v>
                </c:pt>
                <c:pt idx="138">
                  <c:v>1.4246594999999918E-2</c:v>
                </c:pt>
                <c:pt idx="139">
                  <c:v>4.907127499999997E-3</c:v>
                </c:pt>
                <c:pt idx="140">
                  <c:v>1.9792905000000305E-2</c:v>
                </c:pt>
                <c:pt idx="141">
                  <c:v>3.2052349999989183E-4</c:v>
                </c:pt>
                <c:pt idx="142">
                  <c:v>8.0671250000002859E-3</c:v>
                </c:pt>
                <c:pt idx="143">
                  <c:v>5.4425580000000418E-3</c:v>
                </c:pt>
                <c:pt idx="144">
                  <c:v>1.5114990000000605E-2</c:v>
                </c:pt>
                <c:pt idx="145">
                  <c:v>2.8982239000000298E-2</c:v>
                </c:pt>
                <c:pt idx="146">
                  <c:v>3.200417550000012E-2</c:v>
                </c:pt>
                <c:pt idx="147">
                  <c:v>2.4404050000037536E-4</c:v>
                </c:pt>
                <c:pt idx="148">
                  <c:v>1.0940050000000423E-2</c:v>
                </c:pt>
                <c:pt idx="149">
                  <c:v>1.2122252999999583E-2</c:v>
                </c:pt>
                <c:pt idx="150">
                  <c:v>4.8674395000004589E-3</c:v>
                </c:pt>
                <c:pt idx="151">
                  <c:v>5.2751160000001907E-3</c:v>
                </c:pt>
                <c:pt idx="152">
                  <c:v>9.3675449999996996E-3</c:v>
                </c:pt>
                <c:pt idx="153">
                  <c:v>8.9617164999999943E-3</c:v>
                </c:pt>
                <c:pt idx="154">
                  <c:v>9.1728504999991634E-3</c:v>
                </c:pt>
                <c:pt idx="155">
                  <c:v>4.8659490000002581E-3</c:v>
                </c:pt>
                <c:pt idx="156">
                  <c:v>4.0388810000003827E-3</c:v>
                </c:pt>
                <c:pt idx="157">
                  <c:v>5.3104914500000322E-2</c:v>
                </c:pt>
                <c:pt idx="158">
                  <c:v>6.1058569000000174E-2</c:v>
                </c:pt>
                <c:pt idx="159">
                  <c:v>5.8703777000000734E-2</c:v>
                </c:pt>
                <c:pt idx="160">
                  <c:v>5.6615031000000648E-2</c:v>
                </c:pt>
                <c:pt idx="161">
                  <c:v>5.0401235500000086E-2</c:v>
                </c:pt>
                <c:pt idx="162">
                  <c:v>5.2565810000000046E-2</c:v>
                </c:pt>
                <c:pt idx="163">
                  <c:v>4.5032234500000379E-2</c:v>
                </c:pt>
                <c:pt idx="164">
                  <c:v>2.5487082499999869E-2</c:v>
                </c:pt>
                <c:pt idx="165">
                  <c:v>2.3394579999997944E-3</c:v>
                </c:pt>
                <c:pt idx="166">
                  <c:v>1.4779979500000318E-2</c:v>
                </c:pt>
                <c:pt idx="167">
                  <c:v>2.3560559000000203E-2</c:v>
                </c:pt>
                <c:pt idx="168">
                  <c:v>1.5249520000000016E-2</c:v>
                </c:pt>
                <c:pt idx="169">
                  <c:v>7.3154784999999167E-3</c:v>
                </c:pt>
                <c:pt idx="170">
                  <c:v>3.0650432999999477E-2</c:v>
                </c:pt>
                <c:pt idx="171">
                  <c:v>3.8526949999984073E-4</c:v>
                </c:pt>
                <c:pt idx="172">
                  <c:v>2.9382265000004182E-3</c:v>
                </c:pt>
                <c:pt idx="173">
                  <c:v>3.3875324999995682E-3</c:v>
                </c:pt>
                <c:pt idx="174">
                  <c:v>1.346208599999954E-2</c:v>
                </c:pt>
                <c:pt idx="175">
                  <c:v>8.5175530000003441E-3</c:v>
                </c:pt>
                <c:pt idx="176">
                  <c:v>1.6635613499999868E-2</c:v>
                </c:pt>
                <c:pt idx="177">
                  <c:v>6.1362235000003151E-3</c:v>
                </c:pt>
                <c:pt idx="178">
                  <c:v>1.1420365000001098E-3</c:v>
                </c:pt>
                <c:pt idx="179">
                  <c:v>4.5915924999996305E-3</c:v>
                </c:pt>
                <c:pt idx="180">
                  <c:v>2.3490390000000527E-3</c:v>
                </c:pt>
                <c:pt idx="181">
                  <c:v>1.062372850000004E-2</c:v>
                </c:pt>
                <c:pt idx="182">
                  <c:v>5.9836700000002185E-3</c:v>
                </c:pt>
                <c:pt idx="183">
                  <c:v>1.2945663499999371E-2</c:v>
                </c:pt>
                <c:pt idx="184">
                  <c:v>1.1672429999999845E-2</c:v>
                </c:pt>
                <c:pt idx="185">
                  <c:v>5.0389239999998336E-3</c:v>
                </c:pt>
                <c:pt idx="186">
                  <c:v>7.7346004999999662E-3</c:v>
                </c:pt>
                <c:pt idx="187">
                  <c:v>1.0001530000002257E-3</c:v>
                </c:pt>
                <c:pt idx="188">
                  <c:v>3.069901450000001E-2</c:v>
                </c:pt>
                <c:pt idx="189">
                  <c:v>3.5477887499999805E-2</c:v>
                </c:pt>
                <c:pt idx="190">
                  <c:v>3.8121143500000509E-2</c:v>
                </c:pt>
                <c:pt idx="191">
                  <c:v>3.8542602999999898E-2</c:v>
                </c:pt>
                <c:pt idx="192">
                  <c:v>2.7344888999999983E-2</c:v>
                </c:pt>
                <c:pt idx="193">
                  <c:v>3.2129438000000454E-2</c:v>
                </c:pt>
                <c:pt idx="194">
                  <c:v>4.2333329499999905E-2</c:v>
                </c:pt>
                <c:pt idx="195">
                  <c:v>3.0537710499999982E-2</c:v>
                </c:pt>
                <c:pt idx="196">
                  <c:v>3.0017267500000555E-2</c:v>
                </c:pt>
                <c:pt idx="197">
                  <c:v>1.1542542000000489E-2</c:v>
                </c:pt>
                <c:pt idx="198">
                  <c:v>5.6472900000037463E-4</c:v>
                </c:pt>
                <c:pt idx="199">
                  <c:v>3.1405440000004115E-3</c:v>
                </c:pt>
                <c:pt idx="200">
                  <c:v>1.2489675000002531E-3</c:v>
                </c:pt>
                <c:pt idx="201">
                  <c:v>5.4020230000004776E-3</c:v>
                </c:pt>
                <c:pt idx="202">
                  <c:v>3.4954039999999242E-3</c:v>
                </c:pt>
                <c:pt idx="203">
                  <c:v>1.0251917499999763E-2</c:v>
                </c:pt>
                <c:pt idx="204">
                  <c:v>6.2323360000003936E-3</c:v>
                </c:pt>
                <c:pt idx="205">
                  <c:v>1.0650859999999929E-3</c:v>
                </c:pt>
                <c:pt idx="206">
                  <c:v>8.2766365000001008E-3</c:v>
                </c:pt>
                <c:pt idx="207">
                  <c:v>9.4766044999996524E-3</c:v>
                </c:pt>
                <c:pt idx="208">
                  <c:v>2.4306194000000003E-2</c:v>
                </c:pt>
                <c:pt idx="209">
                  <c:v>1.9855621500000198E-2</c:v>
                </c:pt>
                <c:pt idx="210">
                  <c:v>1.6816393000000374E-2</c:v>
                </c:pt>
                <c:pt idx="211">
                  <c:v>1.0886848500000212E-2</c:v>
                </c:pt>
                <c:pt idx="212">
                  <c:v>9.124714499999742E-3</c:v>
                </c:pt>
                <c:pt idx="213">
                  <c:v>1.0353816000000182E-2</c:v>
                </c:pt>
                <c:pt idx="214">
                  <c:v>1.5992118999999749E-2</c:v>
                </c:pt>
                <c:pt idx="215">
                  <c:v>2.0420911500000027E-2</c:v>
                </c:pt>
                <c:pt idx="216">
                  <c:v>2.1991595999999891E-2</c:v>
                </c:pt>
                <c:pt idx="217">
                  <c:v>3.0769601500000188E-2</c:v>
                </c:pt>
                <c:pt idx="218">
                  <c:v>4.7778401000000192E-2</c:v>
                </c:pt>
                <c:pt idx="219">
                  <c:v>4.8820029499999973E-2</c:v>
                </c:pt>
                <c:pt idx="220">
                  <c:v>5.5699484500000285E-2</c:v>
                </c:pt>
                <c:pt idx="221">
                  <c:v>3.909283950000042E-2</c:v>
                </c:pt>
                <c:pt idx="222">
                  <c:v>3.7408524999999582E-2</c:v>
                </c:pt>
                <c:pt idx="223">
                  <c:v>3.9065614500000567E-2</c:v>
                </c:pt>
                <c:pt idx="224">
                  <c:v>3.8837953000000258E-2</c:v>
                </c:pt>
                <c:pt idx="225">
                  <c:v>6.090129100000008E-2</c:v>
                </c:pt>
                <c:pt idx="226">
                  <c:v>6.184971100000014E-2</c:v>
                </c:pt>
                <c:pt idx="227">
                  <c:v>6.5592708500000318E-2</c:v>
                </c:pt>
                <c:pt idx="228">
                  <c:v>6.7452142999999909E-2</c:v>
                </c:pt>
                <c:pt idx="229">
                  <c:v>6.0723839000000224E-2</c:v>
                </c:pt>
                <c:pt idx="230">
                  <c:v>4.5411151500000413E-2</c:v>
                </c:pt>
                <c:pt idx="231">
                  <c:v>4.4316327000000433E-2</c:v>
                </c:pt>
                <c:pt idx="232">
                  <c:v>3.471687999999995E-2</c:v>
                </c:pt>
                <c:pt idx="233">
                  <c:v>2.961231349999971E-2</c:v>
                </c:pt>
                <c:pt idx="234">
                  <c:v>3.0868474999999895E-2</c:v>
                </c:pt>
                <c:pt idx="235">
                  <c:v>4.397870950000049E-2</c:v>
                </c:pt>
                <c:pt idx="236">
                  <c:v>3.4549130000000039E-2</c:v>
                </c:pt>
                <c:pt idx="237">
                  <c:v>2.7864693999999912E-2</c:v>
                </c:pt>
                <c:pt idx="238">
                  <c:v>2.85244739999998E-2</c:v>
                </c:pt>
                <c:pt idx="239">
                  <c:v>3.3850442999999952E-2</c:v>
                </c:pt>
                <c:pt idx="240">
                  <c:v>2.3512389999999939E-2</c:v>
                </c:pt>
                <c:pt idx="241">
                  <c:v>2.8676197000000125E-2</c:v>
                </c:pt>
                <c:pt idx="242">
                  <c:v>3.5046544500000332E-2</c:v>
                </c:pt>
                <c:pt idx="243">
                  <c:v>3.0858498000000179E-2</c:v>
                </c:pt>
                <c:pt idx="244">
                  <c:v>3.0092683500000383E-2</c:v>
                </c:pt>
                <c:pt idx="245">
                  <c:v>3.5615348999999741E-2</c:v>
                </c:pt>
                <c:pt idx="246">
                  <c:v>3.6590636500000384E-2</c:v>
                </c:pt>
                <c:pt idx="247">
                  <c:v>9.3293035000000524E-3</c:v>
                </c:pt>
                <c:pt idx="248">
                  <c:v>1.2663414500000081E-2</c:v>
                </c:pt>
                <c:pt idx="249">
                  <c:v>1.0323274499999369E-2</c:v>
                </c:pt>
                <c:pt idx="250">
                  <c:v>1.0561204500000421E-2</c:v>
                </c:pt>
                <c:pt idx="251">
                  <c:v>9.5227439999998609E-3</c:v>
                </c:pt>
                <c:pt idx="252">
                  <c:v>1.6845196499999826E-2</c:v>
                </c:pt>
                <c:pt idx="253">
                  <c:v>1.6101723000000345E-2</c:v>
                </c:pt>
                <c:pt idx="254">
                  <c:v>2.3685552000000221E-2</c:v>
                </c:pt>
                <c:pt idx="255">
                  <c:v>1.3989029999998959E-3</c:v>
                </c:pt>
                <c:pt idx="256">
                  <c:v>3.8323505000001923E-3</c:v>
                </c:pt>
                <c:pt idx="257">
                  <c:v>1.4707192499999411E-2</c:v>
                </c:pt>
                <c:pt idx="258">
                  <c:v>1.4918612500000261E-2</c:v>
                </c:pt>
                <c:pt idx="259">
                  <c:v>3.5150334999998201E-3</c:v>
                </c:pt>
                <c:pt idx="260">
                  <c:v>5.0676945000001083E-3</c:v>
                </c:pt>
                <c:pt idx="261">
                  <c:v>4.5611610000002578E-3</c:v>
                </c:pt>
                <c:pt idx="262">
                  <c:v>4.0999804999998224E-3</c:v>
                </c:pt>
                <c:pt idx="263">
                  <c:v>1.329647000000489E-3</c:v>
                </c:pt>
                <c:pt idx="264">
                  <c:v>3.5949649999996725E-3</c:v>
                </c:pt>
                <c:pt idx="265">
                  <c:v>8.0732849999998191E-3</c:v>
                </c:pt>
                <c:pt idx="266">
                  <c:v>5.380853499999505E-3</c:v>
                </c:pt>
                <c:pt idx="267">
                  <c:v>1.2903462000000254E-2</c:v>
                </c:pt>
                <c:pt idx="268">
                  <c:v>2.7451830999999705E-2</c:v>
                </c:pt>
                <c:pt idx="269">
                  <c:v>2.8602673000000634E-2</c:v>
                </c:pt>
                <c:pt idx="270">
                  <c:v>2.9971738500000344E-2</c:v>
                </c:pt>
                <c:pt idx="271">
                  <c:v>3.0670750000000524E-2</c:v>
                </c:pt>
                <c:pt idx="272">
                  <c:v>2.608150599999981E-2</c:v>
                </c:pt>
                <c:pt idx="273">
                  <c:v>2.4810450499999748E-2</c:v>
                </c:pt>
                <c:pt idx="274">
                  <c:v>1.846988549999995E-2</c:v>
                </c:pt>
                <c:pt idx="275">
                  <c:v>2.3849325500000629E-2</c:v>
                </c:pt>
                <c:pt idx="276">
                  <c:v>3.5412498000000348E-2</c:v>
                </c:pt>
                <c:pt idx="277">
                  <c:v>3.3850910499999998E-2</c:v>
                </c:pt>
                <c:pt idx="278">
                  <c:v>2.053956300000026E-2</c:v>
                </c:pt>
                <c:pt idx="279">
                  <c:v>4.1152754500000222E-2</c:v>
                </c:pt>
                <c:pt idx="280">
                  <c:v>4.5387842500000275E-2</c:v>
                </c:pt>
                <c:pt idx="281">
                  <c:v>7.6399290000003228E-3</c:v>
                </c:pt>
                <c:pt idx="282">
                  <c:v>6.5109040000000951E-3</c:v>
                </c:pt>
                <c:pt idx="283">
                  <c:v>1.732790949999985E-2</c:v>
                </c:pt>
                <c:pt idx="284">
                  <c:v>3.4228540499999682E-2</c:v>
                </c:pt>
                <c:pt idx="285">
                  <c:v>3.004717099999954E-2</c:v>
                </c:pt>
                <c:pt idx="286">
                  <c:v>3.2204122499999932E-2</c:v>
                </c:pt>
                <c:pt idx="287">
                  <c:v>2.0956353000000205E-2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B0-4A3B-99D0-39A7E64A2786}"/>
            </c:ext>
          </c:extLst>
        </c:ser>
        <c:ser>
          <c:idx val="7"/>
          <c:order val="7"/>
          <c:tx>
            <c:v>ScaleTop</c:v>
          </c:tx>
          <c:spPr>
            <a:solidFill>
              <a:srgbClr val="FFFFFF"/>
            </a:solidFill>
          </c:spP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Данные!$CA$2:$CA$289</c:f>
              <c:numCache>
                <c:formatCode>General</c:formatCode>
                <c:ptCount val="288"/>
                <c:pt idx="0">
                  <c:v>0.18219962555555569</c:v>
                </c:pt>
                <c:pt idx="1">
                  <c:v>0.16537343549999972</c:v>
                </c:pt>
                <c:pt idx="2">
                  <c:v>0.1574751340555558</c:v>
                </c:pt>
                <c:pt idx="3">
                  <c:v>0.16788409899999956</c:v>
                </c:pt>
                <c:pt idx="4">
                  <c:v>0.1721453038333336</c:v>
                </c:pt>
                <c:pt idx="5">
                  <c:v>0.18090148555555541</c:v>
                </c:pt>
                <c:pt idx="6">
                  <c:v>0.18180461611111121</c:v>
                </c:pt>
                <c:pt idx="7">
                  <c:v>0.17464177527777736</c:v>
                </c:pt>
                <c:pt idx="8">
                  <c:v>0.12093162022222292</c:v>
                </c:pt>
                <c:pt idx="9">
                  <c:v>0.13337388238888892</c:v>
                </c:pt>
                <c:pt idx="10">
                  <c:v>0.13303337261111114</c:v>
                </c:pt>
                <c:pt idx="11">
                  <c:v>0.14715580116666693</c:v>
                </c:pt>
                <c:pt idx="12">
                  <c:v>0.14404803661111143</c:v>
                </c:pt>
                <c:pt idx="13">
                  <c:v>0.1414064482777776</c:v>
                </c:pt>
                <c:pt idx="14">
                  <c:v>0.14710903388888796</c:v>
                </c:pt>
                <c:pt idx="15">
                  <c:v>0.17291653355555592</c:v>
                </c:pt>
                <c:pt idx="16">
                  <c:v>0.17485197894444415</c:v>
                </c:pt>
                <c:pt idx="17">
                  <c:v>0.18845011544444423</c:v>
                </c:pt>
                <c:pt idx="18">
                  <c:v>0.16605862450000008</c:v>
                </c:pt>
                <c:pt idx="19">
                  <c:v>0.16905759722222136</c:v>
                </c:pt>
                <c:pt idx="20">
                  <c:v>0.1680055456111107</c:v>
                </c:pt>
                <c:pt idx="21">
                  <c:v>0.16224273327777761</c:v>
                </c:pt>
                <c:pt idx="22">
                  <c:v>0.15566186855555619</c:v>
                </c:pt>
                <c:pt idx="23">
                  <c:v>0.17116586027777758</c:v>
                </c:pt>
                <c:pt idx="24">
                  <c:v>0.16846137444444442</c:v>
                </c:pt>
                <c:pt idx="25">
                  <c:v>0.1709276808333331</c:v>
                </c:pt>
                <c:pt idx="26">
                  <c:v>0.1605517826666667</c:v>
                </c:pt>
                <c:pt idx="27">
                  <c:v>0.15252098622222188</c:v>
                </c:pt>
                <c:pt idx="28">
                  <c:v>0.14545831483333316</c:v>
                </c:pt>
                <c:pt idx="29">
                  <c:v>0.16485432972222225</c:v>
                </c:pt>
                <c:pt idx="30">
                  <c:v>0.16533670422222224</c:v>
                </c:pt>
                <c:pt idx="31">
                  <c:v>0.17055936527777826</c:v>
                </c:pt>
                <c:pt idx="32">
                  <c:v>0.16963660200000052</c:v>
                </c:pt>
                <c:pt idx="33">
                  <c:v>0.17119124966666643</c:v>
                </c:pt>
                <c:pt idx="34">
                  <c:v>0.17133025994444451</c:v>
                </c:pt>
                <c:pt idx="35">
                  <c:v>0.16996756161111137</c:v>
                </c:pt>
                <c:pt idx="36">
                  <c:v>0.15902747722222188</c:v>
                </c:pt>
                <c:pt idx="37">
                  <c:v>0.17074558416666696</c:v>
                </c:pt>
                <c:pt idx="38">
                  <c:v>0.17670776238888908</c:v>
                </c:pt>
                <c:pt idx="39">
                  <c:v>0.17454805016666675</c:v>
                </c:pt>
                <c:pt idx="40">
                  <c:v>0.15750517488888849</c:v>
                </c:pt>
                <c:pt idx="41">
                  <c:v>0.16152427744444386</c:v>
                </c:pt>
                <c:pt idx="42">
                  <c:v>0.17856528377777736</c:v>
                </c:pt>
                <c:pt idx="43">
                  <c:v>0.18753990022222211</c:v>
                </c:pt>
                <c:pt idx="44">
                  <c:v>0.14729423766666638</c:v>
                </c:pt>
                <c:pt idx="45">
                  <c:v>0.14966246316666665</c:v>
                </c:pt>
                <c:pt idx="46">
                  <c:v>0.11775393444444426</c:v>
                </c:pt>
                <c:pt idx="47">
                  <c:v>0.12473665377777798</c:v>
                </c:pt>
                <c:pt idx="48">
                  <c:v>0.12943032966666701</c:v>
                </c:pt>
                <c:pt idx="49">
                  <c:v>0.13489197988888924</c:v>
                </c:pt>
                <c:pt idx="50">
                  <c:v>0.12811660077777798</c:v>
                </c:pt>
                <c:pt idx="51">
                  <c:v>0.13482582333333326</c:v>
                </c:pt>
                <c:pt idx="52">
                  <c:v>0.12883946688888859</c:v>
                </c:pt>
                <c:pt idx="53">
                  <c:v>0.16482470399999993</c:v>
                </c:pt>
                <c:pt idx="54">
                  <c:v>0.14389377005555559</c:v>
                </c:pt>
                <c:pt idx="55">
                  <c:v>0.15352816422222293</c:v>
                </c:pt>
                <c:pt idx="56">
                  <c:v>0.14155375849999963</c:v>
                </c:pt>
                <c:pt idx="57">
                  <c:v>0.13484099077777745</c:v>
                </c:pt>
                <c:pt idx="58">
                  <c:v>0.13183200233333381</c:v>
                </c:pt>
                <c:pt idx="59">
                  <c:v>0.14744768611111125</c:v>
                </c:pt>
                <c:pt idx="60">
                  <c:v>0.15700499711111116</c:v>
                </c:pt>
                <c:pt idx="61">
                  <c:v>0.14272099094444457</c:v>
                </c:pt>
                <c:pt idx="62">
                  <c:v>0.131072648444444</c:v>
                </c:pt>
                <c:pt idx="63">
                  <c:v>0.13935407527777777</c:v>
                </c:pt>
                <c:pt idx="64">
                  <c:v>0.20077814794444448</c:v>
                </c:pt>
                <c:pt idx="65">
                  <c:v>0.19890471711111124</c:v>
                </c:pt>
                <c:pt idx="66">
                  <c:v>0.20321780555555602</c:v>
                </c:pt>
                <c:pt idx="67">
                  <c:v>0.1872613099999999</c:v>
                </c:pt>
                <c:pt idx="68">
                  <c:v>0.17449834461111091</c:v>
                </c:pt>
                <c:pt idx="69">
                  <c:v>0.1762866707777776</c:v>
                </c:pt>
                <c:pt idx="70">
                  <c:v>0.1902045272777777</c:v>
                </c:pt>
                <c:pt idx="71">
                  <c:v>0.21735670972222276</c:v>
                </c:pt>
                <c:pt idx="72">
                  <c:v>0.2494878783333333</c:v>
                </c:pt>
                <c:pt idx="73">
                  <c:v>0.22621708322222245</c:v>
                </c:pt>
                <c:pt idx="74">
                  <c:v>0.20624888338888803</c:v>
                </c:pt>
                <c:pt idx="75">
                  <c:v>0.20735515550000072</c:v>
                </c:pt>
                <c:pt idx="76">
                  <c:v>0.20658647650000062</c:v>
                </c:pt>
                <c:pt idx="77">
                  <c:v>0.20279099477777773</c:v>
                </c:pt>
                <c:pt idx="78">
                  <c:v>0.20203258766666721</c:v>
                </c:pt>
                <c:pt idx="79">
                  <c:v>0.21939638399999972</c:v>
                </c:pt>
                <c:pt idx="80">
                  <c:v>0.19729348933333257</c:v>
                </c:pt>
                <c:pt idx="81">
                  <c:v>0.21417455627777715</c:v>
                </c:pt>
                <c:pt idx="82">
                  <c:v>0.22079835161111072</c:v>
                </c:pt>
                <c:pt idx="83">
                  <c:v>0.2202104690000003</c:v>
                </c:pt>
                <c:pt idx="84">
                  <c:v>0.22539297177777795</c:v>
                </c:pt>
                <c:pt idx="85">
                  <c:v>0.22887922377777736</c:v>
                </c:pt>
                <c:pt idx="86">
                  <c:v>0.22400526772222229</c:v>
                </c:pt>
                <c:pt idx="87">
                  <c:v>0.23194930461111107</c:v>
                </c:pt>
                <c:pt idx="88">
                  <c:v>0.23773498922222214</c:v>
                </c:pt>
                <c:pt idx="89">
                  <c:v>0.26452020772222262</c:v>
                </c:pt>
                <c:pt idx="90">
                  <c:v>0.28023809883333339</c:v>
                </c:pt>
                <c:pt idx="91">
                  <c:v>0.27447128233333329</c:v>
                </c:pt>
                <c:pt idx="92">
                  <c:v>0.2722061283888888</c:v>
                </c:pt>
                <c:pt idx="93">
                  <c:v>0.27224060166666675</c:v>
                </c:pt>
                <c:pt idx="94">
                  <c:v>0.27717442511111157</c:v>
                </c:pt>
                <c:pt idx="95">
                  <c:v>0.28623770327777798</c:v>
                </c:pt>
                <c:pt idx="96">
                  <c:v>0.30138287411111109</c:v>
                </c:pt>
                <c:pt idx="97">
                  <c:v>0.28723520561111093</c:v>
                </c:pt>
                <c:pt idx="98">
                  <c:v>0.28954199005555592</c:v>
                </c:pt>
                <c:pt idx="99">
                  <c:v>0.28967129850000006</c:v>
                </c:pt>
                <c:pt idx="100">
                  <c:v>0.29234632844444419</c:v>
                </c:pt>
                <c:pt idx="101">
                  <c:v>0.28983542072222246</c:v>
                </c:pt>
                <c:pt idx="102">
                  <c:v>0.28275330622222217</c:v>
                </c:pt>
                <c:pt idx="103">
                  <c:v>0.22054803055555572</c:v>
                </c:pt>
                <c:pt idx="104">
                  <c:v>0.1768941192222222</c:v>
                </c:pt>
                <c:pt idx="105">
                  <c:v>0.16771924700000029</c:v>
                </c:pt>
                <c:pt idx="106">
                  <c:v>0.17051174427777793</c:v>
                </c:pt>
                <c:pt idx="107">
                  <c:v>0.16289801683333338</c:v>
                </c:pt>
                <c:pt idx="108">
                  <c:v>0.11533409538888861</c:v>
                </c:pt>
                <c:pt idx="109">
                  <c:v>0.12393336577777758</c:v>
                </c:pt>
                <c:pt idx="110">
                  <c:v>0.10273193066666686</c:v>
                </c:pt>
                <c:pt idx="111">
                  <c:v>0.11222004883333281</c:v>
                </c:pt>
                <c:pt idx="112">
                  <c:v>0.10393103327777742</c:v>
                </c:pt>
                <c:pt idx="113">
                  <c:v>0.13428952455555498</c:v>
                </c:pt>
                <c:pt idx="114">
                  <c:v>0.14610160350000057</c:v>
                </c:pt>
                <c:pt idx="115">
                  <c:v>0.14620371727777703</c:v>
                </c:pt>
                <c:pt idx="116">
                  <c:v>0.14988579544444414</c:v>
                </c:pt>
                <c:pt idx="117">
                  <c:v>0.15789369366666683</c:v>
                </c:pt>
                <c:pt idx="118">
                  <c:v>0.15412339944444464</c:v>
                </c:pt>
                <c:pt idx="119">
                  <c:v>0.14328812033333327</c:v>
                </c:pt>
                <c:pt idx="120">
                  <c:v>0.15260082255555607</c:v>
                </c:pt>
                <c:pt idx="121">
                  <c:v>0.14352580322222219</c:v>
                </c:pt>
                <c:pt idx="122">
                  <c:v>0.13612391288888825</c:v>
                </c:pt>
                <c:pt idx="123">
                  <c:v>0.13382057472222242</c:v>
                </c:pt>
                <c:pt idx="124">
                  <c:v>0.14134280783333331</c:v>
                </c:pt>
                <c:pt idx="125">
                  <c:v>0.12588496638888869</c:v>
                </c:pt>
                <c:pt idx="126">
                  <c:v>0.10073366294444408</c:v>
                </c:pt>
                <c:pt idx="127">
                  <c:v>9.4065339055555697E-2</c:v>
                </c:pt>
                <c:pt idx="128">
                  <c:v>8.1049054277778199E-2</c:v>
                </c:pt>
                <c:pt idx="129">
                  <c:v>9.2406759611110778E-2</c:v>
                </c:pt>
                <c:pt idx="130">
                  <c:v>8.0936874833333339E-2</c:v>
                </c:pt>
                <c:pt idx="131">
                  <c:v>7.6453264555556122E-2</c:v>
                </c:pt>
                <c:pt idx="132">
                  <c:v>9.1512223277778193E-2</c:v>
                </c:pt>
                <c:pt idx="133">
                  <c:v>8.2324344944444072E-2</c:v>
                </c:pt>
                <c:pt idx="134">
                  <c:v>9.0783846611110941E-2</c:v>
                </c:pt>
                <c:pt idx="135">
                  <c:v>0.10576547138888848</c:v>
                </c:pt>
                <c:pt idx="136">
                  <c:v>0.10628948822222262</c:v>
                </c:pt>
                <c:pt idx="137">
                  <c:v>0.11193359927777724</c:v>
                </c:pt>
                <c:pt idx="138">
                  <c:v>0.10930568833333321</c:v>
                </c:pt>
                <c:pt idx="139">
                  <c:v>0.13282570305555541</c:v>
                </c:pt>
                <c:pt idx="140">
                  <c:v>0.13825631166666663</c:v>
                </c:pt>
                <c:pt idx="141">
                  <c:v>0.14008770261111148</c:v>
                </c:pt>
                <c:pt idx="142">
                  <c:v>0.12700590277777757</c:v>
                </c:pt>
                <c:pt idx="143">
                  <c:v>0.15142160644444447</c:v>
                </c:pt>
                <c:pt idx="144">
                  <c:v>0.14626446555555539</c:v>
                </c:pt>
                <c:pt idx="145">
                  <c:v>0.14638567099999999</c:v>
                </c:pt>
                <c:pt idx="146">
                  <c:v>0.14038043061111061</c:v>
                </c:pt>
                <c:pt idx="147">
                  <c:v>0.18590129338888861</c:v>
                </c:pt>
                <c:pt idx="148">
                  <c:v>0.18293958333333349</c:v>
                </c:pt>
                <c:pt idx="149">
                  <c:v>0.1911918503333333</c:v>
                </c:pt>
                <c:pt idx="150">
                  <c:v>0.18886668216666658</c:v>
                </c:pt>
                <c:pt idx="151">
                  <c:v>0.18899137955555545</c:v>
                </c:pt>
                <c:pt idx="152">
                  <c:v>0.14557561611111125</c:v>
                </c:pt>
                <c:pt idx="153">
                  <c:v>0.14823767961111056</c:v>
                </c:pt>
                <c:pt idx="154">
                  <c:v>0.14539881672222266</c:v>
                </c:pt>
                <c:pt idx="155">
                  <c:v>0.16107426099999977</c:v>
                </c:pt>
                <c:pt idx="156">
                  <c:v>0.16307693122222189</c:v>
                </c:pt>
                <c:pt idx="157">
                  <c:v>9.2767757166666298E-2</c:v>
                </c:pt>
                <c:pt idx="158">
                  <c:v>7.7730218777777416E-2</c:v>
                </c:pt>
                <c:pt idx="159">
                  <c:v>9.8681964111110521E-2</c:v>
                </c:pt>
                <c:pt idx="160">
                  <c:v>0.1170798145555545</c:v>
                </c:pt>
                <c:pt idx="161">
                  <c:v>0.10214204838888874</c:v>
                </c:pt>
                <c:pt idx="162">
                  <c:v>9.881670111111085E-2</c:v>
                </c:pt>
                <c:pt idx="163">
                  <c:v>0.11660932605555541</c:v>
                </c:pt>
                <c:pt idx="164">
                  <c:v>0.1596401647222222</c:v>
                </c:pt>
                <c:pt idx="165">
                  <c:v>0.2045011842222223</c:v>
                </c:pt>
                <c:pt idx="166">
                  <c:v>0.19008586438888841</c:v>
                </c:pt>
                <c:pt idx="167">
                  <c:v>0.18892381766666644</c:v>
                </c:pt>
                <c:pt idx="168">
                  <c:v>0.18300290222222182</c:v>
                </c:pt>
                <c:pt idx="169">
                  <c:v>0.18943288650000012</c:v>
                </c:pt>
                <c:pt idx="170">
                  <c:v>0.13893138144444495</c:v>
                </c:pt>
                <c:pt idx="171">
                  <c:v>0.19487504105555553</c:v>
                </c:pt>
                <c:pt idx="172">
                  <c:v>0.19111748072222201</c:v>
                </c:pt>
                <c:pt idx="173">
                  <c:v>0.1945713591666669</c:v>
                </c:pt>
                <c:pt idx="174">
                  <c:v>0.177084431777778</c:v>
                </c:pt>
                <c:pt idx="175">
                  <c:v>0.16403072811111086</c:v>
                </c:pt>
                <c:pt idx="176">
                  <c:v>0.15234141261111112</c:v>
                </c:pt>
                <c:pt idx="177">
                  <c:v>0.16145799149999951</c:v>
                </c:pt>
                <c:pt idx="178">
                  <c:v>0.15552965961111109</c:v>
                </c:pt>
                <c:pt idx="179">
                  <c:v>0.17143274361111194</c:v>
                </c:pt>
                <c:pt idx="180">
                  <c:v>0.17650360433333301</c:v>
                </c:pt>
                <c:pt idx="181">
                  <c:v>0.16947271427777799</c:v>
                </c:pt>
                <c:pt idx="182">
                  <c:v>0.16805153000000006</c:v>
                </c:pt>
                <c:pt idx="183">
                  <c:v>0.17452337372222249</c:v>
                </c:pt>
                <c:pt idx="184">
                  <c:v>0.18517341444444479</c:v>
                </c:pt>
                <c:pt idx="185">
                  <c:v>0.21259433600000011</c:v>
                </c:pt>
                <c:pt idx="186">
                  <c:v>0.21284730005555563</c:v>
                </c:pt>
                <c:pt idx="187">
                  <c:v>0.19559865033333335</c:v>
                </c:pt>
                <c:pt idx="188">
                  <c:v>0.15139340161111126</c:v>
                </c:pt>
                <c:pt idx="189">
                  <c:v>0.14518373194444456</c:v>
                </c:pt>
                <c:pt idx="190">
                  <c:v>0.14293521594444425</c:v>
                </c:pt>
                <c:pt idx="191">
                  <c:v>0.15339236700000036</c:v>
                </c:pt>
                <c:pt idx="192">
                  <c:v>0.15454168766666654</c:v>
                </c:pt>
                <c:pt idx="193">
                  <c:v>0.14307772644444416</c:v>
                </c:pt>
                <c:pt idx="194">
                  <c:v>0.12825659216666641</c:v>
                </c:pt>
                <c:pt idx="195">
                  <c:v>0.14237312338888908</c:v>
                </c:pt>
                <c:pt idx="196">
                  <c:v>0.14228382972222187</c:v>
                </c:pt>
                <c:pt idx="197">
                  <c:v>0.19300910466666632</c:v>
                </c:pt>
                <c:pt idx="198">
                  <c:v>0.21203973655555575</c:v>
                </c:pt>
                <c:pt idx="199">
                  <c:v>0.22614140488888856</c:v>
                </c:pt>
                <c:pt idx="200">
                  <c:v>0.22533016305555553</c:v>
                </c:pt>
                <c:pt idx="201">
                  <c:v>0.22398706922222245</c:v>
                </c:pt>
                <c:pt idx="202">
                  <c:v>0.2231136560000001</c:v>
                </c:pt>
                <c:pt idx="203">
                  <c:v>0.21727629083333344</c:v>
                </c:pt>
                <c:pt idx="204">
                  <c:v>0.23061618177777743</c:v>
                </c:pt>
                <c:pt idx="205">
                  <c:v>0.23007647622222183</c:v>
                </c:pt>
                <c:pt idx="206">
                  <c:v>0.20694521516666642</c:v>
                </c:pt>
                <c:pt idx="207">
                  <c:v>0.21230826716666706</c:v>
                </c:pt>
                <c:pt idx="208">
                  <c:v>0.19289755488888904</c:v>
                </c:pt>
                <c:pt idx="209">
                  <c:v>0.19663834683333337</c:v>
                </c:pt>
                <c:pt idx="210">
                  <c:v>0.20753914366666681</c:v>
                </c:pt>
                <c:pt idx="211">
                  <c:v>0.21587648316666674</c:v>
                </c:pt>
                <c:pt idx="212">
                  <c:v>0.20776096827777779</c:v>
                </c:pt>
                <c:pt idx="213">
                  <c:v>0.20192062399999966</c:v>
                </c:pt>
                <c:pt idx="214">
                  <c:v>0.1849796243333337</c:v>
                </c:pt>
                <c:pt idx="215">
                  <c:v>0.16557987905555516</c:v>
                </c:pt>
                <c:pt idx="216">
                  <c:v>0.16706587733333311</c:v>
                </c:pt>
                <c:pt idx="217">
                  <c:v>0.17333685572222202</c:v>
                </c:pt>
                <c:pt idx="218">
                  <c:v>0.1746284778888888</c:v>
                </c:pt>
                <c:pt idx="219">
                  <c:v>0.18007998105555578</c:v>
                </c:pt>
                <c:pt idx="220">
                  <c:v>0.17335974272222177</c:v>
                </c:pt>
                <c:pt idx="221">
                  <c:v>0.19147643772222178</c:v>
                </c:pt>
                <c:pt idx="222">
                  <c:v>0.19978880277777833</c:v>
                </c:pt>
                <c:pt idx="223">
                  <c:v>0.18977111272222158</c:v>
                </c:pt>
                <c:pt idx="224">
                  <c:v>0.15664078366666701</c:v>
                </c:pt>
                <c:pt idx="225">
                  <c:v>0.15490993233333394</c:v>
                </c:pt>
                <c:pt idx="226">
                  <c:v>0.15314940122222231</c:v>
                </c:pt>
                <c:pt idx="227">
                  <c:v>0.17033325650000009</c:v>
                </c:pt>
                <c:pt idx="228">
                  <c:v>0.17783824922222202</c:v>
                </c:pt>
                <c:pt idx="229">
                  <c:v>0.16825009322222229</c:v>
                </c:pt>
                <c:pt idx="230">
                  <c:v>0.19309220572222208</c:v>
                </c:pt>
                <c:pt idx="231">
                  <c:v>0.20797474744444422</c:v>
                </c:pt>
                <c:pt idx="232">
                  <c:v>0.2167298644444442</c:v>
                </c:pt>
                <c:pt idx="233">
                  <c:v>0.23467375705555549</c:v>
                </c:pt>
                <c:pt idx="234">
                  <c:v>0.23119533055555563</c:v>
                </c:pt>
                <c:pt idx="235">
                  <c:v>0.22441518994444409</c:v>
                </c:pt>
                <c:pt idx="236">
                  <c:v>0.22030475888888879</c:v>
                </c:pt>
                <c:pt idx="237">
                  <c:v>0.23487903266666699</c:v>
                </c:pt>
                <c:pt idx="238">
                  <c:v>0.23045898600000025</c:v>
                </c:pt>
                <c:pt idx="239">
                  <c:v>0.23675880477777778</c:v>
                </c:pt>
                <c:pt idx="240">
                  <c:v>0.2399383655555557</c:v>
                </c:pt>
                <c:pt idx="241">
                  <c:v>0.2354819663333334</c:v>
                </c:pt>
                <c:pt idx="242">
                  <c:v>0.22372230494444434</c:v>
                </c:pt>
                <c:pt idx="243">
                  <c:v>0.22901711088888865</c:v>
                </c:pt>
                <c:pt idx="244">
                  <c:v>0.22026685372222221</c:v>
                </c:pt>
                <c:pt idx="245">
                  <c:v>0.22215633877777807</c:v>
                </c:pt>
                <c:pt idx="246">
                  <c:v>0.22949809294444401</c:v>
                </c:pt>
                <c:pt idx="247">
                  <c:v>0.23464004483333334</c:v>
                </c:pt>
                <c:pt idx="248">
                  <c:v>0.21283951272222235</c:v>
                </c:pt>
                <c:pt idx="249">
                  <c:v>0.1991053193888892</c:v>
                </c:pt>
                <c:pt idx="250">
                  <c:v>0.20074843383333307</c:v>
                </c:pt>
                <c:pt idx="251">
                  <c:v>0.19893538266666655</c:v>
                </c:pt>
                <c:pt idx="252">
                  <c:v>0.20383941072222234</c:v>
                </c:pt>
                <c:pt idx="253">
                  <c:v>0.19370441366666635</c:v>
                </c:pt>
                <c:pt idx="254">
                  <c:v>0.19188439466666685</c:v>
                </c:pt>
                <c:pt idx="255">
                  <c:v>0.22991861144444437</c:v>
                </c:pt>
                <c:pt idx="256">
                  <c:v>0.21663340561111122</c:v>
                </c:pt>
                <c:pt idx="257">
                  <c:v>0.20634698805555607</c:v>
                </c:pt>
                <c:pt idx="258">
                  <c:v>0.20313539027777794</c:v>
                </c:pt>
                <c:pt idx="259">
                  <c:v>0.19496399261111097</c:v>
                </c:pt>
                <c:pt idx="260">
                  <c:v>0.19160937716666682</c:v>
                </c:pt>
                <c:pt idx="261">
                  <c:v>0.19112112899999978</c:v>
                </c:pt>
                <c:pt idx="262">
                  <c:v>0.18576889783333295</c:v>
                </c:pt>
                <c:pt idx="263">
                  <c:v>0.1896719052222221</c:v>
                </c:pt>
                <c:pt idx="264">
                  <c:v>0.20848476277777805</c:v>
                </c:pt>
                <c:pt idx="265">
                  <c:v>0.1928563761111115</c:v>
                </c:pt>
                <c:pt idx="266">
                  <c:v>0.1940421615000002</c:v>
                </c:pt>
                <c:pt idx="267">
                  <c:v>0.17866197355555535</c:v>
                </c:pt>
                <c:pt idx="268">
                  <c:v>0.15979378122222199</c:v>
                </c:pt>
                <c:pt idx="269">
                  <c:v>0.15046678588888851</c:v>
                </c:pt>
                <c:pt idx="270">
                  <c:v>0.1616526264999999</c:v>
                </c:pt>
                <c:pt idx="271">
                  <c:v>0.15122901666666622</c:v>
                </c:pt>
                <c:pt idx="272">
                  <c:v>0.15964487844444497</c:v>
                </c:pt>
                <c:pt idx="273">
                  <c:v>0.15466932783333387</c:v>
                </c:pt>
                <c:pt idx="274">
                  <c:v>0.17090916505555531</c:v>
                </c:pt>
                <c:pt idx="275">
                  <c:v>0.16304189172222139</c:v>
                </c:pt>
                <c:pt idx="276">
                  <c:v>0.13925204422222182</c:v>
                </c:pt>
                <c:pt idx="277">
                  <c:v>0.14841551227777805</c:v>
                </c:pt>
                <c:pt idx="278">
                  <c:v>0.1590051292222221</c:v>
                </c:pt>
                <c:pt idx="279">
                  <c:v>0.15283030605555536</c:v>
                </c:pt>
                <c:pt idx="280">
                  <c:v>0.15795894916666597</c:v>
                </c:pt>
                <c:pt idx="281">
                  <c:v>0.13658098099999971</c:v>
                </c:pt>
                <c:pt idx="282">
                  <c:v>0.13522486711111137</c:v>
                </c:pt>
                <c:pt idx="283">
                  <c:v>0.15084353438888864</c:v>
                </c:pt>
                <c:pt idx="284">
                  <c:v>0.15031017116666645</c:v>
                </c:pt>
                <c:pt idx="285">
                  <c:v>0.14941033011111116</c:v>
                </c:pt>
                <c:pt idx="286">
                  <c:v>0.15827361361111136</c:v>
                </c:pt>
                <c:pt idx="287">
                  <c:v>0.17849795033333371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B0-4A3B-99D0-39A7E64A2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solidFill>
                  <a:srgbClr val="FFFFFF"/>
                </a:solidFill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tickLblSkip val="12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txPr>
          <a:bodyPr anchorCtr="1"/>
          <a:lstStyle/>
          <a:p>
            <a:pPr>
              <a:defRPr sz="675">
                <a:solidFill>
                  <a:srgbClr val="FFFFFF"/>
                </a:solidFill>
              </a:defRPr>
            </a:pPr>
            <a:endParaRPr lang="ru-RU"/>
          </a:p>
        </c:txPr>
        <c:crossAx val="48650112"/>
        <c:crosses val="autoZero"/>
        <c:crossBetween val="between"/>
        <c:majorUnit val="0.2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Медиана</c:v>
          </c:tx>
          <c:spPr>
            <a:ln w="14288">
              <a:solidFill>
                <a:srgbClr val="2CA02C"/>
              </a:solidFill>
              <a:prstDash val="solid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Данные!$CB$2:$CB$289</c:f>
              <c:numCache>
                <c:formatCode>General</c:formatCode>
                <c:ptCount val="288"/>
                <c:pt idx="0">
                  <c:v>0.58493371111111081</c:v>
                </c:pt>
                <c:pt idx="1">
                  <c:v>0.60815786111111148</c:v>
                </c:pt>
                <c:pt idx="2">
                  <c:v>0.61583732222222232</c:v>
                </c:pt>
                <c:pt idx="3">
                  <c:v>0.63325652222222195</c:v>
                </c:pt>
                <c:pt idx="4">
                  <c:v>0.63501758333333325</c:v>
                </c:pt>
                <c:pt idx="5">
                  <c:v>0.62662672222222193</c:v>
                </c:pt>
                <c:pt idx="6">
                  <c:v>0.60501154999999984</c:v>
                </c:pt>
                <c:pt idx="7">
                  <c:v>0.60990010000000017</c:v>
                </c:pt>
                <c:pt idx="8">
                  <c:v>0.65787308888888885</c:v>
                </c:pt>
                <c:pt idx="9">
                  <c:v>0.65695601666666636</c:v>
                </c:pt>
                <c:pt idx="10">
                  <c:v>0.65813831666666645</c:v>
                </c:pt>
                <c:pt idx="11">
                  <c:v>0.66198587222222216</c:v>
                </c:pt>
                <c:pt idx="12">
                  <c:v>0.65105114999999991</c:v>
                </c:pt>
                <c:pt idx="13">
                  <c:v>0.64323405</c:v>
                </c:pt>
                <c:pt idx="14">
                  <c:v>0.64628196111111114</c:v>
                </c:pt>
                <c:pt idx="15">
                  <c:v>0.65372876666666646</c:v>
                </c:pt>
                <c:pt idx="16">
                  <c:v>0.65950542777777754</c:v>
                </c:pt>
                <c:pt idx="17">
                  <c:v>0.65431919999999988</c:v>
                </c:pt>
                <c:pt idx="18">
                  <c:v>0.65302196666666656</c:v>
                </c:pt>
                <c:pt idx="19">
                  <c:v>0.64975740555555539</c:v>
                </c:pt>
                <c:pt idx="20">
                  <c:v>0.64492813888888911</c:v>
                </c:pt>
                <c:pt idx="21">
                  <c:v>0.6642774499999996</c:v>
                </c:pt>
                <c:pt idx="22">
                  <c:v>0.65030025000000025</c:v>
                </c:pt>
                <c:pt idx="23">
                  <c:v>0.64658212222222244</c:v>
                </c:pt>
                <c:pt idx="24">
                  <c:v>0.63750066111111114</c:v>
                </c:pt>
                <c:pt idx="25">
                  <c:v>0.64843672222222271</c:v>
                </c:pt>
                <c:pt idx="26">
                  <c:v>0.64100159444444427</c:v>
                </c:pt>
                <c:pt idx="27">
                  <c:v>0.65197502222222226</c:v>
                </c:pt>
                <c:pt idx="28">
                  <c:v>0.65912110555555525</c:v>
                </c:pt>
                <c:pt idx="29">
                  <c:v>0.6719212555555556</c:v>
                </c:pt>
                <c:pt idx="30">
                  <c:v>0.67658808333333342</c:v>
                </c:pt>
                <c:pt idx="31">
                  <c:v>0.67267044444444457</c:v>
                </c:pt>
                <c:pt idx="32">
                  <c:v>0.67168193333333326</c:v>
                </c:pt>
                <c:pt idx="33">
                  <c:v>0.65733527222222254</c:v>
                </c:pt>
                <c:pt idx="34">
                  <c:v>0.66627084444444462</c:v>
                </c:pt>
                <c:pt idx="35">
                  <c:v>0.66671913333333332</c:v>
                </c:pt>
                <c:pt idx="36">
                  <c:v>0.67416485555555572</c:v>
                </c:pt>
                <c:pt idx="37">
                  <c:v>0.66365878888888863</c:v>
                </c:pt>
                <c:pt idx="38">
                  <c:v>0.66574362777777785</c:v>
                </c:pt>
                <c:pt idx="39">
                  <c:v>0.63084162777777719</c:v>
                </c:pt>
                <c:pt idx="40">
                  <c:v>0.60992174444444447</c:v>
                </c:pt>
                <c:pt idx="41">
                  <c:v>0.60728428888888875</c:v>
                </c:pt>
                <c:pt idx="42">
                  <c:v>0.5970498277777776</c:v>
                </c:pt>
                <c:pt idx="43">
                  <c:v>0.60544495000000031</c:v>
                </c:pt>
                <c:pt idx="44">
                  <c:v>0.6105683666666667</c:v>
                </c:pt>
                <c:pt idx="45">
                  <c:v>0.61343884444444419</c:v>
                </c:pt>
                <c:pt idx="46">
                  <c:v>0.63227873333333329</c:v>
                </c:pt>
                <c:pt idx="47">
                  <c:v>0.6228019444444447</c:v>
                </c:pt>
                <c:pt idx="48">
                  <c:v>0.61858957222222244</c:v>
                </c:pt>
                <c:pt idx="49">
                  <c:v>0.61892098888888902</c:v>
                </c:pt>
                <c:pt idx="50">
                  <c:v>0.62535387222222227</c:v>
                </c:pt>
                <c:pt idx="51">
                  <c:v>0.6180238166666665</c:v>
                </c:pt>
                <c:pt idx="52">
                  <c:v>0.62148438333333345</c:v>
                </c:pt>
                <c:pt idx="53">
                  <c:v>0.61523022777777747</c:v>
                </c:pt>
                <c:pt idx="54">
                  <c:v>0.61180561666666688</c:v>
                </c:pt>
                <c:pt idx="55">
                  <c:v>0.61398738888888904</c:v>
                </c:pt>
                <c:pt idx="56">
                  <c:v>0.60773819999999978</c:v>
                </c:pt>
                <c:pt idx="57">
                  <c:v>0.59203983333333354</c:v>
                </c:pt>
                <c:pt idx="58">
                  <c:v>0.59987456111111104</c:v>
                </c:pt>
                <c:pt idx="59">
                  <c:v>0.58832108333333355</c:v>
                </c:pt>
                <c:pt idx="60">
                  <c:v>0.5916787888888887</c:v>
                </c:pt>
                <c:pt idx="61">
                  <c:v>0.59109853333333351</c:v>
                </c:pt>
                <c:pt idx="62">
                  <c:v>0.57018258333333327</c:v>
                </c:pt>
                <c:pt idx="63">
                  <c:v>0.56663467777777776</c:v>
                </c:pt>
                <c:pt idx="64">
                  <c:v>0.57528590555555581</c:v>
                </c:pt>
                <c:pt idx="65">
                  <c:v>0.5569666666666665</c:v>
                </c:pt>
                <c:pt idx="66">
                  <c:v>0.57355707777777787</c:v>
                </c:pt>
                <c:pt idx="67">
                  <c:v>0.5843392277777778</c:v>
                </c:pt>
                <c:pt idx="68">
                  <c:v>0.55925935000000027</c:v>
                </c:pt>
                <c:pt idx="69">
                  <c:v>0.5492950277777775</c:v>
                </c:pt>
                <c:pt idx="70">
                  <c:v>0.56375796666666733</c:v>
                </c:pt>
                <c:pt idx="71">
                  <c:v>0.55723720555555523</c:v>
                </c:pt>
                <c:pt idx="72">
                  <c:v>0.54418944444444428</c:v>
                </c:pt>
                <c:pt idx="73">
                  <c:v>0.55373605555555516</c:v>
                </c:pt>
                <c:pt idx="74">
                  <c:v>0.54992353333333355</c:v>
                </c:pt>
                <c:pt idx="75">
                  <c:v>0.54102392222222229</c:v>
                </c:pt>
                <c:pt idx="76">
                  <c:v>0.54454153888888934</c:v>
                </c:pt>
                <c:pt idx="77">
                  <c:v>0.54135453888888874</c:v>
                </c:pt>
                <c:pt idx="78">
                  <c:v>0.5479683444444442</c:v>
                </c:pt>
                <c:pt idx="79">
                  <c:v>0.52877339999999973</c:v>
                </c:pt>
                <c:pt idx="80">
                  <c:v>0.56557476666666662</c:v>
                </c:pt>
                <c:pt idx="81">
                  <c:v>0.55535489999999965</c:v>
                </c:pt>
                <c:pt idx="82">
                  <c:v>0.5311046222222221</c:v>
                </c:pt>
                <c:pt idx="83">
                  <c:v>0.53051548888888889</c:v>
                </c:pt>
                <c:pt idx="84">
                  <c:v>0.52871728333333279</c:v>
                </c:pt>
                <c:pt idx="85">
                  <c:v>0.52974246111111101</c:v>
                </c:pt>
                <c:pt idx="86">
                  <c:v>0.52197871666666718</c:v>
                </c:pt>
                <c:pt idx="87">
                  <c:v>0.52899423333333351</c:v>
                </c:pt>
                <c:pt idx="88">
                  <c:v>0.53153235555555567</c:v>
                </c:pt>
                <c:pt idx="89">
                  <c:v>0.53020306666666694</c:v>
                </c:pt>
                <c:pt idx="90">
                  <c:v>0.53744417777777809</c:v>
                </c:pt>
                <c:pt idx="91">
                  <c:v>0.53693836111111126</c:v>
                </c:pt>
                <c:pt idx="92">
                  <c:v>0.52476542222222211</c:v>
                </c:pt>
                <c:pt idx="93">
                  <c:v>0.52888615555555563</c:v>
                </c:pt>
                <c:pt idx="94">
                  <c:v>0.52711087777777776</c:v>
                </c:pt>
                <c:pt idx="95">
                  <c:v>0.52624041666666688</c:v>
                </c:pt>
                <c:pt idx="96">
                  <c:v>0.51841838888888891</c:v>
                </c:pt>
                <c:pt idx="97">
                  <c:v>0.52826246666666643</c:v>
                </c:pt>
                <c:pt idx="98">
                  <c:v>0.5087817666666663</c:v>
                </c:pt>
                <c:pt idx="99">
                  <c:v>0.51430361666666669</c:v>
                </c:pt>
                <c:pt idx="100">
                  <c:v>0.52710631666666696</c:v>
                </c:pt>
                <c:pt idx="101">
                  <c:v>0.54551350555555589</c:v>
                </c:pt>
                <c:pt idx="102">
                  <c:v>0.55033780555555556</c:v>
                </c:pt>
                <c:pt idx="103">
                  <c:v>0.54719756111111084</c:v>
                </c:pt>
                <c:pt idx="104">
                  <c:v>0.54318882222222209</c:v>
                </c:pt>
                <c:pt idx="105">
                  <c:v>0.55950382777777763</c:v>
                </c:pt>
                <c:pt idx="106">
                  <c:v>0.56446291111111102</c:v>
                </c:pt>
                <c:pt idx="107">
                  <c:v>0.5658429777777777</c:v>
                </c:pt>
                <c:pt idx="108">
                  <c:v>0.57832926666666629</c:v>
                </c:pt>
                <c:pt idx="109">
                  <c:v>0.57464387222222191</c:v>
                </c:pt>
                <c:pt idx="110">
                  <c:v>0.56897787777777797</c:v>
                </c:pt>
                <c:pt idx="111">
                  <c:v>0.56168440555555543</c:v>
                </c:pt>
                <c:pt idx="112">
                  <c:v>0.61079796666666697</c:v>
                </c:pt>
                <c:pt idx="113">
                  <c:v>0.60291799999999995</c:v>
                </c:pt>
                <c:pt idx="114">
                  <c:v>0.5888677000000001</c:v>
                </c:pt>
                <c:pt idx="115">
                  <c:v>0.59847381666666666</c:v>
                </c:pt>
                <c:pt idx="116">
                  <c:v>0.62572630555555586</c:v>
                </c:pt>
                <c:pt idx="117">
                  <c:v>0.64173542777777826</c:v>
                </c:pt>
                <c:pt idx="118">
                  <c:v>0.65484649444444465</c:v>
                </c:pt>
                <c:pt idx="119">
                  <c:v>0.64269355000000061</c:v>
                </c:pt>
                <c:pt idx="120">
                  <c:v>0.64405350555555563</c:v>
                </c:pt>
                <c:pt idx="121">
                  <c:v>0.63409992222222233</c:v>
                </c:pt>
                <c:pt idx="122">
                  <c:v>0.63116179444444453</c:v>
                </c:pt>
                <c:pt idx="123">
                  <c:v>0.63199270555555509</c:v>
                </c:pt>
                <c:pt idx="124">
                  <c:v>0.62781415555555575</c:v>
                </c:pt>
                <c:pt idx="125">
                  <c:v>0.61567997222222215</c:v>
                </c:pt>
                <c:pt idx="126">
                  <c:v>0.63907333888888873</c:v>
                </c:pt>
                <c:pt idx="127">
                  <c:v>0.64171580000000028</c:v>
                </c:pt>
                <c:pt idx="128">
                  <c:v>0.63122711666666631</c:v>
                </c:pt>
                <c:pt idx="129">
                  <c:v>0.64785223333333308</c:v>
                </c:pt>
                <c:pt idx="130">
                  <c:v>0.64490145555555556</c:v>
                </c:pt>
                <c:pt idx="131">
                  <c:v>0.63736881111111077</c:v>
                </c:pt>
                <c:pt idx="132">
                  <c:v>0.64184258888888868</c:v>
                </c:pt>
                <c:pt idx="133">
                  <c:v>0.64585922777777771</c:v>
                </c:pt>
                <c:pt idx="134">
                  <c:v>0.65832635555555563</c:v>
                </c:pt>
                <c:pt idx="135">
                  <c:v>0.64609263333333367</c:v>
                </c:pt>
                <c:pt idx="136">
                  <c:v>0.64688761111111126</c:v>
                </c:pt>
                <c:pt idx="137">
                  <c:v>0.65442638888888904</c:v>
                </c:pt>
                <c:pt idx="138">
                  <c:v>0.63993657777777779</c:v>
                </c:pt>
                <c:pt idx="139">
                  <c:v>0.63691523888888879</c:v>
                </c:pt>
                <c:pt idx="140">
                  <c:v>0.63585780555555571</c:v>
                </c:pt>
                <c:pt idx="141">
                  <c:v>0.6367903055555556</c:v>
                </c:pt>
                <c:pt idx="142">
                  <c:v>0.63551926111111123</c:v>
                </c:pt>
                <c:pt idx="143">
                  <c:v>0.64279488333333334</c:v>
                </c:pt>
                <c:pt idx="144">
                  <c:v>0.64939962777777815</c:v>
                </c:pt>
                <c:pt idx="145">
                  <c:v>0.64000492222222205</c:v>
                </c:pt>
                <c:pt idx="146">
                  <c:v>0.63336219999999988</c:v>
                </c:pt>
                <c:pt idx="147">
                  <c:v>0.62373156666666663</c:v>
                </c:pt>
                <c:pt idx="148">
                  <c:v>0.63929827777777792</c:v>
                </c:pt>
                <c:pt idx="149">
                  <c:v>0.6436826166666666</c:v>
                </c:pt>
                <c:pt idx="150">
                  <c:v>0.64392711111111112</c:v>
                </c:pt>
                <c:pt idx="151">
                  <c:v>0.62010483888888879</c:v>
                </c:pt>
                <c:pt idx="152">
                  <c:v>0.66009005000000009</c:v>
                </c:pt>
                <c:pt idx="153">
                  <c:v>0.65857676111111108</c:v>
                </c:pt>
                <c:pt idx="154">
                  <c:v>0.66247735555555542</c:v>
                </c:pt>
                <c:pt idx="155">
                  <c:v>0.646747211111111</c:v>
                </c:pt>
                <c:pt idx="156">
                  <c:v>0.62392828333333339</c:v>
                </c:pt>
                <c:pt idx="157">
                  <c:v>0.63071599999999972</c:v>
                </c:pt>
                <c:pt idx="158">
                  <c:v>0.62854778888888907</c:v>
                </c:pt>
                <c:pt idx="159">
                  <c:v>0.63552726666666659</c:v>
                </c:pt>
                <c:pt idx="160">
                  <c:v>0.65401693333333333</c:v>
                </c:pt>
                <c:pt idx="161">
                  <c:v>0.66256340000000002</c:v>
                </c:pt>
                <c:pt idx="162">
                  <c:v>0.66165199444444445</c:v>
                </c:pt>
                <c:pt idx="163">
                  <c:v>0.63044879444444446</c:v>
                </c:pt>
                <c:pt idx="164">
                  <c:v>0.64480678333333286</c:v>
                </c:pt>
                <c:pt idx="165">
                  <c:v>0.67959392777777794</c:v>
                </c:pt>
                <c:pt idx="166">
                  <c:v>0.68478610555555552</c:v>
                </c:pt>
                <c:pt idx="167">
                  <c:v>0.68790436666666632</c:v>
                </c:pt>
                <c:pt idx="168">
                  <c:v>0.68279486666666644</c:v>
                </c:pt>
                <c:pt idx="169">
                  <c:v>0.69113942222222224</c:v>
                </c:pt>
                <c:pt idx="170">
                  <c:v>0.69688073888888902</c:v>
                </c:pt>
                <c:pt idx="171">
                  <c:v>0.69760117777777786</c:v>
                </c:pt>
                <c:pt idx="172">
                  <c:v>0.69434401666666656</c:v>
                </c:pt>
                <c:pt idx="173">
                  <c:v>0.69130653888888871</c:v>
                </c:pt>
                <c:pt idx="174">
                  <c:v>0.68417371666666682</c:v>
                </c:pt>
                <c:pt idx="175">
                  <c:v>0.67846619999999958</c:v>
                </c:pt>
                <c:pt idx="176">
                  <c:v>0.68999279999999996</c:v>
                </c:pt>
                <c:pt idx="177">
                  <c:v>0.6998907388888892</c:v>
                </c:pt>
                <c:pt idx="178">
                  <c:v>0.71109754444444451</c:v>
                </c:pt>
                <c:pt idx="179">
                  <c:v>0.70533990555555559</c:v>
                </c:pt>
                <c:pt idx="180">
                  <c:v>0.69325719444444445</c:v>
                </c:pt>
                <c:pt idx="181">
                  <c:v>0.71375536111111104</c:v>
                </c:pt>
                <c:pt idx="182">
                  <c:v>0.7061949888888891</c:v>
                </c:pt>
                <c:pt idx="183">
                  <c:v>0.69478133333333336</c:v>
                </c:pt>
                <c:pt idx="184">
                  <c:v>0.67428353333333324</c:v>
                </c:pt>
                <c:pt idx="185">
                  <c:v>0.66618928333333316</c:v>
                </c:pt>
                <c:pt idx="186">
                  <c:v>0.67258912777777757</c:v>
                </c:pt>
                <c:pt idx="187">
                  <c:v>0.68326229444444475</c:v>
                </c:pt>
                <c:pt idx="188">
                  <c:v>0.67790539999999966</c:v>
                </c:pt>
                <c:pt idx="189">
                  <c:v>0.67450480000000002</c:v>
                </c:pt>
                <c:pt idx="190">
                  <c:v>0.68257457777777808</c:v>
                </c:pt>
                <c:pt idx="191">
                  <c:v>0.66872187222222235</c:v>
                </c:pt>
                <c:pt idx="192">
                  <c:v>0.66551083333333338</c:v>
                </c:pt>
                <c:pt idx="193">
                  <c:v>0.63681155000000034</c:v>
                </c:pt>
                <c:pt idx="194">
                  <c:v>0.63892093333333344</c:v>
                </c:pt>
                <c:pt idx="195">
                  <c:v>0.635315288888889</c:v>
                </c:pt>
                <c:pt idx="196">
                  <c:v>0.63844749444444426</c:v>
                </c:pt>
                <c:pt idx="197">
                  <c:v>0.63287731666666669</c:v>
                </c:pt>
                <c:pt idx="198">
                  <c:v>0.62784749444444454</c:v>
                </c:pt>
                <c:pt idx="199">
                  <c:v>0.63724916666666709</c:v>
                </c:pt>
                <c:pt idx="200">
                  <c:v>0.62972821666666667</c:v>
                </c:pt>
                <c:pt idx="201">
                  <c:v>0.63381997222222219</c:v>
                </c:pt>
                <c:pt idx="202">
                  <c:v>0.62043676111111112</c:v>
                </c:pt>
                <c:pt idx="203">
                  <c:v>0.60250935000000028</c:v>
                </c:pt>
                <c:pt idx="204">
                  <c:v>0.61264080555555545</c:v>
                </c:pt>
                <c:pt idx="205">
                  <c:v>0.59093470555555538</c:v>
                </c:pt>
                <c:pt idx="206">
                  <c:v>0.58990225555555542</c:v>
                </c:pt>
                <c:pt idx="207">
                  <c:v>0.58244920555555535</c:v>
                </c:pt>
                <c:pt idx="208">
                  <c:v>0.58272995555555551</c:v>
                </c:pt>
                <c:pt idx="209">
                  <c:v>0.57782019444444455</c:v>
                </c:pt>
                <c:pt idx="210">
                  <c:v>0.57047664999999992</c:v>
                </c:pt>
                <c:pt idx="211">
                  <c:v>0.57867151111111104</c:v>
                </c:pt>
                <c:pt idx="212">
                  <c:v>0.58049274999999945</c:v>
                </c:pt>
                <c:pt idx="213">
                  <c:v>0.58720854444444437</c:v>
                </c:pt>
                <c:pt idx="214">
                  <c:v>0.58024766111111115</c:v>
                </c:pt>
                <c:pt idx="215">
                  <c:v>0.58668715555555595</c:v>
                </c:pt>
                <c:pt idx="216">
                  <c:v>0.56845006111111129</c:v>
                </c:pt>
                <c:pt idx="217">
                  <c:v>0.57435664999999969</c:v>
                </c:pt>
                <c:pt idx="218">
                  <c:v>0.56383129999999981</c:v>
                </c:pt>
                <c:pt idx="219">
                  <c:v>0.57111183333333371</c:v>
                </c:pt>
                <c:pt idx="220">
                  <c:v>0.5751634333333332</c:v>
                </c:pt>
                <c:pt idx="221">
                  <c:v>0.57070254999999992</c:v>
                </c:pt>
                <c:pt idx="222">
                  <c:v>0.55110782222222221</c:v>
                </c:pt>
                <c:pt idx="223">
                  <c:v>0.55476398888888856</c:v>
                </c:pt>
                <c:pt idx="224">
                  <c:v>0.5774674888888891</c:v>
                </c:pt>
                <c:pt idx="225">
                  <c:v>0.57099418333333352</c:v>
                </c:pt>
                <c:pt idx="226">
                  <c:v>0.56761408888888887</c:v>
                </c:pt>
                <c:pt idx="227">
                  <c:v>0.56206943888888905</c:v>
                </c:pt>
                <c:pt idx="228">
                  <c:v>0.54589290000000013</c:v>
                </c:pt>
                <c:pt idx="229">
                  <c:v>0.55881407222222212</c:v>
                </c:pt>
                <c:pt idx="230">
                  <c:v>0.55935915000000025</c:v>
                </c:pt>
                <c:pt idx="231">
                  <c:v>0.55238428333333345</c:v>
                </c:pt>
                <c:pt idx="232">
                  <c:v>0.54926550000000007</c:v>
                </c:pt>
                <c:pt idx="233">
                  <c:v>0.55342634999999973</c:v>
                </c:pt>
                <c:pt idx="234">
                  <c:v>0.54492792777777777</c:v>
                </c:pt>
                <c:pt idx="235">
                  <c:v>0.54357226111111112</c:v>
                </c:pt>
                <c:pt idx="236">
                  <c:v>0.53939891666666695</c:v>
                </c:pt>
                <c:pt idx="237">
                  <c:v>0.53093958333333313</c:v>
                </c:pt>
                <c:pt idx="238">
                  <c:v>0.53425922222222233</c:v>
                </c:pt>
                <c:pt idx="239">
                  <c:v>0.52272886111111072</c:v>
                </c:pt>
                <c:pt idx="240">
                  <c:v>0.52134097777777821</c:v>
                </c:pt>
                <c:pt idx="241">
                  <c:v>0.51991996111111138</c:v>
                </c:pt>
                <c:pt idx="242">
                  <c:v>0.52216926666666652</c:v>
                </c:pt>
                <c:pt idx="243">
                  <c:v>0.51554268888888877</c:v>
                </c:pt>
                <c:pt idx="244">
                  <c:v>0.54216146111111119</c:v>
                </c:pt>
                <c:pt idx="245">
                  <c:v>0.53095078888888902</c:v>
                </c:pt>
                <c:pt idx="246">
                  <c:v>0.55266626666666652</c:v>
                </c:pt>
                <c:pt idx="247">
                  <c:v>0.54904463888888888</c:v>
                </c:pt>
                <c:pt idx="248">
                  <c:v>0.55395128333333321</c:v>
                </c:pt>
                <c:pt idx="249">
                  <c:v>0.56028319999999987</c:v>
                </c:pt>
                <c:pt idx="250">
                  <c:v>0.56376387222222246</c:v>
                </c:pt>
                <c:pt idx="251">
                  <c:v>0.55382855555555555</c:v>
                </c:pt>
                <c:pt idx="252">
                  <c:v>0.55670172777777771</c:v>
                </c:pt>
                <c:pt idx="253">
                  <c:v>0.56716757222222203</c:v>
                </c:pt>
                <c:pt idx="254">
                  <c:v>0.586605577777778</c:v>
                </c:pt>
                <c:pt idx="255">
                  <c:v>0.57689236666666688</c:v>
                </c:pt>
                <c:pt idx="256">
                  <c:v>0.58514221666666644</c:v>
                </c:pt>
                <c:pt idx="257">
                  <c:v>0.59165580555555541</c:v>
                </c:pt>
                <c:pt idx="258">
                  <c:v>0.59393448333333343</c:v>
                </c:pt>
                <c:pt idx="259">
                  <c:v>0.5951746555555556</c:v>
                </c:pt>
                <c:pt idx="260">
                  <c:v>0.60244370555555538</c:v>
                </c:pt>
                <c:pt idx="261">
                  <c:v>0.60775220000000019</c:v>
                </c:pt>
                <c:pt idx="262">
                  <c:v>0.60543836666666662</c:v>
                </c:pt>
                <c:pt idx="263">
                  <c:v>0.61109256111111121</c:v>
                </c:pt>
                <c:pt idx="264">
                  <c:v>0.61105781111111079</c:v>
                </c:pt>
                <c:pt idx="265">
                  <c:v>0.65277126111111106</c:v>
                </c:pt>
                <c:pt idx="266">
                  <c:v>0.65098038333333352</c:v>
                </c:pt>
                <c:pt idx="267">
                  <c:v>0.67869059999999992</c:v>
                </c:pt>
                <c:pt idx="268">
                  <c:v>0.68220220555555566</c:v>
                </c:pt>
                <c:pt idx="269">
                  <c:v>0.68106648333333331</c:v>
                </c:pt>
                <c:pt idx="270">
                  <c:v>0.68290537777777782</c:v>
                </c:pt>
                <c:pt idx="271">
                  <c:v>0.67676363333333334</c:v>
                </c:pt>
                <c:pt idx="272">
                  <c:v>0.66949155000000005</c:v>
                </c:pt>
                <c:pt idx="273">
                  <c:v>0.67168995555555588</c:v>
                </c:pt>
                <c:pt idx="274">
                  <c:v>0.66884996666666696</c:v>
                </c:pt>
                <c:pt idx="275">
                  <c:v>0.65949193888888902</c:v>
                </c:pt>
                <c:pt idx="276">
                  <c:v>0.65983528888888909</c:v>
                </c:pt>
                <c:pt idx="277">
                  <c:v>0.67227034444444445</c:v>
                </c:pt>
                <c:pt idx="278">
                  <c:v>0.66194719999999996</c:v>
                </c:pt>
                <c:pt idx="279">
                  <c:v>0.64648218888888886</c:v>
                </c:pt>
                <c:pt idx="280">
                  <c:v>0.67483459444444427</c:v>
                </c:pt>
                <c:pt idx="281">
                  <c:v>0.67226260555555561</c:v>
                </c:pt>
                <c:pt idx="282">
                  <c:v>0.63286627777777782</c:v>
                </c:pt>
                <c:pt idx="283">
                  <c:v>0.64474612777777773</c:v>
                </c:pt>
                <c:pt idx="284">
                  <c:v>0.63881773888888926</c:v>
                </c:pt>
                <c:pt idx="285">
                  <c:v>0.63102031666666636</c:v>
                </c:pt>
                <c:pt idx="286">
                  <c:v>0.61949653333333354</c:v>
                </c:pt>
                <c:pt idx="287">
                  <c:v>0.60294657222222181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11-4B35-8CA6-8CA88969046F}"/>
            </c:ext>
          </c:extLst>
        </c:ser>
        <c:ser>
          <c:idx val="1"/>
          <c:order val="1"/>
          <c:tx>
            <c:v>50% (нижняя)</c:v>
          </c:tx>
          <c:spPr>
            <a:ln w="9525">
              <a:solidFill>
                <a:srgbClr val="034D79"/>
              </a:solidFill>
              <a:prstDash val="solid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Данные!$CC$2:$CC$289</c:f>
              <c:numCache>
                <c:formatCode>General</c:formatCode>
                <c:ptCount val="288"/>
                <c:pt idx="0">
                  <c:v>0.56275104166666667</c:v>
                </c:pt>
                <c:pt idx="1">
                  <c:v>0.57789777500000039</c:v>
                </c:pt>
                <c:pt idx="2">
                  <c:v>0.59548621388888867</c:v>
                </c:pt>
                <c:pt idx="3">
                  <c:v>0.60503322500000045</c:v>
                </c:pt>
                <c:pt idx="4">
                  <c:v>0.60404360555555525</c:v>
                </c:pt>
                <c:pt idx="5">
                  <c:v>0.61413318611111145</c:v>
                </c:pt>
                <c:pt idx="6">
                  <c:v>0.59396328611111104</c:v>
                </c:pt>
                <c:pt idx="7">
                  <c:v>0.58228451666666625</c:v>
                </c:pt>
                <c:pt idx="8">
                  <c:v>0.62133762222222266</c:v>
                </c:pt>
                <c:pt idx="9">
                  <c:v>0.62026715277777777</c:v>
                </c:pt>
                <c:pt idx="10">
                  <c:v>0.61632340833333332</c:v>
                </c:pt>
                <c:pt idx="11">
                  <c:v>0.62282517222222211</c:v>
                </c:pt>
                <c:pt idx="12">
                  <c:v>0.61149845833333316</c:v>
                </c:pt>
                <c:pt idx="13">
                  <c:v>0.61404407500000036</c:v>
                </c:pt>
                <c:pt idx="14">
                  <c:v>0.61187609166666701</c:v>
                </c:pt>
                <c:pt idx="15">
                  <c:v>0.58322078888888884</c:v>
                </c:pt>
                <c:pt idx="16">
                  <c:v>0.58903842500000003</c:v>
                </c:pt>
                <c:pt idx="17">
                  <c:v>0.57934325277777798</c:v>
                </c:pt>
                <c:pt idx="18">
                  <c:v>0.58263534166666675</c:v>
                </c:pt>
                <c:pt idx="19">
                  <c:v>0.60495079444444466</c:v>
                </c:pt>
                <c:pt idx="20">
                  <c:v>0.60582163333333305</c:v>
                </c:pt>
                <c:pt idx="21">
                  <c:v>0.59927693611111077</c:v>
                </c:pt>
                <c:pt idx="22">
                  <c:v>0.6085302166666664</c:v>
                </c:pt>
                <c:pt idx="23">
                  <c:v>0.60360563055555549</c:v>
                </c:pt>
                <c:pt idx="24">
                  <c:v>0.60367274166666662</c:v>
                </c:pt>
                <c:pt idx="25">
                  <c:v>0.60500663888888906</c:v>
                </c:pt>
                <c:pt idx="26">
                  <c:v>0.60028069444444432</c:v>
                </c:pt>
                <c:pt idx="27">
                  <c:v>0.57017272777777783</c:v>
                </c:pt>
                <c:pt idx="28">
                  <c:v>0.55533275000000015</c:v>
                </c:pt>
                <c:pt idx="29">
                  <c:v>0.55525035833333336</c:v>
                </c:pt>
                <c:pt idx="30">
                  <c:v>0.55735916388888862</c:v>
                </c:pt>
                <c:pt idx="31">
                  <c:v>0.59303447777777762</c:v>
                </c:pt>
                <c:pt idx="32">
                  <c:v>0.58556927222222199</c:v>
                </c:pt>
                <c:pt idx="33">
                  <c:v>0.59939068333333367</c:v>
                </c:pt>
                <c:pt idx="34">
                  <c:v>0.60987797222222195</c:v>
                </c:pt>
                <c:pt idx="35">
                  <c:v>0.6167308805555558</c:v>
                </c:pt>
                <c:pt idx="36">
                  <c:v>0.62861753055555558</c:v>
                </c:pt>
                <c:pt idx="37">
                  <c:v>0.6240710472222224</c:v>
                </c:pt>
                <c:pt idx="38">
                  <c:v>0.62809785555555508</c:v>
                </c:pt>
                <c:pt idx="39">
                  <c:v>0.60407145277777785</c:v>
                </c:pt>
                <c:pt idx="40">
                  <c:v>0.59147354722222245</c:v>
                </c:pt>
                <c:pt idx="41">
                  <c:v>0.58198290833333344</c:v>
                </c:pt>
                <c:pt idx="42">
                  <c:v>0.58388894166666672</c:v>
                </c:pt>
                <c:pt idx="43">
                  <c:v>0.58813263611111144</c:v>
                </c:pt>
                <c:pt idx="44">
                  <c:v>0.59440956666666689</c:v>
                </c:pt>
                <c:pt idx="45">
                  <c:v>0.59449542500000041</c:v>
                </c:pt>
                <c:pt idx="46">
                  <c:v>0.59059218888888876</c:v>
                </c:pt>
                <c:pt idx="47">
                  <c:v>0.58315596111111156</c:v>
                </c:pt>
                <c:pt idx="48">
                  <c:v>0.58725927222222196</c:v>
                </c:pt>
                <c:pt idx="49">
                  <c:v>0.58430600555555579</c:v>
                </c:pt>
                <c:pt idx="50">
                  <c:v>0.5723837111111113</c:v>
                </c:pt>
                <c:pt idx="51">
                  <c:v>0.5698326527777775</c:v>
                </c:pt>
                <c:pt idx="52">
                  <c:v>0.58075643055555515</c:v>
                </c:pt>
                <c:pt idx="53">
                  <c:v>0.53205942500000003</c:v>
                </c:pt>
                <c:pt idx="54">
                  <c:v>0.52227399166666666</c:v>
                </c:pt>
                <c:pt idx="55">
                  <c:v>0.54054786388888898</c:v>
                </c:pt>
                <c:pt idx="56">
                  <c:v>0.54823548055555538</c:v>
                </c:pt>
                <c:pt idx="57">
                  <c:v>0.54932786666666678</c:v>
                </c:pt>
                <c:pt idx="58">
                  <c:v>0.5417146722222218</c:v>
                </c:pt>
                <c:pt idx="59">
                  <c:v>0.50813500277777746</c:v>
                </c:pt>
                <c:pt idx="60">
                  <c:v>0.49956099722222219</c:v>
                </c:pt>
                <c:pt idx="61">
                  <c:v>0.48809198333333281</c:v>
                </c:pt>
                <c:pt idx="62">
                  <c:v>0.50209785277777796</c:v>
                </c:pt>
                <c:pt idx="63">
                  <c:v>0.5001969500000002</c:v>
                </c:pt>
                <c:pt idx="64">
                  <c:v>0.49377965833333354</c:v>
                </c:pt>
                <c:pt idx="65">
                  <c:v>0.4959859777777777</c:v>
                </c:pt>
                <c:pt idx="66">
                  <c:v>0.49517708888888895</c:v>
                </c:pt>
                <c:pt idx="67">
                  <c:v>0.50181791111111129</c:v>
                </c:pt>
                <c:pt idx="68">
                  <c:v>0.50280651666666687</c:v>
                </c:pt>
                <c:pt idx="69">
                  <c:v>0.46713275555555567</c:v>
                </c:pt>
                <c:pt idx="70">
                  <c:v>0.49587580000000009</c:v>
                </c:pt>
                <c:pt idx="71">
                  <c:v>0.49718703333333297</c:v>
                </c:pt>
                <c:pt idx="72">
                  <c:v>0.49956746111111111</c:v>
                </c:pt>
                <c:pt idx="73">
                  <c:v>0.51100306388888872</c:v>
                </c:pt>
                <c:pt idx="74">
                  <c:v>0.48627899444444422</c:v>
                </c:pt>
                <c:pt idx="75">
                  <c:v>0.50775173611111069</c:v>
                </c:pt>
                <c:pt idx="76">
                  <c:v>0.51089036388888898</c:v>
                </c:pt>
                <c:pt idx="77">
                  <c:v>0.50664704722222242</c:v>
                </c:pt>
                <c:pt idx="78">
                  <c:v>0.50999288333333337</c:v>
                </c:pt>
                <c:pt idx="79">
                  <c:v>0.50151313055555569</c:v>
                </c:pt>
                <c:pt idx="80">
                  <c:v>0.4988768333333331</c:v>
                </c:pt>
                <c:pt idx="81">
                  <c:v>0.48062179166666646</c:v>
                </c:pt>
                <c:pt idx="82">
                  <c:v>0.4749200416666669</c:v>
                </c:pt>
                <c:pt idx="83">
                  <c:v>0.46664390555555535</c:v>
                </c:pt>
                <c:pt idx="84">
                  <c:v>0.46786230277777791</c:v>
                </c:pt>
                <c:pt idx="85">
                  <c:v>0.47873448611111113</c:v>
                </c:pt>
                <c:pt idx="86">
                  <c:v>0.47864563333333354</c:v>
                </c:pt>
                <c:pt idx="87">
                  <c:v>0.47627761111111161</c:v>
                </c:pt>
                <c:pt idx="88">
                  <c:v>0.47911175833333314</c:v>
                </c:pt>
                <c:pt idx="89">
                  <c:v>0.47880656666666677</c:v>
                </c:pt>
                <c:pt idx="90">
                  <c:v>0.47338093055555569</c:v>
                </c:pt>
                <c:pt idx="91">
                  <c:v>0.47242293888888887</c:v>
                </c:pt>
                <c:pt idx="92">
                  <c:v>0.46467439166666674</c:v>
                </c:pt>
                <c:pt idx="93">
                  <c:v>0.46622325277777749</c:v>
                </c:pt>
                <c:pt idx="94">
                  <c:v>0.4590047555555557</c:v>
                </c:pt>
                <c:pt idx="95">
                  <c:v>0.45676204444444468</c:v>
                </c:pt>
                <c:pt idx="96">
                  <c:v>0.44052354166666613</c:v>
                </c:pt>
                <c:pt idx="97">
                  <c:v>0.44835164999999993</c:v>
                </c:pt>
                <c:pt idx="98">
                  <c:v>0.45067485000000002</c:v>
                </c:pt>
                <c:pt idx="99">
                  <c:v>0.45801662222222239</c:v>
                </c:pt>
                <c:pt idx="100">
                  <c:v>0.46185420833333352</c:v>
                </c:pt>
                <c:pt idx="101">
                  <c:v>0.47550557777777797</c:v>
                </c:pt>
                <c:pt idx="102">
                  <c:v>0.46461392777777777</c:v>
                </c:pt>
                <c:pt idx="103">
                  <c:v>0.46225122222222248</c:v>
                </c:pt>
                <c:pt idx="104">
                  <c:v>0.47730794999999976</c:v>
                </c:pt>
                <c:pt idx="105">
                  <c:v>0.49429668888888895</c:v>
                </c:pt>
                <c:pt idx="106">
                  <c:v>0.49501779166666682</c:v>
                </c:pt>
                <c:pt idx="107">
                  <c:v>0.51927603611111106</c:v>
                </c:pt>
                <c:pt idx="108">
                  <c:v>0.51652249166666664</c:v>
                </c:pt>
                <c:pt idx="109">
                  <c:v>0.52626401944444479</c:v>
                </c:pt>
                <c:pt idx="110">
                  <c:v>0.52249605555555534</c:v>
                </c:pt>
                <c:pt idx="111">
                  <c:v>0.50875771388888913</c:v>
                </c:pt>
                <c:pt idx="112">
                  <c:v>0.50128802500000014</c:v>
                </c:pt>
                <c:pt idx="113">
                  <c:v>0.50251638055555581</c:v>
                </c:pt>
                <c:pt idx="114">
                  <c:v>0.52145248333333316</c:v>
                </c:pt>
                <c:pt idx="115">
                  <c:v>0.53718642222222235</c:v>
                </c:pt>
                <c:pt idx="116">
                  <c:v>0.54489861944444451</c:v>
                </c:pt>
                <c:pt idx="117">
                  <c:v>0.55727635277777787</c:v>
                </c:pt>
                <c:pt idx="118">
                  <c:v>0.58730883611111129</c:v>
                </c:pt>
                <c:pt idx="119">
                  <c:v>0.56677403888888878</c:v>
                </c:pt>
                <c:pt idx="120">
                  <c:v>0.54553634166666654</c:v>
                </c:pt>
                <c:pt idx="121">
                  <c:v>0.55450880833333338</c:v>
                </c:pt>
                <c:pt idx="122">
                  <c:v>0.54885824999999988</c:v>
                </c:pt>
                <c:pt idx="123">
                  <c:v>0.55188896944444421</c:v>
                </c:pt>
                <c:pt idx="124">
                  <c:v>0.55165882777777764</c:v>
                </c:pt>
                <c:pt idx="125">
                  <c:v>0.58246466666666674</c:v>
                </c:pt>
                <c:pt idx="126">
                  <c:v>0.56045791111111132</c:v>
                </c:pt>
                <c:pt idx="127">
                  <c:v>0.54894503888888901</c:v>
                </c:pt>
                <c:pt idx="128">
                  <c:v>0.56837682222222186</c:v>
                </c:pt>
                <c:pt idx="129">
                  <c:v>0.6120082916666667</c:v>
                </c:pt>
                <c:pt idx="130">
                  <c:v>0.60794689999999996</c:v>
                </c:pt>
                <c:pt idx="131">
                  <c:v>0.60859498888888897</c:v>
                </c:pt>
                <c:pt idx="132">
                  <c:v>0.60116908611111097</c:v>
                </c:pt>
                <c:pt idx="133">
                  <c:v>0.62458464444444384</c:v>
                </c:pt>
                <c:pt idx="134">
                  <c:v>0.61549244166666661</c:v>
                </c:pt>
                <c:pt idx="135">
                  <c:v>0.61507815833333312</c:v>
                </c:pt>
                <c:pt idx="136">
                  <c:v>0.61793197499999986</c:v>
                </c:pt>
                <c:pt idx="137">
                  <c:v>0.61384042777777814</c:v>
                </c:pt>
                <c:pt idx="138">
                  <c:v>0.6023846083333334</c:v>
                </c:pt>
                <c:pt idx="139">
                  <c:v>0.60104764722222237</c:v>
                </c:pt>
                <c:pt idx="140">
                  <c:v>0.61133894444444437</c:v>
                </c:pt>
                <c:pt idx="141">
                  <c:v>0.61550208888888902</c:v>
                </c:pt>
                <c:pt idx="142">
                  <c:v>0.6068340083333339</c:v>
                </c:pt>
                <c:pt idx="143">
                  <c:v>0.58307611666666648</c:v>
                </c:pt>
                <c:pt idx="144">
                  <c:v>0.57276474722222248</c:v>
                </c:pt>
                <c:pt idx="145">
                  <c:v>0.58016623888888863</c:v>
                </c:pt>
                <c:pt idx="146">
                  <c:v>0.57804172222222228</c:v>
                </c:pt>
                <c:pt idx="147">
                  <c:v>0.56973615555555535</c:v>
                </c:pt>
                <c:pt idx="148">
                  <c:v>0.57724961111111106</c:v>
                </c:pt>
                <c:pt idx="149">
                  <c:v>0.59132019166666694</c:v>
                </c:pt>
                <c:pt idx="150">
                  <c:v>0.59117385833333358</c:v>
                </c:pt>
                <c:pt idx="151">
                  <c:v>0.57774691388888888</c:v>
                </c:pt>
                <c:pt idx="152">
                  <c:v>0.60911961388888936</c:v>
                </c:pt>
                <c:pt idx="153">
                  <c:v>0.61809513055555609</c:v>
                </c:pt>
                <c:pt idx="154">
                  <c:v>0.61673685277777801</c:v>
                </c:pt>
                <c:pt idx="155">
                  <c:v>0.60696578333333306</c:v>
                </c:pt>
                <c:pt idx="156">
                  <c:v>0.60120509444444425</c:v>
                </c:pt>
                <c:pt idx="157">
                  <c:v>0.60040609722222205</c:v>
                </c:pt>
                <c:pt idx="158">
                  <c:v>0.59714323888888854</c:v>
                </c:pt>
                <c:pt idx="159">
                  <c:v>0.58901154999999983</c:v>
                </c:pt>
                <c:pt idx="160">
                  <c:v>0.57928583055555583</c:v>
                </c:pt>
                <c:pt idx="161">
                  <c:v>0.57987783333333387</c:v>
                </c:pt>
                <c:pt idx="162">
                  <c:v>0.57924905277777761</c:v>
                </c:pt>
                <c:pt idx="163">
                  <c:v>0.58238308888888912</c:v>
                </c:pt>
                <c:pt idx="164">
                  <c:v>0.58899153888888878</c:v>
                </c:pt>
                <c:pt idx="165">
                  <c:v>0.59728553333333301</c:v>
                </c:pt>
                <c:pt idx="166">
                  <c:v>0.62528928611111101</c:v>
                </c:pt>
                <c:pt idx="167">
                  <c:v>0.60786568888888903</c:v>
                </c:pt>
                <c:pt idx="168">
                  <c:v>0.6055768944444444</c:v>
                </c:pt>
                <c:pt idx="169">
                  <c:v>0.61075424722222271</c:v>
                </c:pt>
                <c:pt idx="170">
                  <c:v>0.63854562777777812</c:v>
                </c:pt>
                <c:pt idx="171">
                  <c:v>0.65457540000000003</c:v>
                </c:pt>
                <c:pt idx="172">
                  <c:v>0.63972035833333329</c:v>
                </c:pt>
                <c:pt idx="173">
                  <c:v>0.62123906944444451</c:v>
                </c:pt>
                <c:pt idx="174">
                  <c:v>0.62060944444444466</c:v>
                </c:pt>
                <c:pt idx="175">
                  <c:v>0.61221315833333367</c:v>
                </c:pt>
                <c:pt idx="176">
                  <c:v>0.6485757750000003</c:v>
                </c:pt>
                <c:pt idx="177">
                  <c:v>0.65179770000000037</c:v>
                </c:pt>
                <c:pt idx="178">
                  <c:v>0.65069357222222246</c:v>
                </c:pt>
                <c:pt idx="179">
                  <c:v>0.65538357222222232</c:v>
                </c:pt>
                <c:pt idx="180">
                  <c:v>0.67004986388888876</c:v>
                </c:pt>
                <c:pt idx="181">
                  <c:v>0.66489375833333297</c:v>
                </c:pt>
                <c:pt idx="182">
                  <c:v>0.63143344722222239</c:v>
                </c:pt>
                <c:pt idx="183">
                  <c:v>0.60755483611111105</c:v>
                </c:pt>
                <c:pt idx="184">
                  <c:v>0.61699638333333318</c:v>
                </c:pt>
                <c:pt idx="185">
                  <c:v>0.61224626388888892</c:v>
                </c:pt>
                <c:pt idx="186">
                  <c:v>0.61525103611111076</c:v>
                </c:pt>
                <c:pt idx="187">
                  <c:v>0.61038681944444428</c:v>
                </c:pt>
                <c:pt idx="188">
                  <c:v>0.6252543444444445</c:v>
                </c:pt>
                <c:pt idx="189">
                  <c:v>0.63701912777777758</c:v>
                </c:pt>
                <c:pt idx="190">
                  <c:v>0.62253113611111111</c:v>
                </c:pt>
                <c:pt idx="191">
                  <c:v>0.61061656111111096</c:v>
                </c:pt>
                <c:pt idx="192">
                  <c:v>0.60220279166666657</c:v>
                </c:pt>
                <c:pt idx="193">
                  <c:v>0.62273010000000006</c:v>
                </c:pt>
                <c:pt idx="194">
                  <c:v>0.61641342777777786</c:v>
                </c:pt>
                <c:pt idx="195">
                  <c:v>0.61471481388888904</c:v>
                </c:pt>
                <c:pt idx="196">
                  <c:v>0.60848484444444451</c:v>
                </c:pt>
                <c:pt idx="197">
                  <c:v>0.60607001111111125</c:v>
                </c:pt>
                <c:pt idx="198">
                  <c:v>0.60295880000000002</c:v>
                </c:pt>
                <c:pt idx="199">
                  <c:v>0.60529274444444403</c:v>
                </c:pt>
                <c:pt idx="200">
                  <c:v>0.59140990277777805</c:v>
                </c:pt>
                <c:pt idx="201">
                  <c:v>0.58444010277777791</c:v>
                </c:pt>
                <c:pt idx="202">
                  <c:v>0.58678852222222277</c:v>
                </c:pt>
                <c:pt idx="203">
                  <c:v>0.56053108333333301</c:v>
                </c:pt>
                <c:pt idx="204">
                  <c:v>0.55732351666666669</c:v>
                </c:pt>
                <c:pt idx="205">
                  <c:v>0.56213744722222203</c:v>
                </c:pt>
                <c:pt idx="206">
                  <c:v>0.5481639972222222</c:v>
                </c:pt>
                <c:pt idx="207">
                  <c:v>0.54615827500000003</c:v>
                </c:pt>
                <c:pt idx="208">
                  <c:v>0.52694518333333329</c:v>
                </c:pt>
                <c:pt idx="209">
                  <c:v>0.52334893333333332</c:v>
                </c:pt>
                <c:pt idx="210">
                  <c:v>0.52065976944444414</c:v>
                </c:pt>
                <c:pt idx="211">
                  <c:v>0.5287191916666667</c:v>
                </c:pt>
                <c:pt idx="212">
                  <c:v>0.53099762222222213</c:v>
                </c:pt>
                <c:pt idx="213">
                  <c:v>0.54414491944444454</c:v>
                </c:pt>
                <c:pt idx="214">
                  <c:v>0.53503096666666716</c:v>
                </c:pt>
                <c:pt idx="215">
                  <c:v>0.52878148333333286</c:v>
                </c:pt>
                <c:pt idx="216">
                  <c:v>0.5156950027777778</c:v>
                </c:pt>
                <c:pt idx="217">
                  <c:v>0.51050280000000026</c:v>
                </c:pt>
                <c:pt idx="218">
                  <c:v>0.51554783055555586</c:v>
                </c:pt>
                <c:pt idx="219">
                  <c:v>0.52285281944444428</c:v>
                </c:pt>
                <c:pt idx="220">
                  <c:v>0.51510488055555559</c:v>
                </c:pt>
                <c:pt idx="221">
                  <c:v>0.51582725277777808</c:v>
                </c:pt>
                <c:pt idx="222">
                  <c:v>0.52035455277777809</c:v>
                </c:pt>
                <c:pt idx="223">
                  <c:v>0.52748523333333286</c:v>
                </c:pt>
                <c:pt idx="224">
                  <c:v>0.55796787500000022</c:v>
                </c:pt>
                <c:pt idx="225">
                  <c:v>0.5463248277777778</c:v>
                </c:pt>
                <c:pt idx="226">
                  <c:v>0.53191245833333356</c:v>
                </c:pt>
                <c:pt idx="227">
                  <c:v>0.52734626944444452</c:v>
                </c:pt>
                <c:pt idx="228">
                  <c:v>0.51682153333333314</c:v>
                </c:pt>
                <c:pt idx="229">
                  <c:v>0.51326512500000054</c:v>
                </c:pt>
                <c:pt idx="230">
                  <c:v>0.52362000277777798</c:v>
                </c:pt>
                <c:pt idx="231">
                  <c:v>0.50632540833333339</c:v>
                </c:pt>
                <c:pt idx="232">
                  <c:v>0.48961014722222262</c:v>
                </c:pt>
                <c:pt idx="233">
                  <c:v>0.4972868527777779</c:v>
                </c:pt>
                <c:pt idx="234">
                  <c:v>0.50479819166666673</c:v>
                </c:pt>
                <c:pt idx="235">
                  <c:v>0.49811347777777792</c:v>
                </c:pt>
                <c:pt idx="236">
                  <c:v>0.50378262222222203</c:v>
                </c:pt>
                <c:pt idx="237">
                  <c:v>0.50159130833333321</c:v>
                </c:pt>
                <c:pt idx="238">
                  <c:v>0.50836900833333343</c:v>
                </c:pt>
                <c:pt idx="239">
                  <c:v>0.49307974722222209</c:v>
                </c:pt>
                <c:pt idx="240">
                  <c:v>0.48470431944444436</c:v>
                </c:pt>
                <c:pt idx="241">
                  <c:v>0.48808633611111146</c:v>
                </c:pt>
                <c:pt idx="242">
                  <c:v>0.50631548333333343</c:v>
                </c:pt>
                <c:pt idx="243">
                  <c:v>0.49748559166666684</c:v>
                </c:pt>
                <c:pt idx="244">
                  <c:v>0.49388648333333335</c:v>
                </c:pt>
                <c:pt idx="245">
                  <c:v>0.5053458999999999</c:v>
                </c:pt>
                <c:pt idx="246">
                  <c:v>0.52540950277777787</c:v>
                </c:pt>
                <c:pt idx="247">
                  <c:v>0.52403831666666667</c:v>
                </c:pt>
                <c:pt idx="248">
                  <c:v>0.52863860555555586</c:v>
                </c:pt>
                <c:pt idx="249">
                  <c:v>0.52749582499999992</c:v>
                </c:pt>
                <c:pt idx="250">
                  <c:v>0.53793473611111098</c:v>
                </c:pt>
                <c:pt idx="251">
                  <c:v>0.52299128333333345</c:v>
                </c:pt>
                <c:pt idx="252">
                  <c:v>0.52750357222222188</c:v>
                </c:pt>
                <c:pt idx="253">
                  <c:v>0.51693948333333328</c:v>
                </c:pt>
                <c:pt idx="254">
                  <c:v>0.51502920555555587</c:v>
                </c:pt>
                <c:pt idx="255">
                  <c:v>0.52348075000000005</c:v>
                </c:pt>
                <c:pt idx="256">
                  <c:v>0.54832215555555563</c:v>
                </c:pt>
                <c:pt idx="257">
                  <c:v>0.55530630555555516</c:v>
                </c:pt>
                <c:pt idx="258">
                  <c:v>0.56075498611111108</c:v>
                </c:pt>
                <c:pt idx="259">
                  <c:v>0.56594968611111107</c:v>
                </c:pt>
                <c:pt idx="260">
                  <c:v>0.57510151388888942</c:v>
                </c:pt>
                <c:pt idx="261">
                  <c:v>0.56610492777777777</c:v>
                </c:pt>
                <c:pt idx="262">
                  <c:v>0.56226555555555535</c:v>
                </c:pt>
                <c:pt idx="263">
                  <c:v>0.57531185000000007</c:v>
                </c:pt>
                <c:pt idx="264">
                  <c:v>0.56403107777777794</c:v>
                </c:pt>
                <c:pt idx="265">
                  <c:v>0.58116667500000041</c:v>
                </c:pt>
                <c:pt idx="266">
                  <c:v>0.58491890000000002</c:v>
                </c:pt>
                <c:pt idx="267">
                  <c:v>0.625276297222222</c:v>
                </c:pt>
                <c:pt idx="268">
                  <c:v>0.61878786666666652</c:v>
                </c:pt>
                <c:pt idx="269">
                  <c:v>0.64600803055555545</c:v>
                </c:pt>
                <c:pt idx="270">
                  <c:v>0.63780348611111093</c:v>
                </c:pt>
                <c:pt idx="271">
                  <c:v>0.62786504444444446</c:v>
                </c:pt>
                <c:pt idx="272">
                  <c:v>0.62376745277777812</c:v>
                </c:pt>
                <c:pt idx="273">
                  <c:v>0.62204449999999967</c:v>
                </c:pt>
                <c:pt idx="274">
                  <c:v>0.62528041111111121</c:v>
                </c:pt>
                <c:pt idx="275">
                  <c:v>0.63658202777777839</c:v>
                </c:pt>
                <c:pt idx="276">
                  <c:v>0.60964486111111094</c:v>
                </c:pt>
                <c:pt idx="277">
                  <c:v>0.61830834999999995</c:v>
                </c:pt>
                <c:pt idx="278">
                  <c:v>0.6130840361111114</c:v>
                </c:pt>
                <c:pt idx="279">
                  <c:v>0.60435184444444412</c:v>
                </c:pt>
                <c:pt idx="280">
                  <c:v>0.60729636388888897</c:v>
                </c:pt>
                <c:pt idx="281">
                  <c:v>0.61555026944444491</c:v>
                </c:pt>
                <c:pt idx="282">
                  <c:v>0.62187362222222209</c:v>
                </c:pt>
                <c:pt idx="283">
                  <c:v>0.61210763611111119</c:v>
                </c:pt>
                <c:pt idx="284">
                  <c:v>0.58643784444444436</c:v>
                </c:pt>
                <c:pt idx="285">
                  <c:v>0.58016091666666636</c:v>
                </c:pt>
                <c:pt idx="286">
                  <c:v>0.57179334444444463</c:v>
                </c:pt>
                <c:pt idx="287">
                  <c:v>0.56579634166666681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11-4B35-8CA6-8CA88969046F}"/>
            </c:ext>
          </c:extLst>
        </c:ser>
        <c:ser>
          <c:idx val="2"/>
          <c:order val="2"/>
          <c:tx>
            <c:v>50% (верхняя)</c:v>
          </c:tx>
          <c:spPr>
            <a:ln w="9525">
              <a:solidFill>
                <a:srgbClr val="034D79"/>
              </a:solidFill>
              <a:prstDash val="solid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Данные!$CD$2:$CD$289</c:f>
              <c:numCache>
                <c:formatCode>General</c:formatCode>
                <c:ptCount val="288"/>
                <c:pt idx="0">
                  <c:v>0.61435687777777792</c:v>
                </c:pt>
                <c:pt idx="1">
                  <c:v>0.64972448333333344</c:v>
                </c:pt>
                <c:pt idx="2">
                  <c:v>0.65859131944444438</c:v>
                </c:pt>
                <c:pt idx="3">
                  <c:v>0.64380918333333348</c:v>
                </c:pt>
                <c:pt idx="4">
                  <c:v>0.65538129722222249</c:v>
                </c:pt>
                <c:pt idx="5">
                  <c:v>0.63549874444444443</c:v>
                </c:pt>
                <c:pt idx="6">
                  <c:v>0.6341898499999995</c:v>
                </c:pt>
                <c:pt idx="7">
                  <c:v>0.63084546111111073</c:v>
                </c:pt>
                <c:pt idx="8">
                  <c:v>0.67674235555555518</c:v>
                </c:pt>
                <c:pt idx="9">
                  <c:v>0.67283608055555544</c:v>
                </c:pt>
                <c:pt idx="10">
                  <c:v>0.69327334166666632</c:v>
                </c:pt>
                <c:pt idx="11">
                  <c:v>0.68135556111111117</c:v>
                </c:pt>
                <c:pt idx="12">
                  <c:v>0.68531411666666642</c:v>
                </c:pt>
                <c:pt idx="13">
                  <c:v>0.70815552222222267</c:v>
                </c:pt>
                <c:pt idx="14">
                  <c:v>0.69734983055555555</c:v>
                </c:pt>
                <c:pt idx="15">
                  <c:v>0.70920419166666637</c:v>
                </c:pt>
                <c:pt idx="16">
                  <c:v>0.71723624722222268</c:v>
                </c:pt>
                <c:pt idx="17">
                  <c:v>0.71749250277777776</c:v>
                </c:pt>
                <c:pt idx="18">
                  <c:v>0.71265149999999999</c:v>
                </c:pt>
                <c:pt idx="19">
                  <c:v>0.71233579166666705</c:v>
                </c:pt>
                <c:pt idx="20">
                  <c:v>0.71041798611111096</c:v>
                </c:pt>
                <c:pt idx="21">
                  <c:v>0.71607471111111076</c:v>
                </c:pt>
                <c:pt idx="22">
                  <c:v>0.71978101388888871</c:v>
                </c:pt>
                <c:pt idx="23">
                  <c:v>0.69237270000000017</c:v>
                </c:pt>
                <c:pt idx="24">
                  <c:v>0.69633202222222224</c:v>
                </c:pt>
                <c:pt idx="25">
                  <c:v>0.6949193944444445</c:v>
                </c:pt>
                <c:pt idx="26">
                  <c:v>0.70611738333333351</c:v>
                </c:pt>
                <c:pt idx="27">
                  <c:v>0.74077988333333333</c:v>
                </c:pt>
                <c:pt idx="28">
                  <c:v>0.74656068888888871</c:v>
                </c:pt>
                <c:pt idx="29">
                  <c:v>0.74155832777777753</c:v>
                </c:pt>
                <c:pt idx="30">
                  <c:v>0.73550723333333368</c:v>
                </c:pt>
                <c:pt idx="31">
                  <c:v>0.7209304638888886</c:v>
                </c:pt>
                <c:pt idx="32">
                  <c:v>0.69272214722222214</c:v>
                </c:pt>
                <c:pt idx="33">
                  <c:v>0.70102038333333383</c:v>
                </c:pt>
                <c:pt idx="34">
                  <c:v>0.69836562222222165</c:v>
                </c:pt>
                <c:pt idx="35">
                  <c:v>0.69563828611111123</c:v>
                </c:pt>
                <c:pt idx="36">
                  <c:v>0.70730393611111075</c:v>
                </c:pt>
                <c:pt idx="37">
                  <c:v>0.69620742222222209</c:v>
                </c:pt>
                <c:pt idx="38">
                  <c:v>0.68947668333333334</c:v>
                </c:pt>
                <c:pt idx="39">
                  <c:v>0.6931460805555556</c:v>
                </c:pt>
                <c:pt idx="40">
                  <c:v>0.70442902499999971</c:v>
                </c:pt>
                <c:pt idx="41">
                  <c:v>0.687248563888889</c:v>
                </c:pt>
                <c:pt idx="42">
                  <c:v>0.6835900250000001</c:v>
                </c:pt>
                <c:pt idx="43">
                  <c:v>0.6893787388888889</c:v>
                </c:pt>
                <c:pt idx="44">
                  <c:v>0.69369668611111113</c:v>
                </c:pt>
                <c:pt idx="45">
                  <c:v>0.66963921944444427</c:v>
                </c:pt>
                <c:pt idx="46">
                  <c:v>0.66792384166666674</c:v>
                </c:pt>
                <c:pt idx="47">
                  <c:v>0.66876432500000005</c:v>
                </c:pt>
                <c:pt idx="48">
                  <c:v>0.67543197222222229</c:v>
                </c:pt>
                <c:pt idx="49">
                  <c:v>0.67696009722222217</c:v>
                </c:pt>
                <c:pt idx="50">
                  <c:v>0.6690204249999997</c:v>
                </c:pt>
                <c:pt idx="51">
                  <c:v>0.66418639722222206</c:v>
                </c:pt>
                <c:pt idx="52">
                  <c:v>0.65300892222222229</c:v>
                </c:pt>
                <c:pt idx="53">
                  <c:v>0.64103994722222191</c:v>
                </c:pt>
                <c:pt idx="54">
                  <c:v>0.65692640555555526</c:v>
                </c:pt>
                <c:pt idx="55">
                  <c:v>0.68072983611111126</c:v>
                </c:pt>
                <c:pt idx="56">
                  <c:v>0.69874960555555599</c:v>
                </c:pt>
                <c:pt idx="57">
                  <c:v>0.68652021666666652</c:v>
                </c:pt>
                <c:pt idx="58">
                  <c:v>0.68721086388888852</c:v>
                </c:pt>
                <c:pt idx="59">
                  <c:v>0.67641056111111109</c:v>
                </c:pt>
                <c:pt idx="60">
                  <c:v>0.65889313055555554</c:v>
                </c:pt>
                <c:pt idx="61">
                  <c:v>0.65399153333333315</c:v>
                </c:pt>
                <c:pt idx="62">
                  <c:v>0.66001696666666676</c:v>
                </c:pt>
                <c:pt idx="63">
                  <c:v>0.66631910277777784</c:v>
                </c:pt>
                <c:pt idx="64">
                  <c:v>0.66814855833333331</c:v>
                </c:pt>
                <c:pt idx="65">
                  <c:v>0.63955520277777789</c:v>
                </c:pt>
                <c:pt idx="66">
                  <c:v>0.65465884444444422</c:v>
                </c:pt>
                <c:pt idx="67">
                  <c:v>0.62762624166666681</c:v>
                </c:pt>
                <c:pt idx="68">
                  <c:v>0.61886801388888857</c:v>
                </c:pt>
                <c:pt idx="69">
                  <c:v>0.6186600722222223</c:v>
                </c:pt>
                <c:pt idx="70">
                  <c:v>0.60096547222222185</c:v>
                </c:pt>
                <c:pt idx="71">
                  <c:v>0.59795811666666698</c:v>
                </c:pt>
                <c:pt idx="72">
                  <c:v>0.61112899999999992</c:v>
                </c:pt>
                <c:pt idx="73">
                  <c:v>0.5972561666666667</c:v>
                </c:pt>
                <c:pt idx="74">
                  <c:v>0.58370853333333339</c:v>
                </c:pt>
                <c:pt idx="75">
                  <c:v>0.5917148000000001</c:v>
                </c:pt>
                <c:pt idx="76">
                  <c:v>0.58604010833333331</c:v>
                </c:pt>
                <c:pt idx="77">
                  <c:v>0.58737632500000048</c:v>
                </c:pt>
                <c:pt idx="78">
                  <c:v>0.58981463611111096</c:v>
                </c:pt>
                <c:pt idx="79">
                  <c:v>0.58330690555555553</c:v>
                </c:pt>
                <c:pt idx="80">
                  <c:v>0.63232817500000027</c:v>
                </c:pt>
                <c:pt idx="81">
                  <c:v>0.63312062500000021</c:v>
                </c:pt>
                <c:pt idx="82">
                  <c:v>0.61091529722222249</c:v>
                </c:pt>
                <c:pt idx="83">
                  <c:v>0.59862987222222186</c:v>
                </c:pt>
                <c:pt idx="84">
                  <c:v>0.6264232277777777</c:v>
                </c:pt>
                <c:pt idx="85">
                  <c:v>0.62534412222222246</c:v>
                </c:pt>
                <c:pt idx="86">
                  <c:v>0.64483636388888921</c:v>
                </c:pt>
                <c:pt idx="87">
                  <c:v>0.65829510833333305</c:v>
                </c:pt>
                <c:pt idx="88">
                  <c:v>0.64731543333333319</c:v>
                </c:pt>
                <c:pt idx="89">
                  <c:v>0.61425132500000013</c:v>
                </c:pt>
                <c:pt idx="90">
                  <c:v>0.6170567916666666</c:v>
                </c:pt>
                <c:pt idx="91">
                  <c:v>0.59468489444444428</c:v>
                </c:pt>
                <c:pt idx="92">
                  <c:v>0.59905773888888869</c:v>
                </c:pt>
                <c:pt idx="93">
                  <c:v>0.59587900277777772</c:v>
                </c:pt>
                <c:pt idx="94">
                  <c:v>0.59440910555555548</c:v>
                </c:pt>
                <c:pt idx="95">
                  <c:v>0.5730352999999998</c:v>
                </c:pt>
                <c:pt idx="96">
                  <c:v>0.57660950555555579</c:v>
                </c:pt>
                <c:pt idx="97">
                  <c:v>0.57465540277777771</c:v>
                </c:pt>
                <c:pt idx="98">
                  <c:v>0.60234028333333334</c:v>
                </c:pt>
                <c:pt idx="99">
                  <c:v>0.59981336666666629</c:v>
                </c:pt>
                <c:pt idx="100">
                  <c:v>0.60366574166666664</c:v>
                </c:pt>
                <c:pt idx="101">
                  <c:v>0.59874213888888883</c:v>
                </c:pt>
                <c:pt idx="102">
                  <c:v>0.6149766027777781</c:v>
                </c:pt>
                <c:pt idx="103">
                  <c:v>0.61056492777777804</c:v>
                </c:pt>
                <c:pt idx="104">
                  <c:v>0.62651208611111153</c:v>
                </c:pt>
                <c:pt idx="105">
                  <c:v>0.65922425555555586</c:v>
                </c:pt>
                <c:pt idx="106">
                  <c:v>0.63123305833333321</c:v>
                </c:pt>
                <c:pt idx="107">
                  <c:v>0.63207497777777766</c:v>
                </c:pt>
                <c:pt idx="108">
                  <c:v>0.65260197777777773</c:v>
                </c:pt>
                <c:pt idx="109">
                  <c:v>0.6362337055555557</c:v>
                </c:pt>
                <c:pt idx="110">
                  <c:v>0.67538710555555559</c:v>
                </c:pt>
                <c:pt idx="111">
                  <c:v>0.66287953333333338</c:v>
                </c:pt>
                <c:pt idx="112">
                  <c:v>0.67982240833333341</c:v>
                </c:pt>
                <c:pt idx="113">
                  <c:v>0.73074617222222216</c:v>
                </c:pt>
                <c:pt idx="114">
                  <c:v>0.73056405833333338</c:v>
                </c:pt>
                <c:pt idx="115">
                  <c:v>0.70123034444444476</c:v>
                </c:pt>
                <c:pt idx="116">
                  <c:v>0.72076443055555595</c:v>
                </c:pt>
                <c:pt idx="117">
                  <c:v>0.74724433055555528</c:v>
                </c:pt>
                <c:pt idx="118">
                  <c:v>0.7270810388888892</c:v>
                </c:pt>
                <c:pt idx="119">
                  <c:v>0.70825961388888881</c:v>
                </c:pt>
                <c:pt idx="120">
                  <c:v>0.70082245555555533</c:v>
                </c:pt>
                <c:pt idx="121">
                  <c:v>0.71143951388888915</c:v>
                </c:pt>
                <c:pt idx="122">
                  <c:v>0.70598770833333335</c:v>
                </c:pt>
                <c:pt idx="123">
                  <c:v>0.69361182222222217</c:v>
                </c:pt>
                <c:pt idx="124">
                  <c:v>0.70475105555555517</c:v>
                </c:pt>
                <c:pt idx="125">
                  <c:v>0.71717984166666637</c:v>
                </c:pt>
                <c:pt idx="126">
                  <c:v>0.71976557222222259</c:v>
                </c:pt>
                <c:pt idx="127">
                  <c:v>0.72016301388888859</c:v>
                </c:pt>
                <c:pt idx="128">
                  <c:v>0.72344610000000042</c:v>
                </c:pt>
                <c:pt idx="129">
                  <c:v>0.72501993055555547</c:v>
                </c:pt>
                <c:pt idx="130">
                  <c:v>0.70810835555555518</c:v>
                </c:pt>
                <c:pt idx="131">
                  <c:v>0.67788662499999974</c:v>
                </c:pt>
                <c:pt idx="132">
                  <c:v>0.67836982500000009</c:v>
                </c:pt>
                <c:pt idx="133">
                  <c:v>0.67558873888888871</c:v>
                </c:pt>
                <c:pt idx="134">
                  <c:v>0.66668203611111132</c:v>
                </c:pt>
                <c:pt idx="135">
                  <c:v>0.67474533611111109</c:v>
                </c:pt>
                <c:pt idx="136">
                  <c:v>0.66670427500000007</c:v>
                </c:pt>
                <c:pt idx="137">
                  <c:v>0.67177498055555562</c:v>
                </c:pt>
                <c:pt idx="138">
                  <c:v>0.69339305555555564</c:v>
                </c:pt>
                <c:pt idx="139">
                  <c:v>0.71208953333333347</c:v>
                </c:pt>
                <c:pt idx="140">
                  <c:v>0.72951910833333322</c:v>
                </c:pt>
                <c:pt idx="141">
                  <c:v>0.73707968055555528</c:v>
                </c:pt>
                <c:pt idx="142">
                  <c:v>0.72455741666666684</c:v>
                </c:pt>
                <c:pt idx="143">
                  <c:v>0.71519300000000019</c:v>
                </c:pt>
                <c:pt idx="144">
                  <c:v>0.69038799999999989</c:v>
                </c:pt>
                <c:pt idx="145">
                  <c:v>0.67127964166666665</c:v>
                </c:pt>
                <c:pt idx="146">
                  <c:v>0.67527842222222234</c:v>
                </c:pt>
                <c:pt idx="147">
                  <c:v>0.68840758055555551</c:v>
                </c:pt>
                <c:pt idx="148">
                  <c:v>0.69033123611111114</c:v>
                </c:pt>
                <c:pt idx="149">
                  <c:v>0.69135466666666678</c:v>
                </c:pt>
                <c:pt idx="150">
                  <c:v>0.67535638611111093</c:v>
                </c:pt>
                <c:pt idx="151">
                  <c:v>0.68726554444444421</c:v>
                </c:pt>
                <c:pt idx="152">
                  <c:v>0.73312414722222219</c:v>
                </c:pt>
                <c:pt idx="153">
                  <c:v>0.71987451111111112</c:v>
                </c:pt>
                <c:pt idx="154">
                  <c:v>0.72456669166666687</c:v>
                </c:pt>
                <c:pt idx="155">
                  <c:v>0.70293097222222212</c:v>
                </c:pt>
                <c:pt idx="156">
                  <c:v>0.7125100805555552</c:v>
                </c:pt>
                <c:pt idx="157">
                  <c:v>0.73062197500000037</c:v>
                </c:pt>
                <c:pt idx="158">
                  <c:v>0.7301444499999995</c:v>
                </c:pt>
                <c:pt idx="159">
                  <c:v>0.72238246666666628</c:v>
                </c:pt>
                <c:pt idx="160">
                  <c:v>0.72157009444444431</c:v>
                </c:pt>
                <c:pt idx="161">
                  <c:v>0.74516335555555513</c:v>
                </c:pt>
                <c:pt idx="162">
                  <c:v>0.74725309999999989</c:v>
                </c:pt>
                <c:pt idx="163">
                  <c:v>0.75032201944444443</c:v>
                </c:pt>
                <c:pt idx="164">
                  <c:v>0.76330330833333326</c:v>
                </c:pt>
                <c:pt idx="165">
                  <c:v>0.72742496111111055</c:v>
                </c:pt>
                <c:pt idx="166">
                  <c:v>0.72889579166666618</c:v>
                </c:pt>
                <c:pt idx="167">
                  <c:v>0.72777829999999999</c:v>
                </c:pt>
                <c:pt idx="168">
                  <c:v>0.71445326388888863</c:v>
                </c:pt>
                <c:pt idx="169">
                  <c:v>0.71482297500000003</c:v>
                </c:pt>
                <c:pt idx="170">
                  <c:v>0.72448488888888829</c:v>
                </c:pt>
                <c:pt idx="171">
                  <c:v>0.73685502222222199</c:v>
                </c:pt>
                <c:pt idx="172">
                  <c:v>0.72282429166666684</c:v>
                </c:pt>
                <c:pt idx="173">
                  <c:v>0.72326780833333337</c:v>
                </c:pt>
                <c:pt idx="174">
                  <c:v>0.72363092500000004</c:v>
                </c:pt>
                <c:pt idx="175">
                  <c:v>0.71616061666666675</c:v>
                </c:pt>
                <c:pt idx="176">
                  <c:v>0.70903844444444442</c:v>
                </c:pt>
                <c:pt idx="177">
                  <c:v>0.73079469166666666</c:v>
                </c:pt>
                <c:pt idx="178">
                  <c:v>0.73978816111111156</c:v>
                </c:pt>
                <c:pt idx="179">
                  <c:v>0.73827875555555633</c:v>
                </c:pt>
                <c:pt idx="180">
                  <c:v>0.7300858055555558</c:v>
                </c:pt>
                <c:pt idx="181">
                  <c:v>0.74039715000000006</c:v>
                </c:pt>
                <c:pt idx="182">
                  <c:v>0.73873397777777794</c:v>
                </c:pt>
                <c:pt idx="183">
                  <c:v>0.72208906388888927</c:v>
                </c:pt>
                <c:pt idx="184">
                  <c:v>0.7020180388888887</c:v>
                </c:pt>
                <c:pt idx="185">
                  <c:v>0.71460918333333334</c:v>
                </c:pt>
                <c:pt idx="186">
                  <c:v>0.73206583888888899</c:v>
                </c:pt>
                <c:pt idx="187">
                  <c:v>0.71919109999999997</c:v>
                </c:pt>
                <c:pt idx="188">
                  <c:v>0.71619108611111093</c:v>
                </c:pt>
                <c:pt idx="189">
                  <c:v>0.71341935555555569</c:v>
                </c:pt>
                <c:pt idx="190">
                  <c:v>0.69817092222222221</c:v>
                </c:pt>
                <c:pt idx="191">
                  <c:v>0.71297983055555536</c:v>
                </c:pt>
                <c:pt idx="192">
                  <c:v>0.69688086944444416</c:v>
                </c:pt>
                <c:pt idx="193">
                  <c:v>0.69829925277777749</c:v>
                </c:pt>
                <c:pt idx="194">
                  <c:v>0.71112164166666691</c:v>
                </c:pt>
                <c:pt idx="195">
                  <c:v>0.71408180555555556</c:v>
                </c:pt>
                <c:pt idx="196">
                  <c:v>0.69170566111111109</c:v>
                </c:pt>
                <c:pt idx="197">
                  <c:v>0.69206294722222206</c:v>
                </c:pt>
                <c:pt idx="198">
                  <c:v>0.7017633944444448</c:v>
                </c:pt>
                <c:pt idx="199">
                  <c:v>0.689842136111111</c:v>
                </c:pt>
                <c:pt idx="200">
                  <c:v>0.68769642499999983</c:v>
                </c:pt>
                <c:pt idx="201">
                  <c:v>0.6957970916666667</c:v>
                </c:pt>
                <c:pt idx="202">
                  <c:v>0.69555500277777782</c:v>
                </c:pt>
                <c:pt idx="203">
                  <c:v>0.67700490000000046</c:v>
                </c:pt>
                <c:pt idx="204">
                  <c:v>0.67279526388888888</c:v>
                </c:pt>
                <c:pt idx="205">
                  <c:v>0.6698086583333337</c:v>
                </c:pt>
                <c:pt idx="206">
                  <c:v>0.65525309166666679</c:v>
                </c:pt>
                <c:pt idx="207">
                  <c:v>0.65830490833333355</c:v>
                </c:pt>
                <c:pt idx="208">
                  <c:v>0.63996015833333364</c:v>
                </c:pt>
                <c:pt idx="209">
                  <c:v>0.63435808333333321</c:v>
                </c:pt>
                <c:pt idx="210">
                  <c:v>0.65055031666666707</c:v>
                </c:pt>
                <c:pt idx="211">
                  <c:v>0.64209057500000022</c:v>
                </c:pt>
                <c:pt idx="212">
                  <c:v>0.65428783888888875</c:v>
                </c:pt>
                <c:pt idx="213">
                  <c:v>0.65711744999999999</c:v>
                </c:pt>
                <c:pt idx="214">
                  <c:v>0.65569612222222229</c:v>
                </c:pt>
                <c:pt idx="215">
                  <c:v>0.62622555277777825</c:v>
                </c:pt>
                <c:pt idx="216">
                  <c:v>0.60758318611111095</c:v>
                </c:pt>
                <c:pt idx="217">
                  <c:v>0.61439619444444482</c:v>
                </c:pt>
                <c:pt idx="218">
                  <c:v>0.61084670277777786</c:v>
                </c:pt>
                <c:pt idx="219">
                  <c:v>0.61164119722222188</c:v>
                </c:pt>
                <c:pt idx="220">
                  <c:v>0.59826419166666711</c:v>
                </c:pt>
                <c:pt idx="221">
                  <c:v>0.59392505555555541</c:v>
                </c:pt>
                <c:pt idx="222">
                  <c:v>0.58734098888888853</c:v>
                </c:pt>
                <c:pt idx="223">
                  <c:v>0.59545068888888875</c:v>
                </c:pt>
                <c:pt idx="224">
                  <c:v>0.61879232222222225</c:v>
                </c:pt>
                <c:pt idx="225">
                  <c:v>0.61701747777777805</c:v>
                </c:pt>
                <c:pt idx="226">
                  <c:v>0.62600746666666662</c:v>
                </c:pt>
                <c:pt idx="227">
                  <c:v>0.61844992777777774</c:v>
                </c:pt>
                <c:pt idx="228">
                  <c:v>0.60256519999999969</c:v>
                </c:pt>
                <c:pt idx="229">
                  <c:v>0.60284383055555557</c:v>
                </c:pt>
                <c:pt idx="230">
                  <c:v>0.59955787777777758</c:v>
                </c:pt>
                <c:pt idx="231">
                  <c:v>0.57468110833333319</c:v>
                </c:pt>
                <c:pt idx="232">
                  <c:v>0.57860528888888862</c:v>
                </c:pt>
                <c:pt idx="233">
                  <c:v>0.58550211944444441</c:v>
                </c:pt>
                <c:pt idx="234">
                  <c:v>0.58176183888888888</c:v>
                </c:pt>
                <c:pt idx="235">
                  <c:v>0.58145300277777789</c:v>
                </c:pt>
                <c:pt idx="236">
                  <c:v>0.58597131666666669</c:v>
                </c:pt>
                <c:pt idx="237">
                  <c:v>0.59456146944444388</c:v>
                </c:pt>
                <c:pt idx="238">
                  <c:v>0.58618246388888895</c:v>
                </c:pt>
                <c:pt idx="239">
                  <c:v>0.57531708055555586</c:v>
                </c:pt>
                <c:pt idx="240">
                  <c:v>0.57190744166666685</c:v>
                </c:pt>
                <c:pt idx="241">
                  <c:v>0.59719538888888868</c:v>
                </c:pt>
                <c:pt idx="242">
                  <c:v>0.59785155277777779</c:v>
                </c:pt>
                <c:pt idx="243">
                  <c:v>0.58716968888888887</c:v>
                </c:pt>
                <c:pt idx="244">
                  <c:v>0.58992583888888905</c:v>
                </c:pt>
                <c:pt idx="245">
                  <c:v>0.59238063055555601</c:v>
                </c:pt>
                <c:pt idx="246">
                  <c:v>0.59760850833333312</c:v>
                </c:pt>
                <c:pt idx="247">
                  <c:v>0.67106922777777767</c:v>
                </c:pt>
                <c:pt idx="248">
                  <c:v>0.67387401944444481</c:v>
                </c:pt>
                <c:pt idx="249">
                  <c:v>0.67081679166666708</c:v>
                </c:pt>
                <c:pt idx="250">
                  <c:v>0.69105496388888876</c:v>
                </c:pt>
                <c:pt idx="251">
                  <c:v>0.68700615833333356</c:v>
                </c:pt>
                <c:pt idx="252">
                  <c:v>0.6841626305555556</c:v>
                </c:pt>
                <c:pt idx="253">
                  <c:v>0.67851838888888871</c:v>
                </c:pt>
                <c:pt idx="254">
                  <c:v>0.72737203055555533</c:v>
                </c:pt>
                <c:pt idx="255">
                  <c:v>0.74746328333333323</c:v>
                </c:pt>
                <c:pt idx="256">
                  <c:v>0.74972020000000039</c:v>
                </c:pt>
                <c:pt idx="257">
                  <c:v>0.74589123888888875</c:v>
                </c:pt>
                <c:pt idx="258">
                  <c:v>0.75734508333333361</c:v>
                </c:pt>
                <c:pt idx="259">
                  <c:v>0.76231233333333392</c:v>
                </c:pt>
                <c:pt idx="260">
                  <c:v>0.76208609444444486</c:v>
                </c:pt>
                <c:pt idx="261">
                  <c:v>0.77301947222222223</c:v>
                </c:pt>
                <c:pt idx="262">
                  <c:v>0.79298866666666623</c:v>
                </c:pt>
                <c:pt idx="263">
                  <c:v>0.77849733055555526</c:v>
                </c:pt>
                <c:pt idx="264">
                  <c:v>0.77255654722222178</c:v>
                </c:pt>
                <c:pt idx="265">
                  <c:v>0.77956578611111094</c:v>
                </c:pt>
                <c:pt idx="266">
                  <c:v>0.76004543333333341</c:v>
                </c:pt>
                <c:pt idx="267">
                  <c:v>0.731123883333333</c:v>
                </c:pt>
                <c:pt idx="268">
                  <c:v>0.73011835000000003</c:v>
                </c:pt>
                <c:pt idx="269">
                  <c:v>0.72962584444444478</c:v>
                </c:pt>
                <c:pt idx="270">
                  <c:v>0.73735347777777804</c:v>
                </c:pt>
                <c:pt idx="271">
                  <c:v>0.74060451666666693</c:v>
                </c:pt>
                <c:pt idx="272">
                  <c:v>0.74131698055555595</c:v>
                </c:pt>
                <c:pt idx="273">
                  <c:v>0.73076486944444397</c:v>
                </c:pt>
                <c:pt idx="274">
                  <c:v>0.72908909722222237</c:v>
                </c:pt>
                <c:pt idx="275">
                  <c:v>0.72121173611111078</c:v>
                </c:pt>
                <c:pt idx="276">
                  <c:v>0.7269439694444445</c:v>
                </c:pt>
                <c:pt idx="277">
                  <c:v>0.7338728944444447</c:v>
                </c:pt>
                <c:pt idx="278">
                  <c:v>0.72686723055555558</c:v>
                </c:pt>
                <c:pt idx="279">
                  <c:v>0.72076900833333368</c:v>
                </c:pt>
                <c:pt idx="280">
                  <c:v>0.72443574999999993</c:v>
                </c:pt>
                <c:pt idx="281">
                  <c:v>0.72752366944444447</c:v>
                </c:pt>
                <c:pt idx="282">
                  <c:v>0.72484027777777771</c:v>
                </c:pt>
                <c:pt idx="283">
                  <c:v>0.71384032222222227</c:v>
                </c:pt>
                <c:pt idx="284">
                  <c:v>0.71842497500000047</c:v>
                </c:pt>
                <c:pt idx="285">
                  <c:v>0.71082961111111098</c:v>
                </c:pt>
                <c:pt idx="286">
                  <c:v>0.69025363055555555</c:v>
                </c:pt>
                <c:pt idx="287">
                  <c:v>0.66398893888888899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211-4B35-8CA6-8CA88969046F}"/>
            </c:ext>
          </c:extLst>
        </c:ser>
        <c:ser>
          <c:idx val="3"/>
          <c:order val="3"/>
          <c:tx>
            <c:v>90% (нижняя)</c:v>
          </c:tx>
          <c:spPr>
            <a:ln w="9525">
              <a:solidFill>
                <a:srgbClr val="4295C3"/>
              </a:solidFill>
              <a:prstDash val="solid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Данные!$CE$2:$CE$289</c:f>
              <c:numCache>
                <c:formatCode>General</c:formatCode>
                <c:ptCount val="288"/>
                <c:pt idx="0">
                  <c:v>0.52175077388888891</c:v>
                </c:pt>
                <c:pt idx="1">
                  <c:v>0.53379073222222206</c:v>
                </c:pt>
                <c:pt idx="2">
                  <c:v>0.55241617166666679</c:v>
                </c:pt>
                <c:pt idx="3">
                  <c:v>0.55054008333333304</c:v>
                </c:pt>
                <c:pt idx="4">
                  <c:v>0.56457888333333328</c:v>
                </c:pt>
                <c:pt idx="5">
                  <c:v>0.56432345722222244</c:v>
                </c:pt>
                <c:pt idx="6">
                  <c:v>0.58611615999999989</c:v>
                </c:pt>
                <c:pt idx="7">
                  <c:v>0.55576191722222246</c:v>
                </c:pt>
                <c:pt idx="8">
                  <c:v>0.57224377222222211</c:v>
                </c:pt>
                <c:pt idx="9">
                  <c:v>0.55924026388888892</c:v>
                </c:pt>
                <c:pt idx="10">
                  <c:v>0.56149336055555554</c:v>
                </c:pt>
                <c:pt idx="11">
                  <c:v>0.55250066555555566</c:v>
                </c:pt>
                <c:pt idx="12">
                  <c:v>0.54015569833333299</c:v>
                </c:pt>
                <c:pt idx="13">
                  <c:v>0.54613925722222212</c:v>
                </c:pt>
                <c:pt idx="14">
                  <c:v>0.54265140888888896</c:v>
                </c:pt>
                <c:pt idx="15">
                  <c:v>0.53151500666666684</c:v>
                </c:pt>
                <c:pt idx="16">
                  <c:v>0.51813518388888857</c:v>
                </c:pt>
                <c:pt idx="17">
                  <c:v>0.51538252277777763</c:v>
                </c:pt>
                <c:pt idx="18">
                  <c:v>0.50035687055555533</c:v>
                </c:pt>
                <c:pt idx="19">
                  <c:v>0.50731230222222223</c:v>
                </c:pt>
                <c:pt idx="20">
                  <c:v>0.5212893483333334</c:v>
                </c:pt>
                <c:pt idx="21">
                  <c:v>0.50923860388888897</c:v>
                </c:pt>
                <c:pt idx="22">
                  <c:v>0.51646603555555548</c:v>
                </c:pt>
                <c:pt idx="23">
                  <c:v>0.50664915555555579</c:v>
                </c:pt>
                <c:pt idx="24">
                  <c:v>0.51688488666666677</c:v>
                </c:pt>
                <c:pt idx="25">
                  <c:v>0.52297523722222228</c:v>
                </c:pt>
                <c:pt idx="26">
                  <c:v>0.52681888055555559</c:v>
                </c:pt>
                <c:pt idx="27">
                  <c:v>0.51244579333333329</c:v>
                </c:pt>
                <c:pt idx="28">
                  <c:v>0.52342015555555554</c:v>
                </c:pt>
                <c:pt idx="29">
                  <c:v>0.53044832333333336</c:v>
                </c:pt>
                <c:pt idx="30">
                  <c:v>0.51040019055555574</c:v>
                </c:pt>
                <c:pt idx="31">
                  <c:v>0.52159265888888906</c:v>
                </c:pt>
                <c:pt idx="32">
                  <c:v>0.50991246277777769</c:v>
                </c:pt>
                <c:pt idx="33">
                  <c:v>0.51854464444444448</c:v>
                </c:pt>
                <c:pt idx="34">
                  <c:v>0.5300330288888887</c:v>
                </c:pt>
                <c:pt idx="35">
                  <c:v>0.54232102888888889</c:v>
                </c:pt>
                <c:pt idx="36">
                  <c:v>0.53696357555555585</c:v>
                </c:pt>
                <c:pt idx="37">
                  <c:v>0.54013219111111088</c:v>
                </c:pt>
                <c:pt idx="38">
                  <c:v>0.5384626433333336</c:v>
                </c:pt>
                <c:pt idx="39">
                  <c:v>0.52313202499999989</c:v>
                </c:pt>
                <c:pt idx="40">
                  <c:v>0.52002580444444446</c:v>
                </c:pt>
                <c:pt idx="41">
                  <c:v>0.49619187222222233</c:v>
                </c:pt>
                <c:pt idx="42">
                  <c:v>0.50214399611111149</c:v>
                </c:pt>
                <c:pt idx="43">
                  <c:v>0.50684013222222191</c:v>
                </c:pt>
                <c:pt idx="44">
                  <c:v>0.51543082333333312</c:v>
                </c:pt>
                <c:pt idx="45">
                  <c:v>0.51209277888888871</c:v>
                </c:pt>
                <c:pt idx="46">
                  <c:v>0.50137615833333316</c:v>
                </c:pt>
                <c:pt idx="47">
                  <c:v>0.48992748666666647</c:v>
                </c:pt>
                <c:pt idx="48">
                  <c:v>0.47332980999999957</c:v>
                </c:pt>
                <c:pt idx="49">
                  <c:v>0.46967414277777791</c:v>
                </c:pt>
                <c:pt idx="50">
                  <c:v>0.46519515777777787</c:v>
                </c:pt>
                <c:pt idx="51">
                  <c:v>0.47115386166666695</c:v>
                </c:pt>
                <c:pt idx="52">
                  <c:v>0.4763068538888886</c:v>
                </c:pt>
                <c:pt idx="53">
                  <c:v>0.47721416277777767</c:v>
                </c:pt>
                <c:pt idx="54">
                  <c:v>0.46703421333333334</c:v>
                </c:pt>
                <c:pt idx="55">
                  <c:v>0.45686429333333339</c:v>
                </c:pt>
                <c:pt idx="56">
                  <c:v>0.45796343777777809</c:v>
                </c:pt>
                <c:pt idx="57">
                  <c:v>0.46076140055555548</c:v>
                </c:pt>
                <c:pt idx="58">
                  <c:v>0.45456837666666677</c:v>
                </c:pt>
                <c:pt idx="59">
                  <c:v>0.44799545555555537</c:v>
                </c:pt>
                <c:pt idx="60">
                  <c:v>0.43581781611111092</c:v>
                </c:pt>
                <c:pt idx="61">
                  <c:v>0.43328937166666676</c:v>
                </c:pt>
                <c:pt idx="62">
                  <c:v>0.42866590888888911</c:v>
                </c:pt>
                <c:pt idx="63">
                  <c:v>0.43073437722222174</c:v>
                </c:pt>
                <c:pt idx="64">
                  <c:v>0.43601961333333356</c:v>
                </c:pt>
                <c:pt idx="65">
                  <c:v>0.42480091388888891</c:v>
                </c:pt>
                <c:pt idx="66">
                  <c:v>0.43610669555555553</c:v>
                </c:pt>
                <c:pt idx="67">
                  <c:v>0.43306957666666646</c:v>
                </c:pt>
                <c:pt idx="68">
                  <c:v>0.42068107722222248</c:v>
                </c:pt>
                <c:pt idx="69">
                  <c:v>0.40608727333333355</c:v>
                </c:pt>
                <c:pt idx="70">
                  <c:v>0.40210318944444468</c:v>
                </c:pt>
                <c:pt idx="71">
                  <c:v>0.38931119111111123</c:v>
                </c:pt>
                <c:pt idx="72">
                  <c:v>0.39944206111111091</c:v>
                </c:pt>
                <c:pt idx="73">
                  <c:v>0.40774407888888892</c:v>
                </c:pt>
                <c:pt idx="74">
                  <c:v>0.42888307888888871</c:v>
                </c:pt>
                <c:pt idx="75">
                  <c:v>0.44884946222222211</c:v>
                </c:pt>
                <c:pt idx="76">
                  <c:v>0.4531245199999997</c:v>
                </c:pt>
                <c:pt idx="77">
                  <c:v>0.45493179722222188</c:v>
                </c:pt>
                <c:pt idx="78">
                  <c:v>0.45119271555555529</c:v>
                </c:pt>
                <c:pt idx="79">
                  <c:v>0.44030619888888911</c:v>
                </c:pt>
                <c:pt idx="80">
                  <c:v>0.48451778444444427</c:v>
                </c:pt>
                <c:pt idx="81">
                  <c:v>0.46308895833333313</c:v>
                </c:pt>
                <c:pt idx="82">
                  <c:v>0.46676275388888888</c:v>
                </c:pt>
                <c:pt idx="83">
                  <c:v>0.45311120500000013</c:v>
                </c:pt>
                <c:pt idx="84">
                  <c:v>0.44467950388888888</c:v>
                </c:pt>
                <c:pt idx="85">
                  <c:v>0.45151024388888888</c:v>
                </c:pt>
                <c:pt idx="86">
                  <c:v>0.4514814499999999</c:v>
                </c:pt>
                <c:pt idx="87">
                  <c:v>0.43715083444444464</c:v>
                </c:pt>
                <c:pt idx="88">
                  <c:v>0.45065824277777755</c:v>
                </c:pt>
                <c:pt idx="89">
                  <c:v>0.44313003666666678</c:v>
                </c:pt>
                <c:pt idx="90">
                  <c:v>0.44703699999999963</c:v>
                </c:pt>
                <c:pt idx="91">
                  <c:v>0.44398246555555548</c:v>
                </c:pt>
                <c:pt idx="92">
                  <c:v>0.44442553055555556</c:v>
                </c:pt>
                <c:pt idx="93">
                  <c:v>0.43814304111111113</c:v>
                </c:pt>
                <c:pt idx="94">
                  <c:v>0.44020200444444435</c:v>
                </c:pt>
                <c:pt idx="95">
                  <c:v>0.43805730500000056</c:v>
                </c:pt>
                <c:pt idx="96">
                  <c:v>0.41974417111111112</c:v>
                </c:pt>
                <c:pt idx="97">
                  <c:v>0.42674196722222224</c:v>
                </c:pt>
                <c:pt idx="98">
                  <c:v>0.42931447111111115</c:v>
                </c:pt>
                <c:pt idx="99">
                  <c:v>0.43372052999999988</c:v>
                </c:pt>
                <c:pt idx="100">
                  <c:v>0.43167100277777776</c:v>
                </c:pt>
                <c:pt idx="101">
                  <c:v>0.43987954499999948</c:v>
                </c:pt>
                <c:pt idx="102">
                  <c:v>0.43688800500000041</c:v>
                </c:pt>
                <c:pt idx="103">
                  <c:v>0.43773005555555572</c:v>
                </c:pt>
                <c:pt idx="104">
                  <c:v>0.44306094277777752</c:v>
                </c:pt>
                <c:pt idx="105">
                  <c:v>0.44920653111111097</c:v>
                </c:pt>
                <c:pt idx="106">
                  <c:v>0.46800522166666692</c:v>
                </c:pt>
                <c:pt idx="107">
                  <c:v>0.46590082111111131</c:v>
                </c:pt>
                <c:pt idx="108">
                  <c:v>0.4663935433333336</c:v>
                </c:pt>
                <c:pt idx="109">
                  <c:v>0.45702307722222213</c:v>
                </c:pt>
                <c:pt idx="110">
                  <c:v>0.44717371499999958</c:v>
                </c:pt>
                <c:pt idx="111">
                  <c:v>0.45203720000000008</c:v>
                </c:pt>
                <c:pt idx="112">
                  <c:v>0.40475701222222232</c:v>
                </c:pt>
                <c:pt idx="113">
                  <c:v>0.40202874500000024</c:v>
                </c:pt>
                <c:pt idx="114">
                  <c:v>0.40987801055555517</c:v>
                </c:pt>
                <c:pt idx="115">
                  <c:v>0.44581192388888846</c:v>
                </c:pt>
                <c:pt idx="116">
                  <c:v>0.44596503222222234</c:v>
                </c:pt>
                <c:pt idx="117">
                  <c:v>0.44745167777777745</c:v>
                </c:pt>
                <c:pt idx="118">
                  <c:v>0.44235841833333323</c:v>
                </c:pt>
                <c:pt idx="119">
                  <c:v>0.43660269277777752</c:v>
                </c:pt>
                <c:pt idx="120">
                  <c:v>0.43664765222222224</c:v>
                </c:pt>
                <c:pt idx="121">
                  <c:v>0.46505789555555566</c:v>
                </c:pt>
                <c:pt idx="122">
                  <c:v>0.47464390833333348</c:v>
                </c:pt>
                <c:pt idx="123">
                  <c:v>0.47179586166666682</c:v>
                </c:pt>
                <c:pt idx="124">
                  <c:v>0.46969396166666655</c:v>
                </c:pt>
                <c:pt idx="125">
                  <c:v>0.46804028722222213</c:v>
                </c:pt>
                <c:pt idx="126">
                  <c:v>0.48160017722222226</c:v>
                </c:pt>
                <c:pt idx="127">
                  <c:v>0.50063300555555568</c:v>
                </c:pt>
                <c:pt idx="128">
                  <c:v>0.49397573666666661</c:v>
                </c:pt>
                <c:pt idx="129">
                  <c:v>0.4910822622222219</c:v>
                </c:pt>
                <c:pt idx="130">
                  <c:v>0.53661924999999999</c:v>
                </c:pt>
                <c:pt idx="131">
                  <c:v>0.54547490666666665</c:v>
                </c:pt>
                <c:pt idx="132">
                  <c:v>0.54166306722222235</c:v>
                </c:pt>
                <c:pt idx="133">
                  <c:v>0.57861301555555567</c:v>
                </c:pt>
                <c:pt idx="134">
                  <c:v>0.59184770388888897</c:v>
                </c:pt>
                <c:pt idx="135">
                  <c:v>0.57543217166666671</c:v>
                </c:pt>
                <c:pt idx="136">
                  <c:v>0.57747702444444471</c:v>
                </c:pt>
                <c:pt idx="137">
                  <c:v>0.56631319166666705</c:v>
                </c:pt>
                <c:pt idx="138">
                  <c:v>0.56754769722222231</c:v>
                </c:pt>
                <c:pt idx="139">
                  <c:v>0.58449029555555598</c:v>
                </c:pt>
                <c:pt idx="140">
                  <c:v>0.56679416277777783</c:v>
                </c:pt>
                <c:pt idx="141">
                  <c:v>0.57588519555555562</c:v>
                </c:pt>
                <c:pt idx="142">
                  <c:v>0.56182223333333337</c:v>
                </c:pt>
                <c:pt idx="143">
                  <c:v>0.55705554777777799</c:v>
                </c:pt>
                <c:pt idx="144">
                  <c:v>0.53657876722222231</c:v>
                </c:pt>
                <c:pt idx="145">
                  <c:v>0.53101061833333341</c:v>
                </c:pt>
                <c:pt idx="146">
                  <c:v>0.53631324333333363</c:v>
                </c:pt>
                <c:pt idx="147">
                  <c:v>0.50707305833333371</c:v>
                </c:pt>
                <c:pt idx="148">
                  <c:v>0.49855266277777777</c:v>
                </c:pt>
                <c:pt idx="149">
                  <c:v>0.49513791777777777</c:v>
                </c:pt>
                <c:pt idx="150">
                  <c:v>0.50034136388888872</c:v>
                </c:pt>
                <c:pt idx="151">
                  <c:v>0.50162472611111142</c:v>
                </c:pt>
                <c:pt idx="152">
                  <c:v>0.54431184166666657</c:v>
                </c:pt>
                <c:pt idx="153">
                  <c:v>0.53693787222222211</c:v>
                </c:pt>
                <c:pt idx="154">
                  <c:v>0.54032485888888848</c:v>
                </c:pt>
                <c:pt idx="155">
                  <c:v>0.52307148833333339</c:v>
                </c:pt>
                <c:pt idx="156">
                  <c:v>0.52782245055555543</c:v>
                </c:pt>
                <c:pt idx="157">
                  <c:v>0.54158446666666682</c:v>
                </c:pt>
                <c:pt idx="158">
                  <c:v>0.53583444166666661</c:v>
                </c:pt>
                <c:pt idx="159">
                  <c:v>0.53699599166666667</c:v>
                </c:pt>
                <c:pt idx="160">
                  <c:v>0.53758173722222213</c:v>
                </c:pt>
                <c:pt idx="161">
                  <c:v>0.53564728500000036</c:v>
                </c:pt>
                <c:pt idx="162">
                  <c:v>0.52256760000000002</c:v>
                </c:pt>
                <c:pt idx="163">
                  <c:v>0.52878771222222232</c:v>
                </c:pt>
                <c:pt idx="164">
                  <c:v>0.52768912666666645</c:v>
                </c:pt>
                <c:pt idx="165">
                  <c:v>0.54031350666666667</c:v>
                </c:pt>
                <c:pt idx="166">
                  <c:v>0.53125156277777785</c:v>
                </c:pt>
                <c:pt idx="167">
                  <c:v>0.53243067222222207</c:v>
                </c:pt>
                <c:pt idx="168">
                  <c:v>0.53326623277777774</c:v>
                </c:pt>
                <c:pt idx="169">
                  <c:v>0.53390776166666642</c:v>
                </c:pt>
                <c:pt idx="170">
                  <c:v>0.55038818999999972</c:v>
                </c:pt>
                <c:pt idx="171">
                  <c:v>0.56245284277777774</c:v>
                </c:pt>
                <c:pt idx="172">
                  <c:v>0.56277761833333351</c:v>
                </c:pt>
                <c:pt idx="173">
                  <c:v>0.55693305277777772</c:v>
                </c:pt>
                <c:pt idx="174">
                  <c:v>0.54938895055555537</c:v>
                </c:pt>
                <c:pt idx="175">
                  <c:v>0.51166276555555545</c:v>
                </c:pt>
                <c:pt idx="176">
                  <c:v>0.5077511161111109</c:v>
                </c:pt>
                <c:pt idx="177">
                  <c:v>0.5246202855555554</c:v>
                </c:pt>
                <c:pt idx="178">
                  <c:v>0.52606090611111145</c:v>
                </c:pt>
                <c:pt idx="179">
                  <c:v>0.51985024333333363</c:v>
                </c:pt>
                <c:pt idx="180">
                  <c:v>0.526814332777778</c:v>
                </c:pt>
                <c:pt idx="181">
                  <c:v>0.52282723555555544</c:v>
                </c:pt>
                <c:pt idx="182">
                  <c:v>0.52297753666666691</c:v>
                </c:pt>
                <c:pt idx="183">
                  <c:v>0.50892390444444446</c:v>
                </c:pt>
                <c:pt idx="184">
                  <c:v>0.49576857722222212</c:v>
                </c:pt>
                <c:pt idx="185">
                  <c:v>0.48762758722222255</c:v>
                </c:pt>
                <c:pt idx="186">
                  <c:v>0.49392441555555522</c:v>
                </c:pt>
                <c:pt idx="187">
                  <c:v>0.5080770044444447</c:v>
                </c:pt>
                <c:pt idx="188">
                  <c:v>0.54200968500000024</c:v>
                </c:pt>
                <c:pt idx="189">
                  <c:v>0.55540685222222241</c:v>
                </c:pt>
                <c:pt idx="190">
                  <c:v>0.55252077666666688</c:v>
                </c:pt>
                <c:pt idx="191">
                  <c:v>0.53743659388888898</c:v>
                </c:pt>
                <c:pt idx="192">
                  <c:v>0.53129392499999994</c:v>
                </c:pt>
                <c:pt idx="193">
                  <c:v>0.53115826499999974</c:v>
                </c:pt>
                <c:pt idx="194">
                  <c:v>0.54164252055555573</c:v>
                </c:pt>
                <c:pt idx="195">
                  <c:v>0.53552913611111064</c:v>
                </c:pt>
                <c:pt idx="196">
                  <c:v>0.55228758277777801</c:v>
                </c:pt>
                <c:pt idx="197">
                  <c:v>0.55272175999999973</c:v>
                </c:pt>
                <c:pt idx="198">
                  <c:v>0.54941985666666637</c:v>
                </c:pt>
                <c:pt idx="199">
                  <c:v>0.54651903388888845</c:v>
                </c:pt>
                <c:pt idx="200">
                  <c:v>0.54107980888888874</c:v>
                </c:pt>
                <c:pt idx="201">
                  <c:v>0.54652243777777798</c:v>
                </c:pt>
                <c:pt idx="202">
                  <c:v>0.54839313722222227</c:v>
                </c:pt>
                <c:pt idx="203">
                  <c:v>0.53625291444444434</c:v>
                </c:pt>
                <c:pt idx="204">
                  <c:v>0.54224057222222266</c:v>
                </c:pt>
                <c:pt idx="205">
                  <c:v>0.53304378111111084</c:v>
                </c:pt>
                <c:pt idx="206">
                  <c:v>0.51776219777777777</c:v>
                </c:pt>
                <c:pt idx="207">
                  <c:v>0.51738875888888869</c:v>
                </c:pt>
                <c:pt idx="208">
                  <c:v>0.51153650944444451</c:v>
                </c:pt>
                <c:pt idx="209">
                  <c:v>0.49037814333333307</c:v>
                </c:pt>
                <c:pt idx="210">
                  <c:v>0.48528358111111081</c:v>
                </c:pt>
                <c:pt idx="211">
                  <c:v>0.48732998388888882</c:v>
                </c:pt>
                <c:pt idx="212">
                  <c:v>0.49061760666666637</c:v>
                </c:pt>
                <c:pt idx="213">
                  <c:v>0.49995920888888912</c:v>
                </c:pt>
                <c:pt idx="214">
                  <c:v>0.49403154777777791</c:v>
                </c:pt>
                <c:pt idx="215">
                  <c:v>0.50635290944444444</c:v>
                </c:pt>
                <c:pt idx="216">
                  <c:v>0.4933152855555557</c:v>
                </c:pt>
                <c:pt idx="217">
                  <c:v>0.49713380555555581</c:v>
                </c:pt>
                <c:pt idx="218">
                  <c:v>0.50074821166666694</c:v>
                </c:pt>
                <c:pt idx="219">
                  <c:v>0.47919949777777793</c:v>
                </c:pt>
                <c:pt idx="220">
                  <c:v>0.48611988722222216</c:v>
                </c:pt>
                <c:pt idx="221">
                  <c:v>0.48306679777777817</c:v>
                </c:pt>
                <c:pt idx="222">
                  <c:v>0.4956561155555555</c:v>
                </c:pt>
                <c:pt idx="223">
                  <c:v>0.49571441944444422</c:v>
                </c:pt>
                <c:pt idx="224">
                  <c:v>0.52646319388888874</c:v>
                </c:pt>
                <c:pt idx="225">
                  <c:v>0.51827682055555546</c:v>
                </c:pt>
                <c:pt idx="226">
                  <c:v>0.49016605055555557</c:v>
                </c:pt>
                <c:pt idx="227">
                  <c:v>0.46496944666666667</c:v>
                </c:pt>
                <c:pt idx="228">
                  <c:v>0.46389193499999998</c:v>
                </c:pt>
                <c:pt idx="229">
                  <c:v>0.46755231500000022</c:v>
                </c:pt>
                <c:pt idx="230">
                  <c:v>0.47230993777777774</c:v>
                </c:pt>
                <c:pt idx="231">
                  <c:v>0.46162115000000026</c:v>
                </c:pt>
                <c:pt idx="232">
                  <c:v>0.4601160811111113</c:v>
                </c:pt>
                <c:pt idx="233">
                  <c:v>0.45650496833333332</c:v>
                </c:pt>
                <c:pt idx="234">
                  <c:v>0.45516134111111112</c:v>
                </c:pt>
                <c:pt idx="235">
                  <c:v>0.45537080555555559</c:v>
                </c:pt>
                <c:pt idx="236">
                  <c:v>0.4588601988888889</c:v>
                </c:pt>
                <c:pt idx="237">
                  <c:v>0.46458619055555572</c:v>
                </c:pt>
                <c:pt idx="238">
                  <c:v>0.46830132333333341</c:v>
                </c:pt>
                <c:pt idx="239">
                  <c:v>0.45158691833333342</c:v>
                </c:pt>
                <c:pt idx="240">
                  <c:v>0.44684420888888904</c:v>
                </c:pt>
                <c:pt idx="241">
                  <c:v>0.44219230722222225</c:v>
                </c:pt>
                <c:pt idx="242">
                  <c:v>0.44596762722222227</c:v>
                </c:pt>
                <c:pt idx="243">
                  <c:v>0.45066302444444439</c:v>
                </c:pt>
                <c:pt idx="244">
                  <c:v>0.45697097888888916</c:v>
                </c:pt>
                <c:pt idx="245">
                  <c:v>0.45328051499999977</c:v>
                </c:pt>
                <c:pt idx="246">
                  <c:v>0.45413626333333285</c:v>
                </c:pt>
                <c:pt idx="247">
                  <c:v>0.44769758999999976</c:v>
                </c:pt>
                <c:pt idx="248">
                  <c:v>0.45597118888888932</c:v>
                </c:pt>
                <c:pt idx="249">
                  <c:v>0.45693899166666657</c:v>
                </c:pt>
                <c:pt idx="250">
                  <c:v>0.45616170444444437</c:v>
                </c:pt>
                <c:pt idx="251">
                  <c:v>0.46093714666666652</c:v>
                </c:pt>
                <c:pt idx="252">
                  <c:v>0.47049366777777746</c:v>
                </c:pt>
                <c:pt idx="253">
                  <c:v>0.47617179111111119</c:v>
                </c:pt>
                <c:pt idx="254">
                  <c:v>0.47616462555555517</c:v>
                </c:pt>
                <c:pt idx="255">
                  <c:v>0.43890268277777733</c:v>
                </c:pt>
                <c:pt idx="256">
                  <c:v>0.44306477722222248</c:v>
                </c:pt>
                <c:pt idx="257">
                  <c:v>0.44105672500000037</c:v>
                </c:pt>
                <c:pt idx="258">
                  <c:v>0.45373961222222259</c:v>
                </c:pt>
                <c:pt idx="259">
                  <c:v>0.45220808833333315</c:v>
                </c:pt>
                <c:pt idx="260">
                  <c:v>0.4572404161111111</c:v>
                </c:pt>
                <c:pt idx="261">
                  <c:v>0.45739001222222242</c:v>
                </c:pt>
                <c:pt idx="262">
                  <c:v>0.4877387083333336</c:v>
                </c:pt>
                <c:pt idx="263">
                  <c:v>0.4992925150000001</c:v>
                </c:pt>
                <c:pt idx="264">
                  <c:v>0.48614490555555556</c:v>
                </c:pt>
                <c:pt idx="265">
                  <c:v>0.48297397722222196</c:v>
                </c:pt>
                <c:pt idx="266">
                  <c:v>0.48240399000000039</c:v>
                </c:pt>
                <c:pt idx="267">
                  <c:v>0.52684465000000003</c:v>
                </c:pt>
                <c:pt idx="268">
                  <c:v>0.55252079833333301</c:v>
                </c:pt>
                <c:pt idx="269">
                  <c:v>0.56203028388888898</c:v>
                </c:pt>
                <c:pt idx="270">
                  <c:v>0.55625177166666739</c:v>
                </c:pt>
                <c:pt idx="271">
                  <c:v>0.55645691111111106</c:v>
                </c:pt>
                <c:pt idx="272">
                  <c:v>0.55633434000000004</c:v>
                </c:pt>
                <c:pt idx="273">
                  <c:v>0.56924881055555576</c:v>
                </c:pt>
                <c:pt idx="274">
                  <c:v>0.57738456611111144</c:v>
                </c:pt>
                <c:pt idx="275">
                  <c:v>0.57726779777777759</c:v>
                </c:pt>
                <c:pt idx="276">
                  <c:v>0.57902328944444437</c:v>
                </c:pt>
                <c:pt idx="277">
                  <c:v>0.59402443500000002</c:v>
                </c:pt>
                <c:pt idx="278">
                  <c:v>0.5923987477777779</c:v>
                </c:pt>
                <c:pt idx="279">
                  <c:v>0.58831210111111099</c:v>
                </c:pt>
                <c:pt idx="280">
                  <c:v>0.58317646333333328</c:v>
                </c:pt>
                <c:pt idx="281">
                  <c:v>0.57310002055555564</c:v>
                </c:pt>
                <c:pt idx="282">
                  <c:v>0.57162117333333329</c:v>
                </c:pt>
                <c:pt idx="283">
                  <c:v>0.57785561611111069</c:v>
                </c:pt>
                <c:pt idx="284">
                  <c:v>0.57096390333333324</c:v>
                </c:pt>
                <c:pt idx="285">
                  <c:v>0.55593136611111127</c:v>
                </c:pt>
                <c:pt idx="286">
                  <c:v>0.54261746888888895</c:v>
                </c:pt>
                <c:pt idx="287">
                  <c:v>0.53874232055555538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211-4B35-8CA6-8CA88969046F}"/>
            </c:ext>
          </c:extLst>
        </c:ser>
        <c:ser>
          <c:idx val="4"/>
          <c:order val="4"/>
          <c:tx>
            <c:v>90% (верхняя)</c:v>
          </c:tx>
          <c:spPr>
            <a:ln w="9525">
              <a:solidFill>
                <a:srgbClr val="4295C3"/>
              </a:solidFill>
              <a:prstDash val="solid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Данные!$CF$2:$CF$289</c:f>
              <c:numCache>
                <c:formatCode>General</c:formatCode>
                <c:ptCount val="288"/>
                <c:pt idx="0">
                  <c:v>0.78266164444444442</c:v>
                </c:pt>
                <c:pt idx="1">
                  <c:v>0.78846204500000017</c:v>
                </c:pt>
                <c:pt idx="2">
                  <c:v>0.80654175944444428</c:v>
                </c:pt>
                <c:pt idx="3">
                  <c:v>0.79961110999999985</c:v>
                </c:pt>
                <c:pt idx="4">
                  <c:v>0.79185126166666664</c:v>
                </c:pt>
                <c:pt idx="5">
                  <c:v>0.78718344444444488</c:v>
                </c:pt>
                <c:pt idx="6">
                  <c:v>0.78377093888888882</c:v>
                </c:pt>
                <c:pt idx="7">
                  <c:v>0.80010164722222243</c:v>
                </c:pt>
                <c:pt idx="8">
                  <c:v>0.85987049777777791</c:v>
                </c:pt>
                <c:pt idx="9">
                  <c:v>0.85756017611111146</c:v>
                </c:pt>
                <c:pt idx="10">
                  <c:v>0.84691947388888855</c:v>
                </c:pt>
                <c:pt idx="11">
                  <c:v>0.82778668833333302</c:v>
                </c:pt>
                <c:pt idx="12">
                  <c:v>0.83166303388888874</c:v>
                </c:pt>
                <c:pt idx="13">
                  <c:v>0.83922761722222217</c:v>
                </c:pt>
                <c:pt idx="14">
                  <c:v>0.83590196111111137</c:v>
                </c:pt>
                <c:pt idx="15">
                  <c:v>0.82422036444444469</c:v>
                </c:pt>
                <c:pt idx="16">
                  <c:v>0.8166796105555556</c:v>
                </c:pt>
                <c:pt idx="17">
                  <c:v>0.81100924555555565</c:v>
                </c:pt>
                <c:pt idx="18">
                  <c:v>0.82721745499999999</c:v>
                </c:pt>
                <c:pt idx="19">
                  <c:v>0.83014462777777775</c:v>
                </c:pt>
                <c:pt idx="20">
                  <c:v>0.82850464388888878</c:v>
                </c:pt>
                <c:pt idx="21">
                  <c:v>0.83336766722222211</c:v>
                </c:pt>
                <c:pt idx="22">
                  <c:v>0.83846911444444416</c:v>
                </c:pt>
                <c:pt idx="23">
                  <c:v>0.82499219722222183</c:v>
                </c:pt>
                <c:pt idx="24">
                  <c:v>0.81690895555555532</c:v>
                </c:pt>
                <c:pt idx="25">
                  <c:v>0.81473929166666681</c:v>
                </c:pt>
                <c:pt idx="26">
                  <c:v>0.82066347333333334</c:v>
                </c:pt>
                <c:pt idx="27">
                  <c:v>0.82350103777777806</c:v>
                </c:pt>
                <c:pt idx="28">
                  <c:v>0.83901575166666709</c:v>
                </c:pt>
                <c:pt idx="29">
                  <c:v>0.82878280277777772</c:v>
                </c:pt>
                <c:pt idx="30">
                  <c:v>0.82674705777777791</c:v>
                </c:pt>
                <c:pt idx="31">
                  <c:v>0.82510704722222183</c:v>
                </c:pt>
                <c:pt idx="32">
                  <c:v>0.8151719799999998</c:v>
                </c:pt>
                <c:pt idx="33">
                  <c:v>0.79754480333333289</c:v>
                </c:pt>
                <c:pt idx="34">
                  <c:v>0.81326870055555567</c:v>
                </c:pt>
                <c:pt idx="35">
                  <c:v>0.82612348388888923</c:v>
                </c:pt>
                <c:pt idx="36">
                  <c:v>0.83351292777777841</c:v>
                </c:pt>
                <c:pt idx="37">
                  <c:v>0.82626425833333328</c:v>
                </c:pt>
                <c:pt idx="38">
                  <c:v>0.81725657611111158</c:v>
                </c:pt>
                <c:pt idx="39">
                  <c:v>0.81637599833333363</c:v>
                </c:pt>
                <c:pt idx="40">
                  <c:v>0.8301590511111111</c:v>
                </c:pt>
                <c:pt idx="41">
                  <c:v>0.82425902555555575</c:v>
                </c:pt>
                <c:pt idx="42">
                  <c:v>0.81469706222222216</c:v>
                </c:pt>
                <c:pt idx="43">
                  <c:v>0.80762799777777761</c:v>
                </c:pt>
                <c:pt idx="44">
                  <c:v>0.83120682333333384</c:v>
                </c:pt>
                <c:pt idx="45">
                  <c:v>0.83192536833333364</c:v>
                </c:pt>
                <c:pt idx="46">
                  <c:v>0.84574685555555518</c:v>
                </c:pt>
                <c:pt idx="47">
                  <c:v>0.84108916222222185</c:v>
                </c:pt>
                <c:pt idx="48">
                  <c:v>0.83496710333333313</c:v>
                </c:pt>
                <c:pt idx="49">
                  <c:v>0.83110670111111118</c:v>
                </c:pt>
                <c:pt idx="50">
                  <c:v>0.84211809222222234</c:v>
                </c:pt>
                <c:pt idx="51">
                  <c:v>0.83951986666666623</c:v>
                </c:pt>
                <c:pt idx="52">
                  <c:v>0.83894613111111116</c:v>
                </c:pt>
                <c:pt idx="53">
                  <c:v>0.8200384599999998</c:v>
                </c:pt>
                <c:pt idx="54">
                  <c:v>0.84479079944444435</c:v>
                </c:pt>
                <c:pt idx="55">
                  <c:v>0.84420035777777713</c:v>
                </c:pt>
                <c:pt idx="56">
                  <c:v>0.84969671499999999</c:v>
                </c:pt>
                <c:pt idx="57">
                  <c:v>0.85425749222222236</c:v>
                </c:pt>
                <c:pt idx="58">
                  <c:v>0.84568937666666599</c:v>
                </c:pt>
                <c:pt idx="59">
                  <c:v>0.83024843888888855</c:v>
                </c:pt>
                <c:pt idx="60">
                  <c:v>0.83131482888888841</c:v>
                </c:pt>
                <c:pt idx="61">
                  <c:v>0.84174939055555542</c:v>
                </c:pt>
                <c:pt idx="62">
                  <c:v>0.84033091555555561</c:v>
                </c:pt>
                <c:pt idx="63">
                  <c:v>0.83256454722222228</c:v>
                </c:pt>
                <c:pt idx="64">
                  <c:v>0.79813762055555582</c:v>
                </c:pt>
                <c:pt idx="65">
                  <c:v>0.79467882888888863</c:v>
                </c:pt>
                <c:pt idx="66">
                  <c:v>0.79660894444444419</c:v>
                </c:pt>
                <c:pt idx="67">
                  <c:v>0.80900869999999969</c:v>
                </c:pt>
                <c:pt idx="68">
                  <c:v>0.811343153888889</c:v>
                </c:pt>
                <c:pt idx="69">
                  <c:v>0.80831039222222234</c:v>
                </c:pt>
                <c:pt idx="70">
                  <c:v>0.8057591272222222</c:v>
                </c:pt>
                <c:pt idx="71">
                  <c:v>0.76940190277777765</c:v>
                </c:pt>
                <c:pt idx="72">
                  <c:v>0.74277411666666682</c:v>
                </c:pt>
                <c:pt idx="73">
                  <c:v>0.76967266777777754</c:v>
                </c:pt>
                <c:pt idx="74">
                  <c:v>0.77274006611111146</c:v>
                </c:pt>
                <c:pt idx="75">
                  <c:v>0.76029324499999951</c:v>
                </c:pt>
                <c:pt idx="76">
                  <c:v>0.75894993499999996</c:v>
                </c:pt>
                <c:pt idx="77">
                  <c:v>0.76237505222222168</c:v>
                </c:pt>
                <c:pt idx="78">
                  <c:v>0.7680793233333334</c:v>
                </c:pt>
                <c:pt idx="79">
                  <c:v>0.75264606000000034</c:v>
                </c:pt>
                <c:pt idx="80">
                  <c:v>0.78296190666666676</c:v>
                </c:pt>
                <c:pt idx="81">
                  <c:v>0.77365403722222259</c:v>
                </c:pt>
                <c:pt idx="82">
                  <c:v>0.77285388388888898</c:v>
                </c:pt>
                <c:pt idx="83">
                  <c:v>0.7714536099999999</c:v>
                </c:pt>
                <c:pt idx="84">
                  <c:v>0.76604368222222186</c:v>
                </c:pt>
                <c:pt idx="85">
                  <c:v>0.76300416222222223</c:v>
                </c:pt>
                <c:pt idx="86">
                  <c:v>0.76996602277777793</c:v>
                </c:pt>
                <c:pt idx="87">
                  <c:v>0.7605665538888885</c:v>
                </c:pt>
                <c:pt idx="88">
                  <c:v>0.75622410777777749</c:v>
                </c:pt>
                <c:pt idx="89">
                  <c:v>0.72737252277777775</c:v>
                </c:pt>
                <c:pt idx="90">
                  <c:v>0.71973061166666652</c:v>
                </c:pt>
                <c:pt idx="91">
                  <c:v>0.72113387666666673</c:v>
                </c:pt>
                <c:pt idx="92">
                  <c:v>0.72026161611111128</c:v>
                </c:pt>
                <c:pt idx="93">
                  <c:v>0.72478648333333329</c:v>
                </c:pt>
                <c:pt idx="94">
                  <c:v>0.71408644888888861</c:v>
                </c:pt>
                <c:pt idx="95">
                  <c:v>0.70789066722222227</c:v>
                </c:pt>
                <c:pt idx="96">
                  <c:v>0.69798795888888887</c:v>
                </c:pt>
                <c:pt idx="97">
                  <c:v>0.70553344388888917</c:v>
                </c:pt>
                <c:pt idx="98">
                  <c:v>0.70600239944444421</c:v>
                </c:pt>
                <c:pt idx="99">
                  <c:v>0.69710151499999973</c:v>
                </c:pt>
                <c:pt idx="100">
                  <c:v>0.70052571555555576</c:v>
                </c:pt>
                <c:pt idx="101">
                  <c:v>0.70757219277777772</c:v>
                </c:pt>
                <c:pt idx="102">
                  <c:v>0.71296773777777767</c:v>
                </c:pt>
                <c:pt idx="103">
                  <c:v>0.74253239444444441</c:v>
                </c:pt>
                <c:pt idx="104">
                  <c:v>0.76154170777777841</c:v>
                </c:pt>
                <c:pt idx="105">
                  <c:v>0.79600943000000002</c:v>
                </c:pt>
                <c:pt idx="106">
                  <c:v>0.79476715722222258</c:v>
                </c:pt>
                <c:pt idx="107">
                  <c:v>0.79794873166666669</c:v>
                </c:pt>
                <c:pt idx="108">
                  <c:v>0.83184584611111134</c:v>
                </c:pt>
                <c:pt idx="109">
                  <c:v>0.81398734222222202</c:v>
                </c:pt>
                <c:pt idx="110">
                  <c:v>0.84041109333333286</c:v>
                </c:pt>
                <c:pt idx="111">
                  <c:v>0.82797521166666654</c:v>
                </c:pt>
                <c:pt idx="112">
                  <c:v>0.82593896722222238</c:v>
                </c:pt>
                <c:pt idx="113">
                  <c:v>0.81037375444444415</c:v>
                </c:pt>
                <c:pt idx="114">
                  <c:v>0.81090636499999957</c:v>
                </c:pt>
                <c:pt idx="115">
                  <c:v>0.8081600272222228</c:v>
                </c:pt>
                <c:pt idx="116">
                  <c:v>0.81085444555555597</c:v>
                </c:pt>
                <c:pt idx="117">
                  <c:v>0.810920063333333</c:v>
                </c:pt>
                <c:pt idx="118">
                  <c:v>0.80683380555555539</c:v>
                </c:pt>
                <c:pt idx="119">
                  <c:v>0.81486839666666677</c:v>
                </c:pt>
                <c:pt idx="120">
                  <c:v>0.79670487444444427</c:v>
                </c:pt>
                <c:pt idx="121">
                  <c:v>0.80268706777777754</c:v>
                </c:pt>
                <c:pt idx="122">
                  <c:v>0.81044077111111135</c:v>
                </c:pt>
                <c:pt idx="123">
                  <c:v>0.81324085277777769</c:v>
                </c:pt>
                <c:pt idx="124">
                  <c:v>0.81020642166666645</c:v>
                </c:pt>
                <c:pt idx="125">
                  <c:v>0.81680973611111096</c:v>
                </c:pt>
                <c:pt idx="126">
                  <c:v>0.8557882705555554</c:v>
                </c:pt>
                <c:pt idx="127">
                  <c:v>0.8431028094444446</c:v>
                </c:pt>
                <c:pt idx="128">
                  <c:v>0.85285685722222238</c:v>
                </c:pt>
                <c:pt idx="129">
                  <c:v>0.84546500388888912</c:v>
                </c:pt>
                <c:pt idx="130">
                  <c:v>0.86156735166666654</c:v>
                </c:pt>
                <c:pt idx="131">
                  <c:v>0.86475425444444409</c:v>
                </c:pt>
                <c:pt idx="132">
                  <c:v>0.84278186722222204</c:v>
                </c:pt>
                <c:pt idx="133">
                  <c:v>0.85995635055555553</c:v>
                </c:pt>
                <c:pt idx="134">
                  <c:v>0.87267553388888885</c:v>
                </c:pt>
                <c:pt idx="135">
                  <c:v>0.87272768611111129</c:v>
                </c:pt>
                <c:pt idx="136">
                  <c:v>0.87834621777777766</c:v>
                </c:pt>
                <c:pt idx="137">
                  <c:v>0.87289950722222243</c:v>
                </c:pt>
                <c:pt idx="138">
                  <c:v>0.87644771666666688</c:v>
                </c:pt>
                <c:pt idx="139">
                  <c:v>0.86226716944444459</c:v>
                </c:pt>
                <c:pt idx="140">
                  <c:v>0.84195078333333306</c:v>
                </c:pt>
                <c:pt idx="141">
                  <c:v>0.85959177388888863</c:v>
                </c:pt>
                <c:pt idx="142">
                  <c:v>0.86492697222222215</c:v>
                </c:pt>
                <c:pt idx="143">
                  <c:v>0.84313583555555549</c:v>
                </c:pt>
                <c:pt idx="144">
                  <c:v>0.838620544444444</c:v>
                </c:pt>
                <c:pt idx="145">
                  <c:v>0.82463208999999971</c:v>
                </c:pt>
                <c:pt idx="146">
                  <c:v>0.82761539388888927</c:v>
                </c:pt>
                <c:pt idx="147">
                  <c:v>0.81385466611111101</c:v>
                </c:pt>
                <c:pt idx="148">
                  <c:v>0.80612036666666609</c:v>
                </c:pt>
                <c:pt idx="149">
                  <c:v>0.79668589666666711</c:v>
                </c:pt>
                <c:pt idx="150">
                  <c:v>0.80626587833333296</c:v>
                </c:pt>
                <c:pt idx="151">
                  <c:v>0.80573350444444436</c:v>
                </c:pt>
                <c:pt idx="152">
                  <c:v>0.84505683888888905</c:v>
                </c:pt>
                <c:pt idx="153">
                  <c:v>0.84280060388888944</c:v>
                </c:pt>
                <c:pt idx="154">
                  <c:v>0.84542833277777818</c:v>
                </c:pt>
                <c:pt idx="155">
                  <c:v>0.83405978999999997</c:v>
                </c:pt>
                <c:pt idx="156">
                  <c:v>0.83288418777777773</c:v>
                </c:pt>
                <c:pt idx="157">
                  <c:v>0.85412732833333338</c:v>
                </c:pt>
                <c:pt idx="158">
                  <c:v>0.86121121222222241</c:v>
                </c:pt>
                <c:pt idx="159">
                  <c:v>0.84261425888888875</c:v>
                </c:pt>
                <c:pt idx="160">
                  <c:v>0.82630515444444486</c:v>
                </c:pt>
                <c:pt idx="161">
                  <c:v>0.84745671611111117</c:v>
                </c:pt>
                <c:pt idx="162">
                  <c:v>0.8486174888888891</c:v>
                </c:pt>
                <c:pt idx="163">
                  <c:v>0.83835843944444421</c:v>
                </c:pt>
                <c:pt idx="164">
                  <c:v>0.81487275277777793</c:v>
                </c:pt>
                <c:pt idx="165">
                  <c:v>0.79315935777777791</c:v>
                </c:pt>
                <c:pt idx="166">
                  <c:v>0.79513415611111127</c:v>
                </c:pt>
                <c:pt idx="167">
                  <c:v>0.78751562333333336</c:v>
                </c:pt>
                <c:pt idx="168">
                  <c:v>0.80174757777777816</c:v>
                </c:pt>
                <c:pt idx="169">
                  <c:v>0.80325163499999996</c:v>
                </c:pt>
                <c:pt idx="170">
                  <c:v>0.83041818555555558</c:v>
                </c:pt>
                <c:pt idx="171">
                  <c:v>0.80473968944444463</c:v>
                </c:pt>
                <c:pt idx="172">
                  <c:v>0.80594429277777757</c:v>
                </c:pt>
                <c:pt idx="173">
                  <c:v>0.80204110833333353</c:v>
                </c:pt>
                <c:pt idx="174">
                  <c:v>0.80945348222222246</c:v>
                </c:pt>
                <c:pt idx="175">
                  <c:v>0.8274517188888888</c:v>
                </c:pt>
                <c:pt idx="176">
                  <c:v>0.83102297388888902</c:v>
                </c:pt>
                <c:pt idx="177">
                  <c:v>0.83240578500000018</c:v>
                </c:pt>
                <c:pt idx="178">
                  <c:v>0.8433283038888888</c:v>
                </c:pt>
                <c:pt idx="179">
                  <c:v>0.82397566388888843</c:v>
                </c:pt>
                <c:pt idx="180">
                  <c:v>0.82114735666666694</c:v>
                </c:pt>
                <c:pt idx="181">
                  <c:v>0.81990355722222197</c:v>
                </c:pt>
                <c:pt idx="182">
                  <c:v>0.82596479999999972</c:v>
                </c:pt>
                <c:pt idx="183">
                  <c:v>0.81253096277777814</c:v>
                </c:pt>
                <c:pt idx="184">
                  <c:v>0.80315415555555536</c:v>
                </c:pt>
                <c:pt idx="185">
                  <c:v>0.78236674000000006</c:v>
                </c:pt>
                <c:pt idx="186">
                  <c:v>0.7794180994444444</c:v>
                </c:pt>
                <c:pt idx="187">
                  <c:v>0.80340119666666643</c:v>
                </c:pt>
                <c:pt idx="188">
                  <c:v>0.81790758388888873</c:v>
                </c:pt>
                <c:pt idx="189">
                  <c:v>0.81933838055555563</c:v>
                </c:pt>
                <c:pt idx="190">
                  <c:v>0.81894364055555524</c:v>
                </c:pt>
                <c:pt idx="191">
                  <c:v>0.80806502999999974</c:v>
                </c:pt>
                <c:pt idx="192">
                  <c:v>0.81811342333333348</c:v>
                </c:pt>
                <c:pt idx="193">
                  <c:v>0.82479283555555538</c:v>
                </c:pt>
                <c:pt idx="194">
                  <c:v>0.82941007833333369</c:v>
                </c:pt>
                <c:pt idx="195">
                  <c:v>0.82708916611111094</c:v>
                </c:pt>
                <c:pt idx="196">
                  <c:v>0.82769890277777758</c:v>
                </c:pt>
                <c:pt idx="197">
                  <c:v>0.79544835333333319</c:v>
                </c:pt>
                <c:pt idx="198">
                  <c:v>0.78739553444444388</c:v>
                </c:pt>
                <c:pt idx="199">
                  <c:v>0.77071805111111102</c:v>
                </c:pt>
                <c:pt idx="200">
                  <c:v>0.77342086944444421</c:v>
                </c:pt>
                <c:pt idx="201">
                  <c:v>0.77061090777777708</c:v>
                </c:pt>
                <c:pt idx="202">
                  <c:v>0.77339093999999997</c:v>
                </c:pt>
                <c:pt idx="203">
                  <c:v>0.7724717916666668</c:v>
                </c:pt>
                <c:pt idx="204">
                  <c:v>0.76315148222222218</c:v>
                </c:pt>
                <c:pt idx="205">
                  <c:v>0.76885843777777818</c:v>
                </c:pt>
                <c:pt idx="206">
                  <c:v>0.78477814833333348</c:v>
                </c:pt>
                <c:pt idx="207">
                  <c:v>0.77821512833333328</c:v>
                </c:pt>
                <c:pt idx="208">
                  <c:v>0.78279625111111095</c:v>
                </c:pt>
                <c:pt idx="209">
                  <c:v>0.78350603166666644</c:v>
                </c:pt>
                <c:pt idx="210">
                  <c:v>0.77564446333333281</c:v>
                </c:pt>
                <c:pt idx="211">
                  <c:v>0.77323666833333304</c:v>
                </c:pt>
                <c:pt idx="212">
                  <c:v>0.78311431722222247</c:v>
                </c:pt>
                <c:pt idx="213">
                  <c:v>0.78772556000000016</c:v>
                </c:pt>
                <c:pt idx="214">
                  <c:v>0.79902825666666655</c:v>
                </c:pt>
                <c:pt idx="215">
                  <c:v>0.81399920944444482</c:v>
                </c:pt>
                <c:pt idx="216">
                  <c:v>0.810942526666667</c:v>
                </c:pt>
                <c:pt idx="217">
                  <c:v>0.7958935427777778</c:v>
                </c:pt>
                <c:pt idx="218">
                  <c:v>0.77759312111111101</c:v>
                </c:pt>
                <c:pt idx="219">
                  <c:v>0.77109998944444424</c:v>
                </c:pt>
                <c:pt idx="220">
                  <c:v>0.77094077277777795</c:v>
                </c:pt>
                <c:pt idx="221">
                  <c:v>0.7694307227777778</c:v>
                </c:pt>
                <c:pt idx="222">
                  <c:v>0.76280267222222209</c:v>
                </c:pt>
                <c:pt idx="223">
                  <c:v>0.77116327277777785</c:v>
                </c:pt>
                <c:pt idx="224">
                  <c:v>0.80452126333333274</c:v>
                </c:pt>
                <c:pt idx="225">
                  <c:v>0.78418877666666598</c:v>
                </c:pt>
                <c:pt idx="226">
                  <c:v>0.78500088777777755</c:v>
                </c:pt>
                <c:pt idx="227">
                  <c:v>0.7640740349999996</c:v>
                </c:pt>
                <c:pt idx="228">
                  <c:v>0.75470960777777807</c:v>
                </c:pt>
                <c:pt idx="229">
                  <c:v>0.77102606777777749</c:v>
                </c:pt>
                <c:pt idx="230">
                  <c:v>0.76149664277777751</c:v>
                </c:pt>
                <c:pt idx="231">
                  <c:v>0.74770892555555535</c:v>
                </c:pt>
                <c:pt idx="232">
                  <c:v>0.74855325555555585</c:v>
                </c:pt>
                <c:pt idx="233">
                  <c:v>0.7357139294444448</c:v>
                </c:pt>
                <c:pt idx="234">
                  <c:v>0.73793619444444447</c:v>
                </c:pt>
                <c:pt idx="235">
                  <c:v>0.73160610055555542</c:v>
                </c:pt>
                <c:pt idx="236">
                  <c:v>0.74514611111111118</c:v>
                </c:pt>
                <c:pt idx="237">
                  <c:v>0.7372562733333331</c:v>
                </c:pt>
                <c:pt idx="238">
                  <c:v>0.74101653999999995</c:v>
                </c:pt>
                <c:pt idx="239">
                  <c:v>0.72939075222222227</c:v>
                </c:pt>
                <c:pt idx="240">
                  <c:v>0.73654924444444436</c:v>
                </c:pt>
                <c:pt idx="241">
                  <c:v>0.73584183666666647</c:v>
                </c:pt>
                <c:pt idx="242">
                  <c:v>0.74123115055555533</c:v>
                </c:pt>
                <c:pt idx="243">
                  <c:v>0.74012439111111117</c:v>
                </c:pt>
                <c:pt idx="244">
                  <c:v>0.74964046277777741</c:v>
                </c:pt>
                <c:pt idx="245">
                  <c:v>0.74222831222222219</c:v>
                </c:pt>
                <c:pt idx="246">
                  <c:v>0.73391127055555561</c:v>
                </c:pt>
                <c:pt idx="247">
                  <c:v>0.75603065166666661</c:v>
                </c:pt>
                <c:pt idx="248">
                  <c:v>0.77449707277777757</c:v>
                </c:pt>
                <c:pt idx="249">
                  <c:v>0.79057140611111143</c:v>
                </c:pt>
                <c:pt idx="250">
                  <c:v>0.78869036166666651</c:v>
                </c:pt>
                <c:pt idx="251">
                  <c:v>0.79154187333333359</c:v>
                </c:pt>
                <c:pt idx="252">
                  <c:v>0.77931539277777784</c:v>
                </c:pt>
                <c:pt idx="253">
                  <c:v>0.7901938633333333</c:v>
                </c:pt>
                <c:pt idx="254">
                  <c:v>0.78443005333333293</c:v>
                </c:pt>
                <c:pt idx="255">
                  <c:v>0.76868248555555574</c:v>
                </c:pt>
                <c:pt idx="256">
                  <c:v>0.77953424388888859</c:v>
                </c:pt>
                <c:pt idx="257">
                  <c:v>0.77894581944444452</c:v>
                </c:pt>
                <c:pt idx="258">
                  <c:v>0.7819459972222218</c:v>
                </c:pt>
                <c:pt idx="259">
                  <c:v>0.80152097388888921</c:v>
                </c:pt>
                <c:pt idx="260">
                  <c:v>0.80332292833333308</c:v>
                </c:pt>
                <c:pt idx="261">
                  <c:v>0.80431770999999996</c:v>
                </c:pt>
                <c:pt idx="262">
                  <c:v>0.81013112166666723</c:v>
                </c:pt>
                <c:pt idx="263">
                  <c:v>0.80899844777777741</c:v>
                </c:pt>
                <c:pt idx="264">
                  <c:v>0.78792027222222227</c:v>
                </c:pt>
                <c:pt idx="265">
                  <c:v>0.79907033888888868</c:v>
                </c:pt>
                <c:pt idx="266">
                  <c:v>0.8005769850000003</c:v>
                </c:pt>
                <c:pt idx="267">
                  <c:v>0.80843456444444439</c:v>
                </c:pt>
                <c:pt idx="268">
                  <c:v>0.81275438777777831</c:v>
                </c:pt>
                <c:pt idx="269">
                  <c:v>0.82093054111111086</c:v>
                </c:pt>
                <c:pt idx="270">
                  <c:v>0.80837563499999976</c:v>
                </c:pt>
                <c:pt idx="271">
                  <c:v>0.81810023333333326</c:v>
                </c:pt>
                <c:pt idx="272">
                  <c:v>0.81427361555555522</c:v>
                </c:pt>
                <c:pt idx="273">
                  <c:v>0.82052022166666638</c:v>
                </c:pt>
                <c:pt idx="274">
                  <c:v>0.81062094944444474</c:v>
                </c:pt>
                <c:pt idx="275">
                  <c:v>0.81310878277777798</c:v>
                </c:pt>
                <c:pt idx="276">
                  <c:v>0.82533545777777784</c:v>
                </c:pt>
                <c:pt idx="277">
                  <c:v>0.81773357722222195</c:v>
                </c:pt>
                <c:pt idx="278">
                  <c:v>0.82045530777777764</c:v>
                </c:pt>
                <c:pt idx="279">
                  <c:v>0.80601693944444441</c:v>
                </c:pt>
                <c:pt idx="280">
                  <c:v>0.79665320833333375</c:v>
                </c:pt>
                <c:pt idx="281">
                  <c:v>0.85577908999999996</c:v>
                </c:pt>
                <c:pt idx="282">
                  <c:v>0.85826422888888854</c:v>
                </c:pt>
                <c:pt idx="283">
                  <c:v>0.83182855611111151</c:v>
                </c:pt>
                <c:pt idx="284">
                  <c:v>0.81546128833333387</c:v>
                </c:pt>
                <c:pt idx="285">
                  <c:v>0.8205424988888893</c:v>
                </c:pt>
                <c:pt idx="286">
                  <c:v>0.8095222638888887</c:v>
                </c:pt>
                <c:pt idx="287">
                  <c:v>0.80054569666666608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211-4B35-8CA6-8CA88969046F}"/>
            </c:ext>
          </c:extLst>
        </c:ser>
        <c:ser>
          <c:idx val="5"/>
          <c:order val="5"/>
          <c:tx>
            <c:v>99% (нижняя)</c:v>
          </c:tx>
          <c:spPr>
            <a:ln w="9525">
              <a:solidFill>
                <a:srgbClr val="C0C9E2"/>
              </a:solidFill>
              <a:prstDash val="solid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Данные!$CG$2:$CG$289</c:f>
              <c:numCache>
                <c:formatCode>General</c:formatCode>
                <c:ptCount val="288"/>
                <c:pt idx="0">
                  <c:v>0.49855978738888884</c:v>
                </c:pt>
                <c:pt idx="1">
                  <c:v>0.49083882322222205</c:v>
                </c:pt>
                <c:pt idx="2">
                  <c:v>0.52118761716666662</c:v>
                </c:pt>
                <c:pt idx="3">
                  <c:v>0.52821156833333283</c:v>
                </c:pt>
                <c:pt idx="4">
                  <c:v>0.53719498833333268</c:v>
                </c:pt>
                <c:pt idx="5">
                  <c:v>0.54631517572222221</c:v>
                </c:pt>
                <c:pt idx="6">
                  <c:v>0.58018623599999986</c:v>
                </c:pt>
                <c:pt idx="7">
                  <c:v>0.52820493172222238</c:v>
                </c:pt>
                <c:pt idx="8">
                  <c:v>0.553894507222222</c:v>
                </c:pt>
                <c:pt idx="9">
                  <c:v>0.53475610638888882</c:v>
                </c:pt>
                <c:pt idx="10">
                  <c:v>0.52350651605555532</c:v>
                </c:pt>
                <c:pt idx="11">
                  <c:v>0.51896321655555555</c:v>
                </c:pt>
                <c:pt idx="12">
                  <c:v>0.48811124983333293</c:v>
                </c:pt>
                <c:pt idx="13">
                  <c:v>0.49535592572222231</c:v>
                </c:pt>
                <c:pt idx="14">
                  <c:v>0.51136765088888869</c:v>
                </c:pt>
                <c:pt idx="15">
                  <c:v>0.47980713066666675</c:v>
                </c:pt>
                <c:pt idx="16">
                  <c:v>0.45450347838888866</c:v>
                </c:pt>
                <c:pt idx="17">
                  <c:v>0.4521321322777776</c:v>
                </c:pt>
                <c:pt idx="18">
                  <c:v>0.45326599705555509</c:v>
                </c:pt>
                <c:pt idx="19">
                  <c:v>0.4608917302222223</c:v>
                </c:pt>
                <c:pt idx="20">
                  <c:v>0.46781748483333319</c:v>
                </c:pt>
                <c:pt idx="21">
                  <c:v>0.4608452203888892</c:v>
                </c:pt>
                <c:pt idx="22">
                  <c:v>0.46812431355555539</c:v>
                </c:pt>
                <c:pt idx="23">
                  <c:v>0.45871599555555559</c:v>
                </c:pt>
                <c:pt idx="24">
                  <c:v>0.48680210866666612</c:v>
                </c:pt>
                <c:pt idx="25">
                  <c:v>0.48965911372222215</c:v>
                </c:pt>
                <c:pt idx="26">
                  <c:v>0.49819569805555541</c:v>
                </c:pt>
                <c:pt idx="27">
                  <c:v>0.5028575993333334</c:v>
                </c:pt>
                <c:pt idx="28">
                  <c:v>0.51706930555555541</c:v>
                </c:pt>
                <c:pt idx="29">
                  <c:v>0.51809531233333317</c:v>
                </c:pt>
                <c:pt idx="30">
                  <c:v>0.50267228905555572</c:v>
                </c:pt>
                <c:pt idx="31">
                  <c:v>0.49961748588888927</c:v>
                </c:pt>
                <c:pt idx="32">
                  <c:v>0.49998307627777799</c:v>
                </c:pt>
                <c:pt idx="33">
                  <c:v>0.49273149444444425</c:v>
                </c:pt>
                <c:pt idx="34">
                  <c:v>0.49561715288888869</c:v>
                </c:pt>
                <c:pt idx="35">
                  <c:v>0.48306132288888876</c:v>
                </c:pt>
                <c:pt idx="36">
                  <c:v>0.4610994575555557</c:v>
                </c:pt>
                <c:pt idx="37">
                  <c:v>0.46451156911111108</c:v>
                </c:pt>
                <c:pt idx="38">
                  <c:v>0.4645135043333336</c:v>
                </c:pt>
                <c:pt idx="39">
                  <c:v>0.47227652249999996</c:v>
                </c:pt>
                <c:pt idx="40">
                  <c:v>0.46838175044444413</c:v>
                </c:pt>
                <c:pt idx="41">
                  <c:v>0.44449709722222241</c:v>
                </c:pt>
                <c:pt idx="42">
                  <c:v>0.43171163961111142</c:v>
                </c:pt>
                <c:pt idx="43">
                  <c:v>0.42807618322222213</c:v>
                </c:pt>
                <c:pt idx="44">
                  <c:v>0.43646522233333296</c:v>
                </c:pt>
                <c:pt idx="45">
                  <c:v>0.44034394788888886</c:v>
                </c:pt>
                <c:pt idx="46">
                  <c:v>0.44057995583333315</c:v>
                </c:pt>
                <c:pt idx="47">
                  <c:v>0.43849348866666699</c:v>
                </c:pt>
                <c:pt idx="48">
                  <c:v>0.43532009099999991</c:v>
                </c:pt>
                <c:pt idx="49">
                  <c:v>0.42971022427777794</c:v>
                </c:pt>
                <c:pt idx="50">
                  <c:v>0.43779347577777783</c:v>
                </c:pt>
                <c:pt idx="51">
                  <c:v>0.4214283561666668</c:v>
                </c:pt>
                <c:pt idx="52">
                  <c:v>0.42539452538888872</c:v>
                </c:pt>
                <c:pt idx="53">
                  <c:v>0.42554791627777799</c:v>
                </c:pt>
                <c:pt idx="54">
                  <c:v>0.42553339133333307</c:v>
                </c:pt>
                <c:pt idx="55">
                  <c:v>0.42787924933333304</c:v>
                </c:pt>
                <c:pt idx="56">
                  <c:v>0.42004045377777793</c:v>
                </c:pt>
                <c:pt idx="57">
                  <c:v>0.41865994005555512</c:v>
                </c:pt>
                <c:pt idx="58">
                  <c:v>0.40877934766666657</c:v>
                </c:pt>
                <c:pt idx="59">
                  <c:v>0.40201116555555533</c:v>
                </c:pt>
                <c:pt idx="60">
                  <c:v>0.38400408161111077</c:v>
                </c:pt>
                <c:pt idx="61">
                  <c:v>0.38643465716666653</c:v>
                </c:pt>
                <c:pt idx="62">
                  <c:v>0.38785901088888902</c:v>
                </c:pt>
                <c:pt idx="63">
                  <c:v>0.3891978877222218</c:v>
                </c:pt>
                <c:pt idx="64">
                  <c:v>0.4025373513333334</c:v>
                </c:pt>
                <c:pt idx="65">
                  <c:v>0.38873634138888885</c:v>
                </c:pt>
                <c:pt idx="66">
                  <c:v>0.41159125955555526</c:v>
                </c:pt>
                <c:pt idx="67">
                  <c:v>0.41401109766666683</c:v>
                </c:pt>
                <c:pt idx="68">
                  <c:v>0.41674929772222274</c:v>
                </c:pt>
                <c:pt idx="69">
                  <c:v>0.39233687733333317</c:v>
                </c:pt>
                <c:pt idx="70">
                  <c:v>0.40055850894444422</c:v>
                </c:pt>
                <c:pt idx="71">
                  <c:v>0.381464649111111</c:v>
                </c:pt>
                <c:pt idx="72">
                  <c:v>0.38810320611111093</c:v>
                </c:pt>
                <c:pt idx="73">
                  <c:v>0.39985893788888915</c:v>
                </c:pt>
                <c:pt idx="74">
                  <c:v>0.42786138788888911</c:v>
                </c:pt>
                <c:pt idx="75">
                  <c:v>0.44148841622222246</c:v>
                </c:pt>
                <c:pt idx="76">
                  <c:v>0.44899382200000004</c:v>
                </c:pt>
                <c:pt idx="77">
                  <c:v>0.4493711597222218</c:v>
                </c:pt>
                <c:pt idx="78">
                  <c:v>0.44172266155555523</c:v>
                </c:pt>
                <c:pt idx="79">
                  <c:v>0.43771251988888887</c:v>
                </c:pt>
                <c:pt idx="80">
                  <c:v>0.48121232844444423</c:v>
                </c:pt>
                <c:pt idx="81">
                  <c:v>0.46229313583333353</c:v>
                </c:pt>
                <c:pt idx="82">
                  <c:v>0.45867496538888886</c:v>
                </c:pt>
                <c:pt idx="83">
                  <c:v>0.43925440049999998</c:v>
                </c:pt>
                <c:pt idx="84">
                  <c:v>0.42547781038888871</c:v>
                </c:pt>
                <c:pt idx="85">
                  <c:v>0.43059039438888913</c:v>
                </c:pt>
                <c:pt idx="86">
                  <c:v>0.43381627499999981</c:v>
                </c:pt>
                <c:pt idx="87">
                  <c:v>0.41971604344444435</c:v>
                </c:pt>
                <c:pt idx="88">
                  <c:v>0.42709576427777757</c:v>
                </c:pt>
                <c:pt idx="89">
                  <c:v>0.42045339366666667</c:v>
                </c:pt>
                <c:pt idx="90">
                  <c:v>0.43182795999999962</c:v>
                </c:pt>
                <c:pt idx="91">
                  <c:v>0.42604004655555522</c:v>
                </c:pt>
                <c:pt idx="92">
                  <c:v>0.42866019305555531</c:v>
                </c:pt>
                <c:pt idx="93">
                  <c:v>0.42154968411111104</c:v>
                </c:pt>
                <c:pt idx="94">
                  <c:v>0.42752501044444396</c:v>
                </c:pt>
                <c:pt idx="95">
                  <c:v>0.42627312049999999</c:v>
                </c:pt>
                <c:pt idx="96">
                  <c:v>0.40202411711111141</c:v>
                </c:pt>
                <c:pt idx="97">
                  <c:v>0.4149571667222226</c:v>
                </c:pt>
                <c:pt idx="98">
                  <c:v>0.41177261711111107</c:v>
                </c:pt>
                <c:pt idx="99">
                  <c:v>0.42200116299999962</c:v>
                </c:pt>
                <c:pt idx="100">
                  <c:v>0.41434911027777765</c:v>
                </c:pt>
                <c:pt idx="101">
                  <c:v>0.42533880449999956</c:v>
                </c:pt>
                <c:pt idx="102">
                  <c:v>0.42339805049999996</c:v>
                </c:pt>
                <c:pt idx="103">
                  <c:v>0.43031572555555553</c:v>
                </c:pt>
                <c:pt idx="104">
                  <c:v>0.43652063427777771</c:v>
                </c:pt>
                <c:pt idx="105">
                  <c:v>0.42719379311111122</c:v>
                </c:pt>
                <c:pt idx="106">
                  <c:v>0.44544285216666685</c:v>
                </c:pt>
                <c:pt idx="107">
                  <c:v>0.43758826211111135</c:v>
                </c:pt>
                <c:pt idx="108">
                  <c:v>0.43181483433333323</c:v>
                </c:pt>
                <c:pt idx="109">
                  <c:v>0.43509001772222228</c:v>
                </c:pt>
                <c:pt idx="110">
                  <c:v>0.43614667149999969</c:v>
                </c:pt>
                <c:pt idx="111">
                  <c:v>0.43661365999999996</c:v>
                </c:pt>
                <c:pt idx="112">
                  <c:v>0.39007750122222234</c:v>
                </c:pt>
                <c:pt idx="113">
                  <c:v>0.3707078345</c:v>
                </c:pt>
                <c:pt idx="114">
                  <c:v>0.35881651105555529</c:v>
                </c:pt>
                <c:pt idx="115">
                  <c:v>0.37483479238888839</c:v>
                </c:pt>
                <c:pt idx="116">
                  <c:v>0.37164057322222227</c:v>
                </c:pt>
                <c:pt idx="117">
                  <c:v>0.38044792777777758</c:v>
                </c:pt>
                <c:pt idx="118">
                  <c:v>0.37745686183333388</c:v>
                </c:pt>
                <c:pt idx="119">
                  <c:v>0.36701505927777783</c:v>
                </c:pt>
                <c:pt idx="120">
                  <c:v>0.38033560522222221</c:v>
                </c:pt>
                <c:pt idx="121">
                  <c:v>0.41542824955555596</c:v>
                </c:pt>
                <c:pt idx="122">
                  <c:v>0.43209038083333356</c:v>
                </c:pt>
                <c:pt idx="123">
                  <c:v>0.43503473616666727</c:v>
                </c:pt>
                <c:pt idx="124">
                  <c:v>0.42824859616666677</c:v>
                </c:pt>
                <c:pt idx="125">
                  <c:v>0.42424286872222211</c:v>
                </c:pt>
                <c:pt idx="126">
                  <c:v>0.4552888977222222</c:v>
                </c:pt>
                <c:pt idx="127">
                  <c:v>0.4958351905555558</c:v>
                </c:pt>
                <c:pt idx="128">
                  <c:v>0.49322440366666676</c:v>
                </c:pt>
                <c:pt idx="129">
                  <c:v>0.48521468622222197</c:v>
                </c:pt>
                <c:pt idx="130">
                  <c:v>0.52655133500000006</c:v>
                </c:pt>
                <c:pt idx="131">
                  <c:v>0.52568738066666654</c:v>
                </c:pt>
                <c:pt idx="132">
                  <c:v>0.51495104672222258</c:v>
                </c:pt>
                <c:pt idx="133">
                  <c:v>0.5685766815555553</c:v>
                </c:pt>
                <c:pt idx="134">
                  <c:v>0.57972847038888908</c:v>
                </c:pt>
                <c:pt idx="135">
                  <c:v>0.55891182716666721</c:v>
                </c:pt>
                <c:pt idx="136">
                  <c:v>0.56377595244444456</c:v>
                </c:pt>
                <c:pt idx="137">
                  <c:v>0.54817817916666689</c:v>
                </c:pt>
                <c:pt idx="138">
                  <c:v>0.5646070397222217</c:v>
                </c:pt>
                <c:pt idx="139">
                  <c:v>0.57633306955555574</c:v>
                </c:pt>
                <c:pt idx="140">
                  <c:v>0.5418949862777781</c:v>
                </c:pt>
                <c:pt idx="141">
                  <c:v>0.54929229955555581</c:v>
                </c:pt>
                <c:pt idx="142">
                  <c:v>0.5301030733333334</c:v>
                </c:pt>
                <c:pt idx="143">
                  <c:v>0.53480647477777776</c:v>
                </c:pt>
                <c:pt idx="144">
                  <c:v>0.5289593367222224</c:v>
                </c:pt>
                <c:pt idx="145">
                  <c:v>0.51872514183333351</c:v>
                </c:pt>
                <c:pt idx="146">
                  <c:v>0.52528564433333369</c:v>
                </c:pt>
                <c:pt idx="147">
                  <c:v>0.5000124058333334</c:v>
                </c:pt>
                <c:pt idx="148">
                  <c:v>0.48970897627777804</c:v>
                </c:pt>
                <c:pt idx="149">
                  <c:v>0.49344044177777807</c:v>
                </c:pt>
                <c:pt idx="150">
                  <c:v>0.49637704638888863</c:v>
                </c:pt>
                <c:pt idx="151">
                  <c:v>0.49041376261111114</c:v>
                </c:pt>
                <c:pt idx="152">
                  <c:v>0.52096090416666685</c:v>
                </c:pt>
                <c:pt idx="153">
                  <c:v>0.52318715722222264</c:v>
                </c:pt>
                <c:pt idx="154">
                  <c:v>0.51550750588888872</c:v>
                </c:pt>
                <c:pt idx="155">
                  <c:v>0.50604057883333342</c:v>
                </c:pt>
                <c:pt idx="156">
                  <c:v>0.52103038505555588</c:v>
                </c:pt>
                <c:pt idx="157">
                  <c:v>0.54151098666666686</c:v>
                </c:pt>
                <c:pt idx="158">
                  <c:v>0.52568108416666659</c:v>
                </c:pt>
                <c:pt idx="159">
                  <c:v>0.52952261916666732</c:v>
                </c:pt>
                <c:pt idx="160">
                  <c:v>0.52419882372222193</c:v>
                </c:pt>
                <c:pt idx="161">
                  <c:v>0.52639010849999979</c:v>
                </c:pt>
                <c:pt idx="162">
                  <c:v>0.5216849600000002</c:v>
                </c:pt>
                <c:pt idx="163">
                  <c:v>0.52669143122222251</c:v>
                </c:pt>
                <c:pt idx="164">
                  <c:v>0.51991769266666688</c:v>
                </c:pt>
                <c:pt idx="165">
                  <c:v>0.52294444066666645</c:v>
                </c:pt>
                <c:pt idx="166">
                  <c:v>0.51224772627777804</c:v>
                </c:pt>
                <c:pt idx="167">
                  <c:v>0.51571952722222214</c:v>
                </c:pt>
                <c:pt idx="168">
                  <c:v>0.52946876327777748</c:v>
                </c:pt>
                <c:pt idx="169">
                  <c:v>0.52675159616666645</c:v>
                </c:pt>
                <c:pt idx="170">
                  <c:v>0.54077208899999973</c:v>
                </c:pt>
                <c:pt idx="171">
                  <c:v>0.53548498427777758</c:v>
                </c:pt>
                <c:pt idx="172">
                  <c:v>0.54763346183333361</c:v>
                </c:pt>
                <c:pt idx="173">
                  <c:v>0.5411435152777776</c:v>
                </c:pt>
                <c:pt idx="174">
                  <c:v>0.54567479505555516</c:v>
                </c:pt>
                <c:pt idx="175">
                  <c:v>0.50467062655555517</c:v>
                </c:pt>
                <c:pt idx="176">
                  <c:v>0.48841686161111103</c:v>
                </c:pt>
                <c:pt idx="177">
                  <c:v>0.49414206855555554</c:v>
                </c:pt>
                <c:pt idx="178">
                  <c:v>0.4914693106111111</c:v>
                </c:pt>
                <c:pt idx="179">
                  <c:v>0.49829399433333371</c:v>
                </c:pt>
                <c:pt idx="180">
                  <c:v>0.50051526327777784</c:v>
                </c:pt>
                <c:pt idx="181">
                  <c:v>0.49778043355555535</c:v>
                </c:pt>
                <c:pt idx="182">
                  <c:v>0.50021949366666685</c:v>
                </c:pt>
                <c:pt idx="183">
                  <c:v>0.49831447044444455</c:v>
                </c:pt>
                <c:pt idx="184">
                  <c:v>0.48258007772222178</c:v>
                </c:pt>
                <c:pt idx="185">
                  <c:v>0.46096970872222237</c:v>
                </c:pt>
                <c:pt idx="186">
                  <c:v>0.46904127155555547</c:v>
                </c:pt>
                <c:pt idx="187">
                  <c:v>0.50380093044444496</c:v>
                </c:pt>
                <c:pt idx="188">
                  <c:v>0.52622653850000034</c:v>
                </c:pt>
                <c:pt idx="189">
                  <c:v>0.52522629522222242</c:v>
                </c:pt>
                <c:pt idx="190">
                  <c:v>0.51944125766666704</c:v>
                </c:pt>
                <c:pt idx="191">
                  <c:v>0.50851176938888876</c:v>
                </c:pt>
                <c:pt idx="192">
                  <c:v>0.50131928249999969</c:v>
                </c:pt>
                <c:pt idx="193">
                  <c:v>0.48902602649999971</c:v>
                </c:pt>
                <c:pt idx="194">
                  <c:v>0.50971927205555589</c:v>
                </c:pt>
                <c:pt idx="195">
                  <c:v>0.51717885361111049</c:v>
                </c:pt>
                <c:pt idx="196">
                  <c:v>0.52960844827777809</c:v>
                </c:pt>
                <c:pt idx="197">
                  <c:v>0.52458888599999987</c:v>
                </c:pt>
                <c:pt idx="198">
                  <c:v>0.51267467566666647</c:v>
                </c:pt>
                <c:pt idx="199">
                  <c:v>0.50771592338888849</c:v>
                </c:pt>
                <c:pt idx="200">
                  <c:v>0.51023770088888853</c:v>
                </c:pt>
                <c:pt idx="201">
                  <c:v>0.53296214377777773</c:v>
                </c:pt>
                <c:pt idx="202">
                  <c:v>0.54361332372222204</c:v>
                </c:pt>
                <c:pt idx="203">
                  <c:v>0.53603354144444437</c:v>
                </c:pt>
                <c:pt idx="204">
                  <c:v>0.54191810722222244</c:v>
                </c:pt>
                <c:pt idx="205">
                  <c:v>0.52548905811111069</c:v>
                </c:pt>
                <c:pt idx="206">
                  <c:v>0.50487285977777807</c:v>
                </c:pt>
                <c:pt idx="207">
                  <c:v>0.50795292588888852</c:v>
                </c:pt>
                <c:pt idx="208">
                  <c:v>0.49981421094444461</c:v>
                </c:pt>
                <c:pt idx="209">
                  <c:v>0.47651606433333321</c:v>
                </c:pt>
                <c:pt idx="210">
                  <c:v>0.48204371811111107</c:v>
                </c:pt>
                <c:pt idx="211">
                  <c:v>0.47332598838888923</c:v>
                </c:pt>
                <c:pt idx="212">
                  <c:v>0.47121629066666687</c:v>
                </c:pt>
                <c:pt idx="213">
                  <c:v>0.48180725088888904</c:v>
                </c:pt>
                <c:pt idx="214">
                  <c:v>0.48895336477777768</c:v>
                </c:pt>
                <c:pt idx="215">
                  <c:v>0.50584346094444421</c:v>
                </c:pt>
                <c:pt idx="216">
                  <c:v>0.48678461855555544</c:v>
                </c:pt>
                <c:pt idx="217">
                  <c:v>0.49211390055555571</c:v>
                </c:pt>
                <c:pt idx="218">
                  <c:v>0.49818361116666682</c:v>
                </c:pt>
                <c:pt idx="219">
                  <c:v>0.46514129977777735</c:v>
                </c:pt>
                <c:pt idx="220">
                  <c:v>0.46489435872222201</c:v>
                </c:pt>
                <c:pt idx="221">
                  <c:v>0.46371649977777818</c:v>
                </c:pt>
                <c:pt idx="222">
                  <c:v>0.48187340155555558</c:v>
                </c:pt>
                <c:pt idx="223">
                  <c:v>0.47928985194444401</c:v>
                </c:pt>
                <c:pt idx="224">
                  <c:v>0.51209081938888867</c:v>
                </c:pt>
                <c:pt idx="225">
                  <c:v>0.50923500205555527</c:v>
                </c:pt>
                <c:pt idx="226">
                  <c:v>0.47382455505555543</c:v>
                </c:pt>
                <c:pt idx="227">
                  <c:v>0.45026088466666653</c:v>
                </c:pt>
                <c:pt idx="228">
                  <c:v>0.45828681349999989</c:v>
                </c:pt>
                <c:pt idx="229">
                  <c:v>0.46301681149999996</c:v>
                </c:pt>
                <c:pt idx="230">
                  <c:v>0.47055781377777778</c:v>
                </c:pt>
                <c:pt idx="231">
                  <c:v>0.46058335500000036</c:v>
                </c:pt>
                <c:pt idx="232">
                  <c:v>0.45966801811111146</c:v>
                </c:pt>
                <c:pt idx="233">
                  <c:v>0.45333425683333312</c:v>
                </c:pt>
                <c:pt idx="234">
                  <c:v>0.44711784411111116</c:v>
                </c:pt>
                <c:pt idx="235">
                  <c:v>0.44643424055555592</c:v>
                </c:pt>
                <c:pt idx="236">
                  <c:v>0.45554480988888885</c:v>
                </c:pt>
                <c:pt idx="237">
                  <c:v>0.46347478905555545</c:v>
                </c:pt>
                <c:pt idx="238">
                  <c:v>0.46271782233333364</c:v>
                </c:pt>
                <c:pt idx="239">
                  <c:v>0.43607646183333326</c:v>
                </c:pt>
                <c:pt idx="240">
                  <c:v>0.44232488088888899</c:v>
                </c:pt>
                <c:pt idx="241">
                  <c:v>0.43147840072222216</c:v>
                </c:pt>
                <c:pt idx="242">
                  <c:v>0.43285178272222219</c:v>
                </c:pt>
                <c:pt idx="243">
                  <c:v>0.44170174244444477</c:v>
                </c:pt>
                <c:pt idx="244">
                  <c:v>0.44253104788888897</c:v>
                </c:pt>
                <c:pt idx="245">
                  <c:v>0.43856374149999983</c:v>
                </c:pt>
                <c:pt idx="246">
                  <c:v>0.43885223633333287</c:v>
                </c:pt>
                <c:pt idx="247">
                  <c:v>0.43909920899999966</c:v>
                </c:pt>
                <c:pt idx="248">
                  <c:v>0.45139925888888893</c:v>
                </c:pt>
                <c:pt idx="249">
                  <c:v>0.4546463991666666</c:v>
                </c:pt>
                <c:pt idx="250">
                  <c:v>0.44451046044444442</c:v>
                </c:pt>
                <c:pt idx="251">
                  <c:v>0.45808779466666694</c:v>
                </c:pt>
                <c:pt idx="252">
                  <c:v>0.45384658677777739</c:v>
                </c:pt>
                <c:pt idx="253">
                  <c:v>0.46894696911111139</c:v>
                </c:pt>
                <c:pt idx="254">
                  <c:v>0.46885795255555546</c:v>
                </c:pt>
                <c:pt idx="255">
                  <c:v>0.41385711827777749</c:v>
                </c:pt>
                <c:pt idx="256">
                  <c:v>0.42395992772222235</c:v>
                </c:pt>
                <c:pt idx="257">
                  <c:v>0.41707125250000021</c:v>
                </c:pt>
                <c:pt idx="258">
                  <c:v>0.44047173122222283</c:v>
                </c:pt>
                <c:pt idx="259">
                  <c:v>0.43514890883333285</c:v>
                </c:pt>
                <c:pt idx="260">
                  <c:v>0.43537913161111069</c:v>
                </c:pt>
                <c:pt idx="261">
                  <c:v>0.44369632122222263</c:v>
                </c:pt>
                <c:pt idx="262">
                  <c:v>0.45624986083333352</c:v>
                </c:pt>
                <c:pt idx="263">
                  <c:v>0.45212805149999985</c:v>
                </c:pt>
                <c:pt idx="264">
                  <c:v>0.43503192055555551</c:v>
                </c:pt>
                <c:pt idx="265">
                  <c:v>0.43845461772222188</c:v>
                </c:pt>
                <c:pt idx="266">
                  <c:v>0.44210921900000055</c:v>
                </c:pt>
                <c:pt idx="267">
                  <c:v>0.5076381550000002</c:v>
                </c:pt>
                <c:pt idx="268">
                  <c:v>0.54639012983333302</c:v>
                </c:pt>
                <c:pt idx="269">
                  <c:v>0.55394043838888896</c:v>
                </c:pt>
                <c:pt idx="270">
                  <c:v>0.553023167166667</c:v>
                </c:pt>
                <c:pt idx="271">
                  <c:v>0.55434975111111118</c:v>
                </c:pt>
                <c:pt idx="272">
                  <c:v>0.55175145399999992</c:v>
                </c:pt>
                <c:pt idx="273">
                  <c:v>0.55406865105555581</c:v>
                </c:pt>
                <c:pt idx="274">
                  <c:v>0.57067957661111146</c:v>
                </c:pt>
                <c:pt idx="275">
                  <c:v>0.57281358977777808</c:v>
                </c:pt>
                <c:pt idx="276">
                  <c:v>0.5761293489444439</c:v>
                </c:pt>
                <c:pt idx="277">
                  <c:v>0.59312214350000003</c:v>
                </c:pt>
                <c:pt idx="278">
                  <c:v>0.59134568477777827</c:v>
                </c:pt>
                <c:pt idx="279">
                  <c:v>0.58760875011111113</c:v>
                </c:pt>
                <c:pt idx="280">
                  <c:v>0.58285034633333366</c:v>
                </c:pt>
                <c:pt idx="281">
                  <c:v>0.57046009205555581</c:v>
                </c:pt>
                <c:pt idx="282">
                  <c:v>0.56748863733333321</c:v>
                </c:pt>
                <c:pt idx="283">
                  <c:v>0.57477694161111081</c:v>
                </c:pt>
                <c:pt idx="284">
                  <c:v>0.55786584033333353</c:v>
                </c:pt>
                <c:pt idx="285">
                  <c:v>0.54938059661111094</c:v>
                </c:pt>
                <c:pt idx="286">
                  <c:v>0.52763841688888868</c:v>
                </c:pt>
                <c:pt idx="287">
                  <c:v>0.53839897205555587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211-4B35-8CA6-8CA88969046F}"/>
            </c:ext>
          </c:extLst>
        </c:ser>
        <c:ser>
          <c:idx val="6"/>
          <c:order val="6"/>
          <c:tx>
            <c:v>99% (верхняя)</c:v>
          </c:tx>
          <c:spPr>
            <a:ln w="9525">
              <a:solidFill>
                <a:srgbClr val="C0C9E2"/>
              </a:solidFill>
              <a:prstDash val="solid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Данные!$CH$2:$CH$289</c:f>
              <c:numCache>
                <c:formatCode>General</c:formatCode>
                <c:ptCount val="288"/>
                <c:pt idx="0">
                  <c:v>0.81780037444444431</c:v>
                </c:pt>
                <c:pt idx="1">
                  <c:v>0.83462656450000028</c:v>
                </c:pt>
                <c:pt idx="2">
                  <c:v>0.8425248659444442</c:v>
                </c:pt>
                <c:pt idx="3">
                  <c:v>0.83211590100000044</c:v>
                </c:pt>
                <c:pt idx="4">
                  <c:v>0.8278546961666664</c:v>
                </c:pt>
                <c:pt idx="5">
                  <c:v>0.81909851444444459</c:v>
                </c:pt>
                <c:pt idx="6">
                  <c:v>0.81819538388888879</c:v>
                </c:pt>
                <c:pt idx="7">
                  <c:v>0.82535822472222264</c:v>
                </c:pt>
                <c:pt idx="8">
                  <c:v>0.87906837977777708</c:v>
                </c:pt>
                <c:pt idx="9">
                  <c:v>0.86662611761111108</c:v>
                </c:pt>
                <c:pt idx="10">
                  <c:v>0.86696662738888886</c:v>
                </c:pt>
                <c:pt idx="11">
                  <c:v>0.85284419883333307</c:v>
                </c:pt>
                <c:pt idx="12">
                  <c:v>0.85595196338888857</c:v>
                </c:pt>
                <c:pt idx="13">
                  <c:v>0.8585935517222224</c:v>
                </c:pt>
                <c:pt idx="14">
                  <c:v>0.85289096611111204</c:v>
                </c:pt>
                <c:pt idx="15">
                  <c:v>0.82708346644444408</c:v>
                </c:pt>
                <c:pt idx="16">
                  <c:v>0.82514802105555585</c:v>
                </c:pt>
                <c:pt idx="17">
                  <c:v>0.81154988455555577</c:v>
                </c:pt>
                <c:pt idx="18">
                  <c:v>0.83394137549999992</c:v>
                </c:pt>
                <c:pt idx="19">
                  <c:v>0.83094240277777864</c:v>
                </c:pt>
                <c:pt idx="20">
                  <c:v>0.8319944543888893</c:v>
                </c:pt>
                <c:pt idx="21">
                  <c:v>0.83775726672222239</c:v>
                </c:pt>
                <c:pt idx="22">
                  <c:v>0.84433813144444381</c:v>
                </c:pt>
                <c:pt idx="23">
                  <c:v>0.82883413972222242</c:v>
                </c:pt>
                <c:pt idx="24">
                  <c:v>0.83153862555555558</c:v>
                </c:pt>
                <c:pt idx="25">
                  <c:v>0.8290723191666669</c:v>
                </c:pt>
                <c:pt idx="26">
                  <c:v>0.8394482173333333</c:v>
                </c:pt>
                <c:pt idx="27">
                  <c:v>0.84747901377777812</c:v>
                </c:pt>
                <c:pt idx="28">
                  <c:v>0.85454168516666684</c:v>
                </c:pt>
                <c:pt idx="29">
                  <c:v>0.83514567027777775</c:v>
                </c:pt>
                <c:pt idx="30">
                  <c:v>0.83466329577777776</c:v>
                </c:pt>
                <c:pt idx="31">
                  <c:v>0.82944063472222174</c:v>
                </c:pt>
                <c:pt idx="32">
                  <c:v>0.83036339799999948</c:v>
                </c:pt>
                <c:pt idx="33">
                  <c:v>0.82880875033333357</c:v>
                </c:pt>
                <c:pt idx="34">
                  <c:v>0.82866974005555549</c:v>
                </c:pt>
                <c:pt idx="35">
                  <c:v>0.83003243838888863</c:v>
                </c:pt>
                <c:pt idx="36">
                  <c:v>0.84097252277777812</c:v>
                </c:pt>
                <c:pt idx="37">
                  <c:v>0.82925441583333304</c:v>
                </c:pt>
                <c:pt idx="38">
                  <c:v>0.82329223761111092</c:v>
                </c:pt>
                <c:pt idx="39">
                  <c:v>0.82545194983333325</c:v>
                </c:pt>
                <c:pt idx="40">
                  <c:v>0.84249482511111151</c:v>
                </c:pt>
                <c:pt idx="41">
                  <c:v>0.83847572255555614</c:v>
                </c:pt>
                <c:pt idx="42">
                  <c:v>0.82143471622222264</c:v>
                </c:pt>
                <c:pt idx="43">
                  <c:v>0.81246009977777789</c:v>
                </c:pt>
                <c:pt idx="44">
                  <c:v>0.85270576233333362</c:v>
                </c:pt>
                <c:pt idx="45">
                  <c:v>0.85033753683333335</c:v>
                </c:pt>
                <c:pt idx="46">
                  <c:v>0.88224606555555574</c:v>
                </c:pt>
                <c:pt idx="47">
                  <c:v>0.87526334622222202</c:v>
                </c:pt>
                <c:pt idx="48">
                  <c:v>0.87056967033333299</c:v>
                </c:pt>
                <c:pt idx="49">
                  <c:v>0.86510802011111076</c:v>
                </c:pt>
                <c:pt idx="50">
                  <c:v>0.87188339922222202</c:v>
                </c:pt>
                <c:pt idx="51">
                  <c:v>0.86517417666666674</c:v>
                </c:pt>
                <c:pt idx="52">
                  <c:v>0.87116053311111141</c:v>
                </c:pt>
                <c:pt idx="53">
                  <c:v>0.83517529600000007</c:v>
                </c:pt>
                <c:pt idx="54">
                  <c:v>0.85610622994444441</c:v>
                </c:pt>
                <c:pt idx="55">
                  <c:v>0.84647183577777707</c:v>
                </c:pt>
                <c:pt idx="56">
                  <c:v>0.85844624150000037</c:v>
                </c:pt>
                <c:pt idx="57">
                  <c:v>0.86515900922222255</c:v>
                </c:pt>
                <c:pt idx="58">
                  <c:v>0.86816799766666619</c:v>
                </c:pt>
                <c:pt idx="59">
                  <c:v>0.85255231388888875</c:v>
                </c:pt>
                <c:pt idx="60">
                  <c:v>0.84299500288888884</c:v>
                </c:pt>
                <c:pt idx="61">
                  <c:v>0.85727900905555543</c:v>
                </c:pt>
                <c:pt idx="62">
                  <c:v>0.868927351555556</c:v>
                </c:pt>
                <c:pt idx="63">
                  <c:v>0.86064592472222223</c:v>
                </c:pt>
                <c:pt idx="64">
                  <c:v>0.79922185205555552</c:v>
                </c:pt>
                <c:pt idx="65">
                  <c:v>0.80109528288888876</c:v>
                </c:pt>
                <c:pt idx="66">
                  <c:v>0.79678219444444398</c:v>
                </c:pt>
                <c:pt idx="67">
                  <c:v>0.8127386900000001</c:v>
                </c:pt>
                <c:pt idx="68">
                  <c:v>0.82550165538888909</c:v>
                </c:pt>
                <c:pt idx="69">
                  <c:v>0.8237133292222224</c:v>
                </c:pt>
                <c:pt idx="70">
                  <c:v>0.8097954727222223</c:v>
                </c:pt>
                <c:pt idx="71">
                  <c:v>0.78264329027777724</c:v>
                </c:pt>
                <c:pt idx="72">
                  <c:v>0.7505121216666667</c:v>
                </c:pt>
                <c:pt idx="73">
                  <c:v>0.77378291677777755</c:v>
                </c:pt>
                <c:pt idx="74">
                  <c:v>0.79375111661111197</c:v>
                </c:pt>
                <c:pt idx="75">
                  <c:v>0.79264484449999928</c:v>
                </c:pt>
                <c:pt idx="76">
                  <c:v>0.79341352349999938</c:v>
                </c:pt>
                <c:pt idx="77">
                  <c:v>0.79720900522222227</c:v>
                </c:pt>
                <c:pt idx="78">
                  <c:v>0.79796741233333279</c:v>
                </c:pt>
                <c:pt idx="79">
                  <c:v>0.78060361600000028</c:v>
                </c:pt>
                <c:pt idx="80">
                  <c:v>0.80270651066666743</c:v>
                </c:pt>
                <c:pt idx="81">
                  <c:v>0.78582544372222285</c:v>
                </c:pt>
                <c:pt idx="82">
                  <c:v>0.77920164838888928</c:v>
                </c:pt>
                <c:pt idx="83">
                  <c:v>0.7797895309999997</c:v>
                </c:pt>
                <c:pt idx="84">
                  <c:v>0.77460702822222205</c:v>
                </c:pt>
                <c:pt idx="85">
                  <c:v>0.77112077622222264</c:v>
                </c:pt>
                <c:pt idx="86">
                  <c:v>0.77599473227777771</c:v>
                </c:pt>
                <c:pt idx="87">
                  <c:v>0.76805069538888893</c:v>
                </c:pt>
                <c:pt idx="88">
                  <c:v>0.76226501077777786</c:v>
                </c:pt>
                <c:pt idx="89">
                  <c:v>0.73547979227777738</c:v>
                </c:pt>
                <c:pt idx="90">
                  <c:v>0.71976190116666661</c:v>
                </c:pt>
                <c:pt idx="91">
                  <c:v>0.72552871766666671</c:v>
                </c:pt>
                <c:pt idx="92">
                  <c:v>0.7277938716111112</c:v>
                </c:pt>
                <c:pt idx="93">
                  <c:v>0.72775939833333325</c:v>
                </c:pt>
                <c:pt idx="94">
                  <c:v>0.72282557488888843</c:v>
                </c:pt>
                <c:pt idx="95">
                  <c:v>0.71376229672222202</c:v>
                </c:pt>
                <c:pt idx="96">
                  <c:v>0.69861712588888891</c:v>
                </c:pt>
                <c:pt idx="97">
                  <c:v>0.71276479438888907</c:v>
                </c:pt>
                <c:pt idx="98">
                  <c:v>0.71045800994444408</c:v>
                </c:pt>
                <c:pt idx="99">
                  <c:v>0.71032870149999994</c:v>
                </c:pt>
                <c:pt idx="100">
                  <c:v>0.70765367155555581</c:v>
                </c:pt>
                <c:pt idx="101">
                  <c:v>0.71016457927777754</c:v>
                </c:pt>
                <c:pt idx="102">
                  <c:v>0.71724669377777783</c:v>
                </c:pt>
                <c:pt idx="103">
                  <c:v>0.77945196944444428</c:v>
                </c:pt>
                <c:pt idx="104">
                  <c:v>0.8231058807777778</c:v>
                </c:pt>
                <c:pt idx="105">
                  <c:v>0.83228075299999971</c:v>
                </c:pt>
                <c:pt idx="106">
                  <c:v>0.82948825572222207</c:v>
                </c:pt>
                <c:pt idx="107">
                  <c:v>0.83710198316666662</c:v>
                </c:pt>
                <c:pt idx="108">
                  <c:v>0.88466590461111139</c:v>
                </c:pt>
                <c:pt idx="109">
                  <c:v>0.87606663422222242</c:v>
                </c:pt>
                <c:pt idx="110">
                  <c:v>0.89726806933333314</c:v>
                </c:pt>
                <c:pt idx="111">
                  <c:v>0.88777995116666719</c:v>
                </c:pt>
                <c:pt idx="112">
                  <c:v>0.89606896672222258</c:v>
                </c:pt>
                <c:pt idx="113">
                  <c:v>0.86571047544444502</c:v>
                </c:pt>
                <c:pt idx="114">
                  <c:v>0.85389839649999943</c:v>
                </c:pt>
                <c:pt idx="115">
                  <c:v>0.85379628272222297</c:v>
                </c:pt>
                <c:pt idx="116">
                  <c:v>0.85011420455555586</c:v>
                </c:pt>
                <c:pt idx="117">
                  <c:v>0.84210630633333317</c:v>
                </c:pt>
                <c:pt idx="118">
                  <c:v>0.84587660055555536</c:v>
                </c:pt>
                <c:pt idx="119">
                  <c:v>0.85671187966666673</c:v>
                </c:pt>
                <c:pt idx="120">
                  <c:v>0.84739917744444393</c:v>
                </c:pt>
                <c:pt idx="121">
                  <c:v>0.85647419677777781</c:v>
                </c:pt>
                <c:pt idx="122">
                  <c:v>0.86387608711111175</c:v>
                </c:pt>
                <c:pt idx="123">
                  <c:v>0.86617942527777758</c:v>
                </c:pt>
                <c:pt idx="124">
                  <c:v>0.85865719216666669</c:v>
                </c:pt>
                <c:pt idx="125">
                  <c:v>0.87411503361111131</c:v>
                </c:pt>
                <c:pt idx="126">
                  <c:v>0.89926633705555592</c:v>
                </c:pt>
                <c:pt idx="127">
                  <c:v>0.9059346609444443</c:v>
                </c:pt>
                <c:pt idx="128">
                  <c:v>0.9189509457222218</c:v>
                </c:pt>
                <c:pt idx="129">
                  <c:v>0.90759324038888922</c:v>
                </c:pt>
                <c:pt idx="130">
                  <c:v>0.91906312516666666</c:v>
                </c:pt>
                <c:pt idx="131">
                  <c:v>0.92354673544444388</c:v>
                </c:pt>
                <c:pt idx="132">
                  <c:v>0.90848777672222181</c:v>
                </c:pt>
                <c:pt idx="133">
                  <c:v>0.91767565505555593</c:v>
                </c:pt>
                <c:pt idx="134">
                  <c:v>0.90921615338888906</c:v>
                </c:pt>
                <c:pt idx="135">
                  <c:v>0.89423452861111152</c:v>
                </c:pt>
                <c:pt idx="136">
                  <c:v>0.89371051177777738</c:v>
                </c:pt>
                <c:pt idx="137">
                  <c:v>0.88806640072222276</c:v>
                </c:pt>
                <c:pt idx="138">
                  <c:v>0.89069431166666679</c:v>
                </c:pt>
                <c:pt idx="139">
                  <c:v>0.86717429694444459</c:v>
                </c:pt>
                <c:pt idx="140">
                  <c:v>0.86174368833333337</c:v>
                </c:pt>
                <c:pt idx="141">
                  <c:v>0.85991229738888852</c:v>
                </c:pt>
                <c:pt idx="142">
                  <c:v>0.87299409722222243</c:v>
                </c:pt>
                <c:pt idx="143">
                  <c:v>0.84857839355555553</c:v>
                </c:pt>
                <c:pt idx="144">
                  <c:v>0.85373553444444461</c:v>
                </c:pt>
                <c:pt idx="145">
                  <c:v>0.85361432900000001</c:v>
                </c:pt>
                <c:pt idx="146">
                  <c:v>0.85961956938888939</c:v>
                </c:pt>
                <c:pt idx="147">
                  <c:v>0.81409870661111139</c:v>
                </c:pt>
                <c:pt idx="148">
                  <c:v>0.81706041666666651</c:v>
                </c:pt>
                <c:pt idx="149">
                  <c:v>0.8088081496666667</c:v>
                </c:pt>
                <c:pt idx="150">
                  <c:v>0.81113331783333342</c:v>
                </c:pt>
                <c:pt idx="151">
                  <c:v>0.81100862044444455</c:v>
                </c:pt>
                <c:pt idx="152">
                  <c:v>0.85442438388888875</c:v>
                </c:pt>
                <c:pt idx="153">
                  <c:v>0.85176232038888944</c:v>
                </c:pt>
                <c:pt idx="154">
                  <c:v>0.85460118327777734</c:v>
                </c:pt>
                <c:pt idx="155">
                  <c:v>0.83892573900000023</c:v>
                </c:pt>
                <c:pt idx="156">
                  <c:v>0.83692306877777811</c:v>
                </c:pt>
                <c:pt idx="157">
                  <c:v>0.9072322428333337</c:v>
                </c:pt>
                <c:pt idx="158">
                  <c:v>0.92226978122222258</c:v>
                </c:pt>
                <c:pt idx="159">
                  <c:v>0.90131803588888948</c:v>
                </c:pt>
                <c:pt idx="160">
                  <c:v>0.8829201854444455</c:v>
                </c:pt>
                <c:pt idx="161">
                  <c:v>0.89785795161111126</c:v>
                </c:pt>
                <c:pt idx="162">
                  <c:v>0.90118329888888915</c:v>
                </c:pt>
                <c:pt idx="163">
                  <c:v>0.88339067394444459</c:v>
                </c:pt>
                <c:pt idx="164">
                  <c:v>0.8403598352777778</c:v>
                </c:pt>
                <c:pt idx="165">
                  <c:v>0.7954988157777777</c:v>
                </c:pt>
                <c:pt idx="166">
                  <c:v>0.80991413561111159</c:v>
                </c:pt>
                <c:pt idx="167">
                  <c:v>0.81107618233333356</c:v>
                </c:pt>
                <c:pt idx="168">
                  <c:v>0.81699709777777818</c:v>
                </c:pt>
                <c:pt idx="169">
                  <c:v>0.81056711349999988</c:v>
                </c:pt>
                <c:pt idx="170">
                  <c:v>0.86106861855555505</c:v>
                </c:pt>
                <c:pt idx="171">
                  <c:v>0.80512495894444447</c:v>
                </c:pt>
                <c:pt idx="172">
                  <c:v>0.80888251927777799</c:v>
                </c:pt>
                <c:pt idx="173">
                  <c:v>0.8054286408333331</c:v>
                </c:pt>
                <c:pt idx="174">
                  <c:v>0.822915568222222</c:v>
                </c:pt>
                <c:pt idx="175">
                  <c:v>0.83596927188888914</c:v>
                </c:pt>
                <c:pt idx="176">
                  <c:v>0.84765858738888888</c:v>
                </c:pt>
                <c:pt idx="177">
                  <c:v>0.83854200850000049</c:v>
                </c:pt>
                <c:pt idx="178">
                  <c:v>0.84447034038888891</c:v>
                </c:pt>
                <c:pt idx="179">
                  <c:v>0.82856725638888806</c:v>
                </c:pt>
                <c:pt idx="180">
                  <c:v>0.82349639566666699</c:v>
                </c:pt>
                <c:pt idx="181">
                  <c:v>0.83052728572222201</c:v>
                </c:pt>
                <c:pt idx="182">
                  <c:v>0.83194846999999994</c:v>
                </c:pt>
                <c:pt idx="183">
                  <c:v>0.82547662627777751</c:v>
                </c:pt>
                <c:pt idx="184">
                  <c:v>0.81482658555555521</c:v>
                </c:pt>
                <c:pt idx="185">
                  <c:v>0.78740566399999989</c:v>
                </c:pt>
                <c:pt idx="186">
                  <c:v>0.78715269994444437</c:v>
                </c:pt>
                <c:pt idx="187">
                  <c:v>0.80440134966666665</c:v>
                </c:pt>
                <c:pt idx="188">
                  <c:v>0.84860659838888874</c:v>
                </c:pt>
                <c:pt idx="189">
                  <c:v>0.85481626805555544</c:v>
                </c:pt>
                <c:pt idx="190">
                  <c:v>0.85706478405555575</c:v>
                </c:pt>
                <c:pt idx="191">
                  <c:v>0.84660763299999964</c:v>
                </c:pt>
                <c:pt idx="192">
                  <c:v>0.84545831233333346</c:v>
                </c:pt>
                <c:pt idx="193">
                  <c:v>0.85692227355555584</c:v>
                </c:pt>
                <c:pt idx="194">
                  <c:v>0.87174340783333359</c:v>
                </c:pt>
                <c:pt idx="195">
                  <c:v>0.85762687661111092</c:v>
                </c:pt>
                <c:pt idx="196">
                  <c:v>0.85771617027777813</c:v>
                </c:pt>
                <c:pt idx="197">
                  <c:v>0.80699089533333368</c:v>
                </c:pt>
                <c:pt idx="198">
                  <c:v>0.78796026344444425</c:v>
                </c:pt>
                <c:pt idx="199">
                  <c:v>0.77385859511111144</c:v>
                </c:pt>
                <c:pt idx="200">
                  <c:v>0.77466983694444447</c:v>
                </c:pt>
                <c:pt idx="201">
                  <c:v>0.77601293077777755</c:v>
                </c:pt>
                <c:pt idx="202">
                  <c:v>0.7768863439999999</c:v>
                </c:pt>
                <c:pt idx="203">
                  <c:v>0.78272370916666656</c:v>
                </c:pt>
                <c:pt idx="204">
                  <c:v>0.76938381822222257</c:v>
                </c:pt>
                <c:pt idx="205">
                  <c:v>0.76992352377777817</c:v>
                </c:pt>
                <c:pt idx="206">
                  <c:v>0.79305478483333358</c:v>
                </c:pt>
                <c:pt idx="207">
                  <c:v>0.78769173283333294</c:v>
                </c:pt>
                <c:pt idx="208">
                  <c:v>0.80710244511111096</c:v>
                </c:pt>
                <c:pt idx="209">
                  <c:v>0.80336165316666663</c:v>
                </c:pt>
                <c:pt idx="210">
                  <c:v>0.79246085633333319</c:v>
                </c:pt>
                <c:pt idx="211">
                  <c:v>0.78412351683333326</c:v>
                </c:pt>
                <c:pt idx="212">
                  <c:v>0.79223903172222221</c:v>
                </c:pt>
                <c:pt idx="213">
                  <c:v>0.79807937600000034</c:v>
                </c:pt>
                <c:pt idx="214">
                  <c:v>0.8150203756666663</c:v>
                </c:pt>
                <c:pt idx="215">
                  <c:v>0.83442012094444484</c:v>
                </c:pt>
                <c:pt idx="216">
                  <c:v>0.83293412266666689</c:v>
                </c:pt>
                <c:pt idx="217">
                  <c:v>0.82666314427777798</c:v>
                </c:pt>
                <c:pt idx="218">
                  <c:v>0.8253715221111112</c:v>
                </c:pt>
                <c:pt idx="219">
                  <c:v>0.81992001894444422</c:v>
                </c:pt>
                <c:pt idx="220">
                  <c:v>0.82664025727777823</c:v>
                </c:pt>
                <c:pt idx="221">
                  <c:v>0.80852356227777822</c:v>
                </c:pt>
                <c:pt idx="222">
                  <c:v>0.80021119722222167</c:v>
                </c:pt>
                <c:pt idx="223">
                  <c:v>0.81022888727777842</c:v>
                </c:pt>
                <c:pt idx="224">
                  <c:v>0.84335921633333299</c:v>
                </c:pt>
                <c:pt idx="225">
                  <c:v>0.84509006766666606</c:v>
                </c:pt>
                <c:pt idx="226">
                  <c:v>0.84685059877777769</c:v>
                </c:pt>
                <c:pt idx="227">
                  <c:v>0.82966674349999991</c:v>
                </c:pt>
                <c:pt idx="228">
                  <c:v>0.82216175077777798</c:v>
                </c:pt>
                <c:pt idx="229">
                  <c:v>0.83174990677777771</c:v>
                </c:pt>
                <c:pt idx="230">
                  <c:v>0.80690779427777792</c:v>
                </c:pt>
                <c:pt idx="231">
                  <c:v>0.79202525255555578</c:v>
                </c:pt>
                <c:pt idx="232">
                  <c:v>0.7832701355555558</c:v>
                </c:pt>
                <c:pt idx="233">
                  <c:v>0.76532624294444451</c:v>
                </c:pt>
                <c:pt idx="234">
                  <c:v>0.76880466944444437</c:v>
                </c:pt>
                <c:pt idx="235">
                  <c:v>0.77558481005555591</c:v>
                </c:pt>
                <c:pt idx="236">
                  <c:v>0.77969524111111121</c:v>
                </c:pt>
                <c:pt idx="237">
                  <c:v>0.76512096733333301</c:v>
                </c:pt>
                <c:pt idx="238">
                  <c:v>0.76954101399999975</c:v>
                </c:pt>
                <c:pt idx="239">
                  <c:v>0.76324119522222222</c:v>
                </c:pt>
                <c:pt idx="240">
                  <c:v>0.7600616344444443</c:v>
                </c:pt>
                <c:pt idx="241">
                  <c:v>0.7645180336666666</c:v>
                </c:pt>
                <c:pt idx="242">
                  <c:v>0.77627769505555566</c:v>
                </c:pt>
                <c:pt idx="243">
                  <c:v>0.77098288911111135</c:v>
                </c:pt>
                <c:pt idx="244">
                  <c:v>0.77973314627777779</c:v>
                </c:pt>
                <c:pt idx="245">
                  <c:v>0.77784366122222193</c:v>
                </c:pt>
                <c:pt idx="246">
                  <c:v>0.77050190705555599</c:v>
                </c:pt>
                <c:pt idx="247">
                  <c:v>0.76535995516666666</c:v>
                </c:pt>
                <c:pt idx="248">
                  <c:v>0.78716048727777765</c:v>
                </c:pt>
                <c:pt idx="249">
                  <c:v>0.8008946806111108</c:v>
                </c:pt>
                <c:pt idx="250">
                  <c:v>0.79925156616666693</c:v>
                </c:pt>
                <c:pt idx="251">
                  <c:v>0.80106461733333345</c:v>
                </c:pt>
                <c:pt idx="252">
                  <c:v>0.79616058927777766</c:v>
                </c:pt>
                <c:pt idx="253">
                  <c:v>0.80629558633333365</c:v>
                </c:pt>
                <c:pt idx="254">
                  <c:v>0.80811560533333315</c:v>
                </c:pt>
                <c:pt idx="255">
                  <c:v>0.77008138855555563</c:v>
                </c:pt>
                <c:pt idx="256">
                  <c:v>0.78336659438888878</c:v>
                </c:pt>
                <c:pt idx="257">
                  <c:v>0.79365301194444393</c:v>
                </c:pt>
                <c:pt idx="258">
                  <c:v>0.79686460972222206</c:v>
                </c:pt>
                <c:pt idx="259">
                  <c:v>0.80503600738888903</c:v>
                </c:pt>
                <c:pt idx="260">
                  <c:v>0.80839062283333318</c:v>
                </c:pt>
                <c:pt idx="261">
                  <c:v>0.80887887100000022</c:v>
                </c:pt>
                <c:pt idx="262">
                  <c:v>0.81423110216666705</c:v>
                </c:pt>
                <c:pt idx="263">
                  <c:v>0.8103280947777779</c:v>
                </c:pt>
                <c:pt idx="264">
                  <c:v>0.79151523722222195</c:v>
                </c:pt>
                <c:pt idx="265">
                  <c:v>0.8071436238888885</c:v>
                </c:pt>
                <c:pt idx="266">
                  <c:v>0.8059578384999998</c:v>
                </c:pt>
                <c:pt idx="267">
                  <c:v>0.82133802644444465</c:v>
                </c:pt>
                <c:pt idx="268">
                  <c:v>0.84020621877777801</c:v>
                </c:pt>
                <c:pt idx="269">
                  <c:v>0.84953321411111149</c:v>
                </c:pt>
                <c:pt idx="270">
                  <c:v>0.8383473735000001</c:v>
                </c:pt>
                <c:pt idx="271">
                  <c:v>0.84877098333333378</c:v>
                </c:pt>
                <c:pt idx="272">
                  <c:v>0.84035512155555503</c:v>
                </c:pt>
                <c:pt idx="273">
                  <c:v>0.84533067216666613</c:v>
                </c:pt>
                <c:pt idx="274">
                  <c:v>0.82909083494444469</c:v>
                </c:pt>
                <c:pt idx="275">
                  <c:v>0.83695810827777861</c:v>
                </c:pt>
                <c:pt idx="276">
                  <c:v>0.86074795577777818</c:v>
                </c:pt>
                <c:pt idx="277">
                  <c:v>0.85158448772222195</c:v>
                </c:pt>
                <c:pt idx="278">
                  <c:v>0.8409948707777779</c:v>
                </c:pt>
                <c:pt idx="279">
                  <c:v>0.84716969394444464</c:v>
                </c:pt>
                <c:pt idx="280">
                  <c:v>0.84204105083333403</c:v>
                </c:pt>
                <c:pt idx="281">
                  <c:v>0.86341901900000029</c:v>
                </c:pt>
                <c:pt idx="282">
                  <c:v>0.86477513288888863</c:v>
                </c:pt>
                <c:pt idx="283">
                  <c:v>0.84915646561111136</c:v>
                </c:pt>
                <c:pt idx="284">
                  <c:v>0.84968982883333355</c:v>
                </c:pt>
                <c:pt idx="285">
                  <c:v>0.85058966988888884</c:v>
                </c:pt>
                <c:pt idx="286">
                  <c:v>0.84172638638888864</c:v>
                </c:pt>
                <c:pt idx="287">
                  <c:v>0.82150204966666629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211-4B35-8CA6-8CA88969046F}"/>
            </c:ext>
          </c:extLst>
        </c:ser>
        <c:ser>
          <c:idx val="7"/>
          <c:order val="7"/>
          <c:tx>
            <c:v>Максимум</c:v>
          </c:tx>
          <c:spPr>
            <a:ln w="15240">
              <a:solidFill>
                <a:srgbClr val="D62728"/>
              </a:solidFill>
              <a:prstDash val="solid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Данные!$CI$2:$CI$289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4211-4B35-8CA6-8CA88969046F}"/>
            </c:ext>
          </c:extLst>
        </c:ser>
        <c:ser>
          <c:idx val="8"/>
          <c:order val="8"/>
          <c:tx>
            <c:v>Порог 1</c:v>
          </c:tx>
          <c:spPr>
            <a:ln w="14288">
              <a:solidFill>
                <a:srgbClr val="D62728"/>
              </a:solidFill>
              <a:prstDash val="dash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Данные!$CJ$2:$CJ$289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4211-4B35-8CA6-8CA88969046F}"/>
            </c:ext>
          </c:extLst>
        </c:ser>
        <c:ser>
          <c:idx val="9"/>
          <c:order val="9"/>
          <c:tx>
            <c:v>Порог 2</c:v>
          </c:tx>
          <c:spPr>
            <a:ln w="14288">
              <a:solidFill>
                <a:srgbClr val="1F77B4"/>
              </a:solidFill>
              <a:prstDash val="dash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Данные!$CK$2:$CK$289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4211-4B35-8CA6-8CA88969046F}"/>
            </c:ext>
          </c:extLst>
        </c:ser>
        <c:ser>
          <c:idx val="10"/>
          <c:order val="10"/>
          <c:tx>
            <c:v>Порог 3</c:v>
          </c:tx>
          <c:spPr>
            <a:ln w="14288">
              <a:solidFill>
                <a:srgbClr val="FF7F0E"/>
              </a:solidFill>
              <a:prstDash val="dash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Данные!$CL$2:$CL$289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4211-4B35-8CA6-8CA88969046F}"/>
            </c:ext>
          </c:extLst>
        </c:ser>
        <c:ser>
          <c:idx val="11"/>
          <c:order val="11"/>
          <c:tx>
            <c:v>Порог 4</c:v>
          </c:tx>
          <c:spPr>
            <a:ln w="14288">
              <a:solidFill>
                <a:srgbClr val="9467BD"/>
              </a:solidFill>
              <a:prstDash val="dash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Данные!$CM$2:$CM$289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4211-4B35-8CA6-8CA88969046F}"/>
            </c:ext>
          </c:extLst>
        </c:ser>
        <c:ser>
          <c:idx val="12"/>
          <c:order val="12"/>
          <c:tx>
            <c:v>Порог 5</c:v>
          </c:tx>
          <c:spPr>
            <a:ln w="14288">
              <a:solidFill>
                <a:srgbClr val="8C564B"/>
              </a:solidFill>
              <a:prstDash val="dash"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Данные!$CN$2:$CN$289</c:f>
              <c:numCache>
                <c:formatCode>General</c:formatCode>
                <c:ptCount val="28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4211-4B35-8CA6-8CA88969046F}"/>
            </c:ext>
          </c:extLst>
        </c:ser>
        <c:ser>
          <c:idx val="13"/>
          <c:order val="13"/>
          <c:tx>
            <c:v>__scale__</c:v>
          </c:tx>
          <c:spPr>
            <a:ln w="0">
              <a:noFill/>
            </a:ln>
          </c:spPr>
          <c:marker>
            <c:symbol val="none"/>
          </c:marker>
          <c:cat>
            <c:strRef>
              <c:f>Данные!$Y$2:$Y$289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Данные!$CO$2:$CO$289</c:f>
              <c:numCache>
                <c:formatCode>General</c:formatCode>
                <c:ptCount val="2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211-4B35-8CA6-8CA889690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94A3B8"/>
            </a:solidFill>
          </a:ln>
        </c:spPr>
        <c:txPr>
          <a:bodyPr anchorCtr="1"/>
          <a:lstStyle/>
          <a:p>
            <a:pPr>
              <a:defRPr sz="825"/>
            </a:pPr>
            <a:endParaRPr lang="ru-RU"/>
          </a:p>
        </c:txPr>
        <c:crossAx val="48672768"/>
        <c:crosses val="autoZero"/>
        <c:auto val="1"/>
        <c:lblAlgn val="ctr"/>
        <c:lblOffset val="100"/>
        <c:tickLblSkip val="12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6668">
              <a:solidFill>
                <a:srgbClr val="CBD5E1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one"/>
        <c:spPr>
          <a:ln w="9525">
            <a:solidFill>
              <a:srgbClr val="94A3B8"/>
            </a:solidFill>
          </a:ln>
        </c:spPr>
        <c:txPr>
          <a:bodyPr anchorCtr="1"/>
          <a:lstStyle/>
          <a:p>
            <a:pPr>
              <a:defRPr sz="675"/>
            </a:pPr>
            <a:endParaRPr lang="ru-RU"/>
          </a:p>
        </c:txPr>
        <c:crossAx val="48650112"/>
        <c:crosses val="autoZero"/>
        <c:crossBetween val="between"/>
        <c:majorUnit val="0.2"/>
      </c:valAx>
      <c:spPr>
        <a:noFill/>
      </c:spPr>
    </c:plotArea>
    <c:plotVisOnly val="1"/>
    <c:dispBlanksAs val="zero"/>
    <c:showDLblsOverMax val="1"/>
  </c:chart>
  <c:spPr>
    <a:noFill/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190500</xdr:rowOff>
    </xdr:from>
    <xdr:ext cx="13392150" cy="4019549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12</xdr:row>
      <xdr:rowOff>190500</xdr:rowOff>
    </xdr:from>
    <xdr:ext cx="13392150" cy="4019549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38</xdr:row>
      <xdr:rowOff>0</xdr:rowOff>
    </xdr:from>
    <xdr:ext cx="13392150" cy="4019549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38</xdr:row>
      <xdr:rowOff>0</xdr:rowOff>
    </xdr:from>
    <xdr:ext cx="13392150" cy="4019549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showGridLines="0" tabSelected="1" workbookViewId="0">
      <selection activeCell="N10" sqref="N10"/>
    </sheetView>
  </sheetViews>
  <sheetFormatPr defaultRowHeight="14.25"/>
  <cols>
    <col min="1" max="17" width="11" customWidth="1"/>
  </cols>
  <sheetData>
    <row r="1" spans="1:17" s="18" customFormat="1" ht="17.25" customHeight="1">
      <c r="A1" s="40" t="s">
        <v>0</v>
      </c>
      <c r="B1" s="40"/>
      <c r="C1" s="3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s="18" customFormat="1" ht="17.25" customHeight="1">
      <c r="A2" s="37" t="s">
        <v>2</v>
      </c>
      <c r="C2" s="38" t="s">
        <v>3</v>
      </c>
      <c r="D2" s="20"/>
      <c r="F2" s="19"/>
    </row>
    <row r="3" spans="1:17" ht="17.25" customHeight="1"/>
    <row r="4" spans="1:17" ht="17.25" customHeight="1">
      <c r="A4" s="9" t="s">
        <v>4</v>
      </c>
      <c r="C4" s="39" t="s">
        <v>5</v>
      </c>
      <c r="D4" s="39"/>
      <c r="E4" s="39"/>
      <c r="F4" s="39"/>
      <c r="H4" s="44" t="s">
        <v>6</v>
      </c>
      <c r="I4" s="45"/>
      <c r="J4" s="46">
        <v>0</v>
      </c>
      <c r="K4" s="47" t="str">
        <f>IF($C$4="Параллельный режим (активная мощность)","кВт","кВА")</f>
        <v>кВт</v>
      </c>
    </row>
    <row r="5" spans="1:17" ht="17.25" customHeight="1"/>
    <row r="6" spans="1:17" ht="17.25" customHeight="1">
      <c r="A6" s="3" t="s">
        <v>7</v>
      </c>
      <c r="B6" s="3">
        <v>8400</v>
      </c>
      <c r="C6" s="3" t="s">
        <v>9</v>
      </c>
      <c r="D6" s="4" t="s">
        <v>7</v>
      </c>
      <c r="E6" s="4">
        <v>0</v>
      </c>
      <c r="F6" s="4" t="s">
        <v>8</v>
      </c>
      <c r="G6" s="5" t="s">
        <v>7</v>
      </c>
      <c r="H6" s="5">
        <v>0</v>
      </c>
      <c r="I6" s="5" t="s">
        <v>9</v>
      </c>
      <c r="J6" s="6" t="s">
        <v>7</v>
      </c>
      <c r="K6" s="6">
        <v>0</v>
      </c>
      <c r="L6" s="6" t="s">
        <v>9</v>
      </c>
      <c r="M6" s="7" t="s">
        <v>9</v>
      </c>
      <c r="N6" s="7" t="s">
        <v>7</v>
      </c>
      <c r="O6" s="7">
        <v>0</v>
      </c>
      <c r="P6" s="34" t="str">
        <f>IF($C$4="Параллельный режим (активная мощность)","кВт","кВА")</f>
        <v>кВт</v>
      </c>
      <c r="Q6" s="35"/>
    </row>
    <row r="7" spans="1:17" ht="17.25" customHeight="1"/>
    <row r="8" spans="1:17" ht="17.25" customHeight="1">
      <c r="A8" s="48" t="s">
        <v>10</v>
      </c>
      <c r="B8" s="49" t="s">
        <v>8</v>
      </c>
      <c r="C8" s="41">
        <v>0.5</v>
      </c>
      <c r="D8" s="41" t="s">
        <v>8</v>
      </c>
      <c r="E8" s="42">
        <v>0.9</v>
      </c>
      <c r="F8" s="42" t="s">
        <v>8</v>
      </c>
      <c r="G8" s="43">
        <v>0.99</v>
      </c>
      <c r="H8" s="43" t="s">
        <v>8</v>
      </c>
      <c r="I8" s="50" t="s">
        <v>11</v>
      </c>
      <c r="J8" s="51" t="s">
        <v>9</v>
      </c>
      <c r="P8" s="8"/>
    </row>
    <row r="9" spans="1:17" ht="17.25" customHeight="1"/>
    <row r="10" spans="1:17" ht="17.25" customHeight="1">
      <c r="A10" s="26"/>
      <c r="B10" s="27" t="s">
        <v>12</v>
      </c>
      <c r="C10" s="28">
        <v>6000</v>
      </c>
      <c r="D10" s="29" t="str">
        <f>IF($C$4="Параллельный режим (активная мощность)","кВт","кВА")</f>
        <v>кВт</v>
      </c>
      <c r="E10" s="30"/>
      <c r="F10" s="31" t="s">
        <v>13</v>
      </c>
      <c r="G10" s="32">
        <v>9000</v>
      </c>
      <c r="H10" s="33" t="str">
        <f>IF($C$4="Параллельный режим (активная мощность)","кВт","кВА")</f>
        <v>кВт</v>
      </c>
    </row>
    <row r="11" spans="1:17" ht="17.25" customHeight="1">
      <c r="A11" s="1"/>
      <c r="D11" s="22"/>
      <c r="E11" s="23"/>
      <c r="F11" s="15"/>
      <c r="H11" s="14"/>
      <c r="I11" s="2"/>
      <c r="J11" s="15"/>
    </row>
    <row r="12" spans="1:17" ht="17.25" customHeight="1">
      <c r="A12" s="1"/>
      <c r="D12" s="22"/>
      <c r="E12" s="23"/>
      <c r="F12" s="15"/>
      <c r="H12" s="14"/>
      <c r="I12" s="2"/>
      <c r="J12" s="15"/>
    </row>
    <row r="13" spans="1:17" ht="17.25" customHeight="1">
      <c r="B13" s="25"/>
      <c r="C13" s="25"/>
      <c r="D13" s="25"/>
      <c r="E13" s="25"/>
      <c r="F13" s="25"/>
      <c r="G13" s="25"/>
      <c r="H13" s="25"/>
      <c r="I13" s="24" t="str">
        <f>"Будние дни — "&amp;IF($C$4="Параллельный режим (активная мощность)","Активная мощность, кВт","Полная мощность, кВА")</f>
        <v>Будние дни — Активная мощность, кВт</v>
      </c>
      <c r="J13" s="25"/>
      <c r="K13" s="25"/>
      <c r="L13" s="25"/>
      <c r="M13" s="25"/>
      <c r="N13" s="25"/>
      <c r="O13" s="25"/>
      <c r="P13" s="25"/>
      <c r="Q13" s="25"/>
    </row>
    <row r="14" spans="1:17">
      <c r="A14" s="21">
        <f>$C$10+(1)*($G$10-$C$10)</f>
        <v>9000</v>
      </c>
    </row>
    <row r="15" spans="1:17">
      <c r="A15" s="13"/>
    </row>
    <row r="16" spans="1:17">
      <c r="A16" s="13"/>
    </row>
    <row r="18" spans="1:1">
      <c r="A18" s="21">
        <f>$C$10+(0.8)*($G$10-$C$10)</f>
        <v>8400</v>
      </c>
    </row>
    <row r="20" spans="1:1">
      <c r="A20" s="16"/>
    </row>
    <row r="22" spans="1:1">
      <c r="A22" s="21">
        <f>$C$10+(0.6)*($G$10-$C$10)</f>
        <v>7800</v>
      </c>
    </row>
    <row r="25" spans="1:1">
      <c r="A25" s="16"/>
    </row>
    <row r="26" spans="1:1">
      <c r="A26" s="21">
        <f>$C$10+(0.4)*($G$10-$C$10)</f>
        <v>7200</v>
      </c>
    </row>
    <row r="29" spans="1:1">
      <c r="A29" s="16"/>
    </row>
    <row r="30" spans="1:1">
      <c r="A30" s="21">
        <f>$C$10+(0.199999999999999)*($G$10-$C$10)</f>
        <v>6599.9999999999973</v>
      </c>
    </row>
    <row r="34" spans="1:17">
      <c r="A34" s="21">
        <f>$C$10+(0)*($G$10-$C$10)</f>
        <v>6000</v>
      </c>
    </row>
    <row r="36" spans="1:17" ht="17.25" customHeight="1">
      <c r="B36" s="25"/>
      <c r="C36" s="25"/>
      <c r="D36" s="25"/>
      <c r="E36" s="25"/>
      <c r="F36" s="25"/>
      <c r="G36" s="25"/>
      <c r="H36" s="25"/>
      <c r="I36" s="24"/>
      <c r="J36" s="25"/>
      <c r="K36" s="25"/>
      <c r="L36" s="25"/>
      <c r="M36" s="25"/>
      <c r="N36" s="25"/>
      <c r="O36" s="25"/>
      <c r="P36" s="25"/>
      <c r="Q36" s="25"/>
    </row>
    <row r="37" spans="1:17" ht="17.25" customHeight="1">
      <c r="B37" s="25"/>
      <c r="C37" s="25"/>
      <c r="D37" s="25"/>
      <c r="E37" s="25"/>
      <c r="F37" s="25"/>
      <c r="G37" s="25"/>
      <c r="H37" s="25"/>
      <c r="I37" s="24"/>
      <c r="J37" s="25"/>
      <c r="K37" s="25"/>
      <c r="L37" s="25"/>
      <c r="M37" s="25"/>
      <c r="N37" s="25"/>
      <c r="O37" s="25"/>
      <c r="P37" s="25"/>
      <c r="Q37" s="25"/>
    </row>
    <row r="38" spans="1:17" ht="17.25" customHeight="1">
      <c r="B38" s="25"/>
      <c r="C38" s="25"/>
      <c r="D38" s="25"/>
      <c r="E38" s="25"/>
      <c r="F38" s="25"/>
      <c r="G38" s="25"/>
      <c r="H38" s="25"/>
      <c r="I38" s="24" t="str">
        <f>"Выходные/праздничные дни — "&amp;IF($C$4="Параллельный режим (активная мощность)","Активная мощность, кВт","Полная мощность, кВА")</f>
        <v>Выходные/праздничные дни — Активная мощность, кВт</v>
      </c>
      <c r="J38" s="25"/>
      <c r="K38" s="25"/>
      <c r="L38" s="25"/>
      <c r="M38" s="25"/>
      <c r="N38" s="25"/>
      <c r="O38" s="25"/>
      <c r="P38" s="25"/>
      <c r="Q38" s="25"/>
    </row>
    <row r="39" spans="1:17">
      <c r="A39" s="21">
        <f>$C$10+(1)*($G$10-$C$10)</f>
        <v>9000</v>
      </c>
    </row>
    <row r="40" spans="1:17">
      <c r="A40" s="21"/>
    </row>
    <row r="41" spans="1:17">
      <c r="A41" s="21"/>
    </row>
    <row r="42" spans="1:17">
      <c r="A42" s="21"/>
    </row>
    <row r="43" spans="1:17">
      <c r="A43" s="21">
        <f>$C$10+(0.8)*($G$10-$C$10)</f>
        <v>8400</v>
      </c>
    </row>
    <row r="44" spans="1:17">
      <c r="A44" s="21"/>
    </row>
    <row r="45" spans="1:17">
      <c r="A45" s="21"/>
    </row>
    <row r="46" spans="1:17">
      <c r="A46" s="21"/>
    </row>
    <row r="47" spans="1:17">
      <c r="A47" s="21">
        <f>$C$10+(0.6)*($G$10-$C$10)</f>
        <v>7800</v>
      </c>
    </row>
    <row r="48" spans="1:17">
      <c r="A48" s="21"/>
    </row>
    <row r="49" spans="1:1">
      <c r="A49" s="21"/>
    </row>
    <row r="50" spans="1:1">
      <c r="A50" s="21"/>
    </row>
    <row r="51" spans="1:1">
      <c r="A51" s="21">
        <f>$C$10+(0.4)*($G$10-$C$10)</f>
        <v>7200</v>
      </c>
    </row>
    <row r="52" spans="1:1">
      <c r="A52" s="21"/>
    </row>
    <row r="53" spans="1:1">
      <c r="A53" s="21"/>
    </row>
    <row r="54" spans="1:1">
      <c r="A54" s="21"/>
    </row>
    <row r="55" spans="1:1">
      <c r="A55" s="21">
        <f>$C$10+(0.199999999999999)*($G$10-$C$10)</f>
        <v>6599.9999999999973</v>
      </c>
    </row>
    <row r="56" spans="1:1">
      <c r="A56" s="21"/>
    </row>
    <row r="57" spans="1:1">
      <c r="A57" s="21"/>
    </row>
    <row r="58" spans="1:1">
      <c r="A58" s="21"/>
    </row>
    <row r="59" spans="1:1">
      <c r="A59" s="21">
        <f>$C$10+(0)*($G$10-$C$10)</f>
        <v>6000</v>
      </c>
    </row>
  </sheetData>
  <mergeCells count="2">
    <mergeCell ref="C4:F4"/>
    <mergeCell ref="A1:B1"/>
  </mergeCells>
  <dataValidations count="5">
    <dataValidation type="list" sqref="C6 J8 H8 F8 D8 B8 M6 L6 I6 F6" xr:uid="{00000000-0002-0000-0000-000000000000}">
      <formula1>"Выкл,Вкл"</formula1>
    </dataValidation>
    <dataValidation type="list" sqref="C4 I4" xr:uid="{00000000-0002-0000-0000-000001000000}">
      <formula1>"Параллельный режим (активная мощность),Островной режим (полная мощность)"</formula1>
    </dataValidation>
    <dataValidation type="decimal" sqref="E12" xr:uid="{00000000-0002-0000-0000-000002000000}">
      <formula1>0</formula1>
    </dataValidation>
    <dataValidation type="decimal" operator="greaterThanOrEqual" allowBlank="1" showErrorMessage="1" errorTitle="Недопустимое значение" error="Нижняя граница должна быть не меньше 0." sqref="C10:C11" xr:uid="{00000000-0002-0000-0000-000003000000}">
      <formula1>0</formula1>
    </dataValidation>
    <dataValidation type="custom" sqref="I12 G10:G11" xr:uid="{00000000-0002-0000-0000-000004000000}">
      <formula1>$G$10&gt;$C$10</formula1>
    </dataValidation>
  </dataValidation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289"/>
  <sheetViews>
    <sheetView workbookViewId="0"/>
  </sheetViews>
  <sheetFormatPr defaultRowHeight="15"/>
  <cols>
    <col min="1" max="1" width="5.375" style="12" customWidth="1"/>
    <col min="2" max="10" width="11.875" style="12" customWidth="1"/>
    <col min="11" max="11" width="7.875" style="12" customWidth="1"/>
    <col min="12" max="12" width="17.875" style="12" customWidth="1"/>
    <col min="13" max="21" width="11.875" style="12" customWidth="1"/>
    <col min="22" max="22" width="8.875" style="12" customWidth="1"/>
    <col min="23" max="23" width="17.875" style="12" customWidth="1"/>
    <col min="24" max="24" width="9" style="12"/>
    <col min="25" max="25" width="5.375" style="12" customWidth="1"/>
    <col min="26" max="34" width="11.875" style="12" customWidth="1"/>
    <col min="35" max="35" width="7.875" style="12" customWidth="1"/>
    <col min="36" max="36" width="17.875" style="12" customWidth="1"/>
    <col min="37" max="45" width="11.875" style="12" customWidth="1"/>
    <col min="46" max="46" width="8.875" style="12" customWidth="1"/>
    <col min="47" max="47" width="17.875" style="12" customWidth="1"/>
    <col min="48" max="48" width="9" style="12"/>
    <col min="49" max="56" width="11.875" style="12" customWidth="1"/>
    <col min="57" max="57" width="12.5" style="12" customWidth="1"/>
    <col min="58" max="58" width="6.875" style="12" customWidth="1"/>
    <col min="59" max="59" width="7.75" style="12" customWidth="1"/>
    <col min="60" max="60" width="6.875" style="12" customWidth="1"/>
    <col min="61" max="61" width="7.75" style="12" customWidth="1"/>
    <col min="62" max="62" width="6.875" style="12" customWidth="1"/>
    <col min="63" max="63" width="7.75" style="12" customWidth="1"/>
    <col min="64" max="64" width="4.875" style="12" customWidth="1"/>
    <col min="65" max="69" width="5" style="12" customWidth="1"/>
    <col min="70" max="70" width="12" style="12" customWidth="1"/>
    <col min="71" max="71" width="11.5" style="12" customWidth="1"/>
    <col min="72" max="72" width="12.25" style="12" customWidth="1"/>
    <col min="73" max="80" width="11.875" style="12" customWidth="1"/>
    <col min="81" max="81" width="6.875" style="12" customWidth="1"/>
    <col min="82" max="82" width="7.75" style="12" customWidth="1"/>
    <col min="83" max="83" width="6.875" style="12" customWidth="1"/>
    <col min="84" max="84" width="7.75" style="12" customWidth="1"/>
    <col min="85" max="85" width="6.875" style="12" customWidth="1"/>
    <col min="86" max="86" width="7.75" style="12" customWidth="1"/>
    <col min="87" max="87" width="4.875" style="12" customWidth="1"/>
    <col min="88" max="92" width="5" style="12" customWidth="1"/>
    <col min="93" max="93" width="12" style="12" customWidth="1"/>
    <col min="94" max="16384" width="9" style="12"/>
  </cols>
  <sheetData>
    <row r="1" spans="1:93" ht="15" customHeight="1">
      <c r="A1" s="10" t="s">
        <v>14</v>
      </c>
      <c r="B1" s="11" t="s">
        <v>15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  <c r="L1" s="10" t="s">
        <v>25</v>
      </c>
      <c r="M1" s="11" t="s">
        <v>26</v>
      </c>
      <c r="N1" s="11" t="s">
        <v>27</v>
      </c>
      <c r="O1" s="11" t="s">
        <v>28</v>
      </c>
      <c r="P1" s="11" t="s">
        <v>29</v>
      </c>
      <c r="Q1" s="11" t="s">
        <v>30</v>
      </c>
      <c r="R1" s="11" t="s">
        <v>31</v>
      </c>
      <c r="S1" s="11" t="s">
        <v>32</v>
      </c>
      <c r="T1" s="11" t="s">
        <v>33</v>
      </c>
      <c r="U1" s="11" t="s">
        <v>34</v>
      </c>
      <c r="V1" s="11" t="s">
        <v>35</v>
      </c>
      <c r="W1" s="10" t="s">
        <v>36</v>
      </c>
      <c r="Y1" s="10" t="s">
        <v>14</v>
      </c>
      <c r="Z1" s="11" t="s">
        <v>15</v>
      </c>
      <c r="AA1" s="11" t="s">
        <v>16</v>
      </c>
      <c r="AB1" s="11" t="s">
        <v>17</v>
      </c>
      <c r="AC1" s="11" t="s">
        <v>18</v>
      </c>
      <c r="AD1" s="11" t="s">
        <v>19</v>
      </c>
      <c r="AE1" s="11" t="s">
        <v>20</v>
      </c>
      <c r="AF1" s="11" t="s">
        <v>21</v>
      </c>
      <c r="AG1" s="11" t="s">
        <v>22</v>
      </c>
      <c r="AH1" s="11" t="s">
        <v>23</v>
      </c>
      <c r="AI1" s="11" t="s">
        <v>24</v>
      </c>
      <c r="AJ1" s="10" t="s">
        <v>25</v>
      </c>
      <c r="AK1" s="11" t="s">
        <v>26</v>
      </c>
      <c r="AL1" s="11" t="s">
        <v>27</v>
      </c>
      <c r="AM1" s="11" t="s">
        <v>28</v>
      </c>
      <c r="AN1" s="11" t="s">
        <v>29</v>
      </c>
      <c r="AO1" s="11" t="s">
        <v>30</v>
      </c>
      <c r="AP1" s="11" t="s">
        <v>31</v>
      </c>
      <c r="AQ1" s="11" t="s">
        <v>32</v>
      </c>
      <c r="AR1" s="11" t="s">
        <v>33</v>
      </c>
      <c r="AS1" s="11" t="s">
        <v>34</v>
      </c>
      <c r="AT1" s="11" t="s">
        <v>35</v>
      </c>
      <c r="AU1" s="10" t="s">
        <v>36</v>
      </c>
      <c r="AW1" s="10" t="s">
        <v>37</v>
      </c>
      <c r="AX1" s="10" t="s">
        <v>38</v>
      </c>
      <c r="AY1" s="10" t="s">
        <v>39</v>
      </c>
      <c r="AZ1" s="10" t="s">
        <v>40</v>
      </c>
      <c r="BA1" s="10" t="s">
        <v>41</v>
      </c>
      <c r="BB1" s="10" t="s">
        <v>42</v>
      </c>
      <c r="BC1" s="10" t="s">
        <v>43</v>
      </c>
      <c r="BD1" s="10" t="s">
        <v>44</v>
      </c>
      <c r="BE1" s="10" t="s">
        <v>45</v>
      </c>
      <c r="BF1" s="10" t="s">
        <v>46</v>
      </c>
      <c r="BG1" s="10" t="s">
        <v>47</v>
      </c>
      <c r="BH1" s="10" t="s">
        <v>48</v>
      </c>
      <c r="BI1" s="10" t="s">
        <v>49</v>
      </c>
      <c r="BJ1" s="10" t="s">
        <v>50</v>
      </c>
      <c r="BK1" s="10" t="s">
        <v>51</v>
      </c>
      <c r="BL1" s="10" t="s">
        <v>52</v>
      </c>
      <c r="BM1" s="10" t="s">
        <v>53</v>
      </c>
      <c r="BN1" s="10" t="s">
        <v>54</v>
      </c>
      <c r="BO1" s="10" t="s">
        <v>55</v>
      </c>
      <c r="BP1" s="10" t="s">
        <v>56</v>
      </c>
      <c r="BQ1" s="10" t="s">
        <v>57</v>
      </c>
      <c r="BR1" s="10" t="s">
        <v>58</v>
      </c>
      <c r="BS1" s="10" t="s">
        <v>59</v>
      </c>
      <c r="BT1" s="10" t="s">
        <v>37</v>
      </c>
      <c r="BU1" s="10" t="s">
        <v>38</v>
      </c>
      <c r="BV1" s="10" t="s">
        <v>39</v>
      </c>
      <c r="BW1" s="10" t="s">
        <v>40</v>
      </c>
      <c r="BX1" s="10" t="s">
        <v>41</v>
      </c>
      <c r="BY1" s="10" t="s">
        <v>42</v>
      </c>
      <c r="BZ1" s="10" t="s">
        <v>43</v>
      </c>
      <c r="CA1" s="10" t="s">
        <v>44</v>
      </c>
      <c r="CB1" s="10" t="s">
        <v>45</v>
      </c>
      <c r="CC1" s="10" t="s">
        <v>46</v>
      </c>
      <c r="CD1" s="10" t="s">
        <v>47</v>
      </c>
      <c r="CE1" s="10" t="s">
        <v>48</v>
      </c>
      <c r="CF1" s="10" t="s">
        <v>49</v>
      </c>
      <c r="CG1" s="10" t="s">
        <v>50</v>
      </c>
      <c r="CH1" s="10" t="s">
        <v>51</v>
      </c>
      <c r="CI1" s="10" t="s">
        <v>52</v>
      </c>
      <c r="CJ1" s="10" t="s">
        <v>53</v>
      </c>
      <c r="CK1" s="10" t="s">
        <v>54</v>
      </c>
      <c r="CL1" s="10" t="s">
        <v>55</v>
      </c>
      <c r="CM1" s="10" t="s">
        <v>56</v>
      </c>
      <c r="CN1" s="10" t="s">
        <v>57</v>
      </c>
      <c r="CO1" s="10" t="s">
        <v>58</v>
      </c>
    </row>
    <row r="2" spans="1:93" ht="15" customHeight="1">
      <c r="A2" s="12" t="s">
        <v>60</v>
      </c>
      <c r="B2" s="12">
        <v>2290.8497400000001</v>
      </c>
      <c r="C2" s="12">
        <v>5613.8081666666676</v>
      </c>
      <c r="D2" s="12">
        <v>7292.5852650000006</v>
      </c>
      <c r="E2" s="12">
        <v>7621.116841666666</v>
      </c>
      <c r="F2" s="12">
        <v>7783.1093000000001</v>
      </c>
      <c r="G2" s="12">
        <v>8076.8637749999998</v>
      </c>
      <c r="H2" s="12">
        <v>8192.4125566666662</v>
      </c>
      <c r="I2" s="12">
        <v>8281.9745058333338</v>
      </c>
      <c r="J2" s="12">
        <v>8387.788101166665</v>
      </c>
      <c r="K2" s="12">
        <v>8499.35</v>
      </c>
      <c r="L2" s="12" t="s">
        <v>61</v>
      </c>
      <c r="M2" s="12">
        <v>2840.8337206666665</v>
      </c>
      <c r="N2" s="12">
        <v>6475.0355366666681</v>
      </c>
      <c r="O2" s="12">
        <v>8299.628971666667</v>
      </c>
      <c r="P2" s="12">
        <v>8689.1330416666679</v>
      </c>
      <c r="Q2" s="12">
        <v>8838.2226666666684</v>
      </c>
      <c r="R2" s="12">
        <v>9074.0188666666672</v>
      </c>
      <c r="S2" s="12">
        <v>9271.3581250000007</v>
      </c>
      <c r="T2" s="12">
        <v>9345.099603333334</v>
      </c>
      <c r="U2" s="12">
        <v>9495.5733340000006</v>
      </c>
      <c r="V2" s="12">
        <v>9623.24</v>
      </c>
      <c r="W2" s="12" t="s">
        <v>61</v>
      </c>
      <c r="Y2" s="12" t="s">
        <v>60</v>
      </c>
      <c r="Z2" s="12">
        <v>7495.6793621666666</v>
      </c>
      <c r="AA2" s="12">
        <v>7526.6006775000005</v>
      </c>
      <c r="AB2" s="12">
        <v>7565.2523216666668</v>
      </c>
      <c r="AC2" s="12">
        <v>7688.2531250000002</v>
      </c>
      <c r="AD2" s="12">
        <v>7754.8011333333325</v>
      </c>
      <c r="AE2" s="12">
        <v>7843.0706333333337</v>
      </c>
      <c r="AF2" s="12">
        <v>8347.9849333333332</v>
      </c>
      <c r="AG2" s="12">
        <v>8406.5494833333341</v>
      </c>
      <c r="AH2" s="12">
        <v>8453.4011233333331</v>
      </c>
      <c r="AI2" s="12">
        <v>8794.16</v>
      </c>
      <c r="AJ2" s="12" t="s">
        <v>62</v>
      </c>
      <c r="AK2" s="12">
        <v>8510.6417183333342</v>
      </c>
      <c r="AL2" s="12">
        <v>8545.8975250000003</v>
      </c>
      <c r="AM2" s="12">
        <v>8589.9672833333352</v>
      </c>
      <c r="AN2" s="12">
        <v>8737.4070000000011</v>
      </c>
      <c r="AO2" s="12">
        <v>8825.2685999999994</v>
      </c>
      <c r="AP2" s="12">
        <v>8909.6072916666672</v>
      </c>
      <c r="AQ2" s="12">
        <v>9444.1710766666674</v>
      </c>
      <c r="AR2" s="12">
        <v>9509.9537716666673</v>
      </c>
      <c r="AS2" s="12">
        <v>9562.5799276666676</v>
      </c>
      <c r="AT2" s="12">
        <v>10021.620000000001</v>
      </c>
      <c r="AU2" s="12" t="s">
        <v>63</v>
      </c>
      <c r="AW2" s="12">
        <f>IF(A2="","",MAX(0,MIN(1,(((IF(Статистика!$C$4="Параллельный режим (активная мощность)",B2,M2)+Статистика!$J$4))-Статистика!$C$10)/MAX(Статистика!$G$10-Статистика!$C$10,0.000001))))</f>
        <v>0</v>
      </c>
      <c r="AX2" s="12">
        <f>IF(A2="","",MAX(0,MAX(0,MIN(1,(((IF(Статистика!$C$4="Параллельный режим (активная мощность)",D2,O2)+Статистика!$J$4))-Статистика!$C$10)/MAX(Статистика!$G$10-Статистика!$C$10,0.000001)))-MAX(0,MIN(1,(((IF(Статистика!$C$4="Параллельный режим (активная мощность)",B2,M2)+Статистика!$J$4))-Статистика!$C$10)/MAX(Статистика!$G$10-Статистика!$C$10,0.000001)))))</f>
        <v>0.43086175500000018</v>
      </c>
      <c r="AY2" s="12">
        <f>IF(A2="","",MAX(0,MAX(0,MIN(1,(((IF(Статистика!$C$4="Параллельный режим (активная мощность)",E2,P2)+Статистика!$J$4))-Статистика!$C$10)/MAX(Статистика!$G$10-Статистика!$C$10,0.000001)))-MAX(0,MIN(1,(((IF(Статистика!$C$4="Параллельный режим (активная мощность)",D2,O2)+Статистика!$J$4))-Статистика!$C$10)/MAX(Статистика!$G$10-Статистика!$C$10,0.000001)))))</f>
        <v>0.10951052555555513</v>
      </c>
      <c r="AZ2" s="12">
        <f>IF(A2="","",MAX(0,MAX(0,MIN(1,(((IF(Статистика!$C$4="Параллельный режим (активная мощность)",F2,Q2)+Статистика!$J$4))-Статистика!$C$10)/MAX(Статистика!$G$10-Статистика!$C$10,0.000001)))-MAX(0,MIN(1,(((IF(Статистика!$C$4="Параллельный режим (активная мощность)",E2,P2)+Статистика!$J$4))-Статистика!$C$10)/MAX(Статистика!$G$10-Статистика!$C$10,0.000001)))))</f>
        <v>5.3997486111111437E-2</v>
      </c>
      <c r="BA2" s="12">
        <f>IF(A2="","",MAX(0,MAX(0,MIN(1,(((IF(Статистика!$C$4="Параллельный режим (активная мощность)",G2,R2)+Статистика!$J$4))-Статистика!$C$10)/MAX(Статистика!$G$10-Статистика!$C$10,0.000001)))-MAX(0,MIN(1,(((IF(Статистика!$C$4="Параллельный режим (активная мощность)",F2,Q2)+Статистика!$J$4))-Статистика!$C$10)/MAX(Статистика!$G$10-Статистика!$C$10,0.000001)))))</f>
        <v>9.7918158333333172E-2</v>
      </c>
      <c r="BB2" s="12">
        <f>IF(A2="","",MAX(0,MAX(0,MIN(1,(((IF(Статистика!$C$4="Параллельный режим (активная мощность)",H2,S2)+Статистика!$J$4))-Статистика!$C$10)/MAX(Статистика!$G$10-Статистика!$C$10,0.000001)))-MAX(0,MIN(1,(((IF(Статистика!$C$4="Параллельный режим (активная мощность)",G2,R2)+Статистика!$J$4))-Статистика!$C$10)/MAX(Статистика!$G$10-Статистика!$C$10,0.000001)))))</f>
        <v>3.8516260555555459E-2</v>
      </c>
      <c r="BC2" s="12">
        <f>IF(A2="","",MAX(0,MAX(0,MIN(1,(((IF(Статистика!$C$4="Параллельный режим (активная мощность)",J2,U2)+Статистика!$J$4))-Статистика!$C$10)/MAX(Статистика!$G$10-Статистика!$C$10,0.000001)))-MAX(0,MIN(1,(((IF(Статистика!$C$4="Параллельный режим (активная мощность)",H2,S2)+Статистика!$J$4))-Статистика!$C$10)/MAX(Статистика!$G$10-Статистика!$C$10,0.000001)))))</f>
        <v>6.5125181499999574E-2</v>
      </c>
      <c r="BD2" s="12">
        <f>IF(A2="","",MAX(0,1-MAX(0,MIN(1,(((IF(Статистика!$C$4="Параллельный режим (активная мощность)",J2,U2)+Статистика!$J$4))-Статистика!$C$10)/MAX(Статистика!$G$10-Статистика!$C$10,0.000001)))))</f>
        <v>0.20407063294444505</v>
      </c>
      <c r="BE2" s="12">
        <f>IF(A2="",NA(),IF(Статистика!$B$8="Вкл",(((IF(Статистика!$C$4="Параллельный режим (активная мощность)",F2,Q2)+Статистика!$J$4))-Статистика!$C$10)/MAX(Статистика!$G$10-Статистика!$C$10,0.000001),NA()))</f>
        <v>0.59436976666666674</v>
      </c>
      <c r="BF2" s="12">
        <f>IF(A2="",NA(),IF(Статистика!$D$8="Вкл",(((IF(Статистика!$C$4="Параллельный режим (активная мощность)",E2,P2)+Статистика!$J$4))-Статистика!$C$10)/MAX(Статистика!$G$10-Статистика!$C$10,0.000001),NA()))</f>
        <v>0.54037228055555531</v>
      </c>
      <c r="BG2" s="12">
        <f>IF(A2="",NA(),IF(Статистика!$D$8="Вкл",(((IF(Статистика!$C$4="Параллельный режим (активная мощность)",G2,R2)+Статистика!$J$4))-Статистика!$C$10)/MAX(Статистика!$G$10-Статистика!$C$10,0.000001),NA()))</f>
        <v>0.69228792499999992</v>
      </c>
      <c r="BH2" s="12">
        <f>IF(A2="",NA(),IF(Статистика!$F$8="Вкл",(((IF(Статистика!$C$4="Параллельный режим (активная мощность)",D2,O2)+Статистика!$J$4))-Статистика!$C$10)/MAX(Статистика!$G$10-Статистика!$C$10,0.000001),NA()))</f>
        <v>0.43086175500000018</v>
      </c>
      <c r="BI2" s="12">
        <f>IF(A2="",NA(),IF(Статистика!$F$8="Вкл",(((IF(Статистика!$C$4="Параллельный режим (активная мощность)",H2,S2)+Статистика!$J$4))-Статистика!$C$10)/MAX(Статистика!$G$10-Статистика!$C$10,0.000001),NA()))</f>
        <v>0.73080418555555537</v>
      </c>
      <c r="BJ2" s="12">
        <f>IF(A2="",NA(),IF(Статистика!$H$8="Вкл",(((IF(Статистика!$C$4="Параллельный режим (активная мощность)",B2,M2)+Статистика!$J$4))-Статистика!$C$10)/MAX(Статистика!$G$10-Статистика!$C$10,0.000001),NA()))</f>
        <v>-1.2363834199999999</v>
      </c>
      <c r="BK2" s="12">
        <f>IF(A2="",NA(),IF(Статистика!$H$8="Вкл",(((IF(Статистика!$C$4="Параллельный режим (активная мощность)",J2,U2)+Статистика!$J$4))-Статистика!$C$10)/MAX(Статистика!$G$10-Статистика!$C$10,0.000001),NA()))</f>
        <v>0.79592936705555495</v>
      </c>
      <c r="BL2" s="12" t="e">
        <f>IF(A2="",NA(),IF(Статистика!$J$8="Вкл",(((IF(Статистика!$C$4="Параллельный режим (активная мощность)",K2,V2)+Статистика!$J$4))-Статистика!$C$10)/MAX(Статистика!$G$10-Статистика!$C$10,0.000001),NA()))</f>
        <v>#N/A</v>
      </c>
      <c r="BM2" s="12" t="e">
        <f>IF(AND(A2&lt;&gt;"",Статистика!$C$6="Вкл",Статистика!$B$6&gt;0),(Статистика!$B$6-Статистика!$C$10)/MAX(Статистика!$G$10-Статистика!$C$10,0.000001),NA())</f>
        <v>#N/A</v>
      </c>
      <c r="BN2" s="12" t="e">
        <f>IF(AND(A2&lt;&gt;"",Статистика!$F$6="Вкл",Статистика!$E$6&gt;0),(Статистика!$E$6-Статистика!$C$10)/MAX(Статистика!$G$10-Статистика!$C$10,0.000001),NA())</f>
        <v>#N/A</v>
      </c>
      <c r="BO2" s="12" t="e">
        <f>IF(AND(A2&lt;&gt;"",Статистика!$I$6="Вкл",Статистика!$H$6&gt;0),(Статистика!$H$6-Статистика!$C$10)/MAX(Статистика!$G$10-Статистика!$C$10,0.000001),NA())</f>
        <v>#N/A</v>
      </c>
      <c r="BP2" s="12" t="e">
        <f>IF(AND(A2&lt;&gt;"",Статистика!$L$6="Вкл",Статистика!$K$6&gt;0),(Статистика!$K$6-Статистика!$C$10)/MAX(Статистика!$G$10-Статистика!$C$10,0.000001),NA())</f>
        <v>#N/A</v>
      </c>
      <c r="BQ2" s="12" t="e">
        <f>IF(AND(A2&lt;&gt;"",Статистика!$M$6="Вкл",Статистика!$O$6&gt;0),(Статистика!$O$6-Статистика!$C$10)/MAX(Статистика!$G$10-Статистика!$C$10,0.000001),NA())</f>
        <v>#N/A</v>
      </c>
      <c r="BR2" s="12">
        <f t="shared" ref="BR2:BR65" si="0">IF(A2="",NA(),1)</f>
        <v>1</v>
      </c>
      <c r="BS2" s="10">
        <f>Статистика!$G$10</f>
        <v>9000</v>
      </c>
      <c r="BT2" s="12">
        <f>IF(Y2="","",MAX(0,MIN(1,(((IF(Статистика!$C$4="Параллельный режим (активная мощность)",Z2,AK2)+Статистика!$J$4))-Статистика!$C$10)/MAX(Статистика!$G$10-Статистика!$C$10,0.000001))))</f>
        <v>0.49855978738888884</v>
      </c>
      <c r="BU2" s="12">
        <f>IF(Y2="","",MAX(0,MAX(0,MIN(1,(((IF(Статистика!$C$4="Параллельный режим (активная мощность)",AB2,AM2)+Статистика!$J$4))-Статистика!$C$10)/MAX(Статистика!$G$10-Статистика!$C$10,0.000001)))-MAX(0,MIN(1,(((IF(Статистика!$C$4="Параллельный режим (активная мощность)",Z2,AK2)+Статистика!$J$4))-Статистика!$C$10)/MAX(Статистика!$G$10-Статистика!$C$10,0.000001)))))</f>
        <v>2.3190986500000066E-2</v>
      </c>
      <c r="BV2" s="12">
        <f>IF(Y2="","",MAX(0,MAX(0,MIN(1,(((IF(Статистика!$C$4="Параллельный режим (активная мощность)",AC2,AN2)+Статистика!$J$4))-Статистика!$C$10)/MAX(Статистика!$G$10-Статистика!$C$10,0.000001)))-MAX(0,MIN(1,(((IF(Статистика!$C$4="Параллельный режим (активная мощность)",AB2,AM2)+Статистика!$J$4))-Статистика!$C$10)/MAX(Статистика!$G$10-Статистика!$C$10,0.000001)))))</f>
        <v>4.1000267777777766E-2</v>
      </c>
      <c r="BW2" s="12">
        <f>IF(Y2="","",MAX(0,MAX(0,MIN(1,(((IF(Статистика!$C$4="Параллельный режим (активная мощность)",AD2,AO2)+Статистика!$J$4))-Статистика!$C$10)/MAX(Статистика!$G$10-Статистика!$C$10,0.000001)))-MAX(0,MIN(1,(((IF(Статистика!$C$4="Параллельный режим (активная мощность)",AC2,AN2)+Статистика!$J$4))-Статистика!$C$10)/MAX(Статистика!$G$10-Статистика!$C$10,0.000001)))))</f>
        <v>2.2182669444444136E-2</v>
      </c>
      <c r="BX2" s="12">
        <f>IF(Y2="","",MAX(0,MAX(0,MIN(1,(((IF(Статистика!$C$4="Параллельный режим (активная мощность)",AE2,AP2)+Статистика!$J$4))-Статистика!$C$10)/MAX(Статистика!$G$10-Статистика!$C$10,0.000001)))-MAX(0,MIN(1,(((IF(Статистика!$C$4="Параллельный режим (активная мощность)",AD2,AO2)+Статистика!$J$4))-Статистика!$C$10)/MAX(Статистика!$G$10-Статистика!$C$10,0.000001)))))</f>
        <v>2.9423166666667111E-2</v>
      </c>
      <c r="BY2" s="12">
        <f>IF(Y2="","",MAX(0,MAX(0,MIN(1,(((IF(Статистика!$C$4="Параллельный режим (активная мощность)",AF2,AQ2)+Статистика!$J$4))-Статистика!$C$10)/MAX(Статистика!$G$10-Статистика!$C$10,0.000001)))-MAX(0,MIN(1,(((IF(Статистика!$C$4="Параллельный режим (активная мощность)",AE2,AP2)+Статистика!$J$4))-Статистика!$C$10)/MAX(Статистика!$G$10-Статистика!$C$10,0.000001)))))</f>
        <v>0.16830476666666649</v>
      </c>
      <c r="BZ2" s="12">
        <f>IF(Y2="","",MAX(0,MAX(0,MIN(1,(((IF(Статистика!$C$4="Параллельный режим (активная мощность)",AH2,AS2)+Статистика!$J$4))-Статистика!$C$10)/MAX(Статистика!$G$10-Статистика!$C$10,0.000001)))-MAX(0,MIN(1,(((IF(Статистика!$C$4="Параллельный режим (активная мощность)",AF2,AQ2)+Статистика!$J$4))-Статистика!$C$10)/MAX(Статистика!$G$10-Статистика!$C$10,0.000001)))))</f>
        <v>3.5138729999999896E-2</v>
      </c>
      <c r="CA2" s="12">
        <f>IF(Y2="","",MAX(0,1-MAX(0,MIN(1,(((IF(Статистика!$C$4="Параллельный режим (активная мощность)",AH2,AS2)+Статистика!$J$4))-Статистика!$C$10)/MAX(Статистика!$G$10-Статистика!$C$10,0.000001)))))</f>
        <v>0.18219962555555569</v>
      </c>
      <c r="CB2" s="12">
        <f>IF(Y2="",NA(),IF(Статистика!$B$8="Вкл",(((IF(Статистика!$C$4="Параллельный режим (активная мощность)",AD2,AO2)+Статистика!$J$4))-Статистика!$C$10)/MAX(Статистика!$G$10-Статистика!$C$10,0.000001),NA()))</f>
        <v>0.58493371111111081</v>
      </c>
      <c r="CC2" s="12">
        <f>IF(Y2="",NA(),IF(Статистика!$D$8="Вкл",(((IF(Статистика!$C$4="Параллельный режим (активная мощность)",AC2,AN2)+Статистика!$J$4))-Статистика!$C$10)/MAX(Статистика!$G$10-Статистика!$C$10,0.000001),NA()))</f>
        <v>0.56275104166666667</v>
      </c>
      <c r="CD2" s="12">
        <f>IF(Y2="",NA(),IF(Статистика!$D$8="Вкл",(((IF(Статистика!$C$4="Параллельный режим (активная мощность)",AE2,AP2)+Статистика!$J$4))-Статистика!$C$10)/MAX(Статистика!$G$10-Статистика!$C$10,0.000001),NA()))</f>
        <v>0.61435687777777792</v>
      </c>
      <c r="CE2" s="12">
        <f>IF(Y2="",NA(),IF(Статистика!$F$8="Вкл",(((IF(Статистика!$C$4="Параллельный режим (активная мощность)",AB2,AM2)+Статистика!$J$4))-Статистика!$C$10)/MAX(Статистика!$G$10-Статистика!$C$10,0.000001),NA()))</f>
        <v>0.52175077388888891</v>
      </c>
      <c r="CF2" s="12">
        <f>IF(Y2="",NA(),IF(Статистика!$F$8="Вкл",(((IF(Статистика!$C$4="Параллельный режим (активная мощность)",AF2,AQ2)+Статистика!$J$4))-Статистика!$C$10)/MAX(Статистика!$G$10-Статистика!$C$10,0.000001),NA()))</f>
        <v>0.78266164444444442</v>
      </c>
      <c r="CG2" s="12">
        <f>IF(Y2="",NA(),IF(Статистика!$H$8="Вкл",(((IF(Статистика!$C$4="Параллельный режим (активная мощность)",Z2,AK2)+Статистика!$J$4))-Статистика!$C$10)/MAX(Статистика!$G$10-Статистика!$C$10,0.000001),NA()))</f>
        <v>0.49855978738888884</v>
      </c>
      <c r="CH2" s="12">
        <f>IF(Y2="",NA(),IF(Статистика!$H$8="Вкл",(((IF(Статистика!$C$4="Параллельный режим (активная мощность)",AH2,AS2)+Статистика!$J$4))-Статистика!$C$10)/MAX(Статистика!$G$10-Статистика!$C$10,0.000001),NA()))</f>
        <v>0.81780037444444431</v>
      </c>
      <c r="CI2" s="12" t="e">
        <f>IF(Y2="",NA(),IF(Статистика!$J$8="Вкл",(((IF(Статистика!$C$4="Параллельный режим (активная мощность)",AI2,AT2)+Статистика!$J$4))-Статистика!$C$10)/MAX(Статистика!$G$10-Статистика!$C$10,0.000001),NA()))</f>
        <v>#N/A</v>
      </c>
      <c r="CJ2" s="12" t="e">
        <f>IF(AND(Y2&lt;&gt;"",Статистика!$C$6="Вкл",Статистика!$B$6&gt;0),(Статистика!$B$6-Статистика!$C$10)/MAX(Статистика!$G$10-Статистика!$C$10,0.000001),NA())</f>
        <v>#N/A</v>
      </c>
      <c r="CK2" s="12" t="e">
        <f>IF(AND(Y2&lt;&gt;"",Статистика!$F$6="Вкл",Статистика!$E$6&gt;0),(Статистика!$E$6-Статистика!$C$10)/MAX(Статистика!$G$10-Статистика!$C$10,0.000001),NA())</f>
        <v>#N/A</v>
      </c>
      <c r="CL2" s="12" t="e">
        <f>IF(AND(Y2&lt;&gt;"",Статистика!$I$6="Вкл",Статистика!$H$6&gt;0),(Статистика!$H$6-Статистика!$C$10)/MAX(Статистика!$G$10-Статистика!$C$10,0.000001),NA())</f>
        <v>#N/A</v>
      </c>
      <c r="CM2" s="12" t="e">
        <f>IF(AND(Y2&lt;&gt;"",Статистика!$L$6="Вкл",Статистика!$K$6&gt;0),(Статистика!$K$6-Статистика!$C$10)/MAX(Статистика!$G$10-Статистика!$C$10,0.000001),NA())</f>
        <v>#N/A</v>
      </c>
      <c r="CN2" s="12" t="e">
        <f>IF(AND(Y2&lt;&gt;"",Статистика!$M$6="Вкл",Статистика!$O$6&gt;0),(Статистика!$O$6-Статистика!$C$10)/MAX(Статистика!$G$10-Статистика!$C$10,0.000001),NA())</f>
        <v>#N/A</v>
      </c>
      <c r="CO2" s="12">
        <f t="shared" ref="CO2:CO65" si="1">IF(Y2="",NA(),1)</f>
        <v>1</v>
      </c>
    </row>
    <row r="3" spans="1:93" ht="15" customHeight="1">
      <c r="A3" s="12" t="s">
        <v>64</v>
      </c>
      <c r="B3" s="12">
        <v>2277.0490984999997</v>
      </c>
      <c r="C3" s="12">
        <v>5612.8993591666667</v>
      </c>
      <c r="D3" s="12">
        <v>7326.6057800000008</v>
      </c>
      <c r="E3" s="12">
        <v>7687.4257250000001</v>
      </c>
      <c r="F3" s="12">
        <v>7819.9024833333333</v>
      </c>
      <c r="G3" s="12">
        <v>8084.8902500000013</v>
      </c>
      <c r="H3" s="12">
        <v>8285.4435549999998</v>
      </c>
      <c r="I3" s="12">
        <v>8336.0570733333352</v>
      </c>
      <c r="J3" s="12">
        <v>8382.4363480000011</v>
      </c>
      <c r="K3" s="12">
        <v>8507.19</v>
      </c>
      <c r="L3" s="12" t="s">
        <v>65</v>
      </c>
      <c r="M3" s="12">
        <v>2831.2580721666664</v>
      </c>
      <c r="N3" s="12">
        <v>6487.2006275000003</v>
      </c>
      <c r="O3" s="12">
        <v>8337.3426216666667</v>
      </c>
      <c r="P3" s="12">
        <v>8724.6840833333335</v>
      </c>
      <c r="Q3" s="12">
        <v>8871.7630500000014</v>
      </c>
      <c r="R3" s="12">
        <v>9145.6436749999993</v>
      </c>
      <c r="S3" s="12">
        <v>9355.6514366666652</v>
      </c>
      <c r="T3" s="12">
        <v>9422.3765624999996</v>
      </c>
      <c r="U3" s="12">
        <v>9502.2438191666661</v>
      </c>
      <c r="V3" s="12">
        <v>9658.15</v>
      </c>
      <c r="W3" s="12" t="s">
        <v>65</v>
      </c>
      <c r="Y3" s="12" t="s">
        <v>64</v>
      </c>
      <c r="Z3" s="12">
        <v>7472.5164696666661</v>
      </c>
      <c r="AA3" s="12">
        <v>7529.7856816666663</v>
      </c>
      <c r="AB3" s="12">
        <v>7601.3721966666662</v>
      </c>
      <c r="AC3" s="12">
        <v>7733.6933250000011</v>
      </c>
      <c r="AD3" s="12">
        <v>7824.4735833333343</v>
      </c>
      <c r="AE3" s="12">
        <v>7949.1734500000002</v>
      </c>
      <c r="AF3" s="12">
        <v>8365.3861350000006</v>
      </c>
      <c r="AG3" s="12">
        <v>8442.3270008333348</v>
      </c>
      <c r="AH3" s="12">
        <v>8503.8796935000009</v>
      </c>
      <c r="AI3" s="12">
        <v>8604.5300000000007</v>
      </c>
      <c r="AJ3" s="12" t="s">
        <v>66</v>
      </c>
      <c r="AK3" s="12">
        <v>8481.0515338333335</v>
      </c>
      <c r="AL3" s="12">
        <v>8549.1596691666673</v>
      </c>
      <c r="AM3" s="12">
        <v>8634.2948383333332</v>
      </c>
      <c r="AN3" s="12">
        <v>8809.5933999999997</v>
      </c>
      <c r="AO3" s="12">
        <v>8882.4382166666655</v>
      </c>
      <c r="AP3" s="12">
        <v>9044.313741666665</v>
      </c>
      <c r="AQ3" s="12">
        <v>9480.4939866666664</v>
      </c>
      <c r="AR3" s="12">
        <v>9566.257943333334</v>
      </c>
      <c r="AS3" s="12">
        <v>9634.8691086666677</v>
      </c>
      <c r="AT3" s="12">
        <v>9823.4500000000007</v>
      </c>
      <c r="AU3" s="12" t="s">
        <v>67</v>
      </c>
      <c r="AW3" s="12">
        <f>IF(A3="","",MAX(0,MIN(1,(((IF(Статистика!$C$4="Параллельный режим (активная мощность)",B3,M3)+Статистика!$J$4))-Статистика!$C$10)/MAX(Статистика!$G$10-Статистика!$C$10,0.000001))))</f>
        <v>0</v>
      </c>
      <c r="AX3" s="12">
        <f>IF(A3="","",MAX(0,MAX(0,MIN(1,(((IF(Статистика!$C$4="Параллельный режим (активная мощность)",D3,O3)+Статистика!$J$4))-Статистика!$C$10)/MAX(Статистика!$G$10-Статистика!$C$10,0.000001)))-MAX(0,MIN(1,(((IF(Статистика!$C$4="Параллельный режим (активная мощность)",B3,M3)+Статистика!$J$4))-Статистика!$C$10)/MAX(Статистика!$G$10-Статистика!$C$10,0.000001)))))</f>
        <v>0.44220192666666691</v>
      </c>
      <c r="AY3" s="12">
        <f>IF(A3="","",MAX(0,MAX(0,MIN(1,(((IF(Статистика!$C$4="Параллельный режим (активная мощность)",E3,P3)+Статистика!$J$4))-Статистика!$C$10)/MAX(Статистика!$G$10-Статистика!$C$10,0.000001)))-MAX(0,MIN(1,(((IF(Статистика!$C$4="Параллельный режим (активная мощность)",D3,O3)+Статистика!$J$4))-Статистика!$C$10)/MAX(Статистика!$G$10-Статистика!$C$10,0.000001)))))</f>
        <v>0.12027331499999983</v>
      </c>
      <c r="AZ3" s="12">
        <f>IF(A3="","",MAX(0,MAX(0,MIN(1,(((IF(Статистика!$C$4="Параллельный режим (активная мощность)",F3,Q3)+Статистика!$J$4))-Статистика!$C$10)/MAX(Статистика!$G$10-Статистика!$C$10,0.000001)))-MAX(0,MIN(1,(((IF(Статистика!$C$4="Параллельный режим (активная мощность)",E3,P3)+Статистика!$J$4))-Статистика!$C$10)/MAX(Статистика!$G$10-Статистика!$C$10,0.000001)))))</f>
        <v>4.4158919444444389E-2</v>
      </c>
      <c r="BA3" s="12">
        <f>IF(A3="","",MAX(0,MAX(0,MIN(1,(((IF(Статистика!$C$4="Параллельный режим (активная мощность)",G3,R3)+Статистика!$J$4))-Статистика!$C$10)/MAX(Статистика!$G$10-Статистика!$C$10,0.000001)))-MAX(0,MIN(1,(((IF(Статистика!$C$4="Параллельный режим (активная мощность)",F3,Q3)+Статистика!$J$4))-Статистика!$C$10)/MAX(Статистика!$G$10-Статистика!$C$10,0.000001)))))</f>
        <v>8.832925555555593E-2</v>
      </c>
      <c r="BB3" s="12">
        <f>IF(A3="","",MAX(0,MAX(0,MIN(1,(((IF(Статистика!$C$4="Параллельный режим (активная мощность)",H3,S3)+Статистика!$J$4))-Статистика!$C$10)/MAX(Статистика!$G$10-Статистика!$C$10,0.000001)))-MAX(0,MIN(1,(((IF(Статистика!$C$4="Параллельный режим (активная мощность)",G3,R3)+Статистика!$J$4))-Статистика!$C$10)/MAX(Статистика!$G$10-Статистика!$C$10,0.000001)))))</f>
        <v>6.6851101666666191E-2</v>
      </c>
      <c r="BC3" s="12">
        <f>IF(A3="","",MAX(0,MAX(0,MIN(1,(((IF(Статистика!$C$4="Параллельный режим (активная мощность)",J3,U3)+Статистика!$J$4))-Статистика!$C$10)/MAX(Статистика!$G$10-Статистика!$C$10,0.000001)))-MAX(0,MIN(1,(((IF(Статистика!$C$4="Параллельный режим (активная мощность)",H3,S3)+Статистика!$J$4))-Статистика!$C$10)/MAX(Статистика!$G$10-Статистика!$C$10,0.000001)))))</f>
        <v>3.2330931000000396E-2</v>
      </c>
      <c r="BD3" s="12">
        <f>IF(A3="","",MAX(0,1-MAX(0,MIN(1,(((IF(Статистика!$C$4="Параллельный режим (активная мощность)",J3,U3)+Статистика!$J$4))-Статистика!$C$10)/MAX(Статистика!$G$10-Статистика!$C$10,0.000001)))))</f>
        <v>0.20585455066666636</v>
      </c>
      <c r="BE3" s="12">
        <f>IF(A3="",NA(),IF(Статистика!$B$8="Вкл",(((IF(Статистика!$C$4="Параллельный режим (активная мощность)",F3,Q3)+Статистика!$J$4))-Статистика!$C$10)/MAX(Статистика!$G$10-Статистика!$C$10,0.000001),NA()))</f>
        <v>0.60663416111111113</v>
      </c>
      <c r="BF3" s="12">
        <f>IF(A3="",NA(),IF(Статистика!$D$8="Вкл",(((IF(Статистика!$C$4="Параллельный режим (активная мощность)",E3,P3)+Статистика!$J$4))-Статистика!$C$10)/MAX(Статистика!$G$10-Статистика!$C$10,0.000001),NA()))</f>
        <v>0.56247524166666674</v>
      </c>
      <c r="BG3" s="12">
        <f>IF(A3="",NA(),IF(Статистика!$D$8="Вкл",(((IF(Статистика!$C$4="Параллельный режим (активная мощность)",G3,R3)+Статистика!$J$4))-Статистика!$C$10)/MAX(Статистика!$G$10-Статистика!$C$10,0.000001),NA()))</f>
        <v>0.69496341666666706</v>
      </c>
      <c r="BH3" s="12">
        <f>IF(A3="",NA(),IF(Статистика!$F$8="Вкл",(((IF(Статистика!$C$4="Параллельный режим (активная мощность)",D3,O3)+Статистика!$J$4))-Статистика!$C$10)/MAX(Статистика!$G$10-Статистика!$C$10,0.000001),NA()))</f>
        <v>0.44220192666666691</v>
      </c>
      <c r="BI3" s="12">
        <f>IF(A3="",NA(),IF(Статистика!$F$8="Вкл",(((IF(Статистика!$C$4="Параллельный режим (активная мощность)",H3,S3)+Статистика!$J$4))-Статистика!$C$10)/MAX(Статистика!$G$10-Статистика!$C$10,0.000001),NA()))</f>
        <v>0.76181451833333325</v>
      </c>
      <c r="BJ3" s="12">
        <f>IF(A3="",NA(),IF(Статистика!$H$8="Вкл",(((IF(Статистика!$C$4="Параллельный режим (активная мощность)",B3,M3)+Статистика!$J$4))-Статистика!$C$10)/MAX(Статистика!$G$10-Статистика!$C$10,0.000001),NA()))</f>
        <v>-1.2409836338333335</v>
      </c>
      <c r="BK3" s="12">
        <f>IF(A3="",NA(),IF(Статистика!$H$8="Вкл",(((IF(Статистика!$C$4="Параллельный режим (активная мощность)",J3,U3)+Статистика!$J$4))-Статистика!$C$10)/MAX(Статистика!$G$10-Статистика!$C$10,0.000001),NA()))</f>
        <v>0.79414544933333364</v>
      </c>
      <c r="BL3" s="12" t="e">
        <f>IF(A3="",NA(),IF(Статистика!$J$8="Вкл",(((IF(Статистика!$C$4="Параллельный режим (активная мощность)",K3,V3)+Статистика!$J$4))-Статистика!$C$10)/MAX(Статистика!$G$10-Статистика!$C$10,0.000001),NA()))</f>
        <v>#N/A</v>
      </c>
      <c r="BM3" s="12" t="e">
        <f>IF(AND(A3&lt;&gt;"",Статистика!$C$6="Вкл",Статистика!$B$6&gt;0),(Статистика!$B$6-Статистика!$C$10)/MAX(Статистика!$G$10-Статистика!$C$10,0.000001),NA())</f>
        <v>#N/A</v>
      </c>
      <c r="BN3" s="12" t="e">
        <f>IF(AND(A3&lt;&gt;"",Статистика!$F$6="Вкл",Статистика!$E$6&gt;0),(Статистика!$E$6-Статистика!$C$10)/MAX(Статистика!$G$10-Статистика!$C$10,0.000001),NA())</f>
        <v>#N/A</v>
      </c>
      <c r="BO3" s="12" t="e">
        <f>IF(AND(A3&lt;&gt;"",Статистика!$I$6="Вкл",Статистика!$H$6&gt;0),(Статистика!$H$6-Статистика!$C$10)/MAX(Статистика!$G$10-Статистика!$C$10,0.000001),NA())</f>
        <v>#N/A</v>
      </c>
      <c r="BP3" s="12" t="e">
        <f>IF(AND(A3&lt;&gt;"",Статистика!$L$6="Вкл",Статистика!$K$6&gt;0),(Статистика!$K$6-Статистика!$C$10)/MAX(Статистика!$G$10-Статистика!$C$10,0.000001),NA())</f>
        <v>#N/A</v>
      </c>
      <c r="BQ3" s="12" t="e">
        <f>IF(AND(A3&lt;&gt;"",Статистика!$M$6="Вкл",Статистика!$O$6&gt;0),(Статистика!$O$6-Статистика!$C$10)/MAX(Статистика!$G$10-Статистика!$C$10,0.000001),NA())</f>
        <v>#N/A</v>
      </c>
      <c r="BR3" s="12">
        <f t="shared" si="0"/>
        <v>1</v>
      </c>
      <c r="BT3" s="12">
        <f>IF(Y3="","",MAX(0,MIN(1,(((IF(Статистика!$C$4="Параллельный режим (активная мощность)",Z3,AK3)+Статистика!$J$4))-Статистика!$C$10)/MAX(Статистика!$G$10-Статистика!$C$10,0.000001))))</f>
        <v>0.49083882322222205</v>
      </c>
      <c r="BU3" s="12">
        <f>IF(Y3="","",MAX(0,MAX(0,MIN(1,(((IF(Статистика!$C$4="Параллельный режим (активная мощность)",AB3,AM3)+Статистика!$J$4))-Статистика!$C$10)/MAX(Статистика!$G$10-Статистика!$C$10,0.000001)))-MAX(0,MIN(1,(((IF(Статистика!$C$4="Параллельный режим (активная мощность)",Z3,AK3)+Статистика!$J$4))-Статистика!$C$10)/MAX(Статистика!$G$10-Статистика!$C$10,0.000001)))))</f>
        <v>4.295190900000001E-2</v>
      </c>
      <c r="BV3" s="12">
        <f>IF(Y3="","",MAX(0,MAX(0,MIN(1,(((IF(Статистика!$C$4="Параллельный режим (активная мощность)",AC3,AN3)+Статистика!$J$4))-Статистика!$C$10)/MAX(Статистика!$G$10-Статистика!$C$10,0.000001)))-MAX(0,MIN(1,(((IF(Статистика!$C$4="Параллельный режим (активная мощность)",AB3,AM3)+Статистика!$J$4))-Статистика!$C$10)/MAX(Статистика!$G$10-Статистика!$C$10,0.000001)))))</f>
        <v>4.4107042777778327E-2</v>
      </c>
      <c r="BW3" s="12">
        <f>IF(Y3="","",MAX(0,MAX(0,MIN(1,(((IF(Статистика!$C$4="Параллельный режим (активная мощность)",AD3,AO3)+Статистика!$J$4))-Статистика!$C$10)/MAX(Статистика!$G$10-Статистика!$C$10,0.000001)))-MAX(0,MIN(1,(((IF(Статистика!$C$4="Параллельный режим (активная мощность)",AC3,AN3)+Статистика!$J$4))-Статистика!$C$10)/MAX(Статистика!$G$10-Статистика!$C$10,0.000001)))))</f>
        <v>3.0260086111111084E-2</v>
      </c>
      <c r="BX3" s="12">
        <f>IF(Y3="","",MAX(0,MAX(0,MIN(1,(((IF(Статистика!$C$4="Параллельный режим (активная мощность)",AE3,AP3)+Статистика!$J$4))-Статистика!$C$10)/MAX(Статистика!$G$10-Статистика!$C$10,0.000001)))-MAX(0,MIN(1,(((IF(Статистика!$C$4="Параллельный режим (активная мощность)",AD3,AO3)+Статистика!$J$4))-Статистика!$C$10)/MAX(Статистика!$G$10-Статистика!$C$10,0.000001)))))</f>
        <v>4.1566622222221961E-2</v>
      </c>
      <c r="BY3" s="12">
        <f>IF(Y3="","",MAX(0,MAX(0,MIN(1,(((IF(Статистика!$C$4="Параллельный режим (активная мощность)",AF3,AQ3)+Статистика!$J$4))-Статистика!$C$10)/MAX(Статистика!$G$10-Статистика!$C$10,0.000001)))-MAX(0,MIN(1,(((IF(Статистика!$C$4="Параллельный режим (активная мощность)",AE3,AP3)+Статистика!$J$4))-Статистика!$C$10)/MAX(Статистика!$G$10-Статистика!$C$10,0.000001)))))</f>
        <v>0.13873756166666673</v>
      </c>
      <c r="BZ3" s="12">
        <f>IF(Y3="","",MAX(0,MAX(0,MIN(1,(((IF(Статистика!$C$4="Параллельный режим (активная мощность)",AH3,AS3)+Статистика!$J$4))-Статистика!$C$10)/MAX(Статистика!$G$10-Статистика!$C$10,0.000001)))-MAX(0,MIN(1,(((IF(Статистика!$C$4="Параллельный режим (активная мощность)",AF3,AQ3)+Статистика!$J$4))-Статистика!$C$10)/MAX(Статистика!$G$10-Статистика!$C$10,0.000001)))))</f>
        <v>4.6164519500000112E-2</v>
      </c>
      <c r="CA3" s="12">
        <f>IF(Y3="","",MAX(0,1-MAX(0,MIN(1,(((IF(Статистика!$C$4="Параллельный режим (активная мощность)",AH3,AS3)+Статистика!$J$4))-Статистика!$C$10)/MAX(Статистика!$G$10-Статистика!$C$10,0.000001)))))</f>
        <v>0.16537343549999972</v>
      </c>
      <c r="CB3" s="12">
        <f>IF(Y3="",NA(),IF(Статистика!$B$8="Вкл",(((IF(Статистика!$C$4="Параллельный режим (активная мощность)",AD3,AO3)+Статистика!$J$4))-Статистика!$C$10)/MAX(Статистика!$G$10-Статистика!$C$10,0.000001),NA()))</f>
        <v>0.60815786111111148</v>
      </c>
      <c r="CC3" s="12">
        <f>IF(Y3="",NA(),IF(Статистика!$D$8="Вкл",(((IF(Статистика!$C$4="Параллельный режим (активная мощность)",AC3,AN3)+Статистика!$J$4))-Статистика!$C$10)/MAX(Статистика!$G$10-Статистика!$C$10,0.000001),NA()))</f>
        <v>0.57789777500000039</v>
      </c>
      <c r="CD3" s="12">
        <f>IF(Y3="",NA(),IF(Статистика!$D$8="Вкл",(((IF(Статистика!$C$4="Параллельный режим (активная мощность)",AE3,AP3)+Статистика!$J$4))-Статистика!$C$10)/MAX(Статистика!$G$10-Статистика!$C$10,0.000001),NA()))</f>
        <v>0.64972448333333344</v>
      </c>
      <c r="CE3" s="12">
        <f>IF(Y3="",NA(),IF(Статистика!$F$8="Вкл",(((IF(Статистика!$C$4="Параллельный режим (активная мощность)",AB3,AM3)+Статистика!$J$4))-Статистика!$C$10)/MAX(Статистика!$G$10-Статистика!$C$10,0.000001),NA()))</f>
        <v>0.53379073222222206</v>
      </c>
      <c r="CF3" s="12">
        <f>IF(Y3="",NA(),IF(Статистика!$F$8="Вкл",(((IF(Статистика!$C$4="Параллельный режим (активная мощность)",AF3,AQ3)+Статистика!$J$4))-Статистика!$C$10)/MAX(Статистика!$G$10-Статистика!$C$10,0.000001),NA()))</f>
        <v>0.78846204500000017</v>
      </c>
      <c r="CG3" s="12">
        <f>IF(Y3="",NA(),IF(Статистика!$H$8="Вкл",(((IF(Статистика!$C$4="Параллельный режим (активная мощность)",Z3,AK3)+Статистика!$J$4))-Статистика!$C$10)/MAX(Статистика!$G$10-Статистика!$C$10,0.000001),NA()))</f>
        <v>0.49083882322222205</v>
      </c>
      <c r="CH3" s="12">
        <f>IF(Y3="",NA(),IF(Статистика!$H$8="Вкл",(((IF(Статистика!$C$4="Параллельный режим (активная мощность)",AH3,AS3)+Статистика!$J$4))-Статистика!$C$10)/MAX(Статистика!$G$10-Статистика!$C$10,0.000001),NA()))</f>
        <v>0.83462656450000028</v>
      </c>
      <c r="CI3" s="12" t="e">
        <f>IF(Y3="",NA(),IF(Статистика!$J$8="Вкл",(((IF(Статистика!$C$4="Параллельный режим (активная мощность)",AI3,AT3)+Статистика!$J$4))-Статистика!$C$10)/MAX(Статистика!$G$10-Статистика!$C$10,0.000001),NA()))</f>
        <v>#N/A</v>
      </c>
      <c r="CJ3" s="12" t="e">
        <f>IF(AND(Y3&lt;&gt;"",Статистика!$C$6="Вкл",Статистика!$B$6&gt;0),(Статистика!$B$6-Статистика!$C$10)/MAX(Статистика!$G$10-Статистика!$C$10,0.000001),NA())</f>
        <v>#N/A</v>
      </c>
      <c r="CK3" s="12" t="e">
        <f>IF(AND(Y3&lt;&gt;"",Статистика!$F$6="Вкл",Статистика!$E$6&gt;0),(Статистика!$E$6-Статистика!$C$10)/MAX(Статистика!$G$10-Статистика!$C$10,0.000001),NA())</f>
        <v>#N/A</v>
      </c>
      <c r="CL3" s="12" t="e">
        <f>IF(AND(Y3&lt;&gt;"",Статистика!$I$6="Вкл",Статистика!$H$6&gt;0),(Статистика!$H$6-Статистика!$C$10)/MAX(Статистика!$G$10-Статистика!$C$10,0.000001),NA())</f>
        <v>#N/A</v>
      </c>
      <c r="CM3" s="12" t="e">
        <f>IF(AND(Y3&lt;&gt;"",Статистика!$L$6="Вкл",Статистика!$K$6&gt;0),(Статистика!$K$6-Статистика!$C$10)/MAX(Статистика!$G$10-Статистика!$C$10,0.000001),NA())</f>
        <v>#N/A</v>
      </c>
      <c r="CN3" s="12" t="e">
        <f>IF(AND(Y3&lt;&gt;"",Статистика!$M$6="Вкл",Статистика!$O$6&gt;0),(Статистика!$O$6-Статистика!$C$10)/MAX(Статистика!$G$10-Статистика!$C$10,0.000001),NA())</f>
        <v>#N/A</v>
      </c>
      <c r="CO3" s="12">
        <f t="shared" si="1"/>
        <v>1</v>
      </c>
    </row>
    <row r="4" spans="1:93" ht="15" customHeight="1">
      <c r="A4" s="12" t="s">
        <v>68</v>
      </c>
      <c r="B4" s="12">
        <v>2309.6954166666665</v>
      </c>
      <c r="C4" s="12">
        <v>5684.2224166666665</v>
      </c>
      <c r="D4" s="12">
        <v>7351.9306866666666</v>
      </c>
      <c r="E4" s="12">
        <v>7680.2178333333341</v>
      </c>
      <c r="F4" s="12">
        <v>7895.9934999999987</v>
      </c>
      <c r="G4" s="12">
        <v>8079.156291666668</v>
      </c>
      <c r="H4" s="12">
        <v>8322.0740116666675</v>
      </c>
      <c r="I4" s="12">
        <v>8385.6085441666673</v>
      </c>
      <c r="J4" s="12">
        <v>8473.5702421666683</v>
      </c>
      <c r="K4" s="12">
        <v>8703</v>
      </c>
      <c r="L4" s="12" t="s">
        <v>69</v>
      </c>
      <c r="M4" s="12">
        <v>2873.9088311666665</v>
      </c>
      <c r="N4" s="12">
        <v>6564.0989558333349</v>
      </c>
      <c r="O4" s="12">
        <v>8387.7145166666669</v>
      </c>
      <c r="P4" s="12">
        <v>8737.7407999999996</v>
      </c>
      <c r="Q4" s="12">
        <v>8961.6284999999989</v>
      </c>
      <c r="R4" s="12">
        <v>9116.482441666667</v>
      </c>
      <c r="S4" s="12">
        <v>9382.8914683333351</v>
      </c>
      <c r="T4" s="12">
        <v>9473.8061350000007</v>
      </c>
      <c r="U4" s="12">
        <v>9647.2799203333343</v>
      </c>
      <c r="V4" s="12">
        <v>9971.0499999999993</v>
      </c>
      <c r="W4" s="12" t="s">
        <v>69</v>
      </c>
      <c r="Y4" s="12" t="s">
        <v>68</v>
      </c>
      <c r="Z4" s="12">
        <v>7563.5628514999999</v>
      </c>
      <c r="AA4" s="12">
        <v>7605.2009241666665</v>
      </c>
      <c r="AB4" s="12">
        <v>7657.2485150000002</v>
      </c>
      <c r="AC4" s="12">
        <v>7786.4586416666662</v>
      </c>
      <c r="AD4" s="12">
        <v>7847.5119666666669</v>
      </c>
      <c r="AE4" s="12">
        <v>7975.7739583333332</v>
      </c>
      <c r="AF4" s="12">
        <v>8419.625278333333</v>
      </c>
      <c r="AG4" s="12">
        <v>8479.5971224999994</v>
      </c>
      <c r="AH4" s="12">
        <v>8527.5745978333325</v>
      </c>
      <c r="AI4" s="12">
        <v>8619.68</v>
      </c>
      <c r="AJ4" s="12" t="s">
        <v>70</v>
      </c>
      <c r="AK4" s="12">
        <v>8631.3469258333334</v>
      </c>
      <c r="AL4" s="12">
        <v>8670.3815625000007</v>
      </c>
      <c r="AM4" s="12">
        <v>8719.1748583333338</v>
      </c>
      <c r="AN4" s="12">
        <v>8903.0542333333324</v>
      </c>
      <c r="AO4" s="12">
        <v>8990.2963333333337</v>
      </c>
      <c r="AP4" s="12">
        <v>9059.2343000000001</v>
      </c>
      <c r="AQ4" s="12">
        <v>9554.439101666665</v>
      </c>
      <c r="AR4" s="12">
        <v>9610.1244841666667</v>
      </c>
      <c r="AS4" s="12">
        <v>9654.6727901666673</v>
      </c>
      <c r="AT4" s="12">
        <v>9747.18</v>
      </c>
      <c r="AU4" s="12" t="s">
        <v>70</v>
      </c>
      <c r="AW4" s="12">
        <f>IF(A4="","",MAX(0,MIN(1,(((IF(Статистика!$C$4="Параллельный режим (активная мощность)",B4,M4)+Статистика!$J$4))-Статистика!$C$10)/MAX(Статистика!$G$10-Статистика!$C$10,0.000001))))</f>
        <v>0</v>
      </c>
      <c r="AX4" s="12">
        <f>IF(A4="","",MAX(0,MAX(0,MIN(1,(((IF(Статистика!$C$4="Параллельный режим (активная мощность)",D4,O4)+Статистика!$J$4))-Статистика!$C$10)/MAX(Статистика!$G$10-Статистика!$C$10,0.000001)))-MAX(0,MIN(1,(((IF(Статистика!$C$4="Параллельный режим (активная мощность)",B4,M4)+Статистика!$J$4))-Статистика!$C$10)/MAX(Статистика!$G$10-Статистика!$C$10,0.000001)))))</f>
        <v>0.45064356222222218</v>
      </c>
      <c r="AY4" s="12">
        <f>IF(A4="","",MAX(0,MAX(0,MIN(1,(((IF(Статистика!$C$4="Параллельный режим (активная мощность)",E4,P4)+Статистика!$J$4))-Статистика!$C$10)/MAX(Статистика!$G$10-Статистика!$C$10,0.000001)))-MAX(0,MIN(1,(((IF(Статистика!$C$4="Параллельный режим (активная мощность)",D4,O4)+Статистика!$J$4))-Статистика!$C$10)/MAX(Статистика!$G$10-Статистика!$C$10,0.000001)))))</f>
        <v>0.10942904888888921</v>
      </c>
      <c r="AZ4" s="12">
        <f>IF(A4="","",MAX(0,MAX(0,MIN(1,(((IF(Статистика!$C$4="Параллельный режим (активная мощность)",F4,Q4)+Статистика!$J$4))-Статистика!$C$10)/MAX(Статистика!$G$10-Статистика!$C$10,0.000001)))-MAX(0,MIN(1,(((IF(Статистика!$C$4="Параллельный режим (активная мощность)",E4,P4)+Статистика!$J$4))-Статистика!$C$10)/MAX(Статистика!$G$10-Статистика!$C$10,0.000001)))))</f>
        <v>7.192522222222153E-2</v>
      </c>
      <c r="BA4" s="12">
        <f>IF(A4="","",MAX(0,MAX(0,MIN(1,(((IF(Статистика!$C$4="Параллельный режим (активная мощность)",G4,R4)+Статистика!$J$4))-Статистика!$C$10)/MAX(Статистика!$G$10-Статистика!$C$10,0.000001)))-MAX(0,MIN(1,(((IF(Статистика!$C$4="Параллельный режим (активная мощность)",F4,Q4)+Статистика!$J$4))-Статистика!$C$10)/MAX(Статистика!$G$10-Статистика!$C$10,0.000001)))))</f>
        <v>6.1054263888889793E-2</v>
      </c>
      <c r="BB4" s="12">
        <f>IF(A4="","",MAX(0,MAX(0,MIN(1,(((IF(Статистика!$C$4="Параллельный режим (активная мощность)",H4,S4)+Статистика!$J$4))-Статистика!$C$10)/MAX(Статистика!$G$10-Статистика!$C$10,0.000001)))-MAX(0,MIN(1,(((IF(Статистика!$C$4="Параллельный режим (активная мощность)",G4,R4)+Статистика!$J$4))-Статистика!$C$10)/MAX(Статистика!$G$10-Статистика!$C$10,0.000001)))))</f>
        <v>8.0972573333333075E-2</v>
      </c>
      <c r="BC4" s="12">
        <f>IF(A4="","",MAX(0,MAX(0,MIN(1,(((IF(Статистика!$C$4="Параллельный режим (активная мощность)",J4,U4)+Статистика!$J$4))-Статистика!$C$10)/MAX(Статистика!$G$10-Статистика!$C$10,0.000001)))-MAX(0,MIN(1,(((IF(Статистика!$C$4="Параллельный режим (активная мощность)",H4,S4)+Статистика!$J$4))-Статистика!$C$10)/MAX(Статистика!$G$10-Статистика!$C$10,0.000001)))))</f>
        <v>5.0498743500000276E-2</v>
      </c>
      <c r="BD4" s="12">
        <f>IF(A4="","",MAX(0,1-MAX(0,MIN(1,(((IF(Статистика!$C$4="Параллельный режим (активная мощность)",J4,U4)+Статистика!$J$4))-Статистика!$C$10)/MAX(Статистика!$G$10-Статистика!$C$10,0.000001)))))</f>
        <v>0.17547658594444393</v>
      </c>
      <c r="BE4" s="12">
        <f>IF(A4="",NA(),IF(Статистика!$B$8="Вкл",(((IF(Статистика!$C$4="Параллельный режим (активная мощность)",F4,Q4)+Статистика!$J$4))-Статистика!$C$10)/MAX(Статистика!$G$10-Статистика!$C$10,0.000001),NA()))</f>
        <v>0.63199783333333293</v>
      </c>
      <c r="BF4" s="12">
        <f>IF(A4="",NA(),IF(Статистика!$D$8="Вкл",(((IF(Статистика!$C$4="Параллельный режим (активная мощность)",E4,P4)+Статистика!$J$4))-Статистика!$C$10)/MAX(Статистика!$G$10-Статистика!$C$10,0.000001),NA()))</f>
        <v>0.5600726111111114</v>
      </c>
      <c r="BG4" s="12">
        <f>IF(A4="",NA(),IF(Статистика!$D$8="Вкл",(((IF(Статистика!$C$4="Параллельный режим (активная мощность)",G4,R4)+Статистика!$J$4))-Статистика!$C$10)/MAX(Статистика!$G$10-Статистика!$C$10,0.000001),NA()))</f>
        <v>0.69305209722222272</v>
      </c>
      <c r="BH4" s="12">
        <f>IF(A4="",NA(),IF(Статистика!$F$8="Вкл",(((IF(Статистика!$C$4="Параллельный режим (активная мощность)",D4,O4)+Статистика!$J$4))-Статистика!$C$10)/MAX(Статистика!$G$10-Статистика!$C$10,0.000001),NA()))</f>
        <v>0.45064356222222218</v>
      </c>
      <c r="BI4" s="12">
        <f>IF(A4="",NA(),IF(Статистика!$F$8="Вкл",(((IF(Статистика!$C$4="Параллельный режим (активная мощность)",H4,S4)+Статистика!$J$4))-Статистика!$C$10)/MAX(Статистика!$G$10-Статистика!$C$10,0.000001),NA()))</f>
        <v>0.77402467055555579</v>
      </c>
      <c r="BJ4" s="12">
        <f>IF(A4="",NA(),IF(Статистика!$H$8="Вкл",(((IF(Статистика!$C$4="Параллельный режим (активная мощность)",B4,M4)+Статистика!$J$4))-Статистика!$C$10)/MAX(Статистика!$G$10-Статистика!$C$10,0.000001),NA()))</f>
        <v>-1.2301015277777778</v>
      </c>
      <c r="BK4" s="12">
        <f>IF(A4="",NA(),IF(Статистика!$H$8="Вкл",(((IF(Статистика!$C$4="Параллельный режим (активная мощность)",J4,U4)+Статистика!$J$4))-Статистика!$C$10)/MAX(Статистика!$G$10-Статистика!$C$10,0.000001),NA()))</f>
        <v>0.82452341405555607</v>
      </c>
      <c r="BL4" s="12" t="e">
        <f>IF(A4="",NA(),IF(Статистика!$J$8="Вкл",(((IF(Статистика!$C$4="Параллельный режим (активная мощность)",K4,V4)+Статистика!$J$4))-Статистика!$C$10)/MAX(Статистика!$G$10-Статистика!$C$10,0.000001),NA()))</f>
        <v>#N/A</v>
      </c>
      <c r="BM4" s="12" t="e">
        <f>IF(AND(A4&lt;&gt;"",Статистика!$C$6="Вкл",Статистика!$B$6&gt;0),(Статистика!$B$6-Статистика!$C$10)/MAX(Статистика!$G$10-Статистика!$C$10,0.000001),NA())</f>
        <v>#N/A</v>
      </c>
      <c r="BN4" s="12" t="e">
        <f>IF(AND(A4&lt;&gt;"",Статистика!$F$6="Вкл",Статистика!$E$6&gt;0),(Статистика!$E$6-Статистика!$C$10)/MAX(Статистика!$G$10-Статистика!$C$10,0.000001),NA())</f>
        <v>#N/A</v>
      </c>
      <c r="BO4" s="12" t="e">
        <f>IF(AND(A4&lt;&gt;"",Статистика!$I$6="Вкл",Статистика!$H$6&gt;0),(Статистика!$H$6-Статистика!$C$10)/MAX(Статистика!$G$10-Статистика!$C$10,0.000001),NA())</f>
        <v>#N/A</v>
      </c>
      <c r="BP4" s="12" t="e">
        <f>IF(AND(A4&lt;&gt;"",Статистика!$L$6="Вкл",Статистика!$K$6&gt;0),(Статистика!$K$6-Статистика!$C$10)/MAX(Статистика!$G$10-Статистика!$C$10,0.000001),NA())</f>
        <v>#N/A</v>
      </c>
      <c r="BQ4" s="12" t="e">
        <f>IF(AND(A4&lt;&gt;"",Статистика!$M$6="Вкл",Статистика!$O$6&gt;0),(Статистика!$O$6-Статистика!$C$10)/MAX(Статистика!$G$10-Статистика!$C$10,0.000001),NA())</f>
        <v>#N/A</v>
      </c>
      <c r="BR4" s="12">
        <f t="shared" si="0"/>
        <v>1</v>
      </c>
      <c r="BT4" s="12">
        <f>IF(Y4="","",MAX(0,MIN(1,(((IF(Статистика!$C$4="Параллельный режим (активная мощность)",Z4,AK4)+Статистика!$J$4))-Статистика!$C$10)/MAX(Статистика!$G$10-Статистика!$C$10,0.000001))))</f>
        <v>0.52118761716666662</v>
      </c>
      <c r="BU4" s="12">
        <f>IF(Y4="","",MAX(0,MAX(0,MIN(1,(((IF(Статистика!$C$4="Параллельный режим (активная мощность)",AB4,AM4)+Статистика!$J$4))-Статистика!$C$10)/MAX(Статистика!$G$10-Статистика!$C$10,0.000001)))-MAX(0,MIN(1,(((IF(Статистика!$C$4="Параллельный режим (активная мощность)",Z4,AK4)+Статистика!$J$4))-Статистика!$C$10)/MAX(Статистика!$G$10-Статистика!$C$10,0.000001)))))</f>
        <v>3.1228554500000172E-2</v>
      </c>
      <c r="BV4" s="12">
        <f>IF(Y4="","",MAX(0,MAX(0,MIN(1,(((IF(Статистика!$C$4="Параллельный режим (активная мощность)",AC4,AN4)+Статистика!$J$4))-Статистика!$C$10)/MAX(Статистика!$G$10-Статистика!$C$10,0.000001)))-MAX(0,MIN(1,(((IF(Статистика!$C$4="Параллельный режим (активная мощность)",AB4,AM4)+Статистика!$J$4))-Статистика!$C$10)/MAX(Статистика!$G$10-Статистика!$C$10,0.000001)))))</f>
        <v>4.3070042222221883E-2</v>
      </c>
      <c r="BW4" s="12">
        <f>IF(Y4="","",MAX(0,MAX(0,MIN(1,(((IF(Статистика!$C$4="Параллельный режим (активная мощность)",AD4,AO4)+Статистика!$J$4))-Статистика!$C$10)/MAX(Статистика!$G$10-Статистика!$C$10,0.000001)))-MAX(0,MIN(1,(((IF(Статистика!$C$4="Параллельный режим (активная мощность)",AC4,AN4)+Статистика!$J$4))-Статистика!$C$10)/MAX(Статистика!$G$10-Статистика!$C$10,0.000001)))))</f>
        <v>2.0351108333333645E-2</v>
      </c>
      <c r="BX4" s="12">
        <f>IF(Y4="","",MAX(0,MAX(0,MIN(1,(((IF(Статистика!$C$4="Параллельный режим (активная мощность)",AE4,AP4)+Статистика!$J$4))-Статистика!$C$10)/MAX(Статистика!$G$10-Статистика!$C$10,0.000001)))-MAX(0,MIN(1,(((IF(Статистика!$C$4="Параллельный режим (активная мощность)",AD4,AO4)+Статистика!$J$4))-Статистика!$C$10)/MAX(Статистика!$G$10-Статистика!$C$10,0.000001)))))</f>
        <v>4.2753997222222062E-2</v>
      </c>
      <c r="BY4" s="12">
        <f>IF(Y4="","",MAX(0,MAX(0,MIN(1,(((IF(Статистика!$C$4="Параллельный режим (активная мощность)",AF4,AQ4)+Статистика!$J$4))-Статистика!$C$10)/MAX(Статистика!$G$10-Статистика!$C$10,0.000001)))-MAX(0,MIN(1,(((IF(Статистика!$C$4="Параллельный режим (активная мощность)",AE4,AP4)+Статистика!$J$4))-Статистика!$C$10)/MAX(Статистика!$G$10-Статистика!$C$10,0.000001)))))</f>
        <v>0.14795043999999991</v>
      </c>
      <c r="BZ4" s="12">
        <f>IF(Y4="","",MAX(0,MAX(0,MIN(1,(((IF(Статистика!$C$4="Параллельный режим (активная мощность)",AH4,AS4)+Статистика!$J$4))-Статистика!$C$10)/MAX(Статистика!$G$10-Статистика!$C$10,0.000001)))-MAX(0,MIN(1,(((IF(Статистика!$C$4="Параллельный режим (активная мощность)",AF4,AQ4)+Статистика!$J$4))-Статистика!$C$10)/MAX(Статистика!$G$10-Статистика!$C$10,0.000001)))))</f>
        <v>3.5983106499999917E-2</v>
      </c>
      <c r="CA4" s="12">
        <f>IF(Y4="","",MAX(0,1-MAX(0,MIN(1,(((IF(Статистика!$C$4="Параллельный режим (активная мощность)",AH4,AS4)+Статистика!$J$4))-Статистика!$C$10)/MAX(Статистика!$G$10-Статистика!$C$10,0.000001)))))</f>
        <v>0.1574751340555558</v>
      </c>
      <c r="CB4" s="12">
        <f>IF(Y4="",NA(),IF(Статистика!$B$8="Вкл",(((IF(Статистика!$C$4="Параллельный режим (активная мощность)",AD4,AO4)+Статистика!$J$4))-Статистика!$C$10)/MAX(Статистика!$G$10-Статистика!$C$10,0.000001),NA()))</f>
        <v>0.61583732222222232</v>
      </c>
      <c r="CC4" s="12">
        <f>IF(Y4="",NA(),IF(Статистика!$D$8="Вкл",(((IF(Статистика!$C$4="Параллельный режим (активная мощность)",AC4,AN4)+Статистика!$J$4))-Статистика!$C$10)/MAX(Статистика!$G$10-Статистика!$C$10,0.000001),NA()))</f>
        <v>0.59548621388888867</v>
      </c>
      <c r="CD4" s="12">
        <f>IF(Y4="",NA(),IF(Статистика!$D$8="Вкл",(((IF(Статистика!$C$4="Параллельный режим (активная мощность)",AE4,AP4)+Статистика!$J$4))-Статистика!$C$10)/MAX(Статистика!$G$10-Статистика!$C$10,0.000001),NA()))</f>
        <v>0.65859131944444438</v>
      </c>
      <c r="CE4" s="12">
        <f>IF(Y4="",NA(),IF(Статистика!$F$8="Вкл",(((IF(Статистика!$C$4="Параллельный режим (активная мощность)",AB4,AM4)+Статистика!$J$4))-Статистика!$C$10)/MAX(Статистика!$G$10-Статистика!$C$10,0.000001),NA()))</f>
        <v>0.55241617166666679</v>
      </c>
      <c r="CF4" s="12">
        <f>IF(Y4="",NA(),IF(Статистика!$F$8="Вкл",(((IF(Статистика!$C$4="Параллельный режим (активная мощность)",AF4,AQ4)+Статистика!$J$4))-Статистика!$C$10)/MAX(Статистика!$G$10-Статистика!$C$10,0.000001),NA()))</f>
        <v>0.80654175944444428</v>
      </c>
      <c r="CG4" s="12">
        <f>IF(Y4="",NA(),IF(Статистика!$H$8="Вкл",(((IF(Статистика!$C$4="Параллельный режим (активная мощность)",Z4,AK4)+Статистика!$J$4))-Статистика!$C$10)/MAX(Статистика!$G$10-Статистика!$C$10,0.000001),NA()))</f>
        <v>0.52118761716666662</v>
      </c>
      <c r="CH4" s="12">
        <f>IF(Y4="",NA(),IF(Статистика!$H$8="Вкл",(((IF(Статистика!$C$4="Параллельный режим (активная мощность)",AH4,AS4)+Статистика!$J$4))-Статистика!$C$10)/MAX(Статистика!$G$10-Статистика!$C$10,0.000001),NA()))</f>
        <v>0.8425248659444442</v>
      </c>
      <c r="CI4" s="12" t="e">
        <f>IF(Y4="",NA(),IF(Статистика!$J$8="Вкл",(((IF(Статистика!$C$4="Параллельный режим (активная мощность)",AI4,AT4)+Статистика!$J$4))-Статистика!$C$10)/MAX(Статистика!$G$10-Статистика!$C$10,0.000001),NA()))</f>
        <v>#N/A</v>
      </c>
      <c r="CJ4" s="12" t="e">
        <f>IF(AND(Y4&lt;&gt;"",Статистика!$C$6="Вкл",Статистика!$B$6&gt;0),(Статистика!$B$6-Статистика!$C$10)/MAX(Статистика!$G$10-Статистика!$C$10,0.000001),NA())</f>
        <v>#N/A</v>
      </c>
      <c r="CK4" s="12" t="e">
        <f>IF(AND(Y4&lt;&gt;"",Статистика!$F$6="Вкл",Статистика!$E$6&gt;0),(Статистика!$E$6-Статистика!$C$10)/MAX(Статистика!$G$10-Статистика!$C$10,0.000001),NA())</f>
        <v>#N/A</v>
      </c>
      <c r="CL4" s="12" t="e">
        <f>IF(AND(Y4&lt;&gt;"",Статистика!$I$6="Вкл",Статистика!$H$6&gt;0),(Статистика!$H$6-Статистика!$C$10)/MAX(Статистика!$G$10-Статистика!$C$10,0.000001),NA())</f>
        <v>#N/A</v>
      </c>
      <c r="CM4" s="12" t="e">
        <f>IF(AND(Y4&lt;&gt;"",Статистика!$L$6="Вкл",Статистика!$K$6&gt;0),(Статистика!$K$6-Статистика!$C$10)/MAX(Статистика!$G$10-Статистика!$C$10,0.000001),NA())</f>
        <v>#N/A</v>
      </c>
      <c r="CN4" s="12" t="e">
        <f>IF(AND(Y4&lt;&gt;"",Статистика!$M$6="Вкл",Статистика!$O$6&gt;0),(Статистика!$O$6-Статистика!$C$10)/MAX(Статистика!$G$10-Статистика!$C$10,0.000001),NA())</f>
        <v>#N/A</v>
      </c>
      <c r="CO4" s="12">
        <f t="shared" si="1"/>
        <v>1</v>
      </c>
    </row>
    <row r="5" spans="1:93" ht="15" customHeight="1">
      <c r="A5" s="12" t="s">
        <v>71</v>
      </c>
      <c r="B5" s="12">
        <v>2296.5408541666666</v>
      </c>
      <c r="C5" s="12">
        <v>5686.8269375000009</v>
      </c>
      <c r="D5" s="12">
        <v>7339.7975716666679</v>
      </c>
      <c r="E5" s="12">
        <v>7682.7899999999991</v>
      </c>
      <c r="F5" s="12">
        <v>7885.1499000000003</v>
      </c>
      <c r="G5" s="12">
        <v>8068.6304833333334</v>
      </c>
      <c r="H5" s="12">
        <v>8420.1972999999998</v>
      </c>
      <c r="I5" s="12">
        <v>8494.9979349999994</v>
      </c>
      <c r="J5" s="12">
        <v>8520.8191869999991</v>
      </c>
      <c r="K5" s="12">
        <v>8606.27</v>
      </c>
      <c r="L5" s="12" t="s">
        <v>72</v>
      </c>
      <c r="M5" s="12">
        <v>2858.5413374999998</v>
      </c>
      <c r="N5" s="12">
        <v>6565.5209541666663</v>
      </c>
      <c r="O5" s="12">
        <v>8380.9745399999993</v>
      </c>
      <c r="P5" s="12">
        <v>8747.7303500000016</v>
      </c>
      <c r="Q5" s="12">
        <v>8946.5959666666677</v>
      </c>
      <c r="R5" s="12">
        <v>9106.1478000000006</v>
      </c>
      <c r="S5" s="12">
        <v>9482.9904349999997</v>
      </c>
      <c r="T5" s="12">
        <v>9591.9578383333337</v>
      </c>
      <c r="U5" s="12">
        <v>9690.5165809999999</v>
      </c>
      <c r="V5" s="12">
        <v>9805.32</v>
      </c>
      <c r="W5" s="12" t="s">
        <v>73</v>
      </c>
      <c r="Y5" s="12" t="s">
        <v>71</v>
      </c>
      <c r="Z5" s="12">
        <v>7584.6347049999986</v>
      </c>
      <c r="AA5" s="12">
        <v>7614.4060583333321</v>
      </c>
      <c r="AB5" s="12">
        <v>7651.620249999999</v>
      </c>
      <c r="AC5" s="12">
        <v>7815.0996750000013</v>
      </c>
      <c r="AD5" s="12">
        <v>7899.7695666666659</v>
      </c>
      <c r="AE5" s="12">
        <v>7931.4275500000003</v>
      </c>
      <c r="AF5" s="12">
        <v>8398.8333299999995</v>
      </c>
      <c r="AG5" s="12">
        <v>8453.0079816666675</v>
      </c>
      <c r="AH5" s="12">
        <v>8496.3477030000013</v>
      </c>
      <c r="AI5" s="12">
        <v>8596.9699999999993</v>
      </c>
      <c r="AJ5" s="12" t="s">
        <v>74</v>
      </c>
      <c r="AK5" s="12">
        <v>8686.7066636666677</v>
      </c>
      <c r="AL5" s="12">
        <v>8707.4347850000013</v>
      </c>
      <c r="AM5" s="12">
        <v>8733.3449366666664</v>
      </c>
      <c r="AN5" s="12">
        <v>8918.3771583333328</v>
      </c>
      <c r="AO5" s="12">
        <v>8987.6640333333326</v>
      </c>
      <c r="AP5" s="12">
        <v>9068.9448916666661</v>
      </c>
      <c r="AQ5" s="12">
        <v>9511.4984550000008</v>
      </c>
      <c r="AR5" s="12">
        <v>9568.876077500001</v>
      </c>
      <c r="AS5" s="12">
        <v>9614.7781755000015</v>
      </c>
      <c r="AT5" s="12">
        <v>9733.56</v>
      </c>
      <c r="AU5" s="12" t="s">
        <v>75</v>
      </c>
      <c r="AW5" s="12">
        <f>IF(A5="","",MAX(0,MIN(1,(((IF(Статистика!$C$4="Параллельный режим (активная мощность)",B5,M5)+Статистика!$J$4))-Статистика!$C$10)/MAX(Статистика!$G$10-Статистика!$C$10,0.000001))))</f>
        <v>0</v>
      </c>
      <c r="AX5" s="12">
        <f>IF(A5="","",MAX(0,MAX(0,MIN(1,(((IF(Статистика!$C$4="Параллельный режим (активная мощность)",D5,O5)+Статистика!$J$4))-Статистика!$C$10)/MAX(Статистика!$G$10-Статистика!$C$10,0.000001)))-MAX(0,MIN(1,(((IF(Статистика!$C$4="Параллельный режим (активная мощность)",B5,M5)+Статистика!$J$4))-Статистика!$C$10)/MAX(Статистика!$G$10-Статистика!$C$10,0.000001)))))</f>
        <v>0.44659919055555597</v>
      </c>
      <c r="AY5" s="12">
        <f>IF(A5="","",MAX(0,MAX(0,MIN(1,(((IF(Статистика!$C$4="Параллельный режим (активная мощность)",E5,P5)+Статистика!$J$4))-Статистика!$C$10)/MAX(Статистика!$G$10-Статистика!$C$10,0.000001)))-MAX(0,MIN(1,(((IF(Статистика!$C$4="Параллельный режим (активная мощность)",D5,O5)+Статистика!$J$4))-Статистика!$C$10)/MAX(Статистика!$G$10-Статистика!$C$10,0.000001)))))</f>
        <v>0.11433080944444374</v>
      </c>
      <c r="AZ5" s="12">
        <f>IF(A5="","",MAX(0,MAX(0,MIN(1,(((IF(Статистика!$C$4="Параллельный режим (активная мощность)",F5,Q5)+Статистика!$J$4))-Статистика!$C$10)/MAX(Статистика!$G$10-Статистика!$C$10,0.000001)))-MAX(0,MIN(1,(((IF(Статистика!$C$4="Параллельный режим (активная мощность)",E5,P5)+Статистика!$J$4))-Статистика!$C$10)/MAX(Статистика!$G$10-Статистика!$C$10,0.000001)))))</f>
        <v>6.7453300000000382E-2</v>
      </c>
      <c r="BA5" s="12">
        <f>IF(A5="","",MAX(0,MAX(0,MIN(1,(((IF(Статистика!$C$4="Параллельный режим (активная мощность)",G5,R5)+Статистика!$J$4))-Статистика!$C$10)/MAX(Статистика!$G$10-Статистика!$C$10,0.000001)))-MAX(0,MIN(1,(((IF(Статистика!$C$4="Параллельный режим (активная мощность)",F5,Q5)+Статистика!$J$4))-Статистика!$C$10)/MAX(Статистика!$G$10-Статистика!$C$10,0.000001)))))</f>
        <v>6.1160194444444316E-2</v>
      </c>
      <c r="BB5" s="12">
        <f>IF(A5="","",MAX(0,MAX(0,MIN(1,(((IF(Статистика!$C$4="Параллельный режим (активная мощность)",H5,S5)+Статистика!$J$4))-Статистика!$C$10)/MAX(Статистика!$G$10-Статистика!$C$10,0.000001)))-MAX(0,MIN(1,(((IF(Статистика!$C$4="Параллельный режим (активная мощность)",G5,R5)+Статистика!$J$4))-Статистика!$C$10)/MAX(Статистика!$G$10-Статистика!$C$10,0.000001)))))</f>
        <v>0.11718893888888882</v>
      </c>
      <c r="BC5" s="12">
        <f>IF(A5="","",MAX(0,MAX(0,MIN(1,(((IF(Статистика!$C$4="Параллельный режим (активная мощность)",J5,U5)+Статистика!$J$4))-Статистика!$C$10)/MAX(Статистика!$G$10-Статистика!$C$10,0.000001)))-MAX(0,MIN(1,(((IF(Статистика!$C$4="Параллельный режим (активная мощность)",H5,S5)+Статистика!$J$4))-Статистика!$C$10)/MAX(Статистика!$G$10-Статистика!$C$10,0.000001)))))</f>
        <v>3.3540628999999877E-2</v>
      </c>
      <c r="BD5" s="12">
        <f>IF(A5="","",MAX(0,1-MAX(0,MIN(1,(((IF(Статистика!$C$4="Параллельный режим (активная мощность)",J5,U5)+Статистика!$J$4))-Статистика!$C$10)/MAX(Статистика!$G$10-Статистика!$C$10,0.000001)))))</f>
        <v>0.1597269376666669</v>
      </c>
      <c r="BE5" s="12">
        <f>IF(A5="",NA(),IF(Статистика!$B$8="Вкл",(((IF(Статистика!$C$4="Параллельный режим (активная мощность)",F5,Q5)+Статистика!$J$4))-Статистика!$C$10)/MAX(Статистика!$G$10-Статистика!$C$10,0.000001),NA()))</f>
        <v>0.62838330000000009</v>
      </c>
      <c r="BF5" s="12">
        <f>IF(A5="",NA(),IF(Статистика!$D$8="Вкл",(((IF(Статистика!$C$4="Параллельный режим (активная мощность)",E5,P5)+Статистика!$J$4))-Статистика!$C$10)/MAX(Статистика!$G$10-Статистика!$C$10,0.000001),NA()))</f>
        <v>0.56092999999999971</v>
      </c>
      <c r="BG5" s="12">
        <f>IF(A5="",NA(),IF(Статистика!$D$8="Вкл",(((IF(Статистика!$C$4="Параллельный режим (активная мощность)",G5,R5)+Статистика!$J$4))-Статистика!$C$10)/MAX(Статистика!$G$10-Статистика!$C$10,0.000001),NA()))</f>
        <v>0.6895434944444444</v>
      </c>
      <c r="BH5" s="12">
        <f>IF(A5="",NA(),IF(Статистика!$F$8="Вкл",(((IF(Статистика!$C$4="Параллельный режим (активная мощность)",D5,O5)+Статистика!$J$4))-Статистика!$C$10)/MAX(Статистика!$G$10-Статистика!$C$10,0.000001),NA()))</f>
        <v>0.44659919055555597</v>
      </c>
      <c r="BI5" s="12">
        <f>IF(A5="",NA(),IF(Статистика!$F$8="Вкл",(((IF(Статистика!$C$4="Параллельный режим (активная мощность)",H5,S5)+Статистика!$J$4))-Статистика!$C$10)/MAX(Статистика!$G$10-Статистика!$C$10,0.000001),NA()))</f>
        <v>0.80673243333333322</v>
      </c>
      <c r="BJ5" s="12">
        <f>IF(A5="",NA(),IF(Статистика!$H$8="Вкл",(((IF(Статистика!$C$4="Параллельный режим (активная мощность)",B5,M5)+Статистика!$J$4))-Статистика!$C$10)/MAX(Статистика!$G$10-Статистика!$C$10,0.000001),NA()))</f>
        <v>-1.2344863819444445</v>
      </c>
      <c r="BK5" s="12">
        <f>IF(A5="",NA(),IF(Статистика!$H$8="Вкл",(((IF(Статистика!$C$4="Параллельный режим (активная мощность)",J5,U5)+Статистика!$J$4))-Статистика!$C$10)/MAX(Статистика!$G$10-Статистика!$C$10,0.000001),NA()))</f>
        <v>0.8402730623333331</v>
      </c>
      <c r="BL5" s="12" t="e">
        <f>IF(A5="",NA(),IF(Статистика!$J$8="Вкл",(((IF(Статистика!$C$4="Параллельный режим (активная мощность)",K5,V5)+Статистика!$J$4))-Статистика!$C$10)/MAX(Статистика!$G$10-Статистика!$C$10,0.000001),NA()))</f>
        <v>#N/A</v>
      </c>
      <c r="BM5" s="12" t="e">
        <f>IF(AND(A5&lt;&gt;"",Статистика!$C$6="Вкл",Статистика!$B$6&gt;0),(Статистика!$B$6-Статистика!$C$10)/MAX(Статистика!$G$10-Статистика!$C$10,0.000001),NA())</f>
        <v>#N/A</v>
      </c>
      <c r="BN5" s="12" t="e">
        <f>IF(AND(A5&lt;&gt;"",Статистика!$F$6="Вкл",Статистика!$E$6&gt;0),(Статистика!$E$6-Статистика!$C$10)/MAX(Статистика!$G$10-Статистика!$C$10,0.000001),NA())</f>
        <v>#N/A</v>
      </c>
      <c r="BO5" s="12" t="e">
        <f>IF(AND(A5&lt;&gt;"",Статистика!$I$6="Вкл",Статистика!$H$6&gt;0),(Статистика!$H$6-Статистика!$C$10)/MAX(Статистика!$G$10-Статистика!$C$10,0.000001),NA())</f>
        <v>#N/A</v>
      </c>
      <c r="BP5" s="12" t="e">
        <f>IF(AND(A5&lt;&gt;"",Статистика!$L$6="Вкл",Статистика!$K$6&gt;0),(Статистика!$K$6-Статистика!$C$10)/MAX(Статистика!$G$10-Статистика!$C$10,0.000001),NA())</f>
        <v>#N/A</v>
      </c>
      <c r="BQ5" s="12" t="e">
        <f>IF(AND(A5&lt;&gt;"",Статистика!$M$6="Вкл",Статистика!$O$6&gt;0),(Статистика!$O$6-Статистика!$C$10)/MAX(Статистика!$G$10-Статистика!$C$10,0.000001),NA())</f>
        <v>#N/A</v>
      </c>
      <c r="BR5" s="12">
        <f t="shared" si="0"/>
        <v>1</v>
      </c>
      <c r="BT5" s="12">
        <f>IF(Y5="","",MAX(0,MIN(1,(((IF(Статистика!$C$4="Параллельный режим (активная мощность)",Z5,AK5)+Статистика!$J$4))-Статистика!$C$10)/MAX(Статистика!$G$10-Статистика!$C$10,0.000001))))</f>
        <v>0.52821156833333283</v>
      </c>
      <c r="BU5" s="12">
        <f>IF(Y5="","",MAX(0,MAX(0,MIN(1,(((IF(Статистика!$C$4="Параллельный режим (активная мощность)",AB5,AM5)+Статистика!$J$4))-Статистика!$C$10)/MAX(Статистика!$G$10-Статистика!$C$10,0.000001)))-MAX(0,MIN(1,(((IF(Статистика!$C$4="Параллельный режим (активная мощность)",Z5,AK5)+Статистика!$J$4))-Статистика!$C$10)/MAX(Статистика!$G$10-Статистика!$C$10,0.000001)))))</f>
        <v>2.2328515000000215E-2</v>
      </c>
      <c r="BV5" s="12">
        <f>IF(Y5="","",MAX(0,MAX(0,MIN(1,(((IF(Статистика!$C$4="Параллельный режим (активная мощность)",AC5,AN5)+Статистика!$J$4))-Статистика!$C$10)/MAX(Статистика!$G$10-Статистика!$C$10,0.000001)))-MAX(0,MIN(1,(((IF(Статистика!$C$4="Параллельный режим (активная мощность)",AB5,AM5)+Статистика!$J$4))-Статистика!$C$10)/MAX(Статистика!$G$10-Статистика!$C$10,0.000001)))))</f>
        <v>5.4493141666667411E-2</v>
      </c>
      <c r="BW5" s="12">
        <f>IF(Y5="","",MAX(0,MAX(0,MIN(1,(((IF(Статистика!$C$4="Параллельный режим (активная мощность)",AD5,AO5)+Статистика!$J$4))-Статистика!$C$10)/MAX(Статистика!$G$10-Статистика!$C$10,0.000001)))-MAX(0,MIN(1,(((IF(Статистика!$C$4="Параллельный режим (активная мощность)",AC5,AN5)+Статистика!$J$4))-Статистика!$C$10)/MAX(Статистика!$G$10-Статистика!$C$10,0.000001)))))</f>
        <v>2.82232972222215E-2</v>
      </c>
      <c r="BX5" s="12">
        <f>IF(Y5="","",MAX(0,MAX(0,MIN(1,(((IF(Статистика!$C$4="Параллельный режим (активная мощность)",AE5,AP5)+Статистика!$J$4))-Статистика!$C$10)/MAX(Статистика!$G$10-Статистика!$C$10,0.000001)))-MAX(0,MIN(1,(((IF(Статистика!$C$4="Параллельный режим (активная мощность)",AD5,AO5)+Статистика!$J$4))-Статистика!$C$10)/MAX(Статистика!$G$10-Статистика!$C$10,0.000001)))))</f>
        <v>1.0552661111111528E-2</v>
      </c>
      <c r="BY5" s="12">
        <f>IF(Y5="","",MAX(0,MAX(0,MIN(1,(((IF(Статистика!$C$4="Параллельный режим (активная мощность)",AF5,AQ5)+Статистика!$J$4))-Статистика!$C$10)/MAX(Статистика!$G$10-Статистика!$C$10,0.000001)))-MAX(0,MIN(1,(((IF(Статистика!$C$4="Параллельный режим (активная мощность)",AE5,AP5)+Статистика!$J$4))-Статистика!$C$10)/MAX(Статистика!$G$10-Статистика!$C$10,0.000001)))))</f>
        <v>0.15580192666666637</v>
      </c>
      <c r="BZ5" s="12">
        <f>IF(Y5="","",MAX(0,MAX(0,MIN(1,(((IF(Статистика!$C$4="Параллельный режим (активная мощность)",AH5,AS5)+Статистика!$J$4))-Статистика!$C$10)/MAX(Статистика!$G$10-Статистика!$C$10,0.000001)))-MAX(0,MIN(1,(((IF(Статистика!$C$4="Параллельный режим (активная мощность)",AF5,AQ5)+Статистика!$J$4))-Статистика!$C$10)/MAX(Статистика!$G$10-Статистика!$C$10,0.000001)))))</f>
        <v>3.2504791000000588E-2</v>
      </c>
      <c r="CA5" s="12">
        <f>IF(Y5="","",MAX(0,1-MAX(0,MIN(1,(((IF(Статистика!$C$4="Параллельный режим (активная мощность)",AH5,AS5)+Статистика!$J$4))-Статистика!$C$10)/MAX(Статистика!$G$10-Статистика!$C$10,0.000001)))))</f>
        <v>0.16788409899999956</v>
      </c>
      <c r="CB5" s="12">
        <f>IF(Y5="",NA(),IF(Статистика!$B$8="Вкл",(((IF(Статистика!$C$4="Параллельный режим (активная мощность)",AD5,AO5)+Статистика!$J$4))-Статистика!$C$10)/MAX(Статистика!$G$10-Статистика!$C$10,0.000001),NA()))</f>
        <v>0.63325652222222195</v>
      </c>
      <c r="CC5" s="12">
        <f>IF(Y5="",NA(),IF(Статистика!$D$8="Вкл",(((IF(Статистика!$C$4="Параллельный режим (активная мощность)",AC5,AN5)+Статистика!$J$4))-Статистика!$C$10)/MAX(Статистика!$G$10-Статистика!$C$10,0.000001),NA()))</f>
        <v>0.60503322500000045</v>
      </c>
      <c r="CD5" s="12">
        <f>IF(Y5="",NA(),IF(Статистика!$D$8="Вкл",(((IF(Статистика!$C$4="Параллельный режим (активная мощность)",AE5,AP5)+Статистика!$J$4))-Статистика!$C$10)/MAX(Статистика!$G$10-Статистика!$C$10,0.000001),NA()))</f>
        <v>0.64380918333333348</v>
      </c>
      <c r="CE5" s="12">
        <f>IF(Y5="",NA(),IF(Статистика!$F$8="Вкл",(((IF(Статистика!$C$4="Параллельный режим (активная мощность)",AB5,AM5)+Статистика!$J$4))-Статистика!$C$10)/MAX(Статистика!$G$10-Статистика!$C$10,0.000001),NA()))</f>
        <v>0.55054008333333304</v>
      </c>
      <c r="CF5" s="12">
        <f>IF(Y5="",NA(),IF(Статистика!$F$8="Вкл",(((IF(Статистика!$C$4="Параллельный режим (активная мощность)",AF5,AQ5)+Статистика!$J$4))-Статистика!$C$10)/MAX(Статистика!$G$10-Статистика!$C$10,0.000001),NA()))</f>
        <v>0.79961110999999985</v>
      </c>
      <c r="CG5" s="12">
        <f>IF(Y5="",NA(),IF(Статистика!$H$8="Вкл",(((IF(Статистика!$C$4="Параллельный режим (активная мощность)",Z5,AK5)+Статистика!$J$4))-Статистика!$C$10)/MAX(Статистика!$G$10-Статистика!$C$10,0.000001),NA()))</f>
        <v>0.52821156833333283</v>
      </c>
      <c r="CH5" s="12">
        <f>IF(Y5="",NA(),IF(Статистика!$H$8="Вкл",(((IF(Статистика!$C$4="Параллельный режим (активная мощность)",AH5,AS5)+Статистика!$J$4))-Статистика!$C$10)/MAX(Статистика!$G$10-Статистика!$C$10,0.000001),NA()))</f>
        <v>0.83211590100000044</v>
      </c>
      <c r="CI5" s="12" t="e">
        <f>IF(Y5="",NA(),IF(Статистика!$J$8="Вкл",(((IF(Статистика!$C$4="Параллельный режим (активная мощность)",AI5,AT5)+Статистика!$J$4))-Статистика!$C$10)/MAX(Статистика!$G$10-Статистика!$C$10,0.000001),NA()))</f>
        <v>#N/A</v>
      </c>
      <c r="CJ5" s="12" t="e">
        <f>IF(AND(Y5&lt;&gt;"",Статистика!$C$6="Вкл",Статистика!$B$6&gt;0),(Статистика!$B$6-Статистика!$C$10)/MAX(Статистика!$G$10-Статистика!$C$10,0.000001),NA())</f>
        <v>#N/A</v>
      </c>
      <c r="CK5" s="12" t="e">
        <f>IF(AND(Y5&lt;&gt;"",Статистика!$F$6="Вкл",Статистика!$E$6&gt;0),(Статистика!$E$6-Статистика!$C$10)/MAX(Статистика!$G$10-Статистика!$C$10,0.000001),NA())</f>
        <v>#N/A</v>
      </c>
      <c r="CL5" s="12" t="e">
        <f>IF(AND(Y5&lt;&gt;"",Статистика!$I$6="Вкл",Статистика!$H$6&gt;0),(Статистика!$H$6-Статистика!$C$10)/MAX(Статистика!$G$10-Статистика!$C$10,0.000001),NA())</f>
        <v>#N/A</v>
      </c>
      <c r="CM5" s="12" t="e">
        <f>IF(AND(Y5&lt;&gt;"",Статистика!$L$6="Вкл",Статистика!$K$6&gt;0),(Статистика!$K$6-Статистика!$C$10)/MAX(Статистика!$G$10-Статистика!$C$10,0.000001),NA())</f>
        <v>#N/A</v>
      </c>
      <c r="CN5" s="12" t="e">
        <f>IF(AND(Y5&lt;&gt;"",Статистика!$M$6="Вкл",Статистика!$O$6&gt;0),(Статистика!$O$6-Статистика!$C$10)/MAX(Статистика!$G$10-Статистика!$C$10,0.000001),NA())</f>
        <v>#N/A</v>
      </c>
      <c r="CO5" s="12">
        <f t="shared" si="1"/>
        <v>1</v>
      </c>
    </row>
    <row r="6" spans="1:93" ht="15" customHeight="1">
      <c r="A6" s="12" t="s">
        <v>76</v>
      </c>
      <c r="B6" s="12">
        <v>2313.9931078333329</v>
      </c>
      <c r="C6" s="12">
        <v>5701.7546058333337</v>
      </c>
      <c r="D6" s="12">
        <v>7377.8602333333338</v>
      </c>
      <c r="E6" s="12">
        <v>7678.7573083333336</v>
      </c>
      <c r="F6" s="12">
        <v>7908.560183333333</v>
      </c>
      <c r="G6" s="12">
        <v>8087.5139500000005</v>
      </c>
      <c r="H6" s="12">
        <v>8401.3413949999995</v>
      </c>
      <c r="I6" s="12">
        <v>8489.8241116666668</v>
      </c>
      <c r="J6" s="12">
        <v>8558.0745289999995</v>
      </c>
      <c r="K6" s="12">
        <v>8670.17</v>
      </c>
      <c r="L6" s="12" t="s">
        <v>77</v>
      </c>
      <c r="M6" s="12">
        <v>2869.0522423333327</v>
      </c>
      <c r="N6" s="12">
        <v>6576.4726783333335</v>
      </c>
      <c r="O6" s="12">
        <v>8431.4730433333334</v>
      </c>
      <c r="P6" s="12">
        <v>8745.7182499999999</v>
      </c>
      <c r="Q6" s="12">
        <v>8950.8458666666666</v>
      </c>
      <c r="R6" s="12">
        <v>9178.9855750000024</v>
      </c>
      <c r="S6" s="12">
        <v>9456.6225333333332</v>
      </c>
      <c r="T6" s="12">
        <v>9590.5438516666673</v>
      </c>
      <c r="U6" s="12">
        <v>9727.6674903333351</v>
      </c>
      <c r="V6" s="12">
        <v>9845.73</v>
      </c>
      <c r="W6" s="12" t="s">
        <v>77</v>
      </c>
      <c r="Y6" s="12" t="s">
        <v>76</v>
      </c>
      <c r="Z6" s="12">
        <v>7611.5849649999982</v>
      </c>
      <c r="AA6" s="12">
        <v>7648.0968249999987</v>
      </c>
      <c r="AB6" s="12">
        <v>7693.7366499999998</v>
      </c>
      <c r="AC6" s="12">
        <v>7812.1308166666659</v>
      </c>
      <c r="AD6" s="12">
        <v>7905.0527499999998</v>
      </c>
      <c r="AE6" s="12">
        <v>7966.1438916666675</v>
      </c>
      <c r="AF6" s="12">
        <v>8375.5537850000001</v>
      </c>
      <c r="AG6" s="12">
        <v>8435.5595091666655</v>
      </c>
      <c r="AH6" s="12">
        <v>8483.5640884999993</v>
      </c>
      <c r="AI6" s="12">
        <v>8591.8700000000008</v>
      </c>
      <c r="AJ6" s="12" t="s">
        <v>78</v>
      </c>
      <c r="AK6" s="12">
        <v>8719.5547228333326</v>
      </c>
      <c r="AL6" s="12">
        <v>8743.615880833333</v>
      </c>
      <c r="AM6" s="12">
        <v>8773.6923283333326</v>
      </c>
      <c r="AN6" s="12">
        <v>8974.6134416666682</v>
      </c>
      <c r="AO6" s="12">
        <v>9022.2487333333338</v>
      </c>
      <c r="AP6" s="12">
        <v>9065.5859249999994</v>
      </c>
      <c r="AQ6" s="12">
        <v>9455.3227283333326</v>
      </c>
      <c r="AR6" s="12">
        <v>9526.7196308333332</v>
      </c>
      <c r="AS6" s="12">
        <v>9583.8371528333337</v>
      </c>
      <c r="AT6" s="12">
        <v>9676.94</v>
      </c>
      <c r="AU6" s="12" t="s">
        <v>78</v>
      </c>
      <c r="AW6" s="12">
        <f>IF(A6="","",MAX(0,MIN(1,(((IF(Статистика!$C$4="Параллельный режим (активная мощность)",B6,M6)+Статистика!$J$4))-Статистика!$C$10)/MAX(Статистика!$G$10-Статистика!$C$10,0.000001))))</f>
        <v>0</v>
      </c>
      <c r="AX6" s="12">
        <f>IF(A6="","",MAX(0,MAX(0,MIN(1,(((IF(Статистика!$C$4="Параллельный режим (активная мощность)",D6,O6)+Статистика!$J$4))-Статистика!$C$10)/MAX(Статистика!$G$10-Статистика!$C$10,0.000001)))-MAX(0,MIN(1,(((IF(Статистика!$C$4="Параллельный режим (активная мощность)",B6,M6)+Статистика!$J$4))-Статистика!$C$10)/MAX(Статистика!$G$10-Статистика!$C$10,0.000001)))))</f>
        <v>0.45928674444444462</v>
      </c>
      <c r="AY6" s="12">
        <f>IF(A6="","",MAX(0,MAX(0,MIN(1,(((IF(Статистика!$C$4="Параллельный режим (активная мощность)",E6,P6)+Статистика!$J$4))-Статистика!$C$10)/MAX(Статистика!$G$10-Статистика!$C$10,0.000001)))-MAX(0,MIN(1,(((IF(Статистика!$C$4="Параллельный режим (активная мощность)",D6,O6)+Статистика!$J$4))-Статистика!$C$10)/MAX(Статистика!$G$10-Статистика!$C$10,0.000001)))))</f>
        <v>0.10029902499999988</v>
      </c>
      <c r="AZ6" s="12">
        <f>IF(A6="","",MAX(0,MAX(0,MIN(1,(((IF(Статистика!$C$4="Параллельный режим (активная мощность)",F6,Q6)+Статистика!$J$4))-Статистика!$C$10)/MAX(Статистика!$G$10-Статистика!$C$10,0.000001)))-MAX(0,MIN(1,(((IF(Статистика!$C$4="Параллельный режим (активная мощность)",E6,P6)+Статистика!$J$4))-Статистика!$C$10)/MAX(Статистика!$G$10-Статистика!$C$10,0.000001)))))</f>
        <v>7.6600958333333136E-2</v>
      </c>
      <c r="BA6" s="12">
        <f>IF(A6="","",MAX(0,MAX(0,MIN(1,(((IF(Статистика!$C$4="Параллельный режим (активная мощность)",G6,R6)+Статистика!$J$4))-Статистика!$C$10)/MAX(Статистика!$G$10-Статистика!$C$10,0.000001)))-MAX(0,MIN(1,(((IF(Статистика!$C$4="Параллельный режим (активная мощность)",F6,Q6)+Статистика!$J$4))-Статистика!$C$10)/MAX(Статистика!$G$10-Статистика!$C$10,0.000001)))))</f>
        <v>5.9651255555555838E-2</v>
      </c>
      <c r="BB6" s="12">
        <f>IF(A6="","",MAX(0,MAX(0,MIN(1,(((IF(Статистика!$C$4="Параллельный режим (активная мощность)",H6,S6)+Статистика!$J$4))-Статистика!$C$10)/MAX(Статистика!$G$10-Статистика!$C$10,0.000001)))-MAX(0,MIN(1,(((IF(Статистика!$C$4="Параллельный режим (активная мощность)",G6,R6)+Статистика!$J$4))-Статистика!$C$10)/MAX(Статистика!$G$10-Статистика!$C$10,0.000001)))))</f>
        <v>0.10460914833333301</v>
      </c>
      <c r="BC6" s="12">
        <f>IF(A6="","",MAX(0,MAX(0,MIN(1,(((IF(Статистика!$C$4="Параллельный режим (активная мощность)",J6,U6)+Статистика!$J$4))-Статистика!$C$10)/MAX(Статистика!$G$10-Статистика!$C$10,0.000001)))-MAX(0,MIN(1,(((IF(Статистика!$C$4="Параллельный режим (активная мощность)",H6,S6)+Статистика!$J$4))-Статистика!$C$10)/MAX(Статистика!$G$10-Статистика!$C$10,0.000001)))))</f>
        <v>5.2244378000000036E-2</v>
      </c>
      <c r="BD6" s="12">
        <f>IF(A6="","",MAX(0,1-MAX(0,MIN(1,(((IF(Статистика!$C$4="Параллельный режим (активная мощность)",J6,U6)+Статистика!$J$4))-Статистика!$C$10)/MAX(Статистика!$G$10-Статистика!$C$10,0.000001)))))</f>
        <v>0.14730849033333349</v>
      </c>
      <c r="BE6" s="12">
        <f>IF(A6="",NA(),IF(Статистика!$B$8="Вкл",(((IF(Статистика!$C$4="Параллельный режим (активная мощность)",F6,Q6)+Статистика!$J$4))-Статистика!$C$10)/MAX(Статистика!$G$10-Статистика!$C$10,0.000001),NA()))</f>
        <v>0.63618672777777763</v>
      </c>
      <c r="BF6" s="12">
        <f>IF(A6="",NA(),IF(Статистика!$D$8="Вкл",(((IF(Статистика!$C$4="Параллельный режим (активная мощность)",E6,P6)+Статистика!$J$4))-Статистика!$C$10)/MAX(Статистика!$G$10-Статистика!$C$10,0.000001),NA()))</f>
        <v>0.55958576944444449</v>
      </c>
      <c r="BG6" s="12">
        <f>IF(A6="",NA(),IF(Статистика!$D$8="Вкл",(((IF(Статистика!$C$4="Параллельный режим (активная мощность)",G6,R6)+Статистика!$J$4))-Статистика!$C$10)/MAX(Статистика!$G$10-Статистика!$C$10,0.000001),NA()))</f>
        <v>0.69583798333333347</v>
      </c>
      <c r="BH6" s="12">
        <f>IF(A6="",NA(),IF(Статистика!$F$8="Вкл",(((IF(Статистика!$C$4="Параллельный режим (активная мощность)",D6,O6)+Статистика!$J$4))-Статистика!$C$10)/MAX(Статистика!$G$10-Статистика!$C$10,0.000001),NA()))</f>
        <v>0.45928674444444462</v>
      </c>
      <c r="BI6" s="12">
        <f>IF(A6="",NA(),IF(Статистика!$F$8="Вкл",(((IF(Статистика!$C$4="Параллельный режим (активная мощность)",H6,S6)+Статистика!$J$4))-Статистика!$C$10)/MAX(Статистика!$G$10-Статистика!$C$10,0.000001),NA()))</f>
        <v>0.80044713166666648</v>
      </c>
      <c r="BJ6" s="12">
        <f>IF(A6="",NA(),IF(Статистика!$H$8="Вкл",(((IF(Статистика!$C$4="Параллельный режим (активная мощность)",B6,M6)+Статистика!$J$4))-Статистика!$C$10)/MAX(Статистика!$G$10-Статистика!$C$10,0.000001),NA()))</f>
        <v>-1.2286689640555557</v>
      </c>
      <c r="BK6" s="12">
        <f>IF(A6="",NA(),IF(Статистика!$H$8="Вкл",(((IF(Статистика!$C$4="Параллельный режим (активная мощность)",J6,U6)+Статистика!$J$4))-Статистика!$C$10)/MAX(Статистика!$G$10-Статистика!$C$10,0.000001),NA()))</f>
        <v>0.85269150966666651</v>
      </c>
      <c r="BL6" s="12" t="e">
        <f>IF(A6="",NA(),IF(Статистика!$J$8="Вкл",(((IF(Статистика!$C$4="Параллельный режим (активная мощность)",K6,V6)+Статистика!$J$4))-Статистика!$C$10)/MAX(Статистика!$G$10-Статистика!$C$10,0.000001),NA()))</f>
        <v>#N/A</v>
      </c>
      <c r="BM6" s="12" t="e">
        <f>IF(AND(A6&lt;&gt;"",Статистика!$C$6="Вкл",Статистика!$B$6&gt;0),(Статистика!$B$6-Статистика!$C$10)/MAX(Статистика!$G$10-Статистика!$C$10,0.000001),NA())</f>
        <v>#N/A</v>
      </c>
      <c r="BN6" s="12" t="e">
        <f>IF(AND(A6&lt;&gt;"",Статистика!$F$6="Вкл",Статистика!$E$6&gt;0),(Статистика!$E$6-Статистика!$C$10)/MAX(Статистика!$G$10-Статистика!$C$10,0.000001),NA())</f>
        <v>#N/A</v>
      </c>
      <c r="BO6" s="12" t="e">
        <f>IF(AND(A6&lt;&gt;"",Статистика!$I$6="Вкл",Статистика!$H$6&gt;0),(Статистика!$H$6-Статистика!$C$10)/MAX(Статистика!$G$10-Статистика!$C$10,0.000001),NA())</f>
        <v>#N/A</v>
      </c>
      <c r="BP6" s="12" t="e">
        <f>IF(AND(A6&lt;&gt;"",Статистика!$L$6="Вкл",Статистика!$K$6&gt;0),(Статистика!$K$6-Статистика!$C$10)/MAX(Статистика!$G$10-Статистика!$C$10,0.000001),NA())</f>
        <v>#N/A</v>
      </c>
      <c r="BQ6" s="12" t="e">
        <f>IF(AND(A6&lt;&gt;"",Статистика!$M$6="Вкл",Статистика!$O$6&gt;0),(Статистика!$O$6-Статистика!$C$10)/MAX(Статистика!$G$10-Статистика!$C$10,0.000001),NA())</f>
        <v>#N/A</v>
      </c>
      <c r="BR6" s="12">
        <f t="shared" si="0"/>
        <v>1</v>
      </c>
      <c r="BT6" s="12">
        <f>IF(Y6="","",MAX(0,MIN(1,(((IF(Статистика!$C$4="Параллельный режим (активная мощность)",Z6,AK6)+Статистика!$J$4))-Статистика!$C$10)/MAX(Статистика!$G$10-Статистика!$C$10,0.000001))))</f>
        <v>0.53719498833333268</v>
      </c>
      <c r="BU6" s="12">
        <f>IF(Y6="","",MAX(0,MAX(0,MIN(1,(((IF(Статистика!$C$4="Параллельный режим (активная мощность)",AB6,AM6)+Статистика!$J$4))-Статистика!$C$10)/MAX(Статистика!$G$10-Статистика!$C$10,0.000001)))-MAX(0,MIN(1,(((IF(Статистика!$C$4="Параллельный режим (активная мощность)",Z6,AK6)+Статистика!$J$4))-Статистика!$C$10)/MAX(Статистика!$G$10-Статистика!$C$10,0.000001)))))</f>
        <v>2.7383895000000602E-2</v>
      </c>
      <c r="BV6" s="12">
        <f>IF(Y6="","",MAX(0,MAX(0,MIN(1,(((IF(Статистика!$C$4="Параллельный режим (активная мощность)",AC6,AN6)+Статистика!$J$4))-Статистика!$C$10)/MAX(Статистика!$G$10-Статистика!$C$10,0.000001)))-MAX(0,MIN(1,(((IF(Статистика!$C$4="Параллельный режим (активная мощность)",AB6,AM6)+Статистика!$J$4))-Статистика!$C$10)/MAX(Статистика!$G$10-Статистика!$C$10,0.000001)))))</f>
        <v>3.9464722222221971E-2</v>
      </c>
      <c r="BW6" s="12">
        <f>IF(Y6="","",MAX(0,MAX(0,MIN(1,(((IF(Статистика!$C$4="Параллельный режим (активная мощность)",AD6,AO6)+Статистика!$J$4))-Статистика!$C$10)/MAX(Статистика!$G$10-Статистика!$C$10,0.000001)))-MAX(0,MIN(1,(((IF(Статистика!$C$4="Параллельный режим (активная мощность)",AC6,AN6)+Статистика!$J$4))-Статистика!$C$10)/MAX(Статистика!$G$10-Статистика!$C$10,0.000001)))))</f>
        <v>3.0973977777777995E-2</v>
      </c>
      <c r="BX6" s="12">
        <f>IF(Y6="","",MAX(0,MAX(0,MIN(1,(((IF(Статистика!$C$4="Параллельный режим (активная мощность)",AE6,AP6)+Статистика!$J$4))-Статистика!$C$10)/MAX(Статистика!$G$10-Статистика!$C$10,0.000001)))-MAX(0,MIN(1,(((IF(Статистика!$C$4="Параллельный режим (активная мощность)",AD6,AO6)+Статистика!$J$4))-Статистика!$C$10)/MAX(Статистика!$G$10-Статистика!$C$10,0.000001)))))</f>
        <v>2.0363713888889245E-2</v>
      </c>
      <c r="BY6" s="12">
        <f>IF(Y6="","",MAX(0,MAX(0,MIN(1,(((IF(Статистика!$C$4="Параллельный режим (активная мощность)",AF6,AQ6)+Статистика!$J$4))-Статистика!$C$10)/MAX(Статистика!$G$10-Статистика!$C$10,0.000001)))-MAX(0,MIN(1,(((IF(Статистика!$C$4="Параллельный режим (активная мощность)",AE6,AP6)+Статистика!$J$4))-Статистика!$C$10)/MAX(Статистика!$G$10-Статистика!$C$10,0.000001)))))</f>
        <v>0.13646996444444415</v>
      </c>
      <c r="BZ6" s="12">
        <f>IF(Y6="","",MAX(0,MAX(0,MIN(1,(((IF(Статистика!$C$4="Параллельный режим (активная мощность)",AH6,AS6)+Статистика!$J$4))-Статистика!$C$10)/MAX(Статистика!$G$10-Статистика!$C$10,0.000001)))-MAX(0,MIN(1,(((IF(Статистика!$C$4="Параллельный режим (активная мощность)",AF6,AQ6)+Статистика!$J$4))-Статистика!$C$10)/MAX(Статистика!$G$10-Статистика!$C$10,0.000001)))))</f>
        <v>3.6003434499999765E-2</v>
      </c>
      <c r="CA6" s="12">
        <f>IF(Y6="","",MAX(0,1-MAX(0,MIN(1,(((IF(Статистика!$C$4="Параллельный режим (активная мощность)",AH6,AS6)+Статистика!$J$4))-Статистика!$C$10)/MAX(Статистика!$G$10-Статистика!$C$10,0.000001)))))</f>
        <v>0.1721453038333336</v>
      </c>
      <c r="CB6" s="12">
        <f>IF(Y6="",NA(),IF(Статистика!$B$8="Вкл",(((IF(Статистика!$C$4="Параллельный режим (активная мощность)",AD6,AO6)+Статистика!$J$4))-Статистика!$C$10)/MAX(Статистика!$G$10-Статистика!$C$10,0.000001),NA()))</f>
        <v>0.63501758333333325</v>
      </c>
      <c r="CC6" s="12">
        <f>IF(Y6="",NA(),IF(Статистика!$D$8="Вкл",(((IF(Статистика!$C$4="Параллельный режим (активная мощность)",AC6,AN6)+Статистика!$J$4))-Статистика!$C$10)/MAX(Статистика!$G$10-Статистика!$C$10,0.000001),NA()))</f>
        <v>0.60404360555555525</v>
      </c>
      <c r="CD6" s="12">
        <f>IF(Y6="",NA(),IF(Статистика!$D$8="Вкл",(((IF(Статистика!$C$4="Параллельный режим (активная мощность)",AE6,AP6)+Статистика!$J$4))-Статистика!$C$10)/MAX(Статистика!$G$10-Статистика!$C$10,0.000001),NA()))</f>
        <v>0.65538129722222249</v>
      </c>
      <c r="CE6" s="12">
        <f>IF(Y6="",NA(),IF(Статистика!$F$8="Вкл",(((IF(Статистика!$C$4="Параллельный режим (активная мощность)",AB6,AM6)+Статистика!$J$4))-Статистика!$C$10)/MAX(Статистика!$G$10-Статистика!$C$10,0.000001),NA()))</f>
        <v>0.56457888333333328</v>
      </c>
      <c r="CF6" s="12">
        <f>IF(Y6="",NA(),IF(Статистика!$F$8="Вкл",(((IF(Статистика!$C$4="Параллельный режим (активная мощность)",AF6,AQ6)+Статистика!$J$4))-Статистика!$C$10)/MAX(Статистика!$G$10-Статистика!$C$10,0.000001),NA()))</f>
        <v>0.79185126166666664</v>
      </c>
      <c r="CG6" s="12">
        <f>IF(Y6="",NA(),IF(Статистика!$H$8="Вкл",(((IF(Статистика!$C$4="Параллельный режим (активная мощность)",Z6,AK6)+Статистика!$J$4))-Статистика!$C$10)/MAX(Статистика!$G$10-Статистика!$C$10,0.000001),NA()))</f>
        <v>0.53719498833333268</v>
      </c>
      <c r="CH6" s="12">
        <f>IF(Y6="",NA(),IF(Статистика!$H$8="Вкл",(((IF(Статистика!$C$4="Параллельный режим (активная мощность)",AH6,AS6)+Статистика!$J$4))-Статистика!$C$10)/MAX(Статистика!$G$10-Статистика!$C$10,0.000001),NA()))</f>
        <v>0.8278546961666664</v>
      </c>
      <c r="CI6" s="12" t="e">
        <f>IF(Y6="",NA(),IF(Статистика!$J$8="Вкл",(((IF(Статистика!$C$4="Параллельный режим (активная мощность)",AI6,AT6)+Статистика!$J$4))-Статистика!$C$10)/MAX(Статистика!$G$10-Статистика!$C$10,0.000001),NA()))</f>
        <v>#N/A</v>
      </c>
      <c r="CJ6" s="12" t="e">
        <f>IF(AND(Y6&lt;&gt;"",Статистика!$C$6="Вкл",Статистика!$B$6&gt;0),(Статистика!$B$6-Статистика!$C$10)/MAX(Статистика!$G$10-Статистика!$C$10,0.000001),NA())</f>
        <v>#N/A</v>
      </c>
      <c r="CK6" s="12" t="e">
        <f>IF(AND(Y6&lt;&gt;"",Статистика!$F$6="Вкл",Статистика!$E$6&gt;0),(Статистика!$E$6-Статистика!$C$10)/MAX(Статистика!$G$10-Статистика!$C$10,0.000001),NA())</f>
        <v>#N/A</v>
      </c>
      <c r="CL6" s="12" t="e">
        <f>IF(AND(Y6&lt;&gt;"",Статистика!$I$6="Вкл",Статистика!$H$6&gt;0),(Статистика!$H$6-Статистика!$C$10)/MAX(Статистика!$G$10-Статистика!$C$10,0.000001),NA())</f>
        <v>#N/A</v>
      </c>
      <c r="CM6" s="12" t="e">
        <f>IF(AND(Y6&lt;&gt;"",Статистика!$L$6="Вкл",Статистика!$K$6&gt;0),(Статистика!$K$6-Статистика!$C$10)/MAX(Статистика!$G$10-Статистика!$C$10,0.000001),NA())</f>
        <v>#N/A</v>
      </c>
      <c r="CN6" s="12" t="e">
        <f>IF(AND(Y6&lt;&gt;"",Статистика!$M$6="Вкл",Статистика!$O$6&gt;0),(Статистика!$O$6-Статистика!$C$10)/MAX(Статистика!$G$10-Статистика!$C$10,0.000001),NA())</f>
        <v>#N/A</v>
      </c>
      <c r="CO6" s="12">
        <f t="shared" si="1"/>
        <v>1</v>
      </c>
    </row>
    <row r="7" spans="1:93" ht="15" customHeight="1">
      <c r="A7" s="12" t="s">
        <v>79</v>
      </c>
      <c r="B7" s="12">
        <v>2316.7703456666668</v>
      </c>
      <c r="C7" s="12">
        <v>5717.2775950000014</v>
      </c>
      <c r="D7" s="12">
        <v>7376.9018216666673</v>
      </c>
      <c r="E7" s="12">
        <v>7611.1196083333334</v>
      </c>
      <c r="F7" s="12">
        <v>7917.4805166666674</v>
      </c>
      <c r="G7" s="12">
        <v>8065.8743000000004</v>
      </c>
      <c r="H7" s="12">
        <v>8384.9413416666666</v>
      </c>
      <c r="I7" s="12">
        <v>8481.9484416666673</v>
      </c>
      <c r="J7" s="12">
        <v>8552.0408616666664</v>
      </c>
      <c r="K7" s="12">
        <v>8678.81</v>
      </c>
      <c r="L7" s="12" t="s">
        <v>80</v>
      </c>
      <c r="M7" s="12">
        <v>2869.5018089999999</v>
      </c>
      <c r="N7" s="12">
        <v>6597.2377116666676</v>
      </c>
      <c r="O7" s="12">
        <v>8430.6105300000017</v>
      </c>
      <c r="P7" s="12">
        <v>8750.322058333335</v>
      </c>
      <c r="Q7" s="12">
        <v>8989.6796666666669</v>
      </c>
      <c r="R7" s="12">
        <v>9169.8942166666675</v>
      </c>
      <c r="S7" s="12">
        <v>9447.1953066666665</v>
      </c>
      <c r="T7" s="12">
        <v>9592.3677683333335</v>
      </c>
      <c r="U7" s="12">
        <v>9741.2333136666675</v>
      </c>
      <c r="V7" s="12">
        <v>9877.99</v>
      </c>
      <c r="W7" s="12" t="s">
        <v>80</v>
      </c>
      <c r="Y7" s="12" t="s">
        <v>79</v>
      </c>
      <c r="Z7" s="12">
        <v>7638.9455271666666</v>
      </c>
      <c r="AA7" s="12">
        <v>7662.9565691666667</v>
      </c>
      <c r="AB7" s="12">
        <v>7692.9703716666672</v>
      </c>
      <c r="AC7" s="12">
        <v>7842.3995583333344</v>
      </c>
      <c r="AD7" s="12">
        <v>7879.8801666666659</v>
      </c>
      <c r="AE7" s="12">
        <v>7906.4962333333333</v>
      </c>
      <c r="AF7" s="12">
        <v>8361.5503333333345</v>
      </c>
      <c r="AG7" s="12">
        <v>8414.7421166666663</v>
      </c>
      <c r="AH7" s="12">
        <v>8457.2955433333336</v>
      </c>
      <c r="AI7" s="12">
        <v>8539.75</v>
      </c>
      <c r="AJ7" s="12" t="s">
        <v>81</v>
      </c>
      <c r="AK7" s="12">
        <v>8750.7562033333325</v>
      </c>
      <c r="AL7" s="12">
        <v>8763.4532833333342</v>
      </c>
      <c r="AM7" s="12">
        <v>8779.3246333333336</v>
      </c>
      <c r="AN7" s="12">
        <v>8948.8515166666657</v>
      </c>
      <c r="AO7" s="12">
        <v>9004.8881833333344</v>
      </c>
      <c r="AP7" s="12">
        <v>9055.5486666666657</v>
      </c>
      <c r="AQ7" s="12">
        <v>9431.5292466666688</v>
      </c>
      <c r="AR7" s="12">
        <v>9495.942790000001</v>
      </c>
      <c r="AS7" s="12">
        <v>9547.4736246666689</v>
      </c>
      <c r="AT7" s="12">
        <v>9629.81</v>
      </c>
      <c r="AU7" s="12" t="s">
        <v>82</v>
      </c>
      <c r="AW7" s="12">
        <f>IF(A7="","",MAX(0,MIN(1,(((IF(Статистика!$C$4="Параллельный режим (активная мощность)",B7,M7)+Статистика!$J$4))-Статистика!$C$10)/MAX(Статистика!$G$10-Статистика!$C$10,0.000001))))</f>
        <v>0</v>
      </c>
      <c r="AX7" s="12">
        <f>IF(A7="","",MAX(0,MAX(0,MIN(1,(((IF(Статистика!$C$4="Параллельный режим (активная мощность)",D7,O7)+Статистика!$J$4))-Статистика!$C$10)/MAX(Статистика!$G$10-Статистика!$C$10,0.000001)))-MAX(0,MIN(1,(((IF(Статистика!$C$4="Параллельный режим (активная мощность)",B7,M7)+Статистика!$J$4))-Статистика!$C$10)/MAX(Статистика!$G$10-Статистика!$C$10,0.000001)))))</f>
        <v>0.45896727388888908</v>
      </c>
      <c r="AY7" s="12">
        <f>IF(A7="","",MAX(0,MAX(0,MIN(1,(((IF(Статистика!$C$4="Параллельный режим (активная мощность)",E7,P7)+Статистика!$J$4))-Статистика!$C$10)/MAX(Статистика!$G$10-Статистика!$C$10,0.000001)))-MAX(0,MIN(1,(((IF(Статистика!$C$4="Параллельный режим (активная мощность)",D7,O7)+Статистика!$J$4))-Статистика!$C$10)/MAX(Статистика!$G$10-Статистика!$C$10,0.000001)))))</f>
        <v>7.8072595555555402E-2</v>
      </c>
      <c r="AZ7" s="12">
        <f>IF(A7="","",MAX(0,MAX(0,MIN(1,(((IF(Статистика!$C$4="Параллельный режим (активная мощность)",F7,Q7)+Статистика!$J$4))-Статистика!$C$10)/MAX(Статистика!$G$10-Статистика!$C$10,0.000001)))-MAX(0,MIN(1,(((IF(Статистика!$C$4="Параллельный режим (активная мощность)",E7,P7)+Статистика!$J$4))-Статистика!$C$10)/MAX(Статистика!$G$10-Статистика!$C$10,0.000001)))))</f>
        <v>0.10212030277777795</v>
      </c>
      <c r="BA7" s="12">
        <f>IF(A7="","",MAX(0,MAX(0,MIN(1,(((IF(Статистика!$C$4="Параллельный режим (активная мощность)",G7,R7)+Статистика!$J$4))-Статистика!$C$10)/MAX(Статистика!$G$10-Статистика!$C$10,0.000001)))-MAX(0,MIN(1,(((IF(Статистика!$C$4="Параллельный режим (активная мощность)",F7,Q7)+Статистика!$J$4))-Статистика!$C$10)/MAX(Статистика!$G$10-Статистика!$C$10,0.000001)))))</f>
        <v>4.9464594444444399E-2</v>
      </c>
      <c r="BB7" s="12">
        <f>IF(A7="","",MAX(0,MAX(0,MIN(1,(((IF(Статистика!$C$4="Параллельный режим (активная мощность)",H7,S7)+Статистика!$J$4))-Статистика!$C$10)/MAX(Статистика!$G$10-Статистика!$C$10,0.000001)))-MAX(0,MIN(1,(((IF(Статистика!$C$4="Параллельный режим (активная мощность)",G7,R7)+Статистика!$J$4))-Статистика!$C$10)/MAX(Статистика!$G$10-Статистика!$C$10,0.000001)))))</f>
        <v>0.10635568055555533</v>
      </c>
      <c r="BC7" s="12">
        <f>IF(A7="","",MAX(0,MAX(0,MIN(1,(((IF(Статистика!$C$4="Параллельный режим (активная мощность)",J7,U7)+Статистика!$J$4))-Статистика!$C$10)/MAX(Статистика!$G$10-Статистика!$C$10,0.000001)))-MAX(0,MIN(1,(((IF(Статистика!$C$4="Параллельный режим (активная мощность)",H7,S7)+Статистика!$J$4))-Статистика!$C$10)/MAX(Статистика!$G$10-Статистика!$C$10,0.000001)))))</f>
        <v>5.5699839999999945E-2</v>
      </c>
      <c r="BD7" s="12">
        <f>IF(A7="","",MAX(0,1-MAX(0,MIN(1,(((IF(Статистика!$C$4="Параллельный режим (активная мощность)",J7,U7)+Статистика!$J$4))-Статистика!$C$10)/MAX(Статистика!$G$10-Статистика!$C$10,0.000001)))))</f>
        <v>0.14931971277777789</v>
      </c>
      <c r="BE7" s="12">
        <f>IF(A7="",NA(),IF(Статистика!$B$8="Вкл",(((IF(Статистика!$C$4="Параллельный режим (активная мощность)",F7,Q7)+Статистика!$J$4))-Статистика!$C$10)/MAX(Статистика!$G$10-Статистика!$C$10,0.000001),NA()))</f>
        <v>0.63916017222222243</v>
      </c>
      <c r="BF7" s="12">
        <f>IF(A7="",NA(),IF(Статистика!$D$8="Вкл",(((IF(Статистика!$C$4="Параллельный режим (активная мощность)",E7,P7)+Статистика!$J$4))-Статистика!$C$10)/MAX(Статистика!$G$10-Статистика!$C$10,0.000001),NA()))</f>
        <v>0.53703986944444448</v>
      </c>
      <c r="BG7" s="12">
        <f>IF(A7="",NA(),IF(Статистика!$D$8="Вкл",(((IF(Статистика!$C$4="Параллельный режим (активная мощность)",G7,R7)+Статистика!$J$4))-Статистика!$C$10)/MAX(Статистика!$G$10-Статистика!$C$10,0.000001),NA()))</f>
        <v>0.68862476666666683</v>
      </c>
      <c r="BH7" s="12">
        <f>IF(A7="",NA(),IF(Статистика!$F$8="Вкл",(((IF(Статистика!$C$4="Параллельный режим (активная мощность)",D7,O7)+Статистика!$J$4))-Статистика!$C$10)/MAX(Статистика!$G$10-Статистика!$C$10,0.000001),NA()))</f>
        <v>0.45896727388888908</v>
      </c>
      <c r="BI7" s="12">
        <f>IF(A7="",NA(),IF(Статистика!$F$8="Вкл",(((IF(Статистика!$C$4="Параллельный режим (активная мощность)",H7,S7)+Статистика!$J$4))-Статистика!$C$10)/MAX(Статистика!$G$10-Статистика!$C$10,0.000001),NA()))</f>
        <v>0.79498044722222216</v>
      </c>
      <c r="BJ7" s="12">
        <f>IF(A7="",NA(),IF(Статистика!$H$8="Вкл",(((IF(Статистика!$C$4="Параллельный режим (активная мощность)",B7,M7)+Статистика!$J$4))-Статистика!$C$10)/MAX(Статистика!$G$10-Статистика!$C$10,0.000001),NA()))</f>
        <v>-1.227743218111111</v>
      </c>
      <c r="BK7" s="12">
        <f>IF(A7="",NA(),IF(Статистика!$H$8="Вкл",(((IF(Статистика!$C$4="Параллельный режим (активная мощность)",J7,U7)+Статистика!$J$4))-Статистика!$C$10)/MAX(Статистика!$G$10-Статистика!$C$10,0.000001),NA()))</f>
        <v>0.85068028722222211</v>
      </c>
      <c r="BL7" s="12" t="e">
        <f>IF(A7="",NA(),IF(Статистика!$J$8="Вкл",(((IF(Статистика!$C$4="Параллельный режим (активная мощность)",K7,V7)+Статистика!$J$4))-Статистика!$C$10)/MAX(Статистика!$G$10-Статистика!$C$10,0.000001),NA()))</f>
        <v>#N/A</v>
      </c>
      <c r="BM7" s="12" t="e">
        <f>IF(AND(A7&lt;&gt;"",Статистика!$C$6="Вкл",Статистика!$B$6&gt;0),(Статистика!$B$6-Статистика!$C$10)/MAX(Статистика!$G$10-Статистика!$C$10,0.000001),NA())</f>
        <v>#N/A</v>
      </c>
      <c r="BN7" s="12" t="e">
        <f>IF(AND(A7&lt;&gt;"",Статистика!$F$6="Вкл",Статистика!$E$6&gt;0),(Статистика!$E$6-Статистика!$C$10)/MAX(Статистика!$G$10-Статистика!$C$10,0.000001),NA())</f>
        <v>#N/A</v>
      </c>
      <c r="BO7" s="12" t="e">
        <f>IF(AND(A7&lt;&gt;"",Статистика!$I$6="Вкл",Статистика!$H$6&gt;0),(Статистика!$H$6-Статистика!$C$10)/MAX(Статистика!$G$10-Статистика!$C$10,0.000001),NA())</f>
        <v>#N/A</v>
      </c>
      <c r="BP7" s="12" t="e">
        <f>IF(AND(A7&lt;&gt;"",Статистика!$L$6="Вкл",Статистика!$K$6&gt;0),(Статистика!$K$6-Статистика!$C$10)/MAX(Статистика!$G$10-Статистика!$C$10,0.000001),NA())</f>
        <v>#N/A</v>
      </c>
      <c r="BQ7" s="12" t="e">
        <f>IF(AND(A7&lt;&gt;"",Статистика!$M$6="Вкл",Статистика!$O$6&gt;0),(Статистика!$O$6-Статистика!$C$10)/MAX(Статистика!$G$10-Статистика!$C$10,0.000001),NA())</f>
        <v>#N/A</v>
      </c>
      <c r="BR7" s="12">
        <f t="shared" si="0"/>
        <v>1</v>
      </c>
      <c r="BT7" s="12">
        <f>IF(Y7="","",MAX(0,MIN(1,(((IF(Статистика!$C$4="Параллельный режим (активная мощность)",Z7,AK7)+Статистика!$J$4))-Статистика!$C$10)/MAX(Статистика!$G$10-Статистика!$C$10,0.000001))))</f>
        <v>0.54631517572222221</v>
      </c>
      <c r="BU7" s="12">
        <f>IF(Y7="","",MAX(0,MAX(0,MIN(1,(((IF(Статистика!$C$4="Параллельный режим (активная мощность)",AB7,AM7)+Статистика!$J$4))-Статистика!$C$10)/MAX(Статистика!$G$10-Статистика!$C$10,0.000001)))-MAX(0,MIN(1,(((IF(Статистика!$C$4="Параллельный режим (активная мощность)",Z7,AK7)+Статистика!$J$4))-Статистика!$C$10)/MAX(Статистика!$G$10-Статистика!$C$10,0.000001)))))</f>
        <v>1.8008281500000223E-2</v>
      </c>
      <c r="BV7" s="12">
        <f>IF(Y7="","",MAX(0,MAX(0,MIN(1,(((IF(Статистика!$C$4="Параллельный режим (активная мощность)",AC7,AN7)+Статистика!$J$4))-Статистика!$C$10)/MAX(Статистика!$G$10-Статистика!$C$10,0.000001)))-MAX(0,MIN(1,(((IF(Статистика!$C$4="Параллельный режим (активная мощность)",AB7,AM7)+Статистика!$J$4))-Статистика!$C$10)/MAX(Статистика!$G$10-Статистика!$C$10,0.000001)))))</f>
        <v>4.9809728888889016E-2</v>
      </c>
      <c r="BW7" s="12">
        <f>IF(Y7="","",MAX(0,MAX(0,MIN(1,(((IF(Статистика!$C$4="Параллельный режим (активная мощность)",AD7,AO7)+Статистика!$J$4))-Статистика!$C$10)/MAX(Статистика!$G$10-Статистика!$C$10,0.000001)))-MAX(0,MIN(1,(((IF(Статистика!$C$4="Параллельный режим (активная мощность)",AC7,AN7)+Статистика!$J$4))-Статистика!$C$10)/MAX(Статистика!$G$10-Статистика!$C$10,0.000001)))))</f>
        <v>1.2493536111110481E-2</v>
      </c>
      <c r="BX7" s="12">
        <f>IF(Y7="","",MAX(0,MAX(0,MIN(1,(((IF(Статистика!$C$4="Параллельный режим (активная мощность)",AE7,AP7)+Статистика!$J$4))-Статистика!$C$10)/MAX(Статистика!$G$10-Статистика!$C$10,0.000001)))-MAX(0,MIN(1,(((IF(Статистика!$C$4="Параллельный режим (активная мощность)",AD7,AO7)+Статистика!$J$4))-Статистика!$C$10)/MAX(Статистика!$G$10-Статистика!$C$10,0.000001)))))</f>
        <v>8.8720222222224976E-3</v>
      </c>
      <c r="BY7" s="12">
        <f>IF(Y7="","",MAX(0,MAX(0,MIN(1,(((IF(Статистика!$C$4="Параллельный режим (активная мощность)",AF7,AQ7)+Статистика!$J$4))-Статистика!$C$10)/MAX(Статистика!$G$10-Статистика!$C$10,0.000001)))-MAX(0,MIN(1,(((IF(Статистика!$C$4="Параллельный режим (активная мощность)",AE7,AP7)+Статистика!$J$4))-Статистика!$C$10)/MAX(Статистика!$G$10-Статистика!$C$10,0.000001)))))</f>
        <v>0.15168470000000045</v>
      </c>
      <c r="BZ7" s="12">
        <f>IF(Y7="","",MAX(0,MAX(0,MIN(1,(((IF(Статистика!$C$4="Параллельный режим (активная мощность)",AH7,AS7)+Статистика!$J$4))-Статистика!$C$10)/MAX(Статистика!$G$10-Статистика!$C$10,0.000001)))-MAX(0,MIN(1,(((IF(Статистика!$C$4="Параллельный режим (активная мощность)",AF7,AQ7)+Статистика!$J$4))-Статистика!$C$10)/MAX(Статистика!$G$10-Статистика!$C$10,0.000001)))))</f>
        <v>3.1915069999999712E-2</v>
      </c>
      <c r="CA7" s="12">
        <f>IF(Y7="","",MAX(0,1-MAX(0,MIN(1,(((IF(Статистика!$C$4="Параллельный режим (активная мощность)",AH7,AS7)+Статистика!$J$4))-Статистика!$C$10)/MAX(Статистика!$G$10-Статистика!$C$10,0.000001)))))</f>
        <v>0.18090148555555541</v>
      </c>
      <c r="CB7" s="12">
        <f>IF(Y7="",NA(),IF(Статистика!$B$8="Вкл",(((IF(Статистика!$C$4="Параллельный режим (активная мощность)",AD7,AO7)+Статистика!$J$4))-Статистика!$C$10)/MAX(Статистика!$G$10-Статистика!$C$10,0.000001),NA()))</f>
        <v>0.62662672222222193</v>
      </c>
      <c r="CC7" s="12">
        <f>IF(Y7="",NA(),IF(Статистика!$D$8="Вкл",(((IF(Статистика!$C$4="Параллельный режим (активная мощность)",AC7,AN7)+Статистика!$J$4))-Статистика!$C$10)/MAX(Статистика!$G$10-Статистика!$C$10,0.000001),NA()))</f>
        <v>0.61413318611111145</v>
      </c>
      <c r="CD7" s="12">
        <f>IF(Y7="",NA(),IF(Статистика!$D$8="Вкл",(((IF(Статистика!$C$4="Параллельный режим (активная мощность)",AE7,AP7)+Статистика!$J$4))-Статистика!$C$10)/MAX(Статистика!$G$10-Статистика!$C$10,0.000001),NA()))</f>
        <v>0.63549874444444443</v>
      </c>
      <c r="CE7" s="12">
        <f>IF(Y7="",NA(),IF(Статистика!$F$8="Вкл",(((IF(Статистика!$C$4="Параллельный режим (активная мощность)",AB7,AM7)+Статистика!$J$4))-Статистика!$C$10)/MAX(Статистика!$G$10-Статистика!$C$10,0.000001),NA()))</f>
        <v>0.56432345722222244</v>
      </c>
      <c r="CF7" s="12">
        <f>IF(Y7="",NA(),IF(Статистика!$F$8="Вкл",(((IF(Статистика!$C$4="Параллельный режим (активная мощность)",AF7,AQ7)+Статистика!$J$4))-Статистика!$C$10)/MAX(Статистика!$G$10-Статистика!$C$10,0.000001),NA()))</f>
        <v>0.78718344444444488</v>
      </c>
      <c r="CG7" s="12">
        <f>IF(Y7="",NA(),IF(Статистика!$H$8="Вкл",(((IF(Статистика!$C$4="Параллельный режим (активная мощность)",Z7,AK7)+Статистика!$J$4))-Статистика!$C$10)/MAX(Статистика!$G$10-Статистика!$C$10,0.000001),NA()))</f>
        <v>0.54631517572222221</v>
      </c>
      <c r="CH7" s="12">
        <f>IF(Y7="",NA(),IF(Статистика!$H$8="Вкл",(((IF(Статистика!$C$4="Параллельный режим (активная мощность)",AH7,AS7)+Статистика!$J$4))-Статистика!$C$10)/MAX(Статистика!$G$10-Статистика!$C$10,0.000001),NA()))</f>
        <v>0.81909851444444459</v>
      </c>
      <c r="CI7" s="12" t="e">
        <f>IF(Y7="",NA(),IF(Статистика!$J$8="Вкл",(((IF(Статистика!$C$4="Параллельный режим (активная мощность)",AI7,AT7)+Статистика!$J$4))-Статистика!$C$10)/MAX(Статистика!$G$10-Статистика!$C$10,0.000001),NA()))</f>
        <v>#N/A</v>
      </c>
      <c r="CJ7" s="12" t="e">
        <f>IF(AND(Y7&lt;&gt;"",Статистика!$C$6="Вкл",Статистика!$B$6&gt;0),(Статистика!$B$6-Статистика!$C$10)/MAX(Статистика!$G$10-Статистика!$C$10,0.000001),NA())</f>
        <v>#N/A</v>
      </c>
      <c r="CK7" s="12" t="e">
        <f>IF(AND(Y7&lt;&gt;"",Статистика!$F$6="Вкл",Статистика!$E$6&gt;0),(Статистика!$E$6-Статистика!$C$10)/MAX(Статистика!$G$10-Статистика!$C$10,0.000001),NA())</f>
        <v>#N/A</v>
      </c>
      <c r="CL7" s="12" t="e">
        <f>IF(AND(Y7&lt;&gt;"",Статистика!$I$6="Вкл",Статистика!$H$6&gt;0),(Статистика!$H$6-Статистика!$C$10)/MAX(Статистика!$G$10-Статистика!$C$10,0.000001),NA())</f>
        <v>#N/A</v>
      </c>
      <c r="CM7" s="12" t="e">
        <f>IF(AND(Y7&lt;&gt;"",Статистика!$L$6="Вкл",Статистика!$K$6&gt;0),(Статистика!$K$6-Статистика!$C$10)/MAX(Статистика!$G$10-Статистика!$C$10,0.000001),NA())</f>
        <v>#N/A</v>
      </c>
      <c r="CN7" s="12" t="e">
        <f>IF(AND(Y7&lt;&gt;"",Статистика!$M$6="Вкл",Статистика!$O$6&gt;0),(Статистика!$O$6-Статистика!$C$10)/MAX(Статистика!$G$10-Статистика!$C$10,0.000001),NA())</f>
        <v>#N/A</v>
      </c>
      <c r="CO7" s="12">
        <f t="shared" si="1"/>
        <v>1</v>
      </c>
    </row>
    <row r="8" spans="1:93" ht="15" customHeight="1">
      <c r="A8" s="12" t="s">
        <v>83</v>
      </c>
      <c r="B8" s="12">
        <v>2343.2049374999997</v>
      </c>
      <c r="C8" s="12">
        <v>5818.4629541666663</v>
      </c>
      <c r="D8" s="12">
        <v>7468.1177699999998</v>
      </c>
      <c r="E8" s="12">
        <v>7623.5546833333337</v>
      </c>
      <c r="F8" s="12">
        <v>7898.1152500000007</v>
      </c>
      <c r="G8" s="12">
        <v>8068.2322916666662</v>
      </c>
      <c r="H8" s="12">
        <v>8374.7768583333327</v>
      </c>
      <c r="I8" s="12">
        <v>8430.814061666666</v>
      </c>
      <c r="J8" s="12">
        <v>8475.4627323333334</v>
      </c>
      <c r="K8" s="12">
        <v>8760.67</v>
      </c>
      <c r="L8" s="12" t="s">
        <v>84</v>
      </c>
      <c r="M8" s="12">
        <v>2902.2992851666663</v>
      </c>
      <c r="N8" s="12">
        <v>6729.0708258333334</v>
      </c>
      <c r="O8" s="12">
        <v>8555.4661066666667</v>
      </c>
      <c r="P8" s="12">
        <v>8738.6934916666669</v>
      </c>
      <c r="Q8" s="12">
        <v>8981.1246833333316</v>
      </c>
      <c r="R8" s="12">
        <v>9163.5576416666663</v>
      </c>
      <c r="S8" s="12">
        <v>9512.428378333334</v>
      </c>
      <c r="T8" s="12">
        <v>9593.6259399999999</v>
      </c>
      <c r="U8" s="12">
        <v>9609.0022813333326</v>
      </c>
      <c r="V8" s="12">
        <v>9995.5400000000009</v>
      </c>
      <c r="W8" s="12" t="s">
        <v>84</v>
      </c>
      <c r="Y8" s="12" t="s">
        <v>83</v>
      </c>
      <c r="Z8" s="12">
        <v>7740.5587079999996</v>
      </c>
      <c r="AA8" s="12">
        <v>7748.4652733333323</v>
      </c>
      <c r="AB8" s="12">
        <v>7758.3484799999997</v>
      </c>
      <c r="AC8" s="12">
        <v>7781.889858333333</v>
      </c>
      <c r="AD8" s="12">
        <v>7815.0346499999996</v>
      </c>
      <c r="AE8" s="12">
        <v>7902.5695499999983</v>
      </c>
      <c r="AF8" s="12">
        <v>8351.3128166666665</v>
      </c>
      <c r="AG8" s="12">
        <v>8408.6868916666663</v>
      </c>
      <c r="AH8" s="12">
        <v>8454.5861516666664</v>
      </c>
      <c r="AI8" s="12">
        <v>8616.86</v>
      </c>
      <c r="AJ8" s="12" t="s">
        <v>85</v>
      </c>
      <c r="AK8" s="12">
        <v>8795.870111833332</v>
      </c>
      <c r="AL8" s="12">
        <v>8810.4330924999977</v>
      </c>
      <c r="AM8" s="12">
        <v>8828.6368183333325</v>
      </c>
      <c r="AN8" s="12">
        <v>8881.5489083333323</v>
      </c>
      <c r="AO8" s="12">
        <v>8963.0697666666674</v>
      </c>
      <c r="AP8" s="12">
        <v>9019.7155833333345</v>
      </c>
      <c r="AQ8" s="12">
        <v>9434.0917049999989</v>
      </c>
      <c r="AR8" s="12">
        <v>9501.708219166665</v>
      </c>
      <c r="AS8" s="12">
        <v>9555.8014304999997</v>
      </c>
      <c r="AT8" s="12">
        <v>9771.06</v>
      </c>
      <c r="AU8" s="12" t="s">
        <v>85</v>
      </c>
      <c r="AW8" s="12">
        <f>IF(A8="","",MAX(0,MIN(1,(((IF(Статистика!$C$4="Параллельный режим (активная мощность)",B8,M8)+Статистика!$J$4))-Статистика!$C$10)/MAX(Статистика!$G$10-Статистика!$C$10,0.000001))))</f>
        <v>0</v>
      </c>
      <c r="AX8" s="12">
        <f>IF(A8="","",MAX(0,MAX(0,MIN(1,(((IF(Статистика!$C$4="Параллельный режим (активная мощность)",D8,O8)+Статистика!$J$4))-Статистика!$C$10)/MAX(Статистика!$G$10-Статистика!$C$10,0.000001)))-MAX(0,MIN(1,(((IF(Статистика!$C$4="Параллельный режим (активная мощность)",B8,M8)+Статистика!$J$4))-Статистика!$C$10)/MAX(Статистика!$G$10-Статистика!$C$10,0.000001)))))</f>
        <v>0.48937258999999994</v>
      </c>
      <c r="AY8" s="12">
        <f>IF(A8="","",MAX(0,MAX(0,MIN(1,(((IF(Статистика!$C$4="Параллельный режим (активная мощность)",E8,P8)+Статистика!$J$4))-Статистика!$C$10)/MAX(Статистика!$G$10-Статистика!$C$10,0.000001)))-MAX(0,MIN(1,(((IF(Статистика!$C$4="Параллельный режим (активная мощность)",D8,O8)+Статистика!$J$4))-Статистика!$C$10)/MAX(Статистика!$G$10-Статистика!$C$10,0.000001)))))</f>
        <v>5.1812304444444679E-2</v>
      </c>
      <c r="AZ8" s="12">
        <f>IF(A8="","",MAX(0,MAX(0,MIN(1,(((IF(Статистика!$C$4="Параллельный режим (активная мощность)",F8,Q8)+Статистика!$J$4))-Статистика!$C$10)/MAX(Статистика!$G$10-Статистика!$C$10,0.000001)))-MAX(0,MIN(1,(((IF(Статистика!$C$4="Параллельный режим (активная мощность)",E8,P8)+Статистика!$J$4))-Статистика!$C$10)/MAX(Статистика!$G$10-Статистика!$C$10,0.000001)))))</f>
        <v>9.1520188888888909E-2</v>
      </c>
      <c r="BA8" s="12">
        <f>IF(A8="","",MAX(0,MAX(0,MIN(1,(((IF(Статистика!$C$4="Параллельный режим (активная мощность)",G8,R8)+Статистика!$J$4))-Статистика!$C$10)/MAX(Статистика!$G$10-Статистика!$C$10,0.000001)))-MAX(0,MIN(1,(((IF(Статистика!$C$4="Параллельный режим (активная мощность)",F8,Q8)+Статистика!$J$4))-Статистика!$C$10)/MAX(Статистика!$G$10-Статистика!$C$10,0.000001)))))</f>
        <v>5.6705680555555249E-2</v>
      </c>
      <c r="BB8" s="12">
        <f>IF(A8="","",MAX(0,MAX(0,MIN(1,(((IF(Статистика!$C$4="Параллельный режим (активная мощность)",H8,S8)+Статистика!$J$4))-Статистика!$C$10)/MAX(Статистика!$G$10-Статистика!$C$10,0.000001)))-MAX(0,MIN(1,(((IF(Статистика!$C$4="Параллельный режим (активная мощность)",G8,R8)+Статистика!$J$4))-Статистика!$C$10)/MAX(Статистика!$G$10-Статистика!$C$10,0.000001)))))</f>
        <v>0.1021815222222221</v>
      </c>
      <c r="BC8" s="12">
        <f>IF(A8="","",MAX(0,MAX(0,MIN(1,(((IF(Статистика!$C$4="Параллельный режим (активная мощность)",J8,U8)+Статистика!$J$4))-Статистика!$C$10)/MAX(Статистика!$G$10-Статистика!$C$10,0.000001)))-MAX(0,MIN(1,(((IF(Статистика!$C$4="Параллельный режим (активная мощность)",H8,S8)+Статистика!$J$4))-Статистика!$C$10)/MAX(Статистика!$G$10-Статистика!$C$10,0.000001)))))</f>
        <v>3.356195800000028E-2</v>
      </c>
      <c r="BD8" s="12">
        <f>IF(A8="","",MAX(0,1-MAX(0,MIN(1,(((IF(Статистика!$C$4="Параллельный режим (активная мощность)",J8,U8)+Статистика!$J$4))-Статистика!$C$10)/MAX(Статистика!$G$10-Статистика!$C$10,0.000001)))))</f>
        <v>0.17484575588888884</v>
      </c>
      <c r="BE8" s="12">
        <f>IF(A8="",NA(),IF(Статистика!$B$8="Вкл",(((IF(Статистика!$C$4="Параллельный режим (активная мощность)",F8,Q8)+Статистика!$J$4))-Статистика!$C$10)/MAX(Статистика!$G$10-Статистика!$C$10,0.000001),NA()))</f>
        <v>0.63270508333333353</v>
      </c>
      <c r="BF8" s="12">
        <f>IF(A8="",NA(),IF(Статистика!$D$8="Вкл",(((IF(Статистика!$C$4="Параллельный режим (активная мощность)",E8,P8)+Статистика!$J$4))-Статистика!$C$10)/MAX(Статистика!$G$10-Статистика!$C$10,0.000001),NA()))</f>
        <v>0.54118489444444462</v>
      </c>
      <c r="BG8" s="12">
        <f>IF(A8="",NA(),IF(Статистика!$D$8="Вкл",(((IF(Статистика!$C$4="Параллельный режим (активная мощность)",G8,R8)+Статистика!$J$4))-Статистика!$C$10)/MAX(Статистика!$G$10-Статистика!$C$10,0.000001),NA()))</f>
        <v>0.68941076388888878</v>
      </c>
      <c r="BH8" s="12">
        <f>IF(A8="",NA(),IF(Статистика!$F$8="Вкл",(((IF(Статистика!$C$4="Параллельный режим (активная мощность)",D8,O8)+Статистика!$J$4))-Статистика!$C$10)/MAX(Статистика!$G$10-Статистика!$C$10,0.000001),NA()))</f>
        <v>0.48937258999999994</v>
      </c>
      <c r="BI8" s="12">
        <f>IF(A8="",NA(),IF(Статистика!$F$8="Вкл",(((IF(Статистика!$C$4="Параллельный режим (активная мощность)",H8,S8)+Статистика!$J$4))-Статистика!$C$10)/MAX(Статистика!$G$10-Статистика!$C$10,0.000001),NA()))</f>
        <v>0.79159228611111088</v>
      </c>
      <c r="BJ8" s="12">
        <f>IF(A8="",NA(),IF(Статистика!$H$8="Вкл",(((IF(Статистика!$C$4="Параллельный режим (активная мощность)",B8,M8)+Статистика!$J$4))-Статистика!$C$10)/MAX(Статистика!$G$10-Статистика!$C$10,0.000001),NA()))</f>
        <v>-1.2189316875</v>
      </c>
      <c r="BK8" s="12">
        <f>IF(A8="",NA(),IF(Статистика!$H$8="Вкл",(((IF(Статистика!$C$4="Параллельный режим (активная мощность)",J8,U8)+Статистика!$J$4))-Статистика!$C$10)/MAX(Статистика!$G$10-Статистика!$C$10,0.000001),NA()))</f>
        <v>0.82515424411111116</v>
      </c>
      <c r="BL8" s="12" t="e">
        <f>IF(A8="",NA(),IF(Статистика!$J$8="Вкл",(((IF(Статистика!$C$4="Параллельный режим (активная мощность)",K8,V8)+Статистика!$J$4))-Статистика!$C$10)/MAX(Статистика!$G$10-Статистика!$C$10,0.000001),NA()))</f>
        <v>#N/A</v>
      </c>
      <c r="BM8" s="12" t="e">
        <f>IF(AND(A8&lt;&gt;"",Статистика!$C$6="Вкл",Статистика!$B$6&gt;0),(Статистика!$B$6-Статистика!$C$10)/MAX(Статистика!$G$10-Статистика!$C$10,0.000001),NA())</f>
        <v>#N/A</v>
      </c>
      <c r="BN8" s="12" t="e">
        <f>IF(AND(A8&lt;&gt;"",Статистика!$F$6="Вкл",Статистика!$E$6&gt;0),(Статистика!$E$6-Статистика!$C$10)/MAX(Статистика!$G$10-Статистика!$C$10,0.000001),NA())</f>
        <v>#N/A</v>
      </c>
      <c r="BO8" s="12" t="e">
        <f>IF(AND(A8&lt;&gt;"",Статистика!$I$6="Вкл",Статистика!$H$6&gt;0),(Статистика!$H$6-Статистика!$C$10)/MAX(Статистика!$G$10-Статистика!$C$10,0.000001),NA())</f>
        <v>#N/A</v>
      </c>
      <c r="BP8" s="12" t="e">
        <f>IF(AND(A8&lt;&gt;"",Статистика!$L$6="Вкл",Статистика!$K$6&gt;0),(Статистика!$K$6-Статистика!$C$10)/MAX(Статистика!$G$10-Статистика!$C$10,0.000001),NA())</f>
        <v>#N/A</v>
      </c>
      <c r="BQ8" s="12" t="e">
        <f>IF(AND(A8&lt;&gt;"",Статистика!$M$6="Вкл",Статистика!$O$6&gt;0),(Статистика!$O$6-Статистика!$C$10)/MAX(Статистика!$G$10-Статистика!$C$10,0.000001),NA())</f>
        <v>#N/A</v>
      </c>
      <c r="BR8" s="12">
        <f t="shared" si="0"/>
        <v>1</v>
      </c>
      <c r="BT8" s="12">
        <f>IF(Y8="","",MAX(0,MIN(1,(((IF(Статистика!$C$4="Параллельный режим (активная мощность)",Z8,AK8)+Статистика!$J$4))-Статистика!$C$10)/MAX(Статистика!$G$10-Статистика!$C$10,0.000001))))</f>
        <v>0.58018623599999986</v>
      </c>
      <c r="BU8" s="12">
        <f>IF(Y8="","",MAX(0,MAX(0,MIN(1,(((IF(Статистика!$C$4="Параллельный режим (активная мощность)",AB8,AM8)+Статистика!$J$4))-Статистика!$C$10)/MAX(Статистика!$G$10-Статистика!$C$10,0.000001)))-MAX(0,MIN(1,(((IF(Статистика!$C$4="Параллельный режим (активная мощность)",Z8,AK8)+Статистика!$J$4))-Статистика!$C$10)/MAX(Статистика!$G$10-Статистика!$C$10,0.000001)))))</f>
        <v>5.9299240000000308E-3</v>
      </c>
      <c r="BV8" s="12">
        <f>IF(Y8="","",MAX(0,MAX(0,MIN(1,(((IF(Статистика!$C$4="Параллельный режим (активная мощность)",AC8,AN8)+Статистика!$J$4))-Статистика!$C$10)/MAX(Статистика!$G$10-Статистика!$C$10,0.000001)))-MAX(0,MIN(1,(((IF(Статистика!$C$4="Параллельный режим (активная мощность)",AB8,AM8)+Статистика!$J$4))-Статистика!$C$10)/MAX(Статистика!$G$10-Статистика!$C$10,0.000001)))))</f>
        <v>7.8471261111111579E-3</v>
      </c>
      <c r="BW8" s="12">
        <f>IF(Y8="","",MAX(0,MAX(0,MIN(1,(((IF(Статистика!$C$4="Параллельный режим (активная мощность)",AD8,AO8)+Статистика!$J$4))-Статистика!$C$10)/MAX(Статистика!$G$10-Статистика!$C$10,0.000001)))-MAX(0,MIN(1,(((IF(Статистика!$C$4="Параллельный режим (активная мощность)",AC8,AN8)+Статистика!$J$4))-Статистика!$C$10)/MAX(Статистика!$G$10-Статистика!$C$10,0.000001)))))</f>
        <v>1.1048263888888799E-2</v>
      </c>
      <c r="BX8" s="12">
        <f>IF(Y8="","",MAX(0,MAX(0,MIN(1,(((IF(Статистика!$C$4="Параллельный режим (активная мощность)",AE8,AP8)+Статистика!$J$4))-Статистика!$C$10)/MAX(Статистика!$G$10-Статистика!$C$10,0.000001)))-MAX(0,MIN(1,(((IF(Статистика!$C$4="Параллельный режим (активная мощность)",AD8,AO8)+Статистика!$J$4))-Статистика!$C$10)/MAX(Статистика!$G$10-Статистика!$C$10,0.000001)))))</f>
        <v>2.9178299999999657E-2</v>
      </c>
      <c r="BY8" s="12">
        <f>IF(Y8="","",MAX(0,MAX(0,MIN(1,(((IF(Статистика!$C$4="Параллельный режим (активная мощность)",AF8,AQ8)+Статистика!$J$4))-Статистика!$C$10)/MAX(Статистика!$G$10-Статистика!$C$10,0.000001)))-MAX(0,MIN(1,(((IF(Статистика!$C$4="Параллельный режим (активная мощность)",AE8,AP8)+Статистика!$J$4))-Статистика!$C$10)/MAX(Статистика!$G$10-Статистика!$C$10,0.000001)))))</f>
        <v>0.14958108888888932</v>
      </c>
      <c r="BZ8" s="12">
        <f>IF(Y8="","",MAX(0,MAX(0,MIN(1,(((IF(Статистика!$C$4="Параллельный режим (активная мощность)",AH8,AS8)+Статистика!$J$4))-Статистика!$C$10)/MAX(Статистика!$G$10-Статистика!$C$10,0.000001)))-MAX(0,MIN(1,(((IF(Статистика!$C$4="Параллельный режим (активная мощность)",AF8,AQ8)+Статистика!$J$4))-Статистика!$C$10)/MAX(Статистика!$G$10-Статистика!$C$10,0.000001)))))</f>
        <v>3.442444499999997E-2</v>
      </c>
      <c r="CA8" s="12">
        <f>IF(Y8="","",MAX(0,1-MAX(0,MIN(1,(((IF(Статистика!$C$4="Параллельный режим (активная мощность)",AH8,AS8)+Статистика!$J$4))-Статистика!$C$10)/MAX(Статистика!$G$10-Статистика!$C$10,0.000001)))))</f>
        <v>0.18180461611111121</v>
      </c>
      <c r="CB8" s="12">
        <f>IF(Y8="",NA(),IF(Статистика!$B$8="Вкл",(((IF(Статистика!$C$4="Параллельный режим (активная мощность)",AD8,AO8)+Статистика!$J$4))-Статистика!$C$10)/MAX(Статистика!$G$10-Статистика!$C$10,0.000001),NA()))</f>
        <v>0.60501154999999984</v>
      </c>
      <c r="CC8" s="12">
        <f>IF(Y8="",NA(),IF(Статистика!$D$8="Вкл",(((IF(Статистика!$C$4="Параллельный режим (активная мощность)",AC8,AN8)+Статистика!$J$4))-Статистика!$C$10)/MAX(Статистика!$G$10-Статистика!$C$10,0.000001),NA()))</f>
        <v>0.59396328611111104</v>
      </c>
      <c r="CD8" s="12">
        <f>IF(Y8="",NA(),IF(Статистика!$D$8="Вкл",(((IF(Статистика!$C$4="Параллельный режим (активная мощность)",AE8,AP8)+Статистика!$J$4))-Статистика!$C$10)/MAX(Статистика!$G$10-Статистика!$C$10,0.000001),NA()))</f>
        <v>0.6341898499999995</v>
      </c>
      <c r="CE8" s="12">
        <f>IF(Y8="",NA(),IF(Статистика!$F$8="Вкл",(((IF(Статистика!$C$4="Параллельный режим (активная мощность)",AB8,AM8)+Статистика!$J$4))-Статистика!$C$10)/MAX(Статистика!$G$10-Статистика!$C$10,0.000001),NA()))</f>
        <v>0.58611615999999989</v>
      </c>
      <c r="CF8" s="12">
        <f>IF(Y8="",NA(),IF(Статистика!$F$8="Вкл",(((IF(Статистика!$C$4="Параллельный режим (активная мощность)",AF8,AQ8)+Статистика!$J$4))-Статистика!$C$10)/MAX(Статистика!$G$10-Статистика!$C$10,0.000001),NA()))</f>
        <v>0.78377093888888882</v>
      </c>
      <c r="CG8" s="12">
        <f>IF(Y8="",NA(),IF(Статистика!$H$8="Вкл",(((IF(Статистика!$C$4="Параллельный режим (активная мощность)",Z8,AK8)+Статистика!$J$4))-Статистика!$C$10)/MAX(Статистика!$G$10-Статистика!$C$10,0.000001),NA()))</f>
        <v>0.58018623599999986</v>
      </c>
      <c r="CH8" s="12">
        <f>IF(Y8="",NA(),IF(Статистика!$H$8="Вкл",(((IF(Статистика!$C$4="Параллельный режим (активная мощность)",AH8,AS8)+Статистика!$J$4))-Статистика!$C$10)/MAX(Статистика!$G$10-Статистика!$C$10,0.000001),NA()))</f>
        <v>0.81819538388888879</v>
      </c>
      <c r="CI8" s="12" t="e">
        <f>IF(Y8="",NA(),IF(Статистика!$J$8="Вкл",(((IF(Статистика!$C$4="Параллельный режим (активная мощность)",AI8,AT8)+Статистика!$J$4))-Статистика!$C$10)/MAX(Статистика!$G$10-Статистика!$C$10,0.000001),NA()))</f>
        <v>#N/A</v>
      </c>
      <c r="CJ8" s="12" t="e">
        <f>IF(AND(Y8&lt;&gt;"",Статистика!$C$6="Вкл",Статистика!$B$6&gt;0),(Статистика!$B$6-Статистика!$C$10)/MAX(Статистика!$G$10-Статистика!$C$10,0.000001),NA())</f>
        <v>#N/A</v>
      </c>
      <c r="CK8" s="12" t="e">
        <f>IF(AND(Y8&lt;&gt;"",Статистика!$F$6="Вкл",Статистика!$E$6&gt;0),(Статистика!$E$6-Статистика!$C$10)/MAX(Статистика!$G$10-Статистика!$C$10,0.000001),NA())</f>
        <v>#N/A</v>
      </c>
      <c r="CL8" s="12" t="e">
        <f>IF(AND(Y8&lt;&gt;"",Статистика!$I$6="Вкл",Статистика!$H$6&gt;0),(Статистика!$H$6-Статистика!$C$10)/MAX(Статистика!$G$10-Статистика!$C$10,0.000001),NA())</f>
        <v>#N/A</v>
      </c>
      <c r="CM8" s="12" t="e">
        <f>IF(AND(Y8&lt;&gt;"",Статистика!$L$6="Вкл",Статистика!$K$6&gt;0),(Статистика!$K$6-Статистика!$C$10)/MAX(Статистика!$G$10-Статистика!$C$10,0.000001),NA())</f>
        <v>#N/A</v>
      </c>
      <c r="CN8" s="12" t="e">
        <f>IF(AND(Y8&lt;&gt;"",Статистика!$M$6="Вкл",Статистика!$O$6&gt;0),(Статистика!$O$6-Статистика!$C$10)/MAX(Статистика!$G$10-Статистика!$C$10,0.000001),NA())</f>
        <v>#N/A</v>
      </c>
      <c r="CO8" s="12">
        <f t="shared" si="1"/>
        <v>1</v>
      </c>
    </row>
    <row r="9" spans="1:93" ht="15" customHeight="1">
      <c r="A9" s="12" t="s">
        <v>86</v>
      </c>
      <c r="B9" s="12">
        <v>2339.9071949999998</v>
      </c>
      <c r="C9" s="12">
        <v>5818.5099750000008</v>
      </c>
      <c r="D9" s="12">
        <v>7480.647825</v>
      </c>
      <c r="E9" s="12">
        <v>7670.9929166666661</v>
      </c>
      <c r="F9" s="12">
        <v>7863.1624999999985</v>
      </c>
      <c r="G9" s="12">
        <v>8058.4870916666669</v>
      </c>
      <c r="H9" s="12">
        <v>8434.3652133333326</v>
      </c>
      <c r="I9" s="12">
        <v>8509.4429483333333</v>
      </c>
      <c r="J9" s="12">
        <v>8522.6452563333332</v>
      </c>
      <c r="K9" s="12">
        <v>8709.7000000000007</v>
      </c>
      <c r="L9" s="12" t="s">
        <v>87</v>
      </c>
      <c r="M9" s="12">
        <v>2894.1868683333332</v>
      </c>
      <c r="N9" s="12">
        <v>6725.2510083333336</v>
      </c>
      <c r="O9" s="12">
        <v>8566.8006483333338</v>
      </c>
      <c r="P9" s="12">
        <v>8768.8090000000011</v>
      </c>
      <c r="Q9" s="12">
        <v>8957.9503833333329</v>
      </c>
      <c r="R9" s="12">
        <v>9180.9084250000014</v>
      </c>
      <c r="S9" s="12">
        <v>9545.5095799999999</v>
      </c>
      <c r="T9" s="12">
        <v>9587.277944999998</v>
      </c>
      <c r="U9" s="12">
        <v>9623.7853489999998</v>
      </c>
      <c r="V9" s="12">
        <v>9806.7000000000007</v>
      </c>
      <c r="W9" s="12" t="s">
        <v>88</v>
      </c>
      <c r="Y9" s="12" t="s">
        <v>86</v>
      </c>
      <c r="Z9" s="12">
        <v>7584.6147951666671</v>
      </c>
      <c r="AA9" s="12">
        <v>7621.3574425000006</v>
      </c>
      <c r="AB9" s="12">
        <v>7667.2857516666672</v>
      </c>
      <c r="AC9" s="12">
        <v>7746.8535499999989</v>
      </c>
      <c r="AD9" s="12">
        <v>7829.7003000000004</v>
      </c>
      <c r="AE9" s="12">
        <v>7892.5363833333322</v>
      </c>
      <c r="AF9" s="12">
        <v>8400.3049416666672</v>
      </c>
      <c r="AG9" s="12">
        <v>8442.3992374999998</v>
      </c>
      <c r="AH9" s="12">
        <v>8476.074674166668</v>
      </c>
      <c r="AI9" s="12">
        <v>8752.6</v>
      </c>
      <c r="AJ9" s="12" t="s">
        <v>89</v>
      </c>
      <c r="AK9" s="12">
        <v>8625.9547060000004</v>
      </c>
      <c r="AL9" s="12">
        <v>8666.5203299999994</v>
      </c>
      <c r="AM9" s="12">
        <v>8717.227359999999</v>
      </c>
      <c r="AN9" s="12">
        <v>8867.8858666666674</v>
      </c>
      <c r="AO9" s="12">
        <v>8964.079966666668</v>
      </c>
      <c r="AP9" s="12">
        <v>9025.2509833333352</v>
      </c>
      <c r="AQ9" s="12">
        <v>9495.4589233333336</v>
      </c>
      <c r="AR9" s="12">
        <v>9548.7814783333324</v>
      </c>
      <c r="AS9" s="12">
        <v>9591.439522333334</v>
      </c>
      <c r="AT9" s="12">
        <v>9847.5400000000009</v>
      </c>
      <c r="AU9" s="12" t="s">
        <v>89</v>
      </c>
      <c r="AW9" s="12">
        <f>IF(A9="","",MAX(0,MIN(1,(((IF(Статистика!$C$4="Параллельный режим (активная мощность)",B9,M9)+Статистика!$J$4))-Статистика!$C$10)/MAX(Статистика!$G$10-Статистика!$C$10,0.000001))))</f>
        <v>0</v>
      </c>
      <c r="AX9" s="12">
        <f>IF(A9="","",MAX(0,MAX(0,MIN(1,(((IF(Статистика!$C$4="Параллельный режим (активная мощность)",D9,O9)+Статистика!$J$4))-Статистика!$C$10)/MAX(Статистика!$G$10-Статистика!$C$10,0.000001)))-MAX(0,MIN(1,(((IF(Статистика!$C$4="Параллельный режим (активная мощность)",B9,M9)+Статистика!$J$4))-Статистика!$C$10)/MAX(Статистика!$G$10-Статистика!$C$10,0.000001)))))</f>
        <v>0.49354927500000001</v>
      </c>
      <c r="AY9" s="12">
        <f>IF(A9="","",MAX(0,MAX(0,MIN(1,(((IF(Статистика!$C$4="Параллельный режим (активная мощность)",E9,P9)+Статистика!$J$4))-Статистика!$C$10)/MAX(Статистика!$G$10-Статистика!$C$10,0.000001)))-MAX(0,MIN(1,(((IF(Статистика!$C$4="Параллельный режим (активная мощность)",D9,O9)+Статистика!$J$4))-Статистика!$C$10)/MAX(Статистика!$G$10-Статистика!$C$10,0.000001)))))</f>
        <v>6.3448363888888748E-2</v>
      </c>
      <c r="AZ9" s="12">
        <f>IF(A9="","",MAX(0,MAX(0,MIN(1,(((IF(Статистика!$C$4="Параллельный режим (активная мощность)",F9,Q9)+Статистика!$J$4))-Статистика!$C$10)/MAX(Статистика!$G$10-Статистика!$C$10,0.000001)))-MAX(0,MIN(1,(((IF(Статистика!$C$4="Параллельный режим (активная мощность)",E9,P9)+Статистика!$J$4))-Статистика!$C$10)/MAX(Статистика!$G$10-Статистика!$C$10,0.000001)))))</f>
        <v>6.4056527777777372E-2</v>
      </c>
      <c r="BA9" s="12">
        <f>IF(A9="","",MAX(0,MAX(0,MIN(1,(((IF(Статистика!$C$4="Параллельный режим (активная мощность)",G9,R9)+Статистика!$J$4))-Статистика!$C$10)/MAX(Статистика!$G$10-Статистика!$C$10,0.000001)))-MAX(0,MIN(1,(((IF(Статистика!$C$4="Параллельный режим (активная мощность)",F9,Q9)+Статистика!$J$4))-Статистика!$C$10)/MAX(Статистика!$G$10-Статистика!$C$10,0.000001)))))</f>
        <v>6.510819722222283E-2</v>
      </c>
      <c r="BB9" s="12">
        <f>IF(A9="","",MAX(0,MAX(0,MIN(1,(((IF(Статистика!$C$4="Параллельный режим (активная мощность)",H9,S9)+Статистика!$J$4))-Статистика!$C$10)/MAX(Статистика!$G$10-Статистика!$C$10,0.000001)))-MAX(0,MIN(1,(((IF(Статистика!$C$4="Параллельный режим (активная мощность)",G9,R9)+Статистика!$J$4))-Статистика!$C$10)/MAX(Статистика!$G$10-Статистика!$C$10,0.000001)))))</f>
        <v>0.12529270722222186</v>
      </c>
      <c r="BC9" s="12">
        <f>IF(A9="","",MAX(0,MAX(0,MIN(1,(((IF(Статистика!$C$4="Параллельный режим (активная мощность)",J9,U9)+Статистика!$J$4))-Статистика!$C$10)/MAX(Статистика!$G$10-Статистика!$C$10,0.000001)))-MAX(0,MIN(1,(((IF(Статистика!$C$4="Параллельный режим (активная мощность)",H9,S9)+Статистика!$J$4))-Статистика!$C$10)/MAX(Статистика!$G$10-Статистика!$C$10,0.000001)))))</f>
        <v>2.9426681000000232E-2</v>
      </c>
      <c r="BD9" s="12">
        <f>IF(A9="","",MAX(0,1-MAX(0,MIN(1,(((IF(Статистика!$C$4="Параллельный режим (активная мощность)",J9,U9)+Статистика!$J$4))-Статистика!$C$10)/MAX(Статистика!$G$10-Статистика!$C$10,0.000001)))))</f>
        <v>0.15911824788888895</v>
      </c>
      <c r="BE9" s="12">
        <f>IF(A9="",NA(),IF(Статистика!$B$8="Вкл",(((IF(Статистика!$C$4="Параллельный режим (активная мощность)",F9,Q9)+Статистика!$J$4))-Статистика!$C$10)/MAX(Статистика!$G$10-Статистика!$C$10,0.000001),NA()))</f>
        <v>0.62105416666666613</v>
      </c>
      <c r="BF9" s="12">
        <f>IF(A9="",NA(),IF(Статистика!$D$8="Вкл",(((IF(Статистика!$C$4="Параллельный режим (активная мощность)",E9,P9)+Статистика!$J$4))-Статистика!$C$10)/MAX(Статистика!$G$10-Статистика!$C$10,0.000001),NA()))</f>
        <v>0.55699763888888876</v>
      </c>
      <c r="BG9" s="12">
        <f>IF(A9="",NA(),IF(Статистика!$D$8="Вкл",(((IF(Статистика!$C$4="Параллельный режим (активная мощность)",G9,R9)+Статистика!$J$4))-Статистика!$C$10)/MAX(Статистика!$G$10-Статистика!$C$10,0.000001),NA()))</f>
        <v>0.68616236388888896</v>
      </c>
      <c r="BH9" s="12">
        <f>IF(A9="",NA(),IF(Статистика!$F$8="Вкл",(((IF(Статистика!$C$4="Параллельный режим (активная мощность)",D9,O9)+Статистика!$J$4))-Статистика!$C$10)/MAX(Статистика!$G$10-Статистика!$C$10,0.000001),NA()))</f>
        <v>0.49354927500000001</v>
      </c>
      <c r="BI9" s="12">
        <f>IF(A9="",NA(),IF(Статистика!$F$8="Вкл",(((IF(Статистика!$C$4="Параллельный режим (активная мощность)",H9,S9)+Статистика!$J$4))-Статистика!$C$10)/MAX(Статистика!$G$10-Статистика!$C$10,0.000001),NA()))</f>
        <v>0.81145507111111081</v>
      </c>
      <c r="BJ9" s="12">
        <f>IF(A9="",NA(),IF(Статистика!$H$8="Вкл",(((IF(Статистика!$C$4="Параллельный режим (активная мощность)",B9,M9)+Статистика!$J$4))-Статистика!$C$10)/MAX(Статистика!$G$10-Статистика!$C$10,0.000001),NA()))</f>
        <v>-1.220030935</v>
      </c>
      <c r="BK9" s="12">
        <f>IF(A9="",NA(),IF(Статистика!$H$8="Вкл",(((IF(Статистика!$C$4="Параллельный режим (активная мощность)",J9,U9)+Статистика!$J$4))-Статистика!$C$10)/MAX(Статистика!$G$10-Статистика!$C$10,0.000001),NA()))</f>
        <v>0.84088175211111105</v>
      </c>
      <c r="BL9" s="12" t="e">
        <f>IF(A9="",NA(),IF(Статистика!$J$8="Вкл",(((IF(Статистика!$C$4="Параллельный режим (активная мощность)",K9,V9)+Статистика!$J$4))-Статистика!$C$10)/MAX(Статистика!$G$10-Статистика!$C$10,0.000001),NA()))</f>
        <v>#N/A</v>
      </c>
      <c r="BM9" s="12" t="e">
        <f>IF(AND(A9&lt;&gt;"",Статистика!$C$6="Вкл",Статистика!$B$6&gt;0),(Статистика!$B$6-Статистика!$C$10)/MAX(Статистика!$G$10-Статистика!$C$10,0.000001),NA())</f>
        <v>#N/A</v>
      </c>
      <c r="BN9" s="12" t="e">
        <f>IF(AND(A9&lt;&gt;"",Статистика!$F$6="Вкл",Статистика!$E$6&gt;0),(Статистика!$E$6-Статистика!$C$10)/MAX(Статистика!$G$10-Статистика!$C$10,0.000001),NA())</f>
        <v>#N/A</v>
      </c>
      <c r="BO9" s="12" t="e">
        <f>IF(AND(A9&lt;&gt;"",Статистика!$I$6="Вкл",Статистика!$H$6&gt;0),(Статистика!$H$6-Статистика!$C$10)/MAX(Статистика!$G$10-Статистика!$C$10,0.000001),NA())</f>
        <v>#N/A</v>
      </c>
      <c r="BP9" s="12" t="e">
        <f>IF(AND(A9&lt;&gt;"",Статистика!$L$6="Вкл",Статистика!$K$6&gt;0),(Статистика!$K$6-Статистика!$C$10)/MAX(Статистика!$G$10-Статистика!$C$10,0.000001),NA())</f>
        <v>#N/A</v>
      </c>
      <c r="BQ9" s="12" t="e">
        <f>IF(AND(A9&lt;&gt;"",Статистика!$M$6="Вкл",Статистика!$O$6&gt;0),(Статистика!$O$6-Статистика!$C$10)/MAX(Статистика!$G$10-Статистика!$C$10,0.000001),NA())</f>
        <v>#N/A</v>
      </c>
      <c r="BR9" s="12">
        <f t="shared" si="0"/>
        <v>1</v>
      </c>
      <c r="BT9" s="12">
        <f>IF(Y9="","",MAX(0,MIN(1,(((IF(Статистика!$C$4="Параллельный режим (активная мощность)",Z9,AK9)+Статистика!$J$4))-Статистика!$C$10)/MAX(Статистика!$G$10-Статистика!$C$10,0.000001))))</f>
        <v>0.52820493172222238</v>
      </c>
      <c r="BU9" s="12">
        <f>IF(Y9="","",MAX(0,MAX(0,MIN(1,(((IF(Статистика!$C$4="Параллельный режим (активная мощность)",AB9,AM9)+Статистика!$J$4))-Статистика!$C$10)/MAX(Статистика!$G$10-Статистика!$C$10,0.000001)))-MAX(0,MIN(1,(((IF(Статистика!$C$4="Параллельный режим (активная мощность)",Z9,AK9)+Статистика!$J$4))-Статистика!$C$10)/MAX(Статистика!$G$10-Статистика!$C$10,0.000001)))))</f>
        <v>2.7556985500000075E-2</v>
      </c>
      <c r="BV9" s="12">
        <f>IF(Y9="","",MAX(0,MAX(0,MIN(1,(((IF(Статистика!$C$4="Параллельный режим (активная мощность)",AC9,AN9)+Статистика!$J$4))-Статистика!$C$10)/MAX(Статистика!$G$10-Статистика!$C$10,0.000001)))-MAX(0,MIN(1,(((IF(Статистика!$C$4="Параллельный режим (активная мощность)",AB9,AM9)+Статистика!$J$4))-Статистика!$C$10)/MAX(Статистика!$G$10-Статистика!$C$10,0.000001)))))</f>
        <v>2.6522599444443795E-2</v>
      </c>
      <c r="BW9" s="12">
        <f>IF(Y9="","",MAX(0,MAX(0,MIN(1,(((IF(Статистика!$C$4="Параллельный режим (активная мощность)",AD9,AO9)+Статистика!$J$4))-Статистика!$C$10)/MAX(Статистика!$G$10-Статистика!$C$10,0.000001)))-MAX(0,MIN(1,(((IF(Статистика!$C$4="Параллельный режим (активная мощность)",AC9,AN9)+Статистика!$J$4))-Статистика!$C$10)/MAX(Статистика!$G$10-Статистика!$C$10,0.000001)))))</f>
        <v>2.7615583333333915E-2</v>
      </c>
      <c r="BX9" s="12">
        <f>IF(Y9="","",MAX(0,MAX(0,MIN(1,(((IF(Статистика!$C$4="Параллельный режим (активная мощность)",AE9,AP9)+Статистика!$J$4))-Статистика!$C$10)/MAX(Статистика!$G$10-Статистика!$C$10,0.000001)))-MAX(0,MIN(1,(((IF(Статистика!$C$4="Параллельный режим (активная мощность)",AD9,AO9)+Статистика!$J$4))-Статистика!$C$10)/MAX(Статистика!$G$10-Статистика!$C$10,0.000001)))))</f>
        <v>2.0945361111110561E-2</v>
      </c>
      <c r="BY9" s="12">
        <f>IF(Y9="","",MAX(0,MAX(0,MIN(1,(((IF(Статистика!$C$4="Параллельный режим (активная мощность)",AF9,AQ9)+Статистика!$J$4))-Статистика!$C$10)/MAX(Статистика!$G$10-Статистика!$C$10,0.000001)))-MAX(0,MIN(1,(((IF(Статистика!$C$4="Параллельный режим (активная мощность)",AE9,AP9)+Статистика!$J$4))-Статистика!$C$10)/MAX(Статистика!$G$10-Статистика!$C$10,0.000001)))))</f>
        <v>0.16925618611111171</v>
      </c>
      <c r="BZ9" s="12">
        <f>IF(Y9="","",MAX(0,MAX(0,MIN(1,(((IF(Статистика!$C$4="Параллельный режим (активная мощность)",AH9,AS9)+Статистика!$J$4))-Статистика!$C$10)/MAX(Статистика!$G$10-Статистика!$C$10,0.000001)))-MAX(0,MIN(1,(((IF(Статистика!$C$4="Параллельный режим (активная мощность)",AF9,AQ9)+Статистика!$J$4))-Статистика!$C$10)/MAX(Статистика!$G$10-Статистика!$C$10,0.000001)))))</f>
        <v>2.525657750000021E-2</v>
      </c>
      <c r="CA9" s="12">
        <f>IF(Y9="","",MAX(0,1-MAX(0,MIN(1,(((IF(Статистика!$C$4="Параллельный режим (активная мощность)",AH9,AS9)+Статистика!$J$4))-Статистика!$C$10)/MAX(Статистика!$G$10-Статистика!$C$10,0.000001)))))</f>
        <v>0.17464177527777736</v>
      </c>
      <c r="CB9" s="12">
        <f>IF(Y9="",NA(),IF(Статистика!$B$8="Вкл",(((IF(Статистика!$C$4="Параллельный режим (активная мощность)",AD9,AO9)+Статистика!$J$4))-Статистика!$C$10)/MAX(Статистика!$G$10-Статистика!$C$10,0.000001),NA()))</f>
        <v>0.60990010000000017</v>
      </c>
      <c r="CC9" s="12">
        <f>IF(Y9="",NA(),IF(Статистика!$D$8="Вкл",(((IF(Статистика!$C$4="Параллельный режим (активная мощность)",AC9,AN9)+Статистика!$J$4))-Статистика!$C$10)/MAX(Статистика!$G$10-Статистика!$C$10,0.000001),NA()))</f>
        <v>0.58228451666666625</v>
      </c>
      <c r="CD9" s="12">
        <f>IF(Y9="",NA(),IF(Статистика!$D$8="Вкл",(((IF(Статистика!$C$4="Параллельный режим (активная мощность)",AE9,AP9)+Статистика!$J$4))-Статистика!$C$10)/MAX(Статистика!$G$10-Статистика!$C$10,0.000001),NA()))</f>
        <v>0.63084546111111073</v>
      </c>
      <c r="CE9" s="12">
        <f>IF(Y9="",NA(),IF(Статистика!$F$8="Вкл",(((IF(Статистика!$C$4="Параллельный режим (активная мощность)",AB9,AM9)+Статистика!$J$4))-Статистика!$C$10)/MAX(Статистика!$G$10-Статистика!$C$10,0.000001),NA()))</f>
        <v>0.55576191722222246</v>
      </c>
      <c r="CF9" s="12">
        <f>IF(Y9="",NA(),IF(Статистика!$F$8="Вкл",(((IF(Статистика!$C$4="Параллельный режим (активная мощность)",AF9,AQ9)+Статистика!$J$4))-Статистика!$C$10)/MAX(Статистика!$G$10-Статистика!$C$10,0.000001),NA()))</f>
        <v>0.80010164722222243</v>
      </c>
      <c r="CG9" s="12">
        <f>IF(Y9="",NA(),IF(Статистика!$H$8="Вкл",(((IF(Статистика!$C$4="Параллельный режим (активная мощность)",Z9,AK9)+Статистика!$J$4))-Статистика!$C$10)/MAX(Статистика!$G$10-Статистика!$C$10,0.000001),NA()))</f>
        <v>0.52820493172222238</v>
      </c>
      <c r="CH9" s="12">
        <f>IF(Y9="",NA(),IF(Статистика!$H$8="Вкл",(((IF(Статистика!$C$4="Параллельный режим (активная мощность)",AH9,AS9)+Статистика!$J$4))-Статистика!$C$10)/MAX(Статистика!$G$10-Статистика!$C$10,0.000001),NA()))</f>
        <v>0.82535822472222264</v>
      </c>
      <c r="CI9" s="12" t="e">
        <f>IF(Y9="",NA(),IF(Статистика!$J$8="Вкл",(((IF(Статистика!$C$4="Параллельный режим (активная мощность)",AI9,AT9)+Статистика!$J$4))-Статистика!$C$10)/MAX(Статистика!$G$10-Статистика!$C$10,0.000001),NA()))</f>
        <v>#N/A</v>
      </c>
      <c r="CJ9" s="12" t="e">
        <f>IF(AND(Y9&lt;&gt;"",Статистика!$C$6="Вкл",Статистика!$B$6&gt;0),(Статистика!$B$6-Статистика!$C$10)/MAX(Статистика!$G$10-Статистика!$C$10,0.000001),NA())</f>
        <v>#N/A</v>
      </c>
      <c r="CK9" s="12" t="e">
        <f>IF(AND(Y9&lt;&gt;"",Статистика!$F$6="Вкл",Статистика!$E$6&gt;0),(Статистика!$E$6-Статистика!$C$10)/MAX(Статистика!$G$10-Статистика!$C$10,0.000001),NA())</f>
        <v>#N/A</v>
      </c>
      <c r="CL9" s="12" t="e">
        <f>IF(AND(Y9&lt;&gt;"",Статистика!$I$6="Вкл",Статистика!$H$6&gt;0),(Статистика!$H$6-Статистика!$C$10)/MAX(Статистика!$G$10-Статистика!$C$10,0.000001),NA())</f>
        <v>#N/A</v>
      </c>
      <c r="CM9" s="12" t="e">
        <f>IF(AND(Y9&lt;&gt;"",Статистика!$L$6="Вкл",Статистика!$K$6&gt;0),(Статистика!$K$6-Статистика!$C$10)/MAX(Статистика!$G$10-Статистика!$C$10,0.000001),NA())</f>
        <v>#N/A</v>
      </c>
      <c r="CN9" s="12" t="e">
        <f>IF(AND(Y9&lt;&gt;"",Статистика!$M$6="Вкл",Статистика!$O$6&gt;0),(Статистика!$O$6-Статистика!$C$10)/MAX(Статистика!$G$10-Статистика!$C$10,0.000001),NA())</f>
        <v>#N/A</v>
      </c>
      <c r="CO9" s="12">
        <f t="shared" si="1"/>
        <v>1</v>
      </c>
    </row>
    <row r="10" spans="1:93" ht="15" customHeight="1">
      <c r="A10" s="12" t="s">
        <v>90</v>
      </c>
      <c r="B10" s="12">
        <v>2379.0013094999999</v>
      </c>
      <c r="C10" s="12">
        <v>5885.5717475000001</v>
      </c>
      <c r="D10" s="12">
        <v>7560.5721899999999</v>
      </c>
      <c r="E10" s="12">
        <v>7831.7446916666659</v>
      </c>
      <c r="F10" s="12">
        <v>8006.3799333333336</v>
      </c>
      <c r="G10" s="12">
        <v>8197.9394916666661</v>
      </c>
      <c r="H10" s="12">
        <v>8520.2207583333329</v>
      </c>
      <c r="I10" s="12">
        <v>8582.4509408333324</v>
      </c>
      <c r="J10" s="12">
        <v>8618.2991748333334</v>
      </c>
      <c r="K10" s="12">
        <v>8785.06</v>
      </c>
      <c r="L10" s="12" t="s">
        <v>91</v>
      </c>
      <c r="M10" s="12">
        <v>2937.3412756666662</v>
      </c>
      <c r="N10" s="12">
        <v>6803.3801116666664</v>
      </c>
      <c r="O10" s="12">
        <v>8639.0562766666662</v>
      </c>
      <c r="P10" s="12">
        <v>8917.2196166666672</v>
      </c>
      <c r="Q10" s="12">
        <v>9085.8090166666661</v>
      </c>
      <c r="R10" s="12">
        <v>9274.1930499999999</v>
      </c>
      <c r="S10" s="12">
        <v>9613.660448333334</v>
      </c>
      <c r="T10" s="12">
        <v>9654.4557349999995</v>
      </c>
      <c r="U10" s="12">
        <v>9710.2011203333313</v>
      </c>
      <c r="V10" s="12">
        <v>9868.64</v>
      </c>
      <c r="W10" s="12" t="s">
        <v>91</v>
      </c>
      <c r="Y10" s="12" t="s">
        <v>90</v>
      </c>
      <c r="Z10" s="12">
        <v>7661.6835216666659</v>
      </c>
      <c r="AA10" s="12">
        <v>7686.1492083333333</v>
      </c>
      <c r="AB10" s="12">
        <v>7716.7313166666663</v>
      </c>
      <c r="AC10" s="12">
        <v>7864.0128666666678</v>
      </c>
      <c r="AD10" s="12">
        <v>7973.6192666666666</v>
      </c>
      <c r="AE10" s="12">
        <v>8030.2270666666655</v>
      </c>
      <c r="AF10" s="12">
        <v>8579.6114933333338</v>
      </c>
      <c r="AG10" s="12">
        <v>8611.607963333332</v>
      </c>
      <c r="AH10" s="12">
        <v>8637.2051393333313</v>
      </c>
      <c r="AI10" s="12">
        <v>8772.56</v>
      </c>
      <c r="AJ10" s="12" t="s">
        <v>92</v>
      </c>
      <c r="AK10" s="12">
        <v>8692.9194680000001</v>
      </c>
      <c r="AL10" s="12">
        <v>8738.8417399999998</v>
      </c>
      <c r="AM10" s="12">
        <v>8796.2445800000005</v>
      </c>
      <c r="AN10" s="12">
        <v>8932.080308333334</v>
      </c>
      <c r="AO10" s="12">
        <v>9063.6212500000001</v>
      </c>
      <c r="AP10" s="12">
        <v>9128.5126666666674</v>
      </c>
      <c r="AQ10" s="12">
        <v>9678.7137066666655</v>
      </c>
      <c r="AR10" s="12">
        <v>9720.5180700000001</v>
      </c>
      <c r="AS10" s="12">
        <v>9753.9615606666666</v>
      </c>
      <c r="AT10" s="12">
        <v>9896.77</v>
      </c>
      <c r="AU10" s="12" t="s">
        <v>92</v>
      </c>
      <c r="AW10" s="12">
        <f>IF(A10="","",MAX(0,MIN(1,(((IF(Статистика!$C$4="Параллельный режим (активная мощность)",B10,M10)+Статистика!$J$4))-Статистика!$C$10)/MAX(Статистика!$G$10-Статистика!$C$10,0.000001))))</f>
        <v>0</v>
      </c>
      <c r="AX10" s="12">
        <f>IF(A10="","",MAX(0,MAX(0,MIN(1,(((IF(Статистика!$C$4="Параллельный режим (активная мощность)",D10,O10)+Статистика!$J$4))-Статистика!$C$10)/MAX(Статистика!$G$10-Статистика!$C$10,0.000001)))-MAX(0,MIN(1,(((IF(Статистика!$C$4="Параллельный режим (активная мощность)",B10,M10)+Статистика!$J$4))-Статистика!$C$10)/MAX(Статистика!$G$10-Статистика!$C$10,0.000001)))))</f>
        <v>0.52019072999999993</v>
      </c>
      <c r="AY10" s="12">
        <f>IF(A10="","",MAX(0,MAX(0,MIN(1,(((IF(Статистика!$C$4="Параллельный режим (активная мощность)",E10,P10)+Статистика!$J$4))-Статистика!$C$10)/MAX(Статистика!$G$10-Статистика!$C$10,0.000001)))-MAX(0,MIN(1,(((IF(Статистика!$C$4="Параллельный режим (активная мощность)",D10,O10)+Статистика!$J$4))-Статистика!$C$10)/MAX(Статистика!$G$10-Статистика!$C$10,0.000001)))))</f>
        <v>9.0390833888888689E-2</v>
      </c>
      <c r="AZ10" s="12">
        <f>IF(A10="","",MAX(0,MAX(0,MIN(1,(((IF(Статистика!$C$4="Параллельный режим (активная мощность)",F10,Q10)+Статистика!$J$4))-Статистика!$C$10)/MAX(Статистика!$G$10-Статистика!$C$10,0.000001)))-MAX(0,MIN(1,(((IF(Статистика!$C$4="Параллельный режим (активная мощность)",E10,P10)+Статистика!$J$4))-Статистика!$C$10)/MAX(Статистика!$G$10-Статистика!$C$10,0.000001)))))</f>
        <v>5.8211747222222554E-2</v>
      </c>
      <c r="BA10" s="12">
        <f>IF(A10="","",MAX(0,MAX(0,MIN(1,(((IF(Статистика!$C$4="Параллельный режим (активная мощность)",G10,R10)+Статистика!$J$4))-Статистика!$C$10)/MAX(Статистика!$G$10-Статистика!$C$10,0.000001)))-MAX(0,MIN(1,(((IF(Статистика!$C$4="Параллельный режим (активная мощность)",F10,Q10)+Статистика!$J$4))-Статистика!$C$10)/MAX(Статистика!$G$10-Статистика!$C$10,0.000001)))))</f>
        <v>6.3853186111110793E-2</v>
      </c>
      <c r="BB10" s="12">
        <f>IF(A10="","",MAX(0,MAX(0,MIN(1,(((IF(Статистика!$C$4="Параллельный режим (активная мощность)",H10,S10)+Статистика!$J$4))-Статистика!$C$10)/MAX(Статистика!$G$10-Статистика!$C$10,0.000001)))-MAX(0,MIN(1,(((IF(Статистика!$C$4="Параллельный режим (активная мощность)",G10,R10)+Статистика!$J$4))-Статистика!$C$10)/MAX(Статистика!$G$10-Статистика!$C$10,0.000001)))))</f>
        <v>0.10742708888888897</v>
      </c>
      <c r="BC10" s="12">
        <f>IF(A10="","",MAX(0,MAX(0,MIN(1,(((IF(Статистика!$C$4="Параллельный режим (активная мощность)",J10,U10)+Статистика!$J$4))-Статистика!$C$10)/MAX(Статистика!$G$10-Статистика!$C$10,0.000001)))-MAX(0,MIN(1,(((IF(Статистика!$C$4="Параллельный режим (активная мощность)",H10,S10)+Статистика!$J$4))-Статистика!$C$10)/MAX(Статистика!$G$10-Статистика!$C$10,0.000001)))))</f>
        <v>3.2692805500000199E-2</v>
      </c>
      <c r="BD10" s="12">
        <f>IF(A10="","",MAX(0,1-MAX(0,MIN(1,(((IF(Статистика!$C$4="Параллельный режим (активная мощность)",J10,U10)+Статистика!$J$4))-Статистика!$C$10)/MAX(Статистика!$G$10-Статистика!$C$10,0.000001)))))</f>
        <v>0.12723360838888886</v>
      </c>
      <c r="BE10" s="12">
        <f>IF(A10="",NA(),IF(Статистика!$B$8="Вкл",(((IF(Статистика!$C$4="Параллельный режим (активная мощность)",F10,Q10)+Статистика!$J$4))-Статистика!$C$10)/MAX(Статистика!$G$10-Статистика!$C$10,0.000001),NA()))</f>
        <v>0.66879331111111118</v>
      </c>
      <c r="BF10" s="12">
        <f>IF(A10="",NA(),IF(Статистика!$D$8="Вкл",(((IF(Статистика!$C$4="Параллельный режим (активная мощность)",E10,P10)+Статистика!$J$4))-Статистика!$C$10)/MAX(Статистика!$G$10-Статистика!$C$10,0.000001),NA()))</f>
        <v>0.61058156388888862</v>
      </c>
      <c r="BG10" s="12">
        <f>IF(A10="",NA(),IF(Статистика!$D$8="Вкл",(((IF(Статистика!$C$4="Параллельный режим (активная мощность)",G10,R10)+Статистика!$J$4))-Статистика!$C$10)/MAX(Статистика!$G$10-Статистика!$C$10,0.000001),NA()))</f>
        <v>0.73264649722222197</v>
      </c>
      <c r="BH10" s="12">
        <f>IF(A10="",NA(),IF(Статистика!$F$8="Вкл",(((IF(Статистика!$C$4="Параллельный режим (активная мощность)",D10,O10)+Статистика!$J$4))-Статистика!$C$10)/MAX(Статистика!$G$10-Статистика!$C$10,0.000001),NA()))</f>
        <v>0.52019072999999993</v>
      </c>
      <c r="BI10" s="12">
        <f>IF(A10="",NA(),IF(Статистика!$F$8="Вкл",(((IF(Статистика!$C$4="Параллельный режим (активная мощность)",H10,S10)+Статистика!$J$4))-Статистика!$C$10)/MAX(Статистика!$G$10-Статистика!$C$10,0.000001),NA()))</f>
        <v>0.84007358611111094</v>
      </c>
      <c r="BJ10" s="12">
        <f>IF(A10="",NA(),IF(Статистика!$H$8="Вкл",(((IF(Статистика!$C$4="Параллельный режим (активная мощность)",B10,M10)+Статистика!$J$4))-Статистика!$C$10)/MAX(Статистика!$G$10-Статистика!$C$10,0.000001),NA()))</f>
        <v>-1.2069995634999999</v>
      </c>
      <c r="BK10" s="12">
        <f>IF(A10="",NA(),IF(Статистика!$H$8="Вкл",(((IF(Статистика!$C$4="Параллельный режим (активная мощность)",J10,U10)+Статистика!$J$4))-Статистика!$C$10)/MAX(Статистика!$G$10-Статистика!$C$10,0.000001),NA()))</f>
        <v>0.87276639161111114</v>
      </c>
      <c r="BL10" s="12" t="e">
        <f>IF(A10="",NA(),IF(Статистика!$J$8="Вкл",(((IF(Статистика!$C$4="Параллельный режим (активная мощность)",K10,V10)+Статистика!$J$4))-Статистика!$C$10)/MAX(Статистика!$G$10-Статистика!$C$10,0.000001),NA()))</f>
        <v>#N/A</v>
      </c>
      <c r="BM10" s="12" t="e">
        <f>IF(AND(A10&lt;&gt;"",Статистика!$C$6="Вкл",Статистика!$B$6&gt;0),(Статистика!$B$6-Статистика!$C$10)/MAX(Статистика!$G$10-Статистика!$C$10,0.000001),NA())</f>
        <v>#N/A</v>
      </c>
      <c r="BN10" s="12" t="e">
        <f>IF(AND(A10&lt;&gt;"",Статистика!$F$6="Вкл",Статистика!$E$6&gt;0),(Статистика!$E$6-Статистика!$C$10)/MAX(Статистика!$G$10-Статистика!$C$10,0.000001),NA())</f>
        <v>#N/A</v>
      </c>
      <c r="BO10" s="12" t="e">
        <f>IF(AND(A10&lt;&gt;"",Статистика!$I$6="Вкл",Статистика!$H$6&gt;0),(Статистика!$H$6-Статистика!$C$10)/MAX(Статистика!$G$10-Статистика!$C$10,0.000001),NA())</f>
        <v>#N/A</v>
      </c>
      <c r="BP10" s="12" t="e">
        <f>IF(AND(A10&lt;&gt;"",Статистика!$L$6="Вкл",Статистика!$K$6&gt;0),(Статистика!$K$6-Статистика!$C$10)/MAX(Статистика!$G$10-Статистика!$C$10,0.000001),NA())</f>
        <v>#N/A</v>
      </c>
      <c r="BQ10" s="12" t="e">
        <f>IF(AND(A10&lt;&gt;"",Статистика!$M$6="Вкл",Статистика!$O$6&gt;0),(Статистика!$O$6-Статистика!$C$10)/MAX(Статистика!$G$10-Статистика!$C$10,0.000001),NA())</f>
        <v>#N/A</v>
      </c>
      <c r="BR10" s="12">
        <f t="shared" si="0"/>
        <v>1</v>
      </c>
      <c r="BT10" s="12">
        <f>IF(Y10="","",MAX(0,MIN(1,(((IF(Статистика!$C$4="Параллельный режим (активная мощность)",Z10,AK10)+Статистика!$J$4))-Статистика!$C$10)/MAX(Статистика!$G$10-Статистика!$C$10,0.000001))))</f>
        <v>0.553894507222222</v>
      </c>
      <c r="BU10" s="12">
        <f>IF(Y10="","",MAX(0,MAX(0,MIN(1,(((IF(Статистика!$C$4="Параллельный режим (активная мощность)",AB10,AM10)+Статистика!$J$4))-Статистика!$C$10)/MAX(Статистика!$G$10-Статистика!$C$10,0.000001)))-MAX(0,MIN(1,(((IF(Статистика!$C$4="Параллельный режим (активная мощность)",Z10,AK10)+Статистика!$J$4))-Статистика!$C$10)/MAX(Статистика!$G$10-Статистика!$C$10,0.000001)))))</f>
        <v>1.8349265000000115E-2</v>
      </c>
      <c r="BV10" s="12">
        <f>IF(Y10="","",MAX(0,MAX(0,MIN(1,(((IF(Статистика!$C$4="Параллельный режим (активная мощность)",AC10,AN10)+Статистика!$J$4))-Статистика!$C$10)/MAX(Статистика!$G$10-Статистика!$C$10,0.000001)))-MAX(0,MIN(1,(((IF(Статистика!$C$4="Параллельный режим (активная мощность)",AB10,AM10)+Статистика!$J$4))-Статистика!$C$10)/MAX(Статистика!$G$10-Статистика!$C$10,0.000001)))))</f>
        <v>4.909385000000055E-2</v>
      </c>
      <c r="BW10" s="12">
        <f>IF(Y10="","",MAX(0,MAX(0,MIN(1,(((IF(Статистика!$C$4="Параллельный режим (активная мощность)",AD10,AO10)+Статистика!$J$4))-Статистика!$C$10)/MAX(Статистика!$G$10-Статистика!$C$10,0.000001)))-MAX(0,MIN(1,(((IF(Статистика!$C$4="Параллельный режим (активная мощность)",AC10,AN10)+Статистика!$J$4))-Статистика!$C$10)/MAX(Статистика!$G$10-Статистика!$C$10,0.000001)))))</f>
        <v>3.6535466666666183E-2</v>
      </c>
      <c r="BX10" s="12">
        <f>IF(Y10="","",MAX(0,MAX(0,MIN(1,(((IF(Статистика!$C$4="Параллельный режим (активная мощность)",AE10,AP10)+Статистика!$J$4))-Статистика!$C$10)/MAX(Статистика!$G$10-Статистика!$C$10,0.000001)))-MAX(0,MIN(1,(((IF(Статистика!$C$4="Параллельный режим (активная мощность)",AD10,AO10)+Статистика!$J$4))-Статистика!$C$10)/MAX(Статистика!$G$10-Статистика!$C$10,0.000001)))))</f>
        <v>1.8869266666666329E-2</v>
      </c>
      <c r="BY10" s="12">
        <f>IF(Y10="","",MAX(0,MAX(0,MIN(1,(((IF(Статистика!$C$4="Параллельный режим (активная мощность)",AF10,AQ10)+Статистика!$J$4))-Статистика!$C$10)/MAX(Статистика!$G$10-Статистика!$C$10,0.000001)))-MAX(0,MIN(1,(((IF(Статистика!$C$4="Параллельный режим (активная мощность)",AE10,AP10)+Статистика!$J$4))-Статистика!$C$10)/MAX(Статистика!$G$10-Статистика!$C$10,0.000001)))))</f>
        <v>0.18312814222222273</v>
      </c>
      <c r="BZ10" s="12">
        <f>IF(Y10="","",MAX(0,MAX(0,MIN(1,(((IF(Статистика!$C$4="Параллельный режим (активная мощность)",AH10,AS10)+Статистика!$J$4))-Статистика!$C$10)/MAX(Статистика!$G$10-Статистика!$C$10,0.000001)))-MAX(0,MIN(1,(((IF(Статистика!$C$4="Параллельный режим (активная мощность)",AF10,AQ10)+Статистика!$J$4))-Статистика!$C$10)/MAX(Статистика!$G$10-Статистика!$C$10,0.000001)))))</f>
        <v>1.9197881999999167E-2</v>
      </c>
      <c r="CA10" s="12">
        <f>IF(Y10="","",MAX(0,1-MAX(0,MIN(1,(((IF(Статистика!$C$4="Параллельный режим (активная мощность)",AH10,AS10)+Статистика!$J$4))-Статистика!$C$10)/MAX(Статистика!$G$10-Статистика!$C$10,0.000001)))))</f>
        <v>0.12093162022222292</v>
      </c>
      <c r="CB10" s="12">
        <f>IF(Y10="",NA(),IF(Статистика!$B$8="Вкл",(((IF(Статистика!$C$4="Параллельный режим (активная мощность)",AD10,AO10)+Статистика!$J$4))-Статистика!$C$10)/MAX(Статистика!$G$10-Статистика!$C$10,0.000001),NA()))</f>
        <v>0.65787308888888885</v>
      </c>
      <c r="CC10" s="12">
        <f>IF(Y10="",NA(),IF(Статистика!$D$8="Вкл",(((IF(Статистика!$C$4="Параллельный режим (активная мощность)",AC10,AN10)+Статистика!$J$4))-Статистика!$C$10)/MAX(Статистика!$G$10-Статистика!$C$10,0.000001),NA()))</f>
        <v>0.62133762222222266</v>
      </c>
      <c r="CD10" s="12">
        <f>IF(Y10="",NA(),IF(Статистика!$D$8="Вкл",(((IF(Статистика!$C$4="Параллельный режим (активная мощность)",AE10,AP10)+Статистика!$J$4))-Статистика!$C$10)/MAX(Статистика!$G$10-Статистика!$C$10,0.000001),NA()))</f>
        <v>0.67674235555555518</v>
      </c>
      <c r="CE10" s="12">
        <f>IF(Y10="",NA(),IF(Статистика!$F$8="Вкл",(((IF(Статистика!$C$4="Параллельный режим (активная мощность)",AB10,AM10)+Статистика!$J$4))-Статистика!$C$10)/MAX(Статистика!$G$10-Статистика!$C$10,0.000001),NA()))</f>
        <v>0.57224377222222211</v>
      </c>
      <c r="CF10" s="12">
        <f>IF(Y10="",NA(),IF(Статистика!$F$8="Вкл",(((IF(Статистика!$C$4="Параллельный режим (активная мощность)",AF10,AQ10)+Статистика!$J$4))-Статистика!$C$10)/MAX(Статистика!$G$10-Статистика!$C$10,0.000001),NA()))</f>
        <v>0.85987049777777791</v>
      </c>
      <c r="CG10" s="12">
        <f>IF(Y10="",NA(),IF(Статистика!$H$8="Вкл",(((IF(Статистика!$C$4="Параллельный режим (активная мощность)",Z10,AK10)+Статистика!$J$4))-Статистика!$C$10)/MAX(Статистика!$G$10-Статистика!$C$10,0.000001),NA()))</f>
        <v>0.553894507222222</v>
      </c>
      <c r="CH10" s="12">
        <f>IF(Y10="",NA(),IF(Статистика!$H$8="Вкл",(((IF(Статистика!$C$4="Параллельный режим (активная мощность)",AH10,AS10)+Статистика!$J$4))-Статистика!$C$10)/MAX(Статистика!$G$10-Статистика!$C$10,0.000001),NA()))</f>
        <v>0.87906837977777708</v>
      </c>
      <c r="CI10" s="12" t="e">
        <f>IF(Y10="",NA(),IF(Статистика!$J$8="Вкл",(((IF(Статистика!$C$4="Параллельный режим (активная мощность)",AI10,AT10)+Статистика!$J$4))-Статистика!$C$10)/MAX(Статистика!$G$10-Статистика!$C$10,0.000001),NA()))</f>
        <v>#N/A</v>
      </c>
      <c r="CJ10" s="12" t="e">
        <f>IF(AND(Y10&lt;&gt;"",Статистика!$C$6="Вкл",Статистика!$B$6&gt;0),(Статистика!$B$6-Статистика!$C$10)/MAX(Статистика!$G$10-Статистика!$C$10,0.000001),NA())</f>
        <v>#N/A</v>
      </c>
      <c r="CK10" s="12" t="e">
        <f>IF(AND(Y10&lt;&gt;"",Статистика!$F$6="Вкл",Статистика!$E$6&gt;0),(Статистика!$E$6-Статистика!$C$10)/MAX(Статистика!$G$10-Статистика!$C$10,0.000001),NA())</f>
        <v>#N/A</v>
      </c>
      <c r="CL10" s="12" t="e">
        <f>IF(AND(Y10&lt;&gt;"",Статистика!$I$6="Вкл",Статистика!$H$6&gt;0),(Статистика!$H$6-Статистика!$C$10)/MAX(Статистика!$G$10-Статистика!$C$10,0.000001),NA())</f>
        <v>#N/A</v>
      </c>
      <c r="CM10" s="12" t="e">
        <f>IF(AND(Y10&lt;&gt;"",Статистика!$L$6="Вкл",Статистика!$K$6&gt;0),(Статистика!$K$6-Статистика!$C$10)/MAX(Статистика!$G$10-Статистика!$C$10,0.000001),NA())</f>
        <v>#N/A</v>
      </c>
      <c r="CN10" s="12" t="e">
        <f>IF(AND(Y10&lt;&gt;"",Статистика!$M$6="Вкл",Статистика!$O$6&gt;0),(Статистика!$O$6-Статистика!$C$10)/MAX(Статистика!$G$10-Статистика!$C$10,0.000001),NA())</f>
        <v>#N/A</v>
      </c>
      <c r="CO10" s="12">
        <f t="shared" si="1"/>
        <v>1</v>
      </c>
    </row>
    <row r="11" spans="1:93" ht="15" customHeight="1">
      <c r="A11" s="12" t="s">
        <v>93</v>
      </c>
      <c r="B11" s="12">
        <v>2359.7368496666668</v>
      </c>
      <c r="C11" s="12">
        <v>5807.5654483333328</v>
      </c>
      <c r="D11" s="12">
        <v>7485.5879816666657</v>
      </c>
      <c r="E11" s="12">
        <v>7805.391141666667</v>
      </c>
      <c r="F11" s="12">
        <v>7983.0358333333324</v>
      </c>
      <c r="G11" s="12">
        <v>8201.2008499999993</v>
      </c>
      <c r="H11" s="12">
        <v>8516.4548133333337</v>
      </c>
      <c r="I11" s="12">
        <v>8577.6266266666662</v>
      </c>
      <c r="J11" s="12">
        <v>8598.4886853333337</v>
      </c>
      <c r="K11" s="12">
        <v>8785.83</v>
      </c>
      <c r="L11" s="12" t="s">
        <v>94</v>
      </c>
      <c r="M11" s="12">
        <v>2928.354464333333</v>
      </c>
      <c r="N11" s="12">
        <v>6782.1148549999998</v>
      </c>
      <c r="O11" s="12">
        <v>8624.8895783333319</v>
      </c>
      <c r="P11" s="12">
        <v>8885.2632083333338</v>
      </c>
      <c r="Q11" s="12">
        <v>9087.1159000000007</v>
      </c>
      <c r="R11" s="12">
        <v>9266.4737750000004</v>
      </c>
      <c r="S11" s="12">
        <v>9641.9927299999999</v>
      </c>
      <c r="T11" s="12">
        <v>9661.2596416666674</v>
      </c>
      <c r="U11" s="12">
        <v>9693.193475</v>
      </c>
      <c r="V11" s="12">
        <v>9859.4500000000007</v>
      </c>
      <c r="W11" s="12" t="s">
        <v>94</v>
      </c>
      <c r="Y11" s="12" t="s">
        <v>93</v>
      </c>
      <c r="Z11" s="12">
        <v>7604.2683191666665</v>
      </c>
      <c r="AA11" s="12">
        <v>7636.9138625000005</v>
      </c>
      <c r="AB11" s="12">
        <v>7677.7207916666666</v>
      </c>
      <c r="AC11" s="12">
        <v>7860.8014583333334</v>
      </c>
      <c r="AD11" s="12">
        <v>7970.8680499999991</v>
      </c>
      <c r="AE11" s="12">
        <v>8018.5082416666664</v>
      </c>
      <c r="AF11" s="12">
        <v>8572.6805283333342</v>
      </c>
      <c r="AG11" s="12">
        <v>8587.7904308333327</v>
      </c>
      <c r="AH11" s="12">
        <v>8599.8783528333333</v>
      </c>
      <c r="AI11" s="12">
        <v>8755.7999999999993</v>
      </c>
      <c r="AJ11" s="12" t="s">
        <v>95</v>
      </c>
      <c r="AK11" s="12">
        <v>8615.6222575000011</v>
      </c>
      <c r="AL11" s="12">
        <v>8684.675820833334</v>
      </c>
      <c r="AM11" s="12">
        <v>8770.9927750000006</v>
      </c>
      <c r="AN11" s="12">
        <v>8946.8608416666666</v>
      </c>
      <c r="AO11" s="12">
        <v>9044.0665499999996</v>
      </c>
      <c r="AP11" s="12">
        <v>9120.0709583333337</v>
      </c>
      <c r="AQ11" s="12">
        <v>9675.9728533333328</v>
      </c>
      <c r="AR11" s="12">
        <v>9694.2182599999978</v>
      </c>
      <c r="AS11" s="12">
        <v>9708.8145853333317</v>
      </c>
      <c r="AT11" s="12">
        <v>9859.6</v>
      </c>
      <c r="AU11" s="12" t="s">
        <v>95</v>
      </c>
      <c r="AW11" s="12">
        <f>IF(A11="","",MAX(0,MIN(1,(((IF(Статистика!$C$4="Параллельный режим (активная мощность)",B11,M11)+Статистика!$J$4))-Статистика!$C$10)/MAX(Статистика!$G$10-Статистика!$C$10,0.000001))))</f>
        <v>0</v>
      </c>
      <c r="AX11" s="12">
        <f>IF(A11="","",MAX(0,MAX(0,MIN(1,(((IF(Статистика!$C$4="Параллельный режим (активная мощность)",D11,O11)+Статистика!$J$4))-Статистика!$C$10)/MAX(Статистика!$G$10-Статистика!$C$10,0.000001)))-MAX(0,MIN(1,(((IF(Статистика!$C$4="Параллельный режим (активная мощность)",B11,M11)+Статистика!$J$4))-Статистика!$C$10)/MAX(Статистика!$G$10-Статистика!$C$10,0.000001)))))</f>
        <v>0.49519599388888857</v>
      </c>
      <c r="AY11" s="12">
        <f>IF(A11="","",MAX(0,MAX(0,MIN(1,(((IF(Статистика!$C$4="Параллельный режим (активная мощность)",E11,P11)+Статистика!$J$4))-Статистика!$C$10)/MAX(Статистика!$G$10-Статистика!$C$10,0.000001)))-MAX(0,MIN(1,(((IF(Статистика!$C$4="Параллельный режим (активная мощность)",D11,O11)+Статистика!$J$4))-Статистика!$C$10)/MAX(Статистика!$G$10-Статистика!$C$10,0.000001)))))</f>
        <v>0.1066010533333337</v>
      </c>
      <c r="AZ11" s="12">
        <f>IF(A11="","",MAX(0,MAX(0,MIN(1,(((IF(Статистика!$C$4="Параллельный режим (активная мощность)",F11,Q11)+Статистика!$J$4))-Статистика!$C$10)/MAX(Статистика!$G$10-Статистика!$C$10,0.000001)))-MAX(0,MIN(1,(((IF(Статистика!$C$4="Параллельный режим (активная мощность)",E11,P11)+Статистика!$J$4))-Статистика!$C$10)/MAX(Статистика!$G$10-Статистика!$C$10,0.000001)))))</f>
        <v>5.9214897222221841E-2</v>
      </c>
      <c r="BA11" s="12">
        <f>IF(A11="","",MAX(0,MAX(0,MIN(1,(((IF(Статистика!$C$4="Параллельный режим (активная мощность)",G11,R11)+Статистика!$J$4))-Статистика!$C$10)/MAX(Статистика!$G$10-Статистика!$C$10,0.000001)))-MAX(0,MIN(1,(((IF(Статистика!$C$4="Параллельный режим (активная мощность)",F11,Q11)+Статистика!$J$4))-Статистика!$C$10)/MAX(Статистика!$G$10-Статистика!$C$10,0.000001)))))</f>
        <v>7.2721672222222256E-2</v>
      </c>
      <c r="BB11" s="12">
        <f>IF(A11="","",MAX(0,MAX(0,MIN(1,(((IF(Статистика!$C$4="Параллельный режим (активная мощность)",H11,S11)+Статистика!$J$4))-Статистика!$C$10)/MAX(Статистика!$G$10-Статистика!$C$10,0.000001)))-MAX(0,MIN(1,(((IF(Статистика!$C$4="Параллельный режим (активная мощность)",G11,R11)+Статистика!$J$4))-Статистика!$C$10)/MAX(Статистика!$G$10-Статистика!$C$10,0.000001)))))</f>
        <v>0.10508465444444492</v>
      </c>
      <c r="BC11" s="12">
        <f>IF(A11="","",MAX(0,MAX(0,MIN(1,(((IF(Статистика!$C$4="Параллельный режим (активная мощность)",J11,U11)+Статистика!$J$4))-Статистика!$C$10)/MAX(Статистика!$G$10-Статистика!$C$10,0.000001)))-MAX(0,MIN(1,(((IF(Статистика!$C$4="Параллельный режим (активная мощность)",H11,S11)+Статистика!$J$4))-Статистика!$C$10)/MAX(Статистика!$G$10-Статистика!$C$10,0.000001)))))</f>
        <v>2.7344623999999929E-2</v>
      </c>
      <c r="BD11" s="12">
        <f>IF(A11="","",MAX(0,1-MAX(0,MIN(1,(((IF(Статистика!$C$4="Параллельный режим (активная мощность)",J11,U11)+Статистика!$J$4))-Статистика!$C$10)/MAX(Статистика!$G$10-Статистика!$C$10,0.000001)))))</f>
        <v>0.13383710488888878</v>
      </c>
      <c r="BE11" s="12">
        <f>IF(A11="",NA(),IF(Статистика!$B$8="Вкл",(((IF(Статистика!$C$4="Параллельный режим (активная мощность)",F11,Q11)+Статистика!$J$4))-Статистика!$C$10)/MAX(Статистика!$G$10-Статистика!$C$10,0.000001),NA()))</f>
        <v>0.66101194444444411</v>
      </c>
      <c r="BF11" s="12">
        <f>IF(A11="",NA(),IF(Статистика!$D$8="Вкл",(((IF(Статистика!$C$4="Параллельный режим (активная мощность)",E11,P11)+Статистика!$J$4))-Статистика!$C$10)/MAX(Статистика!$G$10-Статистика!$C$10,0.000001),NA()))</f>
        <v>0.60179704722222227</v>
      </c>
      <c r="BG11" s="12">
        <f>IF(A11="",NA(),IF(Статистика!$D$8="Вкл",(((IF(Статистика!$C$4="Параллельный режим (активная мощность)",G11,R11)+Статистика!$J$4))-Статистика!$C$10)/MAX(Статистика!$G$10-Статистика!$C$10,0.000001),NA()))</f>
        <v>0.73373361666666637</v>
      </c>
      <c r="BH11" s="12">
        <f>IF(A11="",NA(),IF(Статистика!$F$8="Вкл",(((IF(Статистика!$C$4="Параллельный режим (активная мощность)",D11,O11)+Статистика!$J$4))-Статистика!$C$10)/MAX(Статистика!$G$10-Статистика!$C$10,0.000001),NA()))</f>
        <v>0.49519599388888857</v>
      </c>
      <c r="BI11" s="12">
        <f>IF(A11="",NA(),IF(Статистика!$F$8="Вкл",(((IF(Статистика!$C$4="Параллельный режим (активная мощность)",H11,S11)+Статистика!$J$4))-Статистика!$C$10)/MAX(Статистика!$G$10-Статистика!$C$10,0.000001),NA()))</f>
        <v>0.83881827111111129</v>
      </c>
      <c r="BJ11" s="12">
        <f>IF(A11="",NA(),IF(Статистика!$H$8="Вкл",(((IF(Статистика!$C$4="Параллельный режим (активная мощность)",B11,M11)+Статистика!$J$4))-Статистика!$C$10)/MAX(Статистика!$G$10-Статистика!$C$10,0.000001),NA()))</f>
        <v>-1.2134210501111111</v>
      </c>
      <c r="BK11" s="12">
        <f>IF(A11="",NA(),IF(Статистика!$H$8="Вкл",(((IF(Статистика!$C$4="Параллельный режим (активная мощность)",J11,U11)+Статистика!$J$4))-Статистика!$C$10)/MAX(Статистика!$G$10-Статистика!$C$10,0.000001),NA()))</f>
        <v>0.86616289511111122</v>
      </c>
      <c r="BL11" s="12" t="e">
        <f>IF(A11="",NA(),IF(Статистика!$J$8="Вкл",(((IF(Статистика!$C$4="Параллельный режим (активная мощность)",K11,V11)+Статистика!$J$4))-Статистика!$C$10)/MAX(Статистика!$G$10-Статистика!$C$10,0.000001),NA()))</f>
        <v>#N/A</v>
      </c>
      <c r="BM11" s="12" t="e">
        <f>IF(AND(A11&lt;&gt;"",Статистика!$C$6="Вкл",Статистика!$B$6&gt;0),(Статистика!$B$6-Статистика!$C$10)/MAX(Статистика!$G$10-Статистика!$C$10,0.000001),NA())</f>
        <v>#N/A</v>
      </c>
      <c r="BN11" s="12" t="e">
        <f>IF(AND(A11&lt;&gt;"",Статистика!$F$6="Вкл",Статистика!$E$6&gt;0),(Статистика!$E$6-Статистика!$C$10)/MAX(Статистика!$G$10-Статистика!$C$10,0.000001),NA())</f>
        <v>#N/A</v>
      </c>
      <c r="BO11" s="12" t="e">
        <f>IF(AND(A11&lt;&gt;"",Статистика!$I$6="Вкл",Статистика!$H$6&gt;0),(Статистика!$H$6-Статистика!$C$10)/MAX(Статистика!$G$10-Статистика!$C$10,0.000001),NA())</f>
        <v>#N/A</v>
      </c>
      <c r="BP11" s="12" t="e">
        <f>IF(AND(A11&lt;&gt;"",Статистика!$L$6="Вкл",Статистика!$K$6&gt;0),(Статистика!$K$6-Статистика!$C$10)/MAX(Статистика!$G$10-Статистика!$C$10,0.000001),NA())</f>
        <v>#N/A</v>
      </c>
      <c r="BQ11" s="12" t="e">
        <f>IF(AND(A11&lt;&gt;"",Статистика!$M$6="Вкл",Статистика!$O$6&gt;0),(Статистика!$O$6-Статистика!$C$10)/MAX(Статистика!$G$10-Статистика!$C$10,0.000001),NA())</f>
        <v>#N/A</v>
      </c>
      <c r="BR11" s="12">
        <f t="shared" si="0"/>
        <v>1</v>
      </c>
      <c r="BT11" s="12">
        <f>IF(Y11="","",MAX(0,MIN(1,(((IF(Статистика!$C$4="Параллельный режим (активная мощность)",Z11,AK11)+Статистика!$J$4))-Статистика!$C$10)/MAX(Статистика!$G$10-Статистика!$C$10,0.000001))))</f>
        <v>0.53475610638888882</v>
      </c>
      <c r="BU11" s="12">
        <f>IF(Y11="","",MAX(0,MAX(0,MIN(1,(((IF(Статистика!$C$4="Параллельный режим (активная мощность)",AB11,AM11)+Статистика!$J$4))-Статистика!$C$10)/MAX(Статистика!$G$10-Статистика!$C$10,0.000001)))-MAX(0,MIN(1,(((IF(Статистика!$C$4="Параллельный режим (активная мощность)",Z11,AK11)+Статистика!$J$4))-Статистика!$C$10)/MAX(Статистика!$G$10-Статистика!$C$10,0.000001)))))</f>
        <v>2.4484157500000103E-2</v>
      </c>
      <c r="BV11" s="12">
        <f>IF(Y11="","",MAX(0,MAX(0,MIN(1,(((IF(Статистика!$C$4="Параллельный режим (активная мощность)",AC11,AN11)+Статистика!$J$4))-Статистика!$C$10)/MAX(Статистика!$G$10-Статистика!$C$10,0.000001)))-MAX(0,MIN(1,(((IF(Статистика!$C$4="Параллельный режим (активная мощность)",AB11,AM11)+Статистика!$J$4))-Статистика!$C$10)/MAX(Статистика!$G$10-Статистика!$C$10,0.000001)))))</f>
        <v>6.1026888888888853E-2</v>
      </c>
      <c r="BW11" s="12">
        <f>IF(Y11="","",MAX(0,MAX(0,MIN(1,(((IF(Статистика!$C$4="Параллельный режим (активная мощность)",AD11,AO11)+Статистика!$J$4))-Статистика!$C$10)/MAX(Статистика!$G$10-Статистика!$C$10,0.000001)))-MAX(0,MIN(1,(((IF(Статистика!$C$4="Параллельный режим (активная мощность)",AC11,AN11)+Статистика!$J$4))-Статистика!$C$10)/MAX(Статистика!$G$10-Статистика!$C$10,0.000001)))))</f>
        <v>3.668886388888859E-2</v>
      </c>
      <c r="BX11" s="12">
        <f>IF(Y11="","",MAX(0,MAX(0,MIN(1,(((IF(Статистика!$C$4="Параллельный режим (активная мощность)",AE11,AP11)+Статистика!$J$4))-Статистика!$C$10)/MAX(Статистика!$G$10-Статистика!$C$10,0.000001)))-MAX(0,MIN(1,(((IF(Статистика!$C$4="Параллельный режим (активная мощность)",AD11,AO11)+Статистика!$J$4))-Статистика!$C$10)/MAX(Статистика!$G$10-Статистика!$C$10,0.000001)))))</f>
        <v>1.5880063888889073E-2</v>
      </c>
      <c r="BY11" s="12">
        <f>IF(Y11="","",MAX(0,MAX(0,MIN(1,(((IF(Статистика!$C$4="Параллельный режим (активная мощность)",AF11,AQ11)+Статистика!$J$4))-Статистика!$C$10)/MAX(Статистика!$G$10-Статистика!$C$10,0.000001)))-MAX(0,MIN(1,(((IF(Статистика!$C$4="Параллельный режим (активная мощность)",AE11,AP11)+Статистика!$J$4))-Статистика!$C$10)/MAX(Статистика!$G$10-Статистика!$C$10,0.000001)))))</f>
        <v>0.18472409555555602</v>
      </c>
      <c r="BZ11" s="12">
        <f>IF(Y11="","",MAX(0,MAX(0,MIN(1,(((IF(Статистика!$C$4="Параллельный режим (активная мощность)",AH11,AS11)+Статистика!$J$4))-Статистика!$C$10)/MAX(Статистика!$G$10-Статистика!$C$10,0.000001)))-MAX(0,MIN(1,(((IF(Статистика!$C$4="Параллельный режим (активная мощность)",AF11,AQ11)+Статистика!$J$4))-Статистика!$C$10)/MAX(Статистика!$G$10-Статистика!$C$10,0.000001)))))</f>
        <v>9.0659414999996191E-3</v>
      </c>
      <c r="CA11" s="12">
        <f>IF(Y11="","",MAX(0,1-MAX(0,MIN(1,(((IF(Статистика!$C$4="Параллельный режим (активная мощность)",AH11,AS11)+Статистика!$J$4))-Статистика!$C$10)/MAX(Статистика!$G$10-Статистика!$C$10,0.000001)))))</f>
        <v>0.13337388238888892</v>
      </c>
      <c r="CB11" s="12">
        <f>IF(Y11="",NA(),IF(Статистика!$B$8="Вкл",(((IF(Статистика!$C$4="Параллельный режим (активная мощность)",AD11,AO11)+Статистика!$J$4))-Статистика!$C$10)/MAX(Статистика!$G$10-Статистика!$C$10,0.000001),NA()))</f>
        <v>0.65695601666666636</v>
      </c>
      <c r="CC11" s="12">
        <f>IF(Y11="",NA(),IF(Статистика!$D$8="Вкл",(((IF(Статистика!$C$4="Параллельный режим (активная мощность)",AC11,AN11)+Статистика!$J$4))-Статистика!$C$10)/MAX(Статистика!$G$10-Статистика!$C$10,0.000001),NA()))</f>
        <v>0.62026715277777777</v>
      </c>
      <c r="CD11" s="12">
        <f>IF(Y11="",NA(),IF(Статистика!$D$8="Вкл",(((IF(Статистика!$C$4="Параллельный режим (активная мощность)",AE11,AP11)+Статистика!$J$4))-Статистика!$C$10)/MAX(Статистика!$G$10-Статистика!$C$10,0.000001),NA()))</f>
        <v>0.67283608055555544</v>
      </c>
      <c r="CE11" s="12">
        <f>IF(Y11="",NA(),IF(Статистика!$F$8="Вкл",(((IF(Статистика!$C$4="Параллельный режим (активная мощность)",AB11,AM11)+Статистика!$J$4))-Статистика!$C$10)/MAX(Статистика!$G$10-Статистика!$C$10,0.000001),NA()))</f>
        <v>0.55924026388888892</v>
      </c>
      <c r="CF11" s="12">
        <f>IF(Y11="",NA(),IF(Статистика!$F$8="Вкл",(((IF(Статистика!$C$4="Параллельный режим (активная мощность)",AF11,AQ11)+Статистика!$J$4))-Статистика!$C$10)/MAX(Статистика!$G$10-Статистика!$C$10,0.000001),NA()))</f>
        <v>0.85756017611111146</v>
      </c>
      <c r="CG11" s="12">
        <f>IF(Y11="",NA(),IF(Статистика!$H$8="Вкл",(((IF(Статистика!$C$4="Параллельный режим (активная мощность)",Z11,AK11)+Статистика!$J$4))-Статистика!$C$10)/MAX(Статистика!$G$10-Статистика!$C$10,0.000001),NA()))</f>
        <v>0.53475610638888882</v>
      </c>
      <c r="CH11" s="12">
        <f>IF(Y11="",NA(),IF(Статистика!$H$8="Вкл",(((IF(Статистика!$C$4="Параллельный режим (активная мощность)",AH11,AS11)+Статистика!$J$4))-Статистика!$C$10)/MAX(Статистика!$G$10-Статистика!$C$10,0.000001),NA()))</f>
        <v>0.86662611761111108</v>
      </c>
      <c r="CI11" s="12" t="e">
        <f>IF(Y11="",NA(),IF(Статистика!$J$8="Вкл",(((IF(Статистика!$C$4="Параллельный режим (активная мощность)",AI11,AT11)+Статистика!$J$4))-Статистика!$C$10)/MAX(Статистика!$G$10-Статистика!$C$10,0.000001),NA()))</f>
        <v>#N/A</v>
      </c>
      <c r="CJ11" s="12" t="e">
        <f>IF(AND(Y11&lt;&gt;"",Статистика!$C$6="Вкл",Статистика!$B$6&gt;0),(Статистика!$B$6-Статистика!$C$10)/MAX(Статистика!$G$10-Статистика!$C$10,0.000001),NA())</f>
        <v>#N/A</v>
      </c>
      <c r="CK11" s="12" t="e">
        <f>IF(AND(Y11&lt;&gt;"",Статистика!$F$6="Вкл",Статистика!$E$6&gt;0),(Статистика!$E$6-Статистика!$C$10)/MAX(Статистика!$G$10-Статистика!$C$10,0.000001),NA())</f>
        <v>#N/A</v>
      </c>
      <c r="CL11" s="12" t="e">
        <f>IF(AND(Y11&lt;&gt;"",Статистика!$I$6="Вкл",Статистика!$H$6&gt;0),(Статистика!$H$6-Статистика!$C$10)/MAX(Статистика!$G$10-Статистика!$C$10,0.000001),NA())</f>
        <v>#N/A</v>
      </c>
      <c r="CM11" s="12" t="e">
        <f>IF(AND(Y11&lt;&gt;"",Статистика!$L$6="Вкл",Статистика!$K$6&gt;0),(Статистика!$K$6-Статистика!$C$10)/MAX(Статистика!$G$10-Статистика!$C$10,0.000001),NA())</f>
        <v>#N/A</v>
      </c>
      <c r="CN11" s="12" t="e">
        <f>IF(AND(Y11&lt;&gt;"",Статистика!$M$6="Вкл",Статистика!$O$6&gt;0),(Статистика!$O$6-Статистика!$C$10)/MAX(Статистика!$G$10-Статистика!$C$10,0.000001),NA())</f>
        <v>#N/A</v>
      </c>
      <c r="CO11" s="12">
        <f t="shared" si="1"/>
        <v>1</v>
      </c>
    </row>
    <row r="12" spans="1:93" ht="15" customHeight="1">
      <c r="A12" s="12" t="s">
        <v>96</v>
      </c>
      <c r="B12" s="12">
        <v>2363.0193866666664</v>
      </c>
      <c r="C12" s="12">
        <v>5782.8169333333335</v>
      </c>
      <c r="D12" s="12">
        <v>7481.2070366666658</v>
      </c>
      <c r="E12" s="12">
        <v>7775.719325</v>
      </c>
      <c r="F12" s="12">
        <v>7975.6794999999984</v>
      </c>
      <c r="G12" s="12">
        <v>8193.2667583333332</v>
      </c>
      <c r="H12" s="12">
        <v>8504.3667050000004</v>
      </c>
      <c r="I12" s="12">
        <v>8616.1339833333332</v>
      </c>
      <c r="J12" s="12">
        <v>8643.1507700000002</v>
      </c>
      <c r="K12" s="12">
        <v>8947.75</v>
      </c>
      <c r="L12" s="12" t="s">
        <v>97</v>
      </c>
      <c r="M12" s="12">
        <v>2951.8140966666665</v>
      </c>
      <c r="N12" s="12">
        <v>6816.3506166666675</v>
      </c>
      <c r="O12" s="12">
        <v>8658.796491666666</v>
      </c>
      <c r="P12" s="12">
        <v>8904.8878750000003</v>
      </c>
      <c r="Q12" s="12">
        <v>9036.7562166666667</v>
      </c>
      <c r="R12" s="12">
        <v>9260.4068750000006</v>
      </c>
      <c r="S12" s="12">
        <v>9641.499065</v>
      </c>
      <c r="T12" s="12">
        <v>9711.1996591666666</v>
      </c>
      <c r="U12" s="12">
        <v>9754.1509984999993</v>
      </c>
      <c r="V12" s="12">
        <v>10118.709999999999</v>
      </c>
      <c r="W12" s="12" t="s">
        <v>97</v>
      </c>
      <c r="Y12" s="12" t="s">
        <v>96</v>
      </c>
      <c r="Z12" s="12">
        <v>7570.519548166666</v>
      </c>
      <c r="AA12" s="12">
        <v>7621.1686741666663</v>
      </c>
      <c r="AB12" s="12">
        <v>7684.4800816666666</v>
      </c>
      <c r="AC12" s="12">
        <v>7848.970225</v>
      </c>
      <c r="AD12" s="12">
        <v>7974.4149499999994</v>
      </c>
      <c r="AE12" s="12">
        <v>8079.8200249999991</v>
      </c>
      <c r="AF12" s="12">
        <v>8540.7584216666655</v>
      </c>
      <c r="AG12" s="12">
        <v>8574.1703441666668</v>
      </c>
      <c r="AH12" s="12">
        <v>8600.8998821666664</v>
      </c>
      <c r="AI12" s="12">
        <v>8808.85</v>
      </c>
      <c r="AJ12" s="12" t="s">
        <v>98</v>
      </c>
      <c r="AK12" s="12">
        <v>8591.3703821666659</v>
      </c>
      <c r="AL12" s="12">
        <v>8670.7028441666662</v>
      </c>
      <c r="AM12" s="12">
        <v>8769.8684216666661</v>
      </c>
      <c r="AN12" s="12">
        <v>8966.5401000000002</v>
      </c>
      <c r="AO12" s="12">
        <v>9047.7150666666676</v>
      </c>
      <c r="AP12" s="12">
        <v>9171.3721666666661</v>
      </c>
      <c r="AQ12" s="12">
        <v>9645.3035666666656</v>
      </c>
      <c r="AR12" s="12">
        <v>9671.8330000000005</v>
      </c>
      <c r="AS12" s="12">
        <v>9693.0565466666667</v>
      </c>
      <c r="AT12" s="12">
        <v>9881.7099999999991</v>
      </c>
      <c r="AU12" s="12" t="s">
        <v>98</v>
      </c>
      <c r="AW12" s="12">
        <f>IF(A12="","",MAX(0,MIN(1,(((IF(Статистика!$C$4="Параллельный режим (активная мощность)",B12,M12)+Статистика!$J$4))-Статистика!$C$10)/MAX(Статистика!$G$10-Статистика!$C$10,0.000001))))</f>
        <v>0</v>
      </c>
      <c r="AX12" s="12">
        <f>IF(A12="","",MAX(0,MAX(0,MIN(1,(((IF(Статистика!$C$4="Параллельный режим (активная мощность)",D12,O12)+Статистика!$J$4))-Статистика!$C$10)/MAX(Статистика!$G$10-Статистика!$C$10,0.000001)))-MAX(0,MIN(1,(((IF(Статистика!$C$4="Параллельный режим (активная мощность)",B12,M12)+Статистика!$J$4))-Статистика!$C$10)/MAX(Статистика!$G$10-Статистика!$C$10,0.000001)))))</f>
        <v>0.49373567888888859</v>
      </c>
      <c r="AY12" s="12">
        <f>IF(A12="","",MAX(0,MAX(0,MIN(1,(((IF(Статистика!$C$4="Параллельный режим (активная мощность)",E12,P12)+Статистика!$J$4))-Статистика!$C$10)/MAX(Статистика!$G$10-Статистика!$C$10,0.000001)))-MAX(0,MIN(1,(((IF(Статистика!$C$4="Параллельный режим (активная мощность)",D12,O12)+Статистика!$J$4))-Статистика!$C$10)/MAX(Статистика!$G$10-Статистика!$C$10,0.000001)))))</f>
        <v>9.8170762777778142E-2</v>
      </c>
      <c r="AZ12" s="12">
        <f>IF(A12="","",MAX(0,MAX(0,MIN(1,(((IF(Статистика!$C$4="Параллельный режим (активная мощность)",F12,Q12)+Статистика!$J$4))-Статистика!$C$10)/MAX(Статистика!$G$10-Статистика!$C$10,0.000001)))-MAX(0,MIN(1,(((IF(Статистика!$C$4="Параллельный режим (активная мощность)",E12,P12)+Статистика!$J$4))-Статистика!$C$10)/MAX(Статистика!$G$10-Статистика!$C$10,0.000001)))))</f>
        <v>6.6653391666666062E-2</v>
      </c>
      <c r="BA12" s="12">
        <f>IF(A12="","",MAX(0,MAX(0,MIN(1,(((IF(Статистика!$C$4="Параллельный режим (активная мощность)",G12,R12)+Статистика!$J$4))-Статистика!$C$10)/MAX(Статистика!$G$10-Статистика!$C$10,0.000001)))-MAX(0,MIN(1,(((IF(Статистика!$C$4="Параллельный режим (активная мощность)",F12,Q12)+Статистика!$J$4))-Статистика!$C$10)/MAX(Статистика!$G$10-Статистика!$C$10,0.000001)))))</f>
        <v>7.252908611111164E-2</v>
      </c>
      <c r="BB12" s="12">
        <f>IF(A12="","",MAX(0,MAX(0,MIN(1,(((IF(Статистика!$C$4="Параллельный режим (активная мощность)",H12,S12)+Статистика!$J$4))-Статистика!$C$10)/MAX(Статистика!$G$10-Статистика!$C$10,0.000001)))-MAX(0,MIN(1,(((IF(Статистика!$C$4="Параллельный режим (активная мощность)",G12,R12)+Статистика!$J$4))-Статистика!$C$10)/MAX(Статистика!$G$10-Статистика!$C$10,0.000001)))))</f>
        <v>0.10369998222222232</v>
      </c>
      <c r="BC12" s="12">
        <f>IF(A12="","",MAX(0,MAX(0,MIN(1,(((IF(Статистика!$C$4="Параллельный режим (активная мощность)",J12,U12)+Статистика!$J$4))-Статистика!$C$10)/MAX(Статистика!$G$10-Статистика!$C$10,0.000001)))-MAX(0,MIN(1,(((IF(Статистика!$C$4="Параллельный режим (активная мощность)",H12,S12)+Статистика!$J$4))-Статистика!$C$10)/MAX(Статистика!$G$10-Статистика!$C$10,0.000001)))))</f>
        <v>4.6261354999999948E-2</v>
      </c>
      <c r="BD12" s="12">
        <f>IF(A12="","",MAX(0,1-MAX(0,MIN(1,(((IF(Статистика!$C$4="Параллельный режим (активная мощность)",J12,U12)+Статистика!$J$4))-Статистика!$C$10)/MAX(Статистика!$G$10-Статистика!$C$10,0.000001)))))</f>
        <v>0.1189497433333333</v>
      </c>
      <c r="BE12" s="12">
        <f>IF(A12="",NA(),IF(Статистика!$B$8="Вкл",(((IF(Статистика!$C$4="Параллельный режим (активная мощность)",F12,Q12)+Статистика!$J$4))-Статистика!$C$10)/MAX(Статистика!$G$10-Статистика!$C$10,0.000001),NA()))</f>
        <v>0.65855983333333279</v>
      </c>
      <c r="BF12" s="12">
        <f>IF(A12="",NA(),IF(Статистика!$D$8="Вкл",(((IF(Статистика!$C$4="Параллельный режим (активная мощность)",E12,P12)+Статистика!$J$4))-Статистика!$C$10)/MAX(Статистика!$G$10-Статистика!$C$10,0.000001),NA()))</f>
        <v>0.59190644166666673</v>
      </c>
      <c r="BG12" s="12">
        <f>IF(A12="",NA(),IF(Статистика!$D$8="Вкл",(((IF(Статистика!$C$4="Параллельный режим (активная мощность)",G12,R12)+Статистика!$J$4))-Статистика!$C$10)/MAX(Статистика!$G$10-Статистика!$C$10,0.000001),NA()))</f>
        <v>0.73108891944444443</v>
      </c>
      <c r="BH12" s="12">
        <f>IF(A12="",NA(),IF(Статистика!$F$8="Вкл",(((IF(Статистика!$C$4="Параллельный режим (активная мощность)",D12,O12)+Статистика!$J$4))-Статистика!$C$10)/MAX(Статистика!$G$10-Статистика!$C$10,0.000001),NA()))</f>
        <v>0.49373567888888859</v>
      </c>
      <c r="BI12" s="12">
        <f>IF(A12="",NA(),IF(Статистика!$F$8="Вкл",(((IF(Статистика!$C$4="Параллельный режим (активная мощность)",H12,S12)+Статистика!$J$4))-Статистика!$C$10)/MAX(Статистика!$G$10-Статистика!$C$10,0.000001),NA()))</f>
        <v>0.83478890166666675</v>
      </c>
      <c r="BJ12" s="12">
        <f>IF(A12="",NA(),IF(Статистика!$H$8="Вкл",(((IF(Статистика!$C$4="Параллельный режим (активная мощность)",B12,M12)+Статистика!$J$4))-Статистика!$C$10)/MAX(Статистика!$G$10-Статистика!$C$10,0.000001),NA()))</f>
        <v>-1.2123268711111113</v>
      </c>
      <c r="BK12" s="12">
        <f>IF(A12="",NA(),IF(Статистика!$H$8="Вкл",(((IF(Статистика!$C$4="Параллельный режим (активная мощность)",J12,U12)+Статистика!$J$4))-Статистика!$C$10)/MAX(Статистика!$G$10-Статистика!$C$10,0.000001),NA()))</f>
        <v>0.8810502566666667</v>
      </c>
      <c r="BL12" s="12" t="e">
        <f>IF(A12="",NA(),IF(Статистика!$J$8="Вкл",(((IF(Статистика!$C$4="Параллельный режим (активная мощность)",K12,V12)+Статистика!$J$4))-Статистика!$C$10)/MAX(Статистика!$G$10-Статистика!$C$10,0.000001),NA()))</f>
        <v>#N/A</v>
      </c>
      <c r="BM12" s="12" t="e">
        <f>IF(AND(A12&lt;&gt;"",Статистика!$C$6="Вкл",Статистика!$B$6&gt;0),(Статистика!$B$6-Статистика!$C$10)/MAX(Статистика!$G$10-Статистика!$C$10,0.000001),NA())</f>
        <v>#N/A</v>
      </c>
      <c r="BN12" s="12" t="e">
        <f>IF(AND(A12&lt;&gt;"",Статистика!$F$6="Вкл",Статистика!$E$6&gt;0),(Статистика!$E$6-Статистика!$C$10)/MAX(Статистика!$G$10-Статистика!$C$10,0.000001),NA())</f>
        <v>#N/A</v>
      </c>
      <c r="BO12" s="12" t="e">
        <f>IF(AND(A12&lt;&gt;"",Статистика!$I$6="Вкл",Статистика!$H$6&gt;0),(Статистика!$H$6-Статистика!$C$10)/MAX(Статистика!$G$10-Статистика!$C$10,0.000001),NA())</f>
        <v>#N/A</v>
      </c>
      <c r="BP12" s="12" t="e">
        <f>IF(AND(A12&lt;&gt;"",Статистика!$L$6="Вкл",Статистика!$K$6&gt;0),(Статистика!$K$6-Статистика!$C$10)/MAX(Статистика!$G$10-Статистика!$C$10,0.000001),NA())</f>
        <v>#N/A</v>
      </c>
      <c r="BQ12" s="12" t="e">
        <f>IF(AND(A12&lt;&gt;"",Статистика!$M$6="Вкл",Статистика!$O$6&gt;0),(Статистика!$O$6-Статистика!$C$10)/MAX(Статистика!$G$10-Статистика!$C$10,0.000001),NA())</f>
        <v>#N/A</v>
      </c>
      <c r="BR12" s="12">
        <f t="shared" si="0"/>
        <v>1</v>
      </c>
      <c r="BT12" s="12">
        <f>IF(Y12="","",MAX(0,MIN(1,(((IF(Статистика!$C$4="Параллельный режим (активная мощность)",Z12,AK12)+Статистика!$J$4))-Статистика!$C$10)/MAX(Статистика!$G$10-Статистика!$C$10,0.000001))))</f>
        <v>0.52350651605555532</v>
      </c>
      <c r="BU12" s="12">
        <f>IF(Y12="","",MAX(0,MAX(0,MIN(1,(((IF(Статистика!$C$4="Параллельный режим (активная мощность)",AB12,AM12)+Статистика!$J$4))-Статистика!$C$10)/MAX(Статистика!$G$10-Статистика!$C$10,0.000001)))-MAX(0,MIN(1,(((IF(Статистика!$C$4="Параллельный режим (активная мощность)",Z12,AK12)+Статистика!$J$4))-Статистика!$C$10)/MAX(Статистика!$G$10-Статистика!$C$10,0.000001)))))</f>
        <v>3.7986844500000227E-2</v>
      </c>
      <c r="BV12" s="12">
        <f>IF(Y12="","",MAX(0,MAX(0,MIN(1,(((IF(Статистика!$C$4="Параллельный режим (активная мощность)",AC12,AN12)+Статистика!$J$4))-Статистика!$C$10)/MAX(Статистика!$G$10-Статистика!$C$10,0.000001)))-MAX(0,MIN(1,(((IF(Статистика!$C$4="Параллельный режим (активная мощность)",AB12,AM12)+Статистика!$J$4))-Статистика!$C$10)/MAX(Статистика!$G$10-Статистика!$C$10,0.000001)))))</f>
        <v>5.4830047777777779E-2</v>
      </c>
      <c r="BW12" s="12">
        <f>IF(Y12="","",MAX(0,MAX(0,MIN(1,(((IF(Статистика!$C$4="Параллельный режим (активная мощность)",AD12,AO12)+Статистика!$J$4))-Статистика!$C$10)/MAX(Статистика!$G$10-Статистика!$C$10,0.000001)))-MAX(0,MIN(1,(((IF(Статистика!$C$4="Параллельный режим (активная мощность)",AC12,AN12)+Статистика!$J$4))-Статистика!$C$10)/MAX(Статистика!$G$10-Статистика!$C$10,0.000001)))))</f>
        <v>4.1814908333333123E-2</v>
      </c>
      <c r="BX12" s="12">
        <f>IF(Y12="","",MAX(0,MAX(0,MIN(1,(((IF(Статистика!$C$4="Параллельный режим (активная мощность)",AE12,AP12)+Статистика!$J$4))-Статистика!$C$10)/MAX(Статистика!$G$10-Статистика!$C$10,0.000001)))-MAX(0,MIN(1,(((IF(Статистика!$C$4="Параллельный режим (активная мощность)",AD12,AO12)+Статистика!$J$4))-Статистика!$C$10)/MAX(Статистика!$G$10-Статистика!$C$10,0.000001)))))</f>
        <v>3.5135024999999875E-2</v>
      </c>
      <c r="BY12" s="12">
        <f>IF(Y12="","",MAX(0,MAX(0,MIN(1,(((IF(Статистика!$C$4="Параллельный режим (активная мощность)",AF12,AQ12)+Статистика!$J$4))-Статистика!$C$10)/MAX(Статистика!$G$10-Статистика!$C$10,0.000001)))-MAX(0,MIN(1,(((IF(Статистика!$C$4="Параллельный режим (активная мощность)",AE12,AP12)+Статистика!$J$4))-Статистика!$C$10)/MAX(Статистика!$G$10-Статистика!$C$10,0.000001)))))</f>
        <v>0.15364613222222223</v>
      </c>
      <c r="BZ12" s="12">
        <f>IF(Y12="","",MAX(0,MAX(0,MIN(1,(((IF(Статистика!$C$4="Параллельный режим (активная мощность)",AH12,AS12)+Статистика!$J$4))-Статистика!$C$10)/MAX(Статистика!$G$10-Статистика!$C$10,0.000001)))-MAX(0,MIN(1,(((IF(Статистика!$C$4="Параллельный режим (активная мощность)",AF12,AQ12)+Статистика!$J$4))-Статистика!$C$10)/MAX(Статистика!$G$10-Статистика!$C$10,0.000001)))))</f>
        <v>2.0047153500000303E-2</v>
      </c>
      <c r="CA12" s="12">
        <f>IF(Y12="","",MAX(0,1-MAX(0,MIN(1,(((IF(Статистика!$C$4="Параллельный режим (активная мощность)",AH12,AS12)+Статистика!$J$4))-Статистика!$C$10)/MAX(Статистика!$G$10-Статистика!$C$10,0.000001)))))</f>
        <v>0.13303337261111114</v>
      </c>
      <c r="CB12" s="12">
        <f>IF(Y12="",NA(),IF(Статистика!$B$8="Вкл",(((IF(Статистика!$C$4="Параллельный режим (активная мощность)",AD12,AO12)+Статистика!$J$4))-Статистика!$C$10)/MAX(Статистика!$G$10-Статистика!$C$10,0.000001),NA()))</f>
        <v>0.65813831666666645</v>
      </c>
      <c r="CC12" s="12">
        <f>IF(Y12="",NA(),IF(Статистика!$D$8="Вкл",(((IF(Статистика!$C$4="Параллельный режим (активная мощность)",AC12,AN12)+Статистика!$J$4))-Статистика!$C$10)/MAX(Статистика!$G$10-Статистика!$C$10,0.000001),NA()))</f>
        <v>0.61632340833333332</v>
      </c>
      <c r="CD12" s="12">
        <f>IF(Y12="",NA(),IF(Статистика!$D$8="Вкл",(((IF(Статистика!$C$4="Параллельный режим (активная мощность)",AE12,AP12)+Статистика!$J$4))-Статистика!$C$10)/MAX(Статистика!$G$10-Статистика!$C$10,0.000001),NA()))</f>
        <v>0.69327334166666632</v>
      </c>
      <c r="CE12" s="12">
        <f>IF(Y12="",NA(),IF(Статистика!$F$8="Вкл",(((IF(Статистика!$C$4="Параллельный режим (активная мощность)",AB12,AM12)+Статистика!$J$4))-Статистика!$C$10)/MAX(Статистика!$G$10-Статистика!$C$10,0.000001),NA()))</f>
        <v>0.56149336055555554</v>
      </c>
      <c r="CF12" s="12">
        <f>IF(Y12="",NA(),IF(Статистика!$F$8="Вкл",(((IF(Статистика!$C$4="Параллельный режим (активная мощность)",AF12,AQ12)+Статистика!$J$4))-Статистика!$C$10)/MAX(Статистика!$G$10-Статистика!$C$10,0.000001),NA()))</f>
        <v>0.84691947388888855</v>
      </c>
      <c r="CG12" s="12">
        <f>IF(Y12="",NA(),IF(Статистика!$H$8="Вкл",(((IF(Статистика!$C$4="Параллельный режим (активная мощность)",Z12,AK12)+Статистика!$J$4))-Статистика!$C$10)/MAX(Статистика!$G$10-Статистика!$C$10,0.000001),NA()))</f>
        <v>0.52350651605555532</v>
      </c>
      <c r="CH12" s="12">
        <f>IF(Y12="",NA(),IF(Статистика!$H$8="Вкл",(((IF(Статистика!$C$4="Параллельный режим (активная мощность)",AH12,AS12)+Статистика!$J$4))-Статистика!$C$10)/MAX(Статистика!$G$10-Статистика!$C$10,0.000001),NA()))</f>
        <v>0.86696662738888886</v>
      </c>
      <c r="CI12" s="12" t="e">
        <f>IF(Y12="",NA(),IF(Статистика!$J$8="Вкл",(((IF(Статистика!$C$4="Параллельный режим (активная мощность)",AI12,AT12)+Статистика!$J$4))-Статистика!$C$10)/MAX(Статистика!$G$10-Статистика!$C$10,0.000001),NA()))</f>
        <v>#N/A</v>
      </c>
      <c r="CJ12" s="12" t="e">
        <f>IF(AND(Y12&lt;&gt;"",Статистика!$C$6="Вкл",Статистика!$B$6&gt;0),(Статистика!$B$6-Статистика!$C$10)/MAX(Статистика!$G$10-Статистика!$C$10,0.000001),NA())</f>
        <v>#N/A</v>
      </c>
      <c r="CK12" s="12" t="e">
        <f>IF(AND(Y12&lt;&gt;"",Статистика!$F$6="Вкл",Статистика!$E$6&gt;0),(Статистика!$E$6-Статистика!$C$10)/MAX(Статистика!$G$10-Статистика!$C$10,0.000001),NA())</f>
        <v>#N/A</v>
      </c>
      <c r="CL12" s="12" t="e">
        <f>IF(AND(Y12&lt;&gt;"",Статистика!$I$6="Вкл",Статистика!$H$6&gt;0),(Статистика!$H$6-Статистика!$C$10)/MAX(Статистика!$G$10-Статистика!$C$10,0.000001),NA())</f>
        <v>#N/A</v>
      </c>
      <c r="CM12" s="12" t="e">
        <f>IF(AND(Y12&lt;&gt;"",Статистика!$L$6="Вкл",Статистика!$K$6&gt;0),(Статистика!$K$6-Статистика!$C$10)/MAX(Статистика!$G$10-Статистика!$C$10,0.000001),NA())</f>
        <v>#N/A</v>
      </c>
      <c r="CN12" s="12" t="e">
        <f>IF(AND(Y12&lt;&gt;"",Статистика!$M$6="Вкл",Статистика!$O$6&gt;0),(Статистика!$O$6-Статистика!$C$10)/MAX(Статистика!$G$10-Статистика!$C$10,0.000001),NA())</f>
        <v>#N/A</v>
      </c>
      <c r="CO12" s="12">
        <f t="shared" si="1"/>
        <v>1</v>
      </c>
    </row>
    <row r="13" spans="1:93" ht="15" customHeight="1">
      <c r="A13" s="12" t="s">
        <v>99</v>
      </c>
      <c r="B13" s="12">
        <v>2355.820217</v>
      </c>
      <c r="C13" s="12">
        <v>5774.2133516666672</v>
      </c>
      <c r="D13" s="12">
        <v>7475.0393599999998</v>
      </c>
      <c r="E13" s="12">
        <v>7791.3203583333334</v>
      </c>
      <c r="F13" s="12">
        <v>8004.8906999999999</v>
      </c>
      <c r="G13" s="12">
        <v>8196.3535833333317</v>
      </c>
      <c r="H13" s="12">
        <v>8514.988734999999</v>
      </c>
      <c r="I13" s="12">
        <v>8608.5439291666662</v>
      </c>
      <c r="J13" s="12">
        <v>8644.2816925000006</v>
      </c>
      <c r="K13" s="12">
        <v>8848.8700000000008</v>
      </c>
      <c r="L13" s="12" t="s">
        <v>100</v>
      </c>
      <c r="M13" s="12">
        <v>2946.0516344999996</v>
      </c>
      <c r="N13" s="12">
        <v>6818.4773724999995</v>
      </c>
      <c r="O13" s="12">
        <v>8665.0406099999982</v>
      </c>
      <c r="P13" s="12">
        <v>8924.525808333332</v>
      </c>
      <c r="Q13" s="12">
        <v>9061.7331666666669</v>
      </c>
      <c r="R13" s="12">
        <v>9259.6249000000007</v>
      </c>
      <c r="S13" s="12">
        <v>9646.5615049999997</v>
      </c>
      <c r="T13" s="12">
        <v>9697.858788333333</v>
      </c>
      <c r="U13" s="12">
        <v>9755.8465310000011</v>
      </c>
      <c r="V13" s="12">
        <v>9960.7000000000007</v>
      </c>
      <c r="W13" s="12" t="s">
        <v>100</v>
      </c>
      <c r="Y13" s="12" t="s">
        <v>99</v>
      </c>
      <c r="Z13" s="12">
        <v>7556.8896496666666</v>
      </c>
      <c r="AA13" s="12">
        <v>7601.6062483333335</v>
      </c>
      <c r="AB13" s="12">
        <v>7657.5019966666669</v>
      </c>
      <c r="AC13" s="12">
        <v>7868.4755166666664</v>
      </c>
      <c r="AD13" s="12">
        <v>7985.9576166666666</v>
      </c>
      <c r="AE13" s="12">
        <v>8044.0666833333335</v>
      </c>
      <c r="AF13" s="12">
        <v>8483.3600649999989</v>
      </c>
      <c r="AG13" s="12">
        <v>8525.1225825000001</v>
      </c>
      <c r="AH13" s="12">
        <v>8558.5325964999993</v>
      </c>
      <c r="AI13" s="12">
        <v>8709.86</v>
      </c>
      <c r="AJ13" s="12" t="s">
        <v>101</v>
      </c>
      <c r="AK13" s="12">
        <v>8597.4148543333322</v>
      </c>
      <c r="AL13" s="12">
        <v>8666.4102716666657</v>
      </c>
      <c r="AM13" s="12">
        <v>8752.6545433333322</v>
      </c>
      <c r="AN13" s="12">
        <v>8978.2882083333352</v>
      </c>
      <c r="AO13" s="12">
        <v>9072.1213666666663</v>
      </c>
      <c r="AP13" s="12">
        <v>9144.4154500000004</v>
      </c>
      <c r="AQ13" s="12">
        <v>9599.5473349999993</v>
      </c>
      <c r="AR13" s="12">
        <v>9625.0219508333339</v>
      </c>
      <c r="AS13" s="12">
        <v>9645.4016434999994</v>
      </c>
      <c r="AT13" s="12">
        <v>9766.31</v>
      </c>
      <c r="AU13" s="12" t="s">
        <v>101</v>
      </c>
      <c r="AW13" s="12">
        <f>IF(A13="","",MAX(0,MIN(1,(((IF(Статистика!$C$4="Параллельный режим (активная мощность)",B13,M13)+Статистика!$J$4))-Статистика!$C$10)/MAX(Статистика!$G$10-Статистика!$C$10,0.000001))))</f>
        <v>0</v>
      </c>
      <c r="AX13" s="12">
        <f>IF(A13="","",MAX(0,MAX(0,MIN(1,(((IF(Статистика!$C$4="Параллельный режим (активная мощность)",D13,O13)+Статистика!$J$4))-Статистика!$C$10)/MAX(Статистика!$G$10-Статистика!$C$10,0.000001)))-MAX(0,MIN(1,(((IF(Статистика!$C$4="Параллельный режим (активная мощность)",B13,M13)+Статистика!$J$4))-Статистика!$C$10)/MAX(Статистика!$G$10-Статистика!$C$10,0.000001)))))</f>
        <v>0.49167978666666656</v>
      </c>
      <c r="AY13" s="12">
        <f>IF(A13="","",MAX(0,MAX(0,MIN(1,(((IF(Статистика!$C$4="Параллельный режим (активная мощность)",E13,P13)+Статистика!$J$4))-Статистика!$C$10)/MAX(Статистика!$G$10-Статистика!$C$10,0.000001)))-MAX(0,MIN(1,(((IF(Статистика!$C$4="Параллельный режим (активная мощность)",D13,O13)+Статистика!$J$4))-Статистика!$C$10)/MAX(Статистика!$G$10-Статистика!$C$10,0.000001)))))</f>
        <v>0.10542699944444456</v>
      </c>
      <c r="AZ13" s="12">
        <f>IF(A13="","",MAX(0,MAX(0,MIN(1,(((IF(Статистика!$C$4="Параллельный режим (активная мощность)",F13,Q13)+Статистика!$J$4))-Статистика!$C$10)/MAX(Статистика!$G$10-Статистика!$C$10,0.000001)))-MAX(0,MIN(1,(((IF(Статистика!$C$4="Параллельный режим (активная мощность)",E13,P13)+Статистика!$J$4))-Статистика!$C$10)/MAX(Статистика!$G$10-Статистика!$C$10,0.000001)))))</f>
        <v>7.1190113888888851E-2</v>
      </c>
      <c r="BA13" s="12">
        <f>IF(A13="","",MAX(0,MAX(0,MIN(1,(((IF(Статистика!$C$4="Параллельный режим (активная мощность)",G13,R13)+Статистика!$J$4))-Статистика!$C$10)/MAX(Статистика!$G$10-Статистика!$C$10,0.000001)))-MAX(0,MIN(1,(((IF(Статистика!$C$4="Параллельный режим (активная мощность)",F13,Q13)+Статистика!$J$4))-Статистика!$C$10)/MAX(Статистика!$G$10-Статистика!$C$10,0.000001)))))</f>
        <v>6.3820961111110575E-2</v>
      </c>
      <c r="BB13" s="12">
        <f>IF(A13="","",MAX(0,MAX(0,MIN(1,(((IF(Статистика!$C$4="Параллельный режим (активная мощность)",H13,S13)+Статистика!$J$4))-Статистика!$C$10)/MAX(Статистика!$G$10-Статистика!$C$10,0.000001)))-MAX(0,MIN(1,(((IF(Статистика!$C$4="Параллельный режим (активная мощность)",G13,R13)+Статистика!$J$4))-Статистика!$C$10)/MAX(Статистика!$G$10-Статистика!$C$10,0.000001)))))</f>
        <v>0.10621171722222245</v>
      </c>
      <c r="BC13" s="12">
        <f>IF(A13="","",MAX(0,MAX(0,MIN(1,(((IF(Статистика!$C$4="Параллельный режим (активная мощность)",J13,U13)+Статистика!$J$4))-Статистика!$C$10)/MAX(Статистика!$G$10-Статистика!$C$10,0.000001)))-MAX(0,MIN(1,(((IF(Статистика!$C$4="Параллельный режим (активная мощность)",H13,S13)+Статистика!$J$4))-Статистика!$C$10)/MAX(Статистика!$G$10-Статистика!$C$10,0.000001)))))</f>
        <v>4.3097652500000527E-2</v>
      </c>
      <c r="BD13" s="12">
        <f>IF(A13="","",MAX(0,1-MAX(0,MIN(1,(((IF(Статистика!$C$4="Параллельный режим (активная мощность)",J13,U13)+Статистика!$J$4))-Статистика!$C$10)/MAX(Статистика!$G$10-Статистика!$C$10,0.000001)))))</f>
        <v>0.11857276916666648</v>
      </c>
      <c r="BE13" s="12">
        <f>IF(A13="",NA(),IF(Статистика!$B$8="Вкл",(((IF(Статистика!$C$4="Параллельный режим (активная мощность)",F13,Q13)+Статистика!$J$4))-Статистика!$C$10)/MAX(Статистика!$G$10-Статистика!$C$10,0.000001),NA()))</f>
        <v>0.66829689999999997</v>
      </c>
      <c r="BF13" s="12">
        <f>IF(A13="",NA(),IF(Статистика!$D$8="Вкл",(((IF(Статистика!$C$4="Параллельный режим (активная мощность)",E13,P13)+Статистика!$J$4))-Статистика!$C$10)/MAX(Статистика!$G$10-Статистика!$C$10,0.000001),NA()))</f>
        <v>0.59710678611111112</v>
      </c>
      <c r="BG13" s="12">
        <f>IF(A13="",NA(),IF(Статистика!$D$8="Вкл",(((IF(Статистика!$C$4="Параллельный режим (активная мощность)",G13,R13)+Статистика!$J$4))-Статистика!$C$10)/MAX(Статистика!$G$10-Статистика!$C$10,0.000001),NA()))</f>
        <v>0.73211786111111055</v>
      </c>
      <c r="BH13" s="12">
        <f>IF(A13="",NA(),IF(Статистика!$F$8="Вкл",(((IF(Статистика!$C$4="Параллельный режим (активная мощность)",D13,O13)+Статистика!$J$4))-Статистика!$C$10)/MAX(Статистика!$G$10-Статистика!$C$10,0.000001),NA()))</f>
        <v>0.49167978666666656</v>
      </c>
      <c r="BI13" s="12">
        <f>IF(A13="",NA(),IF(Статистика!$F$8="Вкл",(((IF(Статистика!$C$4="Параллельный режим (активная мощность)",H13,S13)+Статистика!$J$4))-Статистика!$C$10)/MAX(Статистика!$G$10-Статистика!$C$10,0.000001),NA()))</f>
        <v>0.83832957833333299</v>
      </c>
      <c r="BJ13" s="12">
        <f>IF(A13="",NA(),IF(Статистика!$H$8="Вкл",(((IF(Статистика!$C$4="Параллельный режим (активная мощность)",B13,M13)+Статистика!$J$4))-Статистика!$C$10)/MAX(Статистика!$G$10-Статистика!$C$10,0.000001),NA()))</f>
        <v>-1.2147265943333334</v>
      </c>
      <c r="BK13" s="12">
        <f>IF(A13="",NA(),IF(Статистика!$H$8="Вкл",(((IF(Статистика!$C$4="Параллельный режим (активная мощность)",J13,U13)+Статистика!$J$4))-Статистика!$C$10)/MAX(Статистика!$G$10-Статистика!$C$10,0.000001),NA()))</f>
        <v>0.88142723083333352</v>
      </c>
      <c r="BL13" s="12" t="e">
        <f>IF(A13="",NA(),IF(Статистика!$J$8="Вкл",(((IF(Статистика!$C$4="Параллельный режим (активная мощность)",K13,V13)+Статистика!$J$4))-Статистика!$C$10)/MAX(Статистика!$G$10-Статистика!$C$10,0.000001),NA()))</f>
        <v>#N/A</v>
      </c>
      <c r="BM13" s="12" t="e">
        <f>IF(AND(A13&lt;&gt;"",Статистика!$C$6="Вкл",Статистика!$B$6&gt;0),(Статистика!$B$6-Статистика!$C$10)/MAX(Статистика!$G$10-Статистика!$C$10,0.000001),NA())</f>
        <v>#N/A</v>
      </c>
      <c r="BN13" s="12" t="e">
        <f>IF(AND(A13&lt;&gt;"",Статистика!$F$6="Вкл",Статистика!$E$6&gt;0),(Статистика!$E$6-Статистика!$C$10)/MAX(Статистика!$G$10-Статистика!$C$10,0.000001),NA())</f>
        <v>#N/A</v>
      </c>
      <c r="BO13" s="12" t="e">
        <f>IF(AND(A13&lt;&gt;"",Статистика!$I$6="Вкл",Статистика!$H$6&gt;0),(Статистика!$H$6-Статистика!$C$10)/MAX(Статистика!$G$10-Статистика!$C$10,0.000001),NA())</f>
        <v>#N/A</v>
      </c>
      <c r="BP13" s="12" t="e">
        <f>IF(AND(A13&lt;&gt;"",Статистика!$L$6="Вкл",Статистика!$K$6&gt;0),(Статистика!$K$6-Статистика!$C$10)/MAX(Статистика!$G$10-Статистика!$C$10,0.000001),NA())</f>
        <v>#N/A</v>
      </c>
      <c r="BQ13" s="12" t="e">
        <f>IF(AND(A13&lt;&gt;"",Статистика!$M$6="Вкл",Статистика!$O$6&gt;0),(Статистика!$O$6-Статистика!$C$10)/MAX(Статистика!$G$10-Статистика!$C$10,0.000001),NA())</f>
        <v>#N/A</v>
      </c>
      <c r="BR13" s="12">
        <f t="shared" si="0"/>
        <v>1</v>
      </c>
      <c r="BT13" s="12">
        <f>IF(Y13="","",MAX(0,MIN(1,(((IF(Статистика!$C$4="Параллельный режим (активная мощность)",Z13,AK13)+Статистика!$J$4))-Статистика!$C$10)/MAX(Статистика!$G$10-Статистика!$C$10,0.000001))))</f>
        <v>0.51896321655555555</v>
      </c>
      <c r="BU13" s="12">
        <f>IF(Y13="","",MAX(0,MAX(0,MIN(1,(((IF(Статистика!$C$4="Параллельный режим (активная мощность)",AB13,AM13)+Статистика!$J$4))-Статистика!$C$10)/MAX(Статистика!$G$10-Статистика!$C$10,0.000001)))-MAX(0,MIN(1,(((IF(Статистика!$C$4="Параллельный режим (активная мощность)",Z13,AK13)+Статистика!$J$4))-Статистика!$C$10)/MAX(Статистика!$G$10-Статистика!$C$10,0.000001)))))</f>
        <v>3.3537449000000108E-2</v>
      </c>
      <c r="BV13" s="12">
        <f>IF(Y13="","",MAX(0,MAX(0,MIN(1,(((IF(Статистика!$C$4="Параллельный режим (активная мощность)",AC13,AN13)+Статистика!$J$4))-Статистика!$C$10)/MAX(Статистика!$G$10-Статистика!$C$10,0.000001)))-MAX(0,MIN(1,(((IF(Статистика!$C$4="Параллельный режим (активная мощность)",AB13,AM13)+Статистика!$J$4))-Статистика!$C$10)/MAX(Статистика!$G$10-Статистика!$C$10,0.000001)))))</f>
        <v>7.0324506666666453E-2</v>
      </c>
      <c r="BW13" s="12">
        <f>IF(Y13="","",MAX(0,MAX(0,MIN(1,(((IF(Статистика!$C$4="Параллельный режим (активная мощность)",AD13,AO13)+Статистика!$J$4))-Статистика!$C$10)/MAX(Статистика!$G$10-Статистика!$C$10,0.000001)))-MAX(0,MIN(1,(((IF(Статистика!$C$4="Параллельный режим (активная мощность)",AC13,AN13)+Статистика!$J$4))-Статистика!$C$10)/MAX(Статистика!$G$10-Статистика!$C$10,0.000001)))))</f>
        <v>3.9160700000000048E-2</v>
      </c>
      <c r="BX13" s="12">
        <f>IF(Y13="","",MAX(0,MAX(0,MIN(1,(((IF(Статистика!$C$4="Параллельный режим (активная мощность)",AE13,AP13)+Статистика!$J$4))-Статистика!$C$10)/MAX(Статистика!$G$10-Статистика!$C$10,0.000001)))-MAX(0,MIN(1,(((IF(Статистика!$C$4="Параллельный режим (активная мощность)",AD13,AO13)+Статистика!$J$4))-Статистика!$C$10)/MAX(Статистика!$G$10-Статистика!$C$10,0.000001)))))</f>
        <v>1.9369688888889014E-2</v>
      </c>
      <c r="BY13" s="12">
        <f>IF(Y13="","",MAX(0,MAX(0,MIN(1,(((IF(Статистика!$C$4="Параллельный режим (активная мощность)",AF13,AQ13)+Статистика!$J$4))-Статистика!$C$10)/MAX(Статистика!$G$10-Статистика!$C$10,0.000001)))-MAX(0,MIN(1,(((IF(Статистика!$C$4="Параллельный режим (активная мощность)",AE13,AP13)+Статистика!$J$4))-Статистика!$C$10)/MAX(Статистика!$G$10-Статистика!$C$10,0.000001)))))</f>
        <v>0.14643112722222185</v>
      </c>
      <c r="BZ13" s="12">
        <f>IF(Y13="","",MAX(0,MAX(0,MIN(1,(((IF(Статистика!$C$4="Параллельный режим (активная мощность)",AH13,AS13)+Статистика!$J$4))-Статистика!$C$10)/MAX(Статистика!$G$10-Статистика!$C$10,0.000001)))-MAX(0,MIN(1,(((IF(Статистика!$C$4="Параллельный режим (активная мощность)",AF13,AQ13)+Статистика!$J$4))-Статистика!$C$10)/MAX(Статистика!$G$10-Статистика!$C$10,0.000001)))))</f>
        <v>2.5057510500000046E-2</v>
      </c>
      <c r="CA13" s="12">
        <f>IF(Y13="","",MAX(0,1-MAX(0,MIN(1,(((IF(Статистика!$C$4="Параллельный режим (активная мощность)",AH13,AS13)+Статистика!$J$4))-Статистика!$C$10)/MAX(Статистика!$G$10-Статистика!$C$10,0.000001)))))</f>
        <v>0.14715580116666693</v>
      </c>
      <c r="CB13" s="12">
        <f>IF(Y13="",NA(),IF(Статистика!$B$8="Вкл",(((IF(Статистика!$C$4="Параллельный режим (активная мощность)",AD13,AO13)+Статистика!$J$4))-Статистика!$C$10)/MAX(Статистика!$G$10-Статистика!$C$10,0.000001),NA()))</f>
        <v>0.66198587222222216</v>
      </c>
      <c r="CC13" s="12">
        <f>IF(Y13="",NA(),IF(Статистика!$D$8="Вкл",(((IF(Статистика!$C$4="Параллельный режим (активная мощность)",AC13,AN13)+Статистика!$J$4))-Статистика!$C$10)/MAX(Статистика!$G$10-Статистика!$C$10,0.000001),NA()))</f>
        <v>0.62282517222222211</v>
      </c>
      <c r="CD13" s="12">
        <f>IF(Y13="",NA(),IF(Статистика!$D$8="Вкл",(((IF(Статистика!$C$4="Параллельный режим (активная мощность)",AE13,AP13)+Статистика!$J$4))-Статистика!$C$10)/MAX(Статистика!$G$10-Статистика!$C$10,0.000001),NA()))</f>
        <v>0.68135556111111117</v>
      </c>
      <c r="CE13" s="12">
        <f>IF(Y13="",NA(),IF(Статистика!$F$8="Вкл",(((IF(Статистика!$C$4="Параллельный режим (активная мощность)",AB13,AM13)+Статистика!$J$4))-Статистика!$C$10)/MAX(Статистика!$G$10-Статистика!$C$10,0.000001),NA()))</f>
        <v>0.55250066555555566</v>
      </c>
      <c r="CF13" s="12">
        <f>IF(Y13="",NA(),IF(Статистика!$F$8="Вкл",(((IF(Статистика!$C$4="Параллельный режим (активная мощность)",AF13,AQ13)+Статистика!$J$4))-Статистика!$C$10)/MAX(Статистика!$G$10-Статистика!$C$10,0.000001),NA()))</f>
        <v>0.82778668833333302</v>
      </c>
      <c r="CG13" s="12">
        <f>IF(Y13="",NA(),IF(Статистика!$H$8="Вкл",(((IF(Статистика!$C$4="Параллельный режим (активная мощность)",Z13,AK13)+Статистика!$J$4))-Статистика!$C$10)/MAX(Статистика!$G$10-Статистика!$C$10,0.000001),NA()))</f>
        <v>0.51896321655555555</v>
      </c>
      <c r="CH13" s="12">
        <f>IF(Y13="",NA(),IF(Статистика!$H$8="Вкл",(((IF(Статистика!$C$4="Параллельный режим (активная мощность)",AH13,AS13)+Статистика!$J$4))-Статистика!$C$10)/MAX(Статистика!$G$10-Статистика!$C$10,0.000001),NA()))</f>
        <v>0.85284419883333307</v>
      </c>
      <c r="CI13" s="12" t="e">
        <f>IF(Y13="",NA(),IF(Статистика!$J$8="Вкл",(((IF(Статистика!$C$4="Параллельный режим (активная мощность)",AI13,AT13)+Статистика!$J$4))-Статистика!$C$10)/MAX(Статистика!$G$10-Статистика!$C$10,0.000001),NA()))</f>
        <v>#N/A</v>
      </c>
      <c r="CJ13" s="12" t="e">
        <f>IF(AND(Y13&lt;&gt;"",Статистика!$C$6="Вкл",Статистика!$B$6&gt;0),(Статистика!$B$6-Статистика!$C$10)/MAX(Статистика!$G$10-Статистика!$C$10,0.000001),NA())</f>
        <v>#N/A</v>
      </c>
      <c r="CK13" s="12" t="e">
        <f>IF(AND(Y13&lt;&gt;"",Статистика!$F$6="Вкл",Статистика!$E$6&gt;0),(Статистика!$E$6-Статистика!$C$10)/MAX(Статистика!$G$10-Статистика!$C$10,0.000001),NA())</f>
        <v>#N/A</v>
      </c>
      <c r="CL13" s="12" t="e">
        <f>IF(AND(Y13&lt;&gt;"",Статистика!$I$6="Вкл",Статистика!$H$6&gt;0),(Статистика!$H$6-Статистика!$C$10)/MAX(Статистика!$G$10-Статистика!$C$10,0.000001),NA())</f>
        <v>#N/A</v>
      </c>
      <c r="CM13" s="12" t="e">
        <f>IF(AND(Y13&lt;&gt;"",Статистика!$L$6="Вкл",Статистика!$K$6&gt;0),(Статистика!$K$6-Статистика!$C$10)/MAX(Статистика!$G$10-Статистика!$C$10,0.000001),NA())</f>
        <v>#N/A</v>
      </c>
      <c r="CN13" s="12" t="e">
        <f>IF(AND(Y13&lt;&gt;"",Статистика!$M$6="Вкл",Статистика!$O$6&gt;0),(Статистика!$O$6-Статистика!$C$10)/MAX(Статистика!$G$10-Статистика!$C$10,0.000001),NA())</f>
        <v>#N/A</v>
      </c>
      <c r="CO13" s="12">
        <f t="shared" si="1"/>
        <v>1</v>
      </c>
    </row>
    <row r="14" spans="1:93" ht="15" customHeight="1">
      <c r="A14" s="12" t="s">
        <v>102</v>
      </c>
      <c r="B14" s="12">
        <v>2343.8734933333335</v>
      </c>
      <c r="C14" s="12">
        <v>5771.3378666666677</v>
      </c>
      <c r="D14" s="12">
        <v>7475.2658383333346</v>
      </c>
      <c r="E14" s="12">
        <v>7793.4618249999994</v>
      </c>
      <c r="F14" s="12">
        <v>8014.5968333333349</v>
      </c>
      <c r="G14" s="12">
        <v>8189.5010000000002</v>
      </c>
      <c r="H14" s="12">
        <v>8515.2192799999993</v>
      </c>
      <c r="I14" s="12">
        <v>8610.7755483333331</v>
      </c>
      <c r="J14" s="12">
        <v>8613.3143629999995</v>
      </c>
      <c r="K14" s="12">
        <v>8788.08</v>
      </c>
      <c r="L14" s="12" t="s">
        <v>103</v>
      </c>
      <c r="M14" s="12">
        <v>2934.5454995</v>
      </c>
      <c r="N14" s="12">
        <v>6823.2094975</v>
      </c>
      <c r="O14" s="12">
        <v>8672.8257200000007</v>
      </c>
      <c r="P14" s="12">
        <v>8931.3634083333345</v>
      </c>
      <c r="Q14" s="12">
        <v>9111.0402166666681</v>
      </c>
      <c r="R14" s="12">
        <v>9268.7541416666645</v>
      </c>
      <c r="S14" s="12">
        <v>9620.5174466666667</v>
      </c>
      <c r="T14" s="12">
        <v>9707.1060849999994</v>
      </c>
      <c r="U14" s="12">
        <v>9726.1533236666673</v>
      </c>
      <c r="V14" s="12">
        <v>9862.2900000000009</v>
      </c>
      <c r="W14" s="12" t="s">
        <v>104</v>
      </c>
      <c r="Y14" s="12" t="s">
        <v>102</v>
      </c>
      <c r="Z14" s="12">
        <v>7464.3337494999987</v>
      </c>
      <c r="AA14" s="12">
        <v>7533.7263474999991</v>
      </c>
      <c r="AB14" s="12">
        <v>7620.4670949999991</v>
      </c>
      <c r="AC14" s="12">
        <v>7834.4953749999995</v>
      </c>
      <c r="AD14" s="12">
        <v>7953.1534499999998</v>
      </c>
      <c r="AE14" s="12">
        <v>8055.9423499999994</v>
      </c>
      <c r="AF14" s="12">
        <v>8494.9891016666661</v>
      </c>
      <c r="AG14" s="12">
        <v>8535.4706508333329</v>
      </c>
      <c r="AH14" s="12">
        <v>8567.8558901666656</v>
      </c>
      <c r="AI14" s="12">
        <v>8711.69</v>
      </c>
      <c r="AJ14" s="12" t="s">
        <v>105</v>
      </c>
      <c r="AK14" s="12">
        <v>8520.0964794999982</v>
      </c>
      <c r="AL14" s="12">
        <v>8609.1099974999997</v>
      </c>
      <c r="AM14" s="12">
        <v>8720.3768949999994</v>
      </c>
      <c r="AN14" s="12">
        <v>8977.9433750000007</v>
      </c>
      <c r="AO14" s="12">
        <v>9039.3525000000009</v>
      </c>
      <c r="AP14" s="12">
        <v>9164.2693749999999</v>
      </c>
      <c r="AQ14" s="12">
        <v>9617.1744283333355</v>
      </c>
      <c r="AR14" s="12">
        <v>9640.1837975000017</v>
      </c>
      <c r="AS14" s="12">
        <v>9658.5912928333346</v>
      </c>
      <c r="AT14" s="12">
        <v>9782.7999999999993</v>
      </c>
      <c r="AU14" s="12" t="s">
        <v>105</v>
      </c>
      <c r="AW14" s="12">
        <f>IF(A14="","",MAX(0,MIN(1,(((IF(Статистика!$C$4="Параллельный режим (активная мощность)",B14,M14)+Статистика!$J$4))-Статистика!$C$10)/MAX(Статистика!$G$10-Статистика!$C$10,0.000001))))</f>
        <v>0</v>
      </c>
      <c r="AX14" s="12">
        <f>IF(A14="","",MAX(0,MAX(0,MIN(1,(((IF(Статистика!$C$4="Параллельный режим (активная мощность)",D14,O14)+Статистика!$J$4))-Статистика!$C$10)/MAX(Статистика!$G$10-Статистика!$C$10,0.000001)))-MAX(0,MIN(1,(((IF(Статистика!$C$4="Параллельный режим (активная мощность)",B14,M14)+Статистика!$J$4))-Статистика!$C$10)/MAX(Статистика!$G$10-Статистика!$C$10,0.000001)))))</f>
        <v>0.49175527944444486</v>
      </c>
      <c r="AY14" s="12">
        <f>IF(A14="","",MAX(0,MAX(0,MIN(1,(((IF(Статистика!$C$4="Параллельный режим (активная мощность)",E14,P14)+Статистика!$J$4))-Статистика!$C$10)/MAX(Статистика!$G$10-Статистика!$C$10,0.000001)))-MAX(0,MIN(1,(((IF(Статистика!$C$4="Параллельный режим (активная мощность)",D14,O14)+Статистика!$J$4))-Статистика!$C$10)/MAX(Статистика!$G$10-Статистика!$C$10,0.000001)))))</f>
        <v>0.10606532888888831</v>
      </c>
      <c r="AZ14" s="12">
        <f>IF(A14="","",MAX(0,MAX(0,MIN(1,(((IF(Статистика!$C$4="Параллельный режим (активная мощность)",F14,Q14)+Статистика!$J$4))-Статистика!$C$10)/MAX(Статистика!$G$10-Статистика!$C$10,0.000001)))-MAX(0,MIN(1,(((IF(Статистика!$C$4="Параллельный режим (активная мощность)",E14,P14)+Статистика!$J$4))-Статистика!$C$10)/MAX(Статистика!$G$10-Статистика!$C$10,0.000001)))))</f>
        <v>7.3711669444445072E-2</v>
      </c>
      <c r="BA14" s="12">
        <f>IF(A14="","",MAX(0,MAX(0,MIN(1,(((IF(Статистика!$C$4="Параллельный режим (активная мощность)",G14,R14)+Статистика!$J$4))-Статистика!$C$10)/MAX(Статистика!$G$10-Статистика!$C$10,0.000001)))-MAX(0,MIN(1,(((IF(Статистика!$C$4="Параллельный режим (активная мощность)",F14,Q14)+Статистика!$J$4))-Статистика!$C$10)/MAX(Статистика!$G$10-Статистика!$C$10,0.000001)))))</f>
        <v>5.8301388888888472E-2</v>
      </c>
      <c r="BB14" s="12">
        <f>IF(A14="","",MAX(0,MAX(0,MIN(1,(((IF(Статистика!$C$4="Параллельный режим (активная мощность)",H14,S14)+Статистика!$J$4))-Статистика!$C$10)/MAX(Статистика!$G$10-Статистика!$C$10,0.000001)))-MAX(0,MIN(1,(((IF(Статистика!$C$4="Параллельный режим (активная мощность)",G14,R14)+Статистика!$J$4))-Статистика!$C$10)/MAX(Статистика!$G$10-Статистика!$C$10,0.000001)))))</f>
        <v>0.10857275999999971</v>
      </c>
      <c r="BC14" s="12">
        <f>IF(A14="","",MAX(0,MAX(0,MIN(1,(((IF(Статистика!$C$4="Параллельный режим (активная мощность)",J14,U14)+Статистика!$J$4))-Статистика!$C$10)/MAX(Статистика!$G$10-Статистика!$C$10,0.000001)))-MAX(0,MIN(1,(((IF(Статистика!$C$4="Параллельный режим (активная мощность)",H14,S14)+Статистика!$J$4))-Статистика!$C$10)/MAX(Статистика!$G$10-Статистика!$C$10,0.000001)))))</f>
        <v>3.269836100000012E-2</v>
      </c>
      <c r="BD14" s="12">
        <f>IF(A14="","",MAX(0,1-MAX(0,MIN(1,(((IF(Статистика!$C$4="Параллельный режим (активная мощность)",J14,U14)+Статистика!$J$4))-Статистика!$C$10)/MAX(Статистика!$G$10-Статистика!$C$10,0.000001)))))</f>
        <v>0.12889521233333345</v>
      </c>
      <c r="BE14" s="12">
        <f>IF(A14="",NA(),IF(Статистика!$B$8="Вкл",(((IF(Статистика!$C$4="Параллельный режим (активная мощность)",F14,Q14)+Статистика!$J$4))-Статистика!$C$10)/MAX(Статистика!$G$10-Статистика!$C$10,0.000001),NA()))</f>
        <v>0.67153227777777824</v>
      </c>
      <c r="BF14" s="12">
        <f>IF(A14="",NA(),IF(Статистика!$D$8="Вкл",(((IF(Статистика!$C$4="Параллельный режим (активная мощность)",E14,P14)+Статистика!$J$4))-Статистика!$C$10)/MAX(Статистика!$G$10-Статистика!$C$10,0.000001),NA()))</f>
        <v>0.59782060833333317</v>
      </c>
      <c r="BG14" s="12">
        <f>IF(A14="",NA(),IF(Статистика!$D$8="Вкл",(((IF(Статистика!$C$4="Параллельный режим (активная мощность)",G14,R14)+Статистика!$J$4))-Статистика!$C$10)/MAX(Статистика!$G$10-Статистика!$C$10,0.000001),NA()))</f>
        <v>0.72983366666666671</v>
      </c>
      <c r="BH14" s="12">
        <f>IF(A14="",NA(),IF(Статистика!$F$8="Вкл",(((IF(Статистика!$C$4="Параллельный режим (активная мощность)",D14,O14)+Статистика!$J$4))-Статистика!$C$10)/MAX(Статистика!$G$10-Статистика!$C$10,0.000001),NA()))</f>
        <v>0.49175527944444486</v>
      </c>
      <c r="BI14" s="12">
        <f>IF(A14="",NA(),IF(Статистика!$F$8="Вкл",(((IF(Статистика!$C$4="Параллельный режим (активная мощность)",H14,S14)+Статистика!$J$4))-Статистика!$C$10)/MAX(Статистика!$G$10-Статистика!$C$10,0.000001),NA()))</f>
        <v>0.83840642666666643</v>
      </c>
      <c r="BJ14" s="12">
        <f>IF(A14="",NA(),IF(Статистика!$H$8="Вкл",(((IF(Статистика!$C$4="Параллельный режим (активная мощность)",B14,M14)+Статистика!$J$4))-Статистика!$C$10)/MAX(Статистика!$G$10-Статистика!$C$10,0.000001),NA()))</f>
        <v>-1.2187088355555555</v>
      </c>
      <c r="BK14" s="12">
        <f>IF(A14="",NA(),IF(Статистика!$H$8="Вкл",(((IF(Статистика!$C$4="Параллельный режим (активная мощность)",J14,U14)+Статистика!$J$4))-Статистика!$C$10)/MAX(Статистика!$G$10-Статистика!$C$10,0.000001),NA()))</f>
        <v>0.87110478766666655</v>
      </c>
      <c r="BL14" s="12" t="e">
        <f>IF(A14="",NA(),IF(Статистика!$J$8="Вкл",(((IF(Статистика!$C$4="Параллельный режим (активная мощность)",K14,V14)+Статистика!$J$4))-Статистика!$C$10)/MAX(Статистика!$G$10-Статистика!$C$10,0.000001),NA()))</f>
        <v>#N/A</v>
      </c>
      <c r="BM14" s="12" t="e">
        <f>IF(AND(A14&lt;&gt;"",Статистика!$C$6="Вкл",Статистика!$B$6&gt;0),(Статистика!$B$6-Статистика!$C$10)/MAX(Статистика!$G$10-Статистика!$C$10,0.000001),NA())</f>
        <v>#N/A</v>
      </c>
      <c r="BN14" s="12" t="e">
        <f>IF(AND(A14&lt;&gt;"",Статистика!$F$6="Вкл",Статистика!$E$6&gt;0),(Статистика!$E$6-Статистика!$C$10)/MAX(Статистика!$G$10-Статистика!$C$10,0.000001),NA())</f>
        <v>#N/A</v>
      </c>
      <c r="BO14" s="12" t="e">
        <f>IF(AND(A14&lt;&gt;"",Статистика!$I$6="Вкл",Статистика!$H$6&gt;0),(Статистика!$H$6-Статистика!$C$10)/MAX(Статистика!$G$10-Статистика!$C$10,0.000001),NA())</f>
        <v>#N/A</v>
      </c>
      <c r="BP14" s="12" t="e">
        <f>IF(AND(A14&lt;&gt;"",Статистика!$L$6="Вкл",Статистика!$K$6&gt;0),(Статистика!$K$6-Статистика!$C$10)/MAX(Статистика!$G$10-Статистика!$C$10,0.000001),NA())</f>
        <v>#N/A</v>
      </c>
      <c r="BQ14" s="12" t="e">
        <f>IF(AND(A14&lt;&gt;"",Статистика!$M$6="Вкл",Статистика!$O$6&gt;0),(Статистика!$O$6-Статистика!$C$10)/MAX(Статистика!$G$10-Статистика!$C$10,0.000001),NA())</f>
        <v>#N/A</v>
      </c>
      <c r="BR14" s="12">
        <f t="shared" si="0"/>
        <v>1</v>
      </c>
      <c r="BT14" s="12">
        <f>IF(Y14="","",MAX(0,MIN(1,(((IF(Статистика!$C$4="Параллельный режим (активная мощность)",Z14,AK14)+Статистика!$J$4))-Статистика!$C$10)/MAX(Статистика!$G$10-Статистика!$C$10,0.000001))))</f>
        <v>0.48811124983333293</v>
      </c>
      <c r="BU14" s="12">
        <f>IF(Y14="","",MAX(0,MAX(0,MIN(1,(((IF(Статистика!$C$4="Параллельный режим (активная мощность)",AB14,AM14)+Статистика!$J$4))-Статистика!$C$10)/MAX(Статистика!$G$10-Статистика!$C$10,0.000001)))-MAX(0,MIN(1,(((IF(Статистика!$C$4="Параллельный режим (активная мощность)",Z14,AK14)+Статистика!$J$4))-Статистика!$C$10)/MAX(Статистика!$G$10-Статистика!$C$10,0.000001)))))</f>
        <v>5.2044448500000062E-2</v>
      </c>
      <c r="BV14" s="12">
        <f>IF(Y14="","",MAX(0,MAX(0,MIN(1,(((IF(Статистика!$C$4="Параллельный режим (активная мощность)",AC14,AN14)+Статистика!$J$4))-Статистика!$C$10)/MAX(Статистика!$G$10-Статистика!$C$10,0.000001)))-MAX(0,MIN(1,(((IF(Статистика!$C$4="Параллельный режим (активная мощность)",AB14,AM14)+Статистика!$J$4))-Статистика!$C$10)/MAX(Статистика!$G$10-Статистика!$C$10,0.000001)))))</f>
        <v>7.1342760000000172E-2</v>
      </c>
      <c r="BW14" s="12">
        <f>IF(Y14="","",MAX(0,MAX(0,MIN(1,(((IF(Статистика!$C$4="Параллельный режим (активная мощность)",AD14,AO14)+Статистика!$J$4))-Статистика!$C$10)/MAX(Статистика!$G$10-Статистика!$C$10,0.000001)))-MAX(0,MIN(1,(((IF(Статистика!$C$4="Параллельный режим (активная мощность)",AC14,AN14)+Статистика!$J$4))-Статистика!$C$10)/MAX(Статистика!$G$10-Статистика!$C$10,0.000001)))))</f>
        <v>3.9552691666666751E-2</v>
      </c>
      <c r="BX14" s="12">
        <f>IF(Y14="","",MAX(0,MAX(0,MIN(1,(((IF(Статистика!$C$4="Параллельный режим (активная мощность)",AE14,AP14)+Статистика!$J$4))-Статистика!$C$10)/MAX(Статистика!$G$10-Статистика!$C$10,0.000001)))-MAX(0,MIN(1,(((IF(Статистика!$C$4="Параллельный режим (активная мощность)",AD14,AO14)+Статистика!$J$4))-Статистика!$C$10)/MAX(Статистика!$G$10-Статистика!$C$10,0.000001)))))</f>
        <v>3.4262966666666506E-2</v>
      </c>
      <c r="BY14" s="12">
        <f>IF(Y14="","",MAX(0,MAX(0,MIN(1,(((IF(Статистика!$C$4="Параллельный режим (активная мощность)",AF14,AQ14)+Статистика!$J$4))-Статистика!$C$10)/MAX(Статистика!$G$10-Статистика!$C$10,0.000001)))-MAX(0,MIN(1,(((IF(Статистика!$C$4="Параллельный режим (активная мощность)",AE14,AP14)+Статистика!$J$4))-Статистика!$C$10)/MAX(Статистика!$G$10-Статистика!$C$10,0.000001)))))</f>
        <v>0.14634891722222232</v>
      </c>
      <c r="BZ14" s="12">
        <f>IF(Y14="","",MAX(0,MAX(0,MIN(1,(((IF(Статистика!$C$4="Параллельный режим (активная мощность)",AH14,AS14)+Статистика!$J$4))-Статистика!$C$10)/MAX(Статистика!$G$10-Статистика!$C$10,0.000001)))-MAX(0,MIN(1,(((IF(Статистика!$C$4="Параллельный режим (активная мощность)",AF14,AQ14)+Статистика!$J$4))-Статистика!$C$10)/MAX(Статистика!$G$10-Статистика!$C$10,0.000001)))))</f>
        <v>2.4288929499999834E-2</v>
      </c>
      <c r="CA14" s="12">
        <f>IF(Y14="","",MAX(0,1-MAX(0,MIN(1,(((IF(Статистика!$C$4="Параллельный режим (активная мощность)",AH14,AS14)+Статистика!$J$4))-Статистика!$C$10)/MAX(Статистика!$G$10-Статистика!$C$10,0.000001)))))</f>
        <v>0.14404803661111143</v>
      </c>
      <c r="CB14" s="12">
        <f>IF(Y14="",NA(),IF(Статистика!$B$8="Вкл",(((IF(Статистика!$C$4="Параллельный режим (активная мощность)",AD14,AO14)+Статистика!$J$4))-Статистика!$C$10)/MAX(Статистика!$G$10-Статистика!$C$10,0.000001),NA()))</f>
        <v>0.65105114999999991</v>
      </c>
      <c r="CC14" s="12">
        <f>IF(Y14="",NA(),IF(Статистика!$D$8="Вкл",(((IF(Статистика!$C$4="Параллельный режим (активная мощность)",AC14,AN14)+Статистика!$J$4))-Статистика!$C$10)/MAX(Статистика!$G$10-Статистика!$C$10,0.000001),NA()))</f>
        <v>0.61149845833333316</v>
      </c>
      <c r="CD14" s="12">
        <f>IF(Y14="",NA(),IF(Статистика!$D$8="Вкл",(((IF(Статистика!$C$4="Параллельный режим (активная мощность)",AE14,AP14)+Статистика!$J$4))-Статистика!$C$10)/MAX(Статистика!$G$10-Статистика!$C$10,0.000001),NA()))</f>
        <v>0.68531411666666642</v>
      </c>
      <c r="CE14" s="12">
        <f>IF(Y14="",NA(),IF(Статистика!$F$8="Вкл",(((IF(Статистика!$C$4="Параллельный режим (активная мощность)",AB14,AM14)+Статистика!$J$4))-Статистика!$C$10)/MAX(Статистика!$G$10-Статистика!$C$10,0.000001),NA()))</f>
        <v>0.54015569833333299</v>
      </c>
      <c r="CF14" s="12">
        <f>IF(Y14="",NA(),IF(Статистика!$F$8="Вкл",(((IF(Статистика!$C$4="Параллельный режим (активная мощность)",AF14,AQ14)+Статистика!$J$4))-Статистика!$C$10)/MAX(Статистика!$G$10-Статистика!$C$10,0.000001),NA()))</f>
        <v>0.83166303388888874</v>
      </c>
      <c r="CG14" s="12">
        <f>IF(Y14="",NA(),IF(Статистика!$H$8="Вкл",(((IF(Статистика!$C$4="Параллельный режим (активная мощность)",Z14,AK14)+Статистика!$J$4))-Статистика!$C$10)/MAX(Статистика!$G$10-Статистика!$C$10,0.000001),NA()))</f>
        <v>0.48811124983333293</v>
      </c>
      <c r="CH14" s="12">
        <f>IF(Y14="",NA(),IF(Статистика!$H$8="Вкл",(((IF(Статистика!$C$4="Параллельный режим (активная мощность)",AH14,AS14)+Статистика!$J$4))-Статистика!$C$10)/MAX(Статистика!$G$10-Статистика!$C$10,0.000001),NA()))</f>
        <v>0.85595196338888857</v>
      </c>
      <c r="CI14" s="12" t="e">
        <f>IF(Y14="",NA(),IF(Статистика!$J$8="Вкл",(((IF(Статистика!$C$4="Параллельный режим (активная мощность)",AI14,AT14)+Статистика!$J$4))-Статистика!$C$10)/MAX(Статистика!$G$10-Статистика!$C$10,0.000001),NA()))</f>
        <v>#N/A</v>
      </c>
      <c r="CJ14" s="12" t="e">
        <f>IF(AND(Y14&lt;&gt;"",Статистика!$C$6="Вкл",Статистика!$B$6&gt;0),(Статистика!$B$6-Статистика!$C$10)/MAX(Статистика!$G$10-Статистика!$C$10,0.000001),NA())</f>
        <v>#N/A</v>
      </c>
      <c r="CK14" s="12" t="e">
        <f>IF(AND(Y14&lt;&gt;"",Статистика!$F$6="Вкл",Статистика!$E$6&gt;0),(Статистика!$E$6-Статистика!$C$10)/MAX(Статистика!$G$10-Статистика!$C$10,0.000001),NA())</f>
        <v>#N/A</v>
      </c>
      <c r="CL14" s="12" t="e">
        <f>IF(AND(Y14&lt;&gt;"",Статистика!$I$6="Вкл",Статистика!$H$6&gt;0),(Статистика!$H$6-Статистика!$C$10)/MAX(Статистика!$G$10-Статистика!$C$10,0.000001),NA())</f>
        <v>#N/A</v>
      </c>
      <c r="CM14" s="12" t="e">
        <f>IF(AND(Y14&lt;&gt;"",Статистика!$L$6="Вкл",Статистика!$K$6&gt;0),(Статистика!$K$6-Статистика!$C$10)/MAX(Статистика!$G$10-Статистика!$C$10,0.000001),NA())</f>
        <v>#N/A</v>
      </c>
      <c r="CN14" s="12" t="e">
        <f>IF(AND(Y14&lt;&gt;"",Статистика!$M$6="Вкл",Статистика!$O$6&gt;0),(Статистика!$O$6-Статистика!$C$10)/MAX(Статистика!$G$10-Статистика!$C$10,0.000001),NA())</f>
        <v>#N/A</v>
      </c>
      <c r="CO14" s="12">
        <f t="shared" si="1"/>
        <v>1</v>
      </c>
    </row>
    <row r="15" spans="1:93" ht="15" customHeight="1">
      <c r="A15" s="12" t="s">
        <v>106</v>
      </c>
      <c r="B15" s="12">
        <v>2334.739835833333</v>
      </c>
      <c r="C15" s="12">
        <v>5766.8247791666663</v>
      </c>
      <c r="D15" s="12">
        <v>7472.3700883333331</v>
      </c>
      <c r="E15" s="12">
        <v>7780.1421249999994</v>
      </c>
      <c r="F15" s="12">
        <v>8043.532783333334</v>
      </c>
      <c r="G15" s="12">
        <v>8182.9590083333314</v>
      </c>
      <c r="H15" s="12">
        <v>8490.6958883333336</v>
      </c>
      <c r="I15" s="12">
        <v>8573.2114858333334</v>
      </c>
      <c r="J15" s="12">
        <v>8644.6924838333343</v>
      </c>
      <c r="K15" s="12">
        <v>8859.99</v>
      </c>
      <c r="L15" s="12" t="s">
        <v>107</v>
      </c>
      <c r="M15" s="12">
        <v>2926.036607333333</v>
      </c>
      <c r="N15" s="12">
        <v>6816.9093033333338</v>
      </c>
      <c r="O15" s="12">
        <v>8676.6185933333327</v>
      </c>
      <c r="P15" s="12">
        <v>8942.5532750000002</v>
      </c>
      <c r="Q15" s="12">
        <v>9132.0892999999996</v>
      </c>
      <c r="R15" s="12">
        <v>9292.579099999999</v>
      </c>
      <c r="S15" s="12">
        <v>9619.190485000001</v>
      </c>
      <c r="T15" s="12">
        <v>9677.5882300000012</v>
      </c>
      <c r="U15" s="12">
        <v>9738.7603660000004</v>
      </c>
      <c r="V15" s="12">
        <v>9899.7099999999991</v>
      </c>
      <c r="W15" s="12" t="s">
        <v>108</v>
      </c>
      <c r="Y15" s="12" t="s">
        <v>106</v>
      </c>
      <c r="Z15" s="12">
        <v>7486.0677771666669</v>
      </c>
      <c r="AA15" s="12">
        <v>7553.7788858333333</v>
      </c>
      <c r="AB15" s="12">
        <v>7638.4177716666663</v>
      </c>
      <c r="AC15" s="12">
        <v>7842.1322250000012</v>
      </c>
      <c r="AD15" s="12">
        <v>7929.7021500000001</v>
      </c>
      <c r="AE15" s="12">
        <v>8124.4665666666679</v>
      </c>
      <c r="AF15" s="12">
        <v>8517.6828516666665</v>
      </c>
      <c r="AG15" s="12">
        <v>8549.9594091666677</v>
      </c>
      <c r="AH15" s="12">
        <v>8575.7806551666672</v>
      </c>
      <c r="AI15" s="12">
        <v>8712.5400000000009</v>
      </c>
      <c r="AJ15" s="12" t="s">
        <v>109</v>
      </c>
      <c r="AK15" s="12">
        <v>8550.3331303333343</v>
      </c>
      <c r="AL15" s="12">
        <v>8638.5220516666668</v>
      </c>
      <c r="AM15" s="12">
        <v>8748.7582033333329</v>
      </c>
      <c r="AN15" s="12">
        <v>8941.346966666666</v>
      </c>
      <c r="AO15" s="12">
        <v>9040.4071666666678</v>
      </c>
      <c r="AP15" s="12">
        <v>9203.591833333332</v>
      </c>
      <c r="AQ15" s="12">
        <v>9636.1417550000006</v>
      </c>
      <c r="AR15" s="12">
        <v>9648.2776608333334</v>
      </c>
      <c r="AS15" s="12">
        <v>9657.9863855000003</v>
      </c>
      <c r="AT15" s="12">
        <v>9778.1200000000008</v>
      </c>
      <c r="AU15" s="12" t="s">
        <v>110</v>
      </c>
      <c r="AW15" s="12">
        <f>IF(A15="","",MAX(0,MIN(1,(((IF(Статистика!$C$4="Параллельный режим (активная мощность)",B15,M15)+Статистика!$J$4))-Статистика!$C$10)/MAX(Статистика!$G$10-Статистика!$C$10,0.000001))))</f>
        <v>0</v>
      </c>
      <c r="AX15" s="12">
        <f>IF(A15="","",MAX(0,MAX(0,MIN(1,(((IF(Статистика!$C$4="Параллельный режим (активная мощность)",D15,O15)+Статистика!$J$4))-Статистика!$C$10)/MAX(Статистика!$G$10-Статистика!$C$10,0.000001)))-MAX(0,MIN(1,(((IF(Статистика!$C$4="Параллельный режим (активная мощность)",B15,M15)+Статистика!$J$4))-Статистика!$C$10)/MAX(Статистика!$G$10-Статистика!$C$10,0.000001)))))</f>
        <v>0.49079002944444439</v>
      </c>
      <c r="AY15" s="12">
        <f>IF(A15="","",MAX(0,MAX(0,MIN(1,(((IF(Статистика!$C$4="Параллельный режим (активная мощность)",E15,P15)+Статистика!$J$4))-Статистика!$C$10)/MAX(Статистика!$G$10-Статистика!$C$10,0.000001)))-MAX(0,MIN(1,(((IF(Статистика!$C$4="Параллельный режим (активная мощность)",D15,O15)+Статистика!$J$4))-Статистика!$C$10)/MAX(Статистика!$G$10-Статистика!$C$10,0.000001)))))</f>
        <v>0.10259067888888873</v>
      </c>
      <c r="AZ15" s="12">
        <f>IF(A15="","",MAX(0,MAX(0,MIN(1,(((IF(Статистика!$C$4="Параллельный режим (активная мощность)",F15,Q15)+Статистика!$J$4))-Статистика!$C$10)/MAX(Статистика!$G$10-Статистика!$C$10,0.000001)))-MAX(0,MIN(1,(((IF(Статистика!$C$4="Параллельный режим (активная мощность)",E15,P15)+Статистика!$J$4))-Статистика!$C$10)/MAX(Статистика!$G$10-Статистика!$C$10,0.000001)))))</f>
        <v>8.7796886111111583E-2</v>
      </c>
      <c r="BA15" s="12">
        <f>IF(A15="","",MAX(0,MAX(0,MIN(1,(((IF(Статистика!$C$4="Параллельный режим (активная мощность)",G15,R15)+Статистика!$J$4))-Статистика!$C$10)/MAX(Статистика!$G$10-Статистика!$C$10,0.000001)))-MAX(0,MIN(1,(((IF(Статистика!$C$4="Параллельный режим (активная мощность)",F15,Q15)+Статистика!$J$4))-Статистика!$C$10)/MAX(Статистика!$G$10-Статистика!$C$10,0.000001)))))</f>
        <v>4.6475408333332413E-2</v>
      </c>
      <c r="BB15" s="12">
        <f>IF(A15="","",MAX(0,MAX(0,MIN(1,(((IF(Статистика!$C$4="Параллельный режим (активная мощность)",H15,S15)+Статистика!$J$4))-Статистика!$C$10)/MAX(Статистика!$G$10-Статистика!$C$10,0.000001)))-MAX(0,MIN(1,(((IF(Статистика!$C$4="Параллельный режим (активная мощность)",G15,R15)+Статистика!$J$4))-Статистика!$C$10)/MAX(Статистика!$G$10-Статистика!$C$10,0.000001)))))</f>
        <v>0.10257896000000077</v>
      </c>
      <c r="BC15" s="12">
        <f>IF(A15="","",MAX(0,MAX(0,MIN(1,(((IF(Статистика!$C$4="Параллельный режим (активная мощность)",J15,U15)+Статистика!$J$4))-Статистика!$C$10)/MAX(Статистика!$G$10-Статистика!$C$10,0.000001)))-MAX(0,MIN(1,(((IF(Статистика!$C$4="Параллельный режим (активная мощность)",H15,S15)+Статистика!$J$4))-Статистика!$C$10)/MAX(Статистика!$G$10-Статистика!$C$10,0.000001)))))</f>
        <v>5.1332198500000259E-2</v>
      </c>
      <c r="BD15" s="12">
        <f>IF(A15="","",MAX(0,1-MAX(0,MIN(1,(((IF(Статистика!$C$4="Параллельный режим (активная мощность)",J15,U15)+Статистика!$J$4))-Статистика!$C$10)/MAX(Статистика!$G$10-Статистика!$C$10,0.000001)))))</f>
        <v>0.11843583872222185</v>
      </c>
      <c r="BE15" s="12">
        <f>IF(A15="",NA(),IF(Статистика!$B$8="Вкл",(((IF(Статистика!$C$4="Параллельный режим (активная мощность)",F15,Q15)+Статистика!$J$4))-Статистика!$C$10)/MAX(Статистика!$G$10-Статистика!$C$10,0.000001),NA()))</f>
        <v>0.6811775944444447</v>
      </c>
      <c r="BF15" s="12">
        <f>IF(A15="",NA(),IF(Статистика!$D$8="Вкл",(((IF(Статистика!$C$4="Параллельный режим (активная мощность)",E15,P15)+Статистика!$J$4))-Статистика!$C$10)/MAX(Статистика!$G$10-Статистика!$C$10,0.000001),NA()))</f>
        <v>0.59338070833333312</v>
      </c>
      <c r="BG15" s="12">
        <f>IF(A15="",NA(),IF(Статистика!$D$8="Вкл",(((IF(Статистика!$C$4="Параллельный режим (активная мощность)",G15,R15)+Статистика!$J$4))-Статистика!$C$10)/MAX(Статистика!$G$10-Статистика!$C$10,0.000001),NA()))</f>
        <v>0.72765300277777711</v>
      </c>
      <c r="BH15" s="12">
        <f>IF(A15="",NA(),IF(Статистика!$F$8="Вкл",(((IF(Статистика!$C$4="Параллельный режим (активная мощность)",D15,O15)+Статистика!$J$4))-Статистика!$C$10)/MAX(Статистика!$G$10-Статистика!$C$10,0.000001),NA()))</f>
        <v>0.49079002944444439</v>
      </c>
      <c r="BI15" s="12">
        <f>IF(A15="",NA(),IF(Статистика!$F$8="Вкл",(((IF(Статистика!$C$4="Параллельный режим (активная мощность)",H15,S15)+Статистика!$J$4))-Статистика!$C$10)/MAX(Статистика!$G$10-Статистика!$C$10,0.000001),NA()))</f>
        <v>0.83023196277777789</v>
      </c>
      <c r="BJ15" s="12">
        <f>IF(A15="",NA(),IF(Статистика!$H$8="Вкл",(((IF(Статистика!$C$4="Параллельный режим (активная мощность)",B15,M15)+Статистика!$J$4))-Статистика!$C$10)/MAX(Статистика!$G$10-Статистика!$C$10,0.000001),NA()))</f>
        <v>-1.2217533880555556</v>
      </c>
      <c r="BK15" s="12">
        <f>IF(A15="",NA(),IF(Статистика!$H$8="Вкл",(((IF(Статистика!$C$4="Параллельный режим (активная мощность)",J15,U15)+Статистика!$J$4))-Статистика!$C$10)/MAX(Статистика!$G$10-Статистика!$C$10,0.000001),NA()))</f>
        <v>0.88156416127777815</v>
      </c>
      <c r="BL15" s="12" t="e">
        <f>IF(A15="",NA(),IF(Статистика!$J$8="Вкл",(((IF(Статистика!$C$4="Параллельный режим (активная мощность)",K15,V15)+Статистика!$J$4))-Статистика!$C$10)/MAX(Статистика!$G$10-Статистика!$C$10,0.000001),NA()))</f>
        <v>#N/A</v>
      </c>
      <c r="BM15" s="12" t="e">
        <f>IF(AND(A15&lt;&gt;"",Статистика!$C$6="Вкл",Статистика!$B$6&gt;0),(Статистика!$B$6-Статистика!$C$10)/MAX(Статистика!$G$10-Статистика!$C$10,0.000001),NA())</f>
        <v>#N/A</v>
      </c>
      <c r="BN15" s="12" t="e">
        <f>IF(AND(A15&lt;&gt;"",Статистика!$F$6="Вкл",Статистика!$E$6&gt;0),(Статистика!$E$6-Статистика!$C$10)/MAX(Статистика!$G$10-Статистика!$C$10,0.000001),NA())</f>
        <v>#N/A</v>
      </c>
      <c r="BO15" s="12" t="e">
        <f>IF(AND(A15&lt;&gt;"",Статистика!$I$6="Вкл",Статистика!$H$6&gt;0),(Статистика!$H$6-Статистика!$C$10)/MAX(Статистика!$G$10-Статистика!$C$10,0.000001),NA())</f>
        <v>#N/A</v>
      </c>
      <c r="BP15" s="12" t="e">
        <f>IF(AND(A15&lt;&gt;"",Статистика!$L$6="Вкл",Статистика!$K$6&gt;0),(Статистика!$K$6-Статистика!$C$10)/MAX(Статистика!$G$10-Статистика!$C$10,0.000001),NA())</f>
        <v>#N/A</v>
      </c>
      <c r="BQ15" s="12" t="e">
        <f>IF(AND(A15&lt;&gt;"",Статистика!$M$6="Вкл",Статистика!$O$6&gt;0),(Статистика!$O$6-Статистика!$C$10)/MAX(Статистика!$G$10-Статистика!$C$10,0.000001),NA())</f>
        <v>#N/A</v>
      </c>
      <c r="BR15" s="12">
        <f t="shared" si="0"/>
        <v>1</v>
      </c>
      <c r="BT15" s="12">
        <f>IF(Y15="","",MAX(0,MIN(1,(((IF(Статистика!$C$4="Параллельный режим (активная мощность)",Z15,AK15)+Статистика!$J$4))-Статистика!$C$10)/MAX(Статистика!$G$10-Статистика!$C$10,0.000001))))</f>
        <v>0.49535592572222231</v>
      </c>
      <c r="BU15" s="12">
        <f>IF(Y15="","",MAX(0,MAX(0,MIN(1,(((IF(Статистика!$C$4="Параллельный режим (активная мощность)",AB15,AM15)+Статистика!$J$4))-Статистика!$C$10)/MAX(Статистика!$G$10-Статистика!$C$10,0.000001)))-MAX(0,MIN(1,(((IF(Статистика!$C$4="Параллельный режим (активная мощность)",Z15,AK15)+Статистика!$J$4))-Статистика!$C$10)/MAX(Статистика!$G$10-Статистика!$C$10,0.000001)))))</f>
        <v>5.0783331499999806E-2</v>
      </c>
      <c r="BV15" s="12">
        <f>IF(Y15="","",MAX(0,MAX(0,MIN(1,(((IF(Статистика!$C$4="Параллельный режим (активная мощность)",AC15,AN15)+Статистика!$J$4))-Статистика!$C$10)/MAX(Статистика!$G$10-Статистика!$C$10,0.000001)))-MAX(0,MIN(1,(((IF(Статистика!$C$4="Параллельный режим (активная мощность)",AB15,AM15)+Статистика!$J$4))-Статистика!$C$10)/MAX(Статистика!$G$10-Статистика!$C$10,0.000001)))))</f>
        <v>6.7904817777778237E-2</v>
      </c>
      <c r="BW15" s="12">
        <f>IF(Y15="","",MAX(0,MAX(0,MIN(1,(((IF(Статистика!$C$4="Параллельный режим (активная мощность)",AD15,AO15)+Статистика!$J$4))-Статистика!$C$10)/MAX(Статистика!$G$10-Статистика!$C$10,0.000001)))-MAX(0,MIN(1,(((IF(Статистика!$C$4="Параллельный режим (активная мощность)",AC15,AN15)+Статистика!$J$4))-Статистика!$C$10)/MAX(Статистика!$G$10-Статистика!$C$10,0.000001)))))</f>
        <v>2.9189974999999646E-2</v>
      </c>
      <c r="BX15" s="12">
        <f>IF(Y15="","",MAX(0,MAX(0,MIN(1,(((IF(Статистика!$C$4="Параллельный режим (активная мощность)",AE15,AP15)+Статистика!$J$4))-Статистика!$C$10)/MAX(Статистика!$G$10-Статистика!$C$10,0.000001)))-MAX(0,MIN(1,(((IF(Статистика!$C$4="Параллельный режим (активная мощность)",AD15,AO15)+Статистика!$J$4))-Статистика!$C$10)/MAX(Статистика!$G$10-Статистика!$C$10,0.000001)))))</f>
        <v>6.4921472222222665E-2</v>
      </c>
      <c r="BY15" s="12">
        <f>IF(Y15="","",MAX(0,MAX(0,MIN(1,(((IF(Статистика!$C$4="Параллельный режим (активная мощность)",AF15,AQ15)+Статистика!$J$4))-Статистика!$C$10)/MAX(Статистика!$G$10-Статистика!$C$10,0.000001)))-MAX(0,MIN(1,(((IF(Статистика!$C$4="Параллельный режим (активная мощность)",AE15,AP15)+Статистика!$J$4))-Статистика!$C$10)/MAX(Статистика!$G$10-Статистика!$C$10,0.000001)))))</f>
        <v>0.1310720949999995</v>
      </c>
      <c r="BZ15" s="12">
        <f>IF(Y15="","",MAX(0,MAX(0,MIN(1,(((IF(Статистика!$C$4="Параллельный режим (активная мощность)",AH15,AS15)+Статистика!$J$4))-Статистика!$C$10)/MAX(Статистика!$G$10-Статистика!$C$10,0.000001)))-MAX(0,MIN(1,(((IF(Статистика!$C$4="Параллельный режим (активная мощность)",AF15,AQ15)+Статистика!$J$4))-Статистика!$C$10)/MAX(Статистика!$G$10-Статистика!$C$10,0.000001)))))</f>
        <v>1.9365934500000237E-2</v>
      </c>
      <c r="CA15" s="12">
        <f>IF(Y15="","",MAX(0,1-MAX(0,MIN(1,(((IF(Статистика!$C$4="Параллельный режим (активная мощность)",AH15,AS15)+Статистика!$J$4))-Статистика!$C$10)/MAX(Статистика!$G$10-Статистика!$C$10,0.000001)))))</f>
        <v>0.1414064482777776</v>
      </c>
      <c r="CB15" s="12">
        <f>IF(Y15="",NA(),IF(Статистика!$B$8="Вкл",(((IF(Статистика!$C$4="Параллельный режим (активная мощность)",AD15,AO15)+Статистика!$J$4))-Статистика!$C$10)/MAX(Статистика!$G$10-Статистика!$C$10,0.000001),NA()))</f>
        <v>0.64323405</v>
      </c>
      <c r="CC15" s="12">
        <f>IF(Y15="",NA(),IF(Статистика!$D$8="Вкл",(((IF(Статистика!$C$4="Параллельный режим (активная мощность)",AC15,AN15)+Статистика!$J$4))-Статистика!$C$10)/MAX(Статистика!$G$10-Статистика!$C$10,0.000001),NA()))</f>
        <v>0.61404407500000036</v>
      </c>
      <c r="CD15" s="12">
        <f>IF(Y15="",NA(),IF(Статистика!$D$8="Вкл",(((IF(Статистика!$C$4="Параллельный режим (активная мощность)",AE15,AP15)+Статистика!$J$4))-Статистика!$C$10)/MAX(Статистика!$G$10-Статистика!$C$10,0.000001),NA()))</f>
        <v>0.70815552222222267</v>
      </c>
      <c r="CE15" s="12">
        <f>IF(Y15="",NA(),IF(Статистика!$F$8="Вкл",(((IF(Статистика!$C$4="Параллельный режим (активная мощность)",AB15,AM15)+Статистика!$J$4))-Статистика!$C$10)/MAX(Статистика!$G$10-Статистика!$C$10,0.000001),NA()))</f>
        <v>0.54613925722222212</v>
      </c>
      <c r="CF15" s="12">
        <f>IF(Y15="",NA(),IF(Статистика!$F$8="Вкл",(((IF(Статистика!$C$4="Параллельный режим (активная мощность)",AF15,AQ15)+Статистика!$J$4))-Статистика!$C$10)/MAX(Статистика!$G$10-Статистика!$C$10,0.000001),NA()))</f>
        <v>0.83922761722222217</v>
      </c>
      <c r="CG15" s="12">
        <f>IF(Y15="",NA(),IF(Статистика!$H$8="Вкл",(((IF(Статистика!$C$4="Параллельный режим (активная мощность)",Z15,AK15)+Статистика!$J$4))-Статистика!$C$10)/MAX(Статистика!$G$10-Статистика!$C$10,0.000001),NA()))</f>
        <v>0.49535592572222231</v>
      </c>
      <c r="CH15" s="12">
        <f>IF(Y15="",NA(),IF(Статистика!$H$8="Вкл",(((IF(Статистика!$C$4="Параллельный режим (активная мощность)",AH15,AS15)+Статистика!$J$4))-Статистика!$C$10)/MAX(Статистика!$G$10-Статистика!$C$10,0.000001),NA()))</f>
        <v>0.8585935517222224</v>
      </c>
      <c r="CI15" s="12" t="e">
        <f>IF(Y15="",NA(),IF(Статистика!$J$8="Вкл",(((IF(Статистика!$C$4="Параллельный режим (активная мощность)",AI15,AT15)+Статистика!$J$4))-Статистика!$C$10)/MAX(Статистика!$G$10-Статистика!$C$10,0.000001),NA()))</f>
        <v>#N/A</v>
      </c>
      <c r="CJ15" s="12" t="e">
        <f>IF(AND(Y15&lt;&gt;"",Статистика!$C$6="Вкл",Статистика!$B$6&gt;0),(Статистика!$B$6-Статистика!$C$10)/MAX(Статистика!$G$10-Статистика!$C$10,0.000001),NA())</f>
        <v>#N/A</v>
      </c>
      <c r="CK15" s="12" t="e">
        <f>IF(AND(Y15&lt;&gt;"",Статистика!$F$6="Вкл",Статистика!$E$6&gt;0),(Статистика!$E$6-Статистика!$C$10)/MAX(Статистика!$G$10-Статистика!$C$10,0.000001),NA())</f>
        <v>#N/A</v>
      </c>
      <c r="CL15" s="12" t="e">
        <f>IF(AND(Y15&lt;&gt;"",Статистика!$I$6="Вкл",Статистика!$H$6&gt;0),(Статистика!$H$6-Статистика!$C$10)/MAX(Статистика!$G$10-Статистика!$C$10,0.000001),NA())</f>
        <v>#N/A</v>
      </c>
      <c r="CM15" s="12" t="e">
        <f>IF(AND(Y15&lt;&gt;"",Статистика!$L$6="Вкл",Статистика!$K$6&gt;0),(Статистика!$K$6-Статистика!$C$10)/MAX(Статистика!$G$10-Статистика!$C$10,0.000001),NA())</f>
        <v>#N/A</v>
      </c>
      <c r="CN15" s="12" t="e">
        <f>IF(AND(Y15&lt;&gt;"",Статистика!$M$6="Вкл",Статистика!$O$6&gt;0),(Статистика!$O$6-Статистика!$C$10)/MAX(Статистика!$G$10-Статистика!$C$10,0.000001),NA())</f>
        <v>#N/A</v>
      </c>
      <c r="CO15" s="12">
        <f t="shared" si="1"/>
        <v>1</v>
      </c>
    </row>
    <row r="16" spans="1:93" ht="15" customHeight="1">
      <c r="A16" s="12" t="s">
        <v>111</v>
      </c>
      <c r="B16" s="12">
        <v>2346.0610509999997</v>
      </c>
      <c r="C16" s="12">
        <v>5811.501388333334</v>
      </c>
      <c r="D16" s="12">
        <v>7484.96443</v>
      </c>
      <c r="E16" s="12">
        <v>7761.4536916666666</v>
      </c>
      <c r="F16" s="12">
        <v>8026.1123666666663</v>
      </c>
      <c r="G16" s="12">
        <v>8189.1020500000004</v>
      </c>
      <c r="H16" s="12">
        <v>8512.9785166666661</v>
      </c>
      <c r="I16" s="12">
        <v>8602.1830766666662</v>
      </c>
      <c r="J16" s="12">
        <v>8651.0169886666645</v>
      </c>
      <c r="K16" s="12">
        <v>8803.34</v>
      </c>
      <c r="L16" s="12" t="s">
        <v>112</v>
      </c>
      <c r="M16" s="12">
        <v>2920.491211333333</v>
      </c>
      <c r="N16" s="12">
        <v>6784.0585900000005</v>
      </c>
      <c r="O16" s="12">
        <v>8688.0029983333334</v>
      </c>
      <c r="P16" s="12">
        <v>8903.6223249999985</v>
      </c>
      <c r="Q16" s="12">
        <v>9120.3272166666684</v>
      </c>
      <c r="R16" s="12">
        <v>9289.9798083333335</v>
      </c>
      <c r="S16" s="12">
        <v>9650.4135116666657</v>
      </c>
      <c r="T16" s="12">
        <v>9718.7379208333332</v>
      </c>
      <c r="U16" s="12">
        <v>9750.3965441666678</v>
      </c>
      <c r="V16" s="12">
        <v>9926.9</v>
      </c>
      <c r="W16" s="12" t="s">
        <v>113</v>
      </c>
      <c r="Y16" s="12" t="s">
        <v>111</v>
      </c>
      <c r="Z16" s="12">
        <v>7534.1029526666662</v>
      </c>
      <c r="AA16" s="12">
        <v>7575.8146299999999</v>
      </c>
      <c r="AB16" s="12">
        <v>7627.9542266666667</v>
      </c>
      <c r="AC16" s="12">
        <v>7835.6282750000009</v>
      </c>
      <c r="AD16" s="12">
        <v>7938.8458833333334</v>
      </c>
      <c r="AE16" s="12">
        <v>8092.0494916666667</v>
      </c>
      <c r="AF16" s="12">
        <v>8507.705883333334</v>
      </c>
      <c r="AG16" s="12">
        <v>8536.0208916666688</v>
      </c>
      <c r="AH16" s="12">
        <v>8558.672898333336</v>
      </c>
      <c r="AI16" s="12">
        <v>8675.52</v>
      </c>
      <c r="AJ16" s="12" t="s">
        <v>114</v>
      </c>
      <c r="AK16" s="12">
        <v>8590.9070565000002</v>
      </c>
      <c r="AL16" s="12">
        <v>8654.0078158333345</v>
      </c>
      <c r="AM16" s="12">
        <v>8732.8837650000005</v>
      </c>
      <c r="AN16" s="12">
        <v>8933.2257250000002</v>
      </c>
      <c r="AO16" s="12">
        <v>9070.1498166666679</v>
      </c>
      <c r="AP16" s="12">
        <v>9164.7695916666671</v>
      </c>
      <c r="AQ16" s="12">
        <v>9612.5848900000001</v>
      </c>
      <c r="AR16" s="12">
        <v>9624.3809783333327</v>
      </c>
      <c r="AS16" s="12">
        <v>9633.8178490000009</v>
      </c>
      <c r="AT16" s="12">
        <v>9747.49</v>
      </c>
      <c r="AU16" s="12" t="s">
        <v>114</v>
      </c>
      <c r="AW16" s="12">
        <f>IF(A16="","",MAX(0,MIN(1,(((IF(Статистика!$C$4="Параллельный режим (активная мощность)",B16,M16)+Статистика!$J$4))-Статистика!$C$10)/MAX(Статистика!$G$10-Статистика!$C$10,0.000001))))</f>
        <v>0</v>
      </c>
      <c r="AX16" s="12">
        <f>IF(A16="","",MAX(0,MAX(0,MIN(1,(((IF(Статистика!$C$4="Параллельный режим (активная мощность)",D16,O16)+Статистика!$J$4))-Статистика!$C$10)/MAX(Статистика!$G$10-Статистика!$C$10,0.000001)))-MAX(0,MIN(1,(((IF(Статистика!$C$4="Параллельный режим (активная мощность)",B16,M16)+Статистика!$J$4))-Статистика!$C$10)/MAX(Статистика!$G$10-Статистика!$C$10,0.000001)))))</f>
        <v>0.49498814333333335</v>
      </c>
      <c r="AY16" s="12">
        <f>IF(A16="","",MAX(0,MAX(0,MIN(1,(((IF(Статистика!$C$4="Параллельный режим (активная мощность)",E16,P16)+Статистика!$J$4))-Статистика!$C$10)/MAX(Статистика!$G$10-Статистика!$C$10,0.000001)))-MAX(0,MIN(1,(((IF(Статистика!$C$4="Параллельный режим (активная мощность)",D16,O16)+Статистика!$J$4))-Статистика!$C$10)/MAX(Статистика!$G$10-Статистика!$C$10,0.000001)))))</f>
        <v>9.2163087222222162E-2</v>
      </c>
      <c r="AZ16" s="12">
        <f>IF(A16="","",MAX(0,MAX(0,MIN(1,(((IF(Статистика!$C$4="Параллельный режим (активная мощность)",F16,Q16)+Статистика!$J$4))-Статистика!$C$10)/MAX(Статистика!$G$10-Статистика!$C$10,0.000001)))-MAX(0,MIN(1,(((IF(Статистика!$C$4="Параллельный режим (активная мощность)",E16,P16)+Статистика!$J$4))-Статистика!$C$10)/MAX(Статистика!$G$10-Статистика!$C$10,0.000001)))))</f>
        <v>8.8219558333333281E-2</v>
      </c>
      <c r="BA16" s="12">
        <f>IF(A16="","",MAX(0,MAX(0,MIN(1,(((IF(Статистика!$C$4="Параллельный режим (активная мощность)",G16,R16)+Статистика!$J$4))-Статистика!$C$10)/MAX(Статистика!$G$10-Статистика!$C$10,0.000001)))-MAX(0,MIN(1,(((IF(Статистика!$C$4="Параллельный режим (активная мощность)",F16,Q16)+Статистика!$J$4))-Статистика!$C$10)/MAX(Статистика!$G$10-Статистика!$C$10,0.000001)))))</f>
        <v>5.4329894444444693E-2</v>
      </c>
      <c r="BB16" s="12">
        <f>IF(A16="","",MAX(0,MAX(0,MIN(1,(((IF(Статистика!$C$4="Параллельный режим (активная мощность)",H16,S16)+Статистика!$J$4))-Статистика!$C$10)/MAX(Статистика!$G$10-Статистика!$C$10,0.000001)))-MAX(0,MIN(1,(((IF(Статистика!$C$4="Параллельный режим (активная мощность)",G16,R16)+Статистика!$J$4))-Статистика!$C$10)/MAX(Статистика!$G$10-Статистика!$C$10,0.000001)))))</f>
        <v>0.10795882222222186</v>
      </c>
      <c r="BC16" s="12">
        <f>IF(A16="","",MAX(0,MAX(0,MIN(1,(((IF(Статистика!$C$4="Параллельный режим (активная мощность)",J16,U16)+Статистика!$J$4))-Статистика!$C$10)/MAX(Статистика!$G$10-Статистика!$C$10,0.000001)))-MAX(0,MIN(1,(((IF(Статистика!$C$4="Параллельный режим (активная мощность)",H16,S16)+Статистика!$J$4))-Статистика!$C$10)/MAX(Статистика!$G$10-Статистика!$C$10,0.000001)))))</f>
        <v>4.6012823999999508E-2</v>
      </c>
      <c r="BD16" s="12">
        <f>IF(A16="","",MAX(0,1-MAX(0,MIN(1,(((IF(Статистика!$C$4="Параллельный режим (активная мощность)",J16,U16)+Статистика!$J$4))-Статистика!$C$10)/MAX(Статистика!$G$10-Статистика!$C$10,0.000001)))))</f>
        <v>0.11632767044444514</v>
      </c>
      <c r="BE16" s="12">
        <f>IF(A16="",NA(),IF(Статистика!$B$8="Вкл",(((IF(Статистика!$C$4="Параллельный режим (активная мощность)",F16,Q16)+Статистика!$J$4))-Статистика!$C$10)/MAX(Статистика!$G$10-Статистика!$C$10,0.000001),NA()))</f>
        <v>0.6753707888888888</v>
      </c>
      <c r="BF16" s="12">
        <f>IF(A16="",NA(),IF(Статистика!$D$8="Вкл",(((IF(Статистика!$C$4="Параллельный режим (активная мощность)",E16,P16)+Статистика!$J$4))-Статистика!$C$10)/MAX(Статистика!$G$10-Статистика!$C$10,0.000001),NA()))</f>
        <v>0.58715123055555551</v>
      </c>
      <c r="BG16" s="12">
        <f>IF(A16="",NA(),IF(Статистика!$D$8="Вкл",(((IF(Статистика!$C$4="Параллельный режим (активная мощность)",G16,R16)+Статистика!$J$4))-Статистика!$C$10)/MAX(Статистика!$G$10-Статистика!$C$10,0.000001),NA()))</f>
        <v>0.72970068333333349</v>
      </c>
      <c r="BH16" s="12">
        <f>IF(A16="",NA(),IF(Статистика!$F$8="Вкл",(((IF(Статистика!$C$4="Параллельный режим (активная мощность)",D16,O16)+Статистика!$J$4))-Статистика!$C$10)/MAX(Статистика!$G$10-Статистика!$C$10,0.000001),NA()))</f>
        <v>0.49498814333333335</v>
      </c>
      <c r="BI16" s="12">
        <f>IF(A16="",NA(),IF(Статистика!$F$8="Вкл",(((IF(Статистика!$C$4="Параллельный режим (активная мощность)",H16,S16)+Статистика!$J$4))-Статистика!$C$10)/MAX(Статистика!$G$10-Статистика!$C$10,0.000001),NA()))</f>
        <v>0.83765950555555535</v>
      </c>
      <c r="BJ16" s="12">
        <f>IF(A16="",NA(),IF(Статистика!$H$8="Вкл",(((IF(Статистика!$C$4="Параллельный режим (активная мощность)",B16,M16)+Статистика!$J$4))-Статистика!$C$10)/MAX(Статистика!$G$10-Статистика!$C$10,0.000001),NA()))</f>
        <v>-1.2179796496666668</v>
      </c>
      <c r="BK16" s="12">
        <f>IF(A16="",NA(),IF(Статистика!$H$8="Вкл",(((IF(Статистика!$C$4="Параллельный режим (активная мощность)",J16,U16)+Статистика!$J$4))-Статистика!$C$10)/MAX(Статистика!$G$10-Статистика!$C$10,0.000001),NA()))</f>
        <v>0.88367232955555486</v>
      </c>
      <c r="BL16" s="12" t="e">
        <f>IF(A16="",NA(),IF(Статистика!$J$8="Вкл",(((IF(Статистика!$C$4="Параллельный режим (активная мощность)",K16,V16)+Статистика!$J$4))-Статистика!$C$10)/MAX(Статистика!$G$10-Статистика!$C$10,0.000001),NA()))</f>
        <v>#N/A</v>
      </c>
      <c r="BM16" s="12" t="e">
        <f>IF(AND(A16&lt;&gt;"",Статистика!$C$6="Вкл",Статистика!$B$6&gt;0),(Статистика!$B$6-Статистика!$C$10)/MAX(Статистика!$G$10-Статистика!$C$10,0.000001),NA())</f>
        <v>#N/A</v>
      </c>
      <c r="BN16" s="12" t="e">
        <f>IF(AND(A16&lt;&gt;"",Статистика!$F$6="Вкл",Статистика!$E$6&gt;0),(Статистика!$E$6-Статистика!$C$10)/MAX(Статистика!$G$10-Статистика!$C$10,0.000001),NA())</f>
        <v>#N/A</v>
      </c>
      <c r="BO16" s="12" t="e">
        <f>IF(AND(A16&lt;&gt;"",Статистика!$I$6="Вкл",Статистика!$H$6&gt;0),(Статистика!$H$6-Статистика!$C$10)/MAX(Статистика!$G$10-Статистика!$C$10,0.000001),NA())</f>
        <v>#N/A</v>
      </c>
      <c r="BP16" s="12" t="e">
        <f>IF(AND(A16&lt;&gt;"",Статистика!$L$6="Вкл",Статистика!$K$6&gt;0),(Статистика!$K$6-Статистика!$C$10)/MAX(Статистика!$G$10-Статистика!$C$10,0.000001),NA())</f>
        <v>#N/A</v>
      </c>
      <c r="BQ16" s="12" t="e">
        <f>IF(AND(A16&lt;&gt;"",Статистика!$M$6="Вкл",Статистика!$O$6&gt;0),(Статистика!$O$6-Статистика!$C$10)/MAX(Статистика!$G$10-Статистика!$C$10,0.000001),NA())</f>
        <v>#N/A</v>
      </c>
      <c r="BR16" s="12">
        <f t="shared" si="0"/>
        <v>1</v>
      </c>
      <c r="BT16" s="12">
        <f>IF(Y16="","",MAX(0,MIN(1,(((IF(Статистика!$C$4="Параллельный режим (активная мощность)",Z16,AK16)+Статистика!$J$4))-Статистика!$C$10)/MAX(Статистика!$G$10-Статистика!$C$10,0.000001))))</f>
        <v>0.51136765088888869</v>
      </c>
      <c r="BU16" s="12">
        <f>IF(Y16="","",MAX(0,MAX(0,MIN(1,(((IF(Статистика!$C$4="Параллельный режим (активная мощность)",AB16,AM16)+Статистика!$J$4))-Статистика!$C$10)/MAX(Статистика!$G$10-Статистика!$C$10,0.000001)))-MAX(0,MIN(1,(((IF(Статистика!$C$4="Параллельный режим (активная мощность)",Z16,AK16)+Статистика!$J$4))-Статистика!$C$10)/MAX(Статистика!$G$10-Статистика!$C$10,0.000001)))))</f>
        <v>3.1283758000000272E-2</v>
      </c>
      <c r="BV16" s="12">
        <f>IF(Y16="","",MAX(0,MAX(0,MIN(1,(((IF(Статистика!$C$4="Параллельный режим (активная мощность)",AC16,AN16)+Статистика!$J$4))-Статистика!$C$10)/MAX(Статистика!$G$10-Статистика!$C$10,0.000001)))-MAX(0,MIN(1,(((IF(Статистика!$C$4="Параллельный режим (активная мощность)",AB16,AM16)+Статистика!$J$4))-Статистика!$C$10)/MAX(Статистика!$G$10-Статистика!$C$10,0.000001)))))</f>
        <v>6.9224682777778046E-2</v>
      </c>
      <c r="BW16" s="12">
        <f>IF(Y16="","",MAX(0,MAX(0,MIN(1,(((IF(Статистика!$C$4="Параллельный режим (активная мощность)",AD16,AO16)+Статистика!$J$4))-Статистика!$C$10)/MAX(Статистика!$G$10-Статистика!$C$10,0.000001)))-MAX(0,MIN(1,(((IF(Статистика!$C$4="Параллельный режим (активная мощность)",AC16,AN16)+Статистика!$J$4))-Статистика!$C$10)/MAX(Статистика!$G$10-Статистика!$C$10,0.000001)))))</f>
        <v>3.4405869444444126E-2</v>
      </c>
      <c r="BX16" s="12">
        <f>IF(Y16="","",MAX(0,MAX(0,MIN(1,(((IF(Статистика!$C$4="Параллельный режим (активная мощность)",AE16,AP16)+Статистика!$J$4))-Статистика!$C$10)/MAX(Статистика!$G$10-Статистика!$C$10,0.000001)))-MAX(0,MIN(1,(((IF(Статистика!$C$4="Параллельный режим (активная мощность)",AD16,AO16)+Статистика!$J$4))-Статистика!$C$10)/MAX(Статистика!$G$10-Статистика!$C$10,0.000001)))))</f>
        <v>5.1067869444444414E-2</v>
      </c>
      <c r="BY16" s="12">
        <f>IF(Y16="","",MAX(0,MAX(0,MIN(1,(((IF(Статистика!$C$4="Параллельный режим (активная мощность)",AF16,AQ16)+Статистика!$J$4))-Статистика!$C$10)/MAX(Статистика!$G$10-Статистика!$C$10,0.000001)))-MAX(0,MIN(1,(((IF(Статистика!$C$4="Параллельный режим (активная мощность)",AE16,AP16)+Статистика!$J$4))-Статистика!$C$10)/MAX(Статистика!$G$10-Статистика!$C$10,0.000001)))))</f>
        <v>0.13855213055555582</v>
      </c>
      <c r="BZ16" s="12">
        <f>IF(Y16="","",MAX(0,MAX(0,MIN(1,(((IF(Статистика!$C$4="Параллельный режим (активная мощность)",AH16,AS16)+Статистика!$J$4))-Статистика!$C$10)/MAX(Статистика!$G$10-Статистика!$C$10,0.000001)))-MAX(0,MIN(1,(((IF(Статистика!$C$4="Параллельный режим (активная мощность)",AF16,AQ16)+Статистика!$J$4))-Статистика!$C$10)/MAX(Статистика!$G$10-Статистика!$C$10,0.000001)))))</f>
        <v>1.6989005000000668E-2</v>
      </c>
      <c r="CA16" s="12">
        <f>IF(Y16="","",MAX(0,1-MAX(0,MIN(1,(((IF(Статистика!$C$4="Параллельный режим (активная мощность)",AH16,AS16)+Статистика!$J$4))-Статистика!$C$10)/MAX(Статистика!$G$10-Статистика!$C$10,0.000001)))))</f>
        <v>0.14710903388888796</v>
      </c>
      <c r="CB16" s="12">
        <f>IF(Y16="",NA(),IF(Статистика!$B$8="Вкл",(((IF(Статистика!$C$4="Параллельный режим (активная мощность)",AD16,AO16)+Статистика!$J$4))-Статистика!$C$10)/MAX(Статистика!$G$10-Статистика!$C$10,0.000001),NA()))</f>
        <v>0.64628196111111114</v>
      </c>
      <c r="CC16" s="12">
        <f>IF(Y16="",NA(),IF(Статистика!$D$8="Вкл",(((IF(Статистика!$C$4="Параллельный режим (активная мощность)",AC16,AN16)+Статистика!$J$4))-Статистика!$C$10)/MAX(Статистика!$G$10-Статистика!$C$10,0.000001),NA()))</f>
        <v>0.61187609166666701</v>
      </c>
      <c r="CD16" s="12">
        <f>IF(Y16="",NA(),IF(Статистика!$D$8="Вкл",(((IF(Статистика!$C$4="Параллельный режим (активная мощность)",AE16,AP16)+Статистика!$J$4))-Статистика!$C$10)/MAX(Статистика!$G$10-Статистика!$C$10,0.000001),NA()))</f>
        <v>0.69734983055555555</v>
      </c>
      <c r="CE16" s="12">
        <f>IF(Y16="",NA(),IF(Статистика!$F$8="Вкл",(((IF(Статистика!$C$4="Параллельный режим (активная мощность)",AB16,AM16)+Статистика!$J$4))-Статистика!$C$10)/MAX(Статистика!$G$10-Статистика!$C$10,0.000001),NA()))</f>
        <v>0.54265140888888896</v>
      </c>
      <c r="CF16" s="12">
        <f>IF(Y16="",NA(),IF(Статистика!$F$8="Вкл",(((IF(Статистика!$C$4="Параллельный режим (активная мощность)",AF16,AQ16)+Статистика!$J$4))-Статистика!$C$10)/MAX(Статистика!$G$10-Статистика!$C$10,0.000001),NA()))</f>
        <v>0.83590196111111137</v>
      </c>
      <c r="CG16" s="12">
        <f>IF(Y16="",NA(),IF(Статистика!$H$8="Вкл",(((IF(Статистика!$C$4="Параллельный режим (активная мощность)",Z16,AK16)+Статистика!$J$4))-Статистика!$C$10)/MAX(Статистика!$G$10-Статистика!$C$10,0.000001),NA()))</f>
        <v>0.51136765088888869</v>
      </c>
      <c r="CH16" s="12">
        <f>IF(Y16="",NA(),IF(Статистика!$H$8="Вкл",(((IF(Статистика!$C$4="Параллельный режим (активная мощность)",AH16,AS16)+Статистика!$J$4))-Статистика!$C$10)/MAX(Статистика!$G$10-Статистика!$C$10,0.000001),NA()))</f>
        <v>0.85289096611111204</v>
      </c>
      <c r="CI16" s="12" t="e">
        <f>IF(Y16="",NA(),IF(Статистика!$J$8="Вкл",(((IF(Статистика!$C$4="Параллельный режим (активная мощность)",AI16,AT16)+Статистика!$J$4))-Статистика!$C$10)/MAX(Статистика!$G$10-Статистика!$C$10,0.000001),NA()))</f>
        <v>#N/A</v>
      </c>
      <c r="CJ16" s="12" t="e">
        <f>IF(AND(Y16&lt;&gt;"",Статистика!$C$6="Вкл",Статистика!$B$6&gt;0),(Статистика!$B$6-Статистика!$C$10)/MAX(Статистика!$G$10-Статистика!$C$10,0.000001),NA())</f>
        <v>#N/A</v>
      </c>
      <c r="CK16" s="12" t="e">
        <f>IF(AND(Y16&lt;&gt;"",Статистика!$F$6="Вкл",Статистика!$E$6&gt;0),(Статистика!$E$6-Статистика!$C$10)/MAX(Статистика!$G$10-Статистика!$C$10,0.000001),NA())</f>
        <v>#N/A</v>
      </c>
      <c r="CL16" s="12" t="e">
        <f>IF(AND(Y16&lt;&gt;"",Статистика!$I$6="Вкл",Статистика!$H$6&gt;0),(Статистика!$H$6-Статистика!$C$10)/MAX(Статистика!$G$10-Статистика!$C$10,0.000001),NA())</f>
        <v>#N/A</v>
      </c>
      <c r="CM16" s="12" t="e">
        <f>IF(AND(Y16&lt;&gt;"",Статистика!$L$6="Вкл",Статистика!$K$6&gt;0),(Статистика!$K$6-Статистика!$C$10)/MAX(Статистика!$G$10-Статистика!$C$10,0.000001),NA())</f>
        <v>#N/A</v>
      </c>
      <c r="CN16" s="12" t="e">
        <f>IF(AND(Y16&lt;&gt;"",Статистика!$M$6="Вкл",Статистика!$O$6&gt;0),(Статистика!$O$6-Статистика!$C$10)/MAX(Статистика!$G$10-Статистика!$C$10,0.000001),NA())</f>
        <v>#N/A</v>
      </c>
      <c r="CO16" s="12">
        <f t="shared" si="1"/>
        <v>1</v>
      </c>
    </row>
    <row r="17" spans="1:93" ht="15" customHeight="1">
      <c r="A17" s="12" t="s">
        <v>115</v>
      </c>
      <c r="B17" s="12">
        <v>2342.7883213333334</v>
      </c>
      <c r="C17" s="12">
        <v>5799.8402733333332</v>
      </c>
      <c r="D17" s="12">
        <v>7459.0320133333335</v>
      </c>
      <c r="E17" s="12">
        <v>7787.5437416666664</v>
      </c>
      <c r="F17" s="12">
        <v>7973.1894000000002</v>
      </c>
      <c r="G17" s="12">
        <v>8154.3275583333334</v>
      </c>
      <c r="H17" s="12">
        <v>8487.685583333332</v>
      </c>
      <c r="I17" s="12">
        <v>8573.4325774999979</v>
      </c>
      <c r="J17" s="12">
        <v>8625.2332088333333</v>
      </c>
      <c r="K17" s="12">
        <v>8785.74</v>
      </c>
      <c r="L17" s="12" t="s">
        <v>116</v>
      </c>
      <c r="M17" s="12">
        <v>2907.2133089999998</v>
      </c>
      <c r="N17" s="12">
        <v>6694.2329449999997</v>
      </c>
      <c r="O17" s="12">
        <v>8559.3314399999999</v>
      </c>
      <c r="P17" s="12">
        <v>8890.1447916666675</v>
      </c>
      <c r="Q17" s="12">
        <v>9090.1771166666658</v>
      </c>
      <c r="R17" s="12">
        <v>9254.2249833333335</v>
      </c>
      <c r="S17" s="12">
        <v>9628.6830399999981</v>
      </c>
      <c r="T17" s="12">
        <v>9696.0740191666664</v>
      </c>
      <c r="U17" s="12">
        <v>9727.1019505000004</v>
      </c>
      <c r="V17" s="12">
        <v>9884.7999999999993</v>
      </c>
      <c r="W17" s="12" t="s">
        <v>116</v>
      </c>
      <c r="Y17" s="12" t="s">
        <v>115</v>
      </c>
      <c r="Z17" s="12">
        <v>7439.4213920000002</v>
      </c>
      <c r="AA17" s="12">
        <v>7508.3652266666668</v>
      </c>
      <c r="AB17" s="12">
        <v>7594.5450200000005</v>
      </c>
      <c r="AC17" s="12">
        <v>7749.6623666666665</v>
      </c>
      <c r="AD17" s="12">
        <v>7961.1862999999994</v>
      </c>
      <c r="AE17" s="12">
        <v>8127.6125749999992</v>
      </c>
      <c r="AF17" s="12">
        <v>8472.6610933333341</v>
      </c>
      <c r="AG17" s="12">
        <v>8477.432929999999</v>
      </c>
      <c r="AH17" s="12">
        <v>8481.2503993333321</v>
      </c>
      <c r="AI17" s="12">
        <v>8608.8799999999992</v>
      </c>
      <c r="AJ17" s="12" t="s">
        <v>117</v>
      </c>
      <c r="AK17" s="12">
        <v>8523.6397335000001</v>
      </c>
      <c r="AL17" s="12">
        <v>8606.8532008333332</v>
      </c>
      <c r="AM17" s="12">
        <v>8710.8700349999999</v>
      </c>
      <c r="AN17" s="12">
        <v>8921.2914583333331</v>
      </c>
      <c r="AO17" s="12">
        <v>9029.9120166666653</v>
      </c>
      <c r="AP17" s="12">
        <v>9226.398091666666</v>
      </c>
      <c r="AQ17" s="12">
        <v>9591.2317433333319</v>
      </c>
      <c r="AR17" s="12">
        <v>9604.0855549999997</v>
      </c>
      <c r="AS17" s="12">
        <v>9614.3686043333328</v>
      </c>
      <c r="AT17" s="12">
        <v>9730.9599999999991</v>
      </c>
      <c r="AU17" s="12" t="s">
        <v>118</v>
      </c>
      <c r="AW17" s="12">
        <f>IF(A17="","",MAX(0,MIN(1,(((IF(Статистика!$C$4="Параллельный режим (активная мощность)",B17,M17)+Статистика!$J$4))-Статистика!$C$10)/MAX(Статистика!$G$10-Статистика!$C$10,0.000001))))</f>
        <v>0</v>
      </c>
      <c r="AX17" s="12">
        <f>IF(A17="","",MAX(0,MAX(0,MIN(1,(((IF(Статистика!$C$4="Параллельный режим (активная мощность)",D17,O17)+Статистика!$J$4))-Статистика!$C$10)/MAX(Статистика!$G$10-Статистика!$C$10,0.000001)))-MAX(0,MIN(1,(((IF(Статистика!$C$4="Параллельный режим (активная мощность)",B17,M17)+Статистика!$J$4))-Статистика!$C$10)/MAX(Статистика!$G$10-Статистика!$C$10,0.000001)))))</f>
        <v>0.48634400444444448</v>
      </c>
      <c r="AY17" s="12">
        <f>IF(A17="","",MAX(0,MAX(0,MIN(1,(((IF(Статистика!$C$4="Параллельный режим (активная мощность)",E17,P17)+Статистика!$J$4))-Статистика!$C$10)/MAX(Статистика!$G$10-Статистика!$C$10,0.000001)))-MAX(0,MIN(1,(((IF(Статистика!$C$4="Параллельный режим (активная мощность)",D17,O17)+Статистика!$J$4))-Статистика!$C$10)/MAX(Статистика!$G$10-Статистика!$C$10,0.000001)))))</f>
        <v>0.10950390944444433</v>
      </c>
      <c r="AZ17" s="12">
        <f>IF(A17="","",MAX(0,MAX(0,MIN(1,(((IF(Статистика!$C$4="Параллельный режим (активная мощность)",F17,Q17)+Статистика!$J$4))-Статистика!$C$10)/MAX(Статистика!$G$10-Статистика!$C$10,0.000001)))-MAX(0,MIN(1,(((IF(Статистика!$C$4="Параллельный режим (активная мощность)",E17,P17)+Статистика!$J$4))-Статистика!$C$10)/MAX(Статистика!$G$10-Статистика!$C$10,0.000001)))))</f>
        <v>6.1881886111111228E-2</v>
      </c>
      <c r="BA17" s="12">
        <f>IF(A17="","",MAX(0,MAX(0,MIN(1,(((IF(Статистика!$C$4="Параллельный режим (активная мощность)",G17,R17)+Статистика!$J$4))-Статистика!$C$10)/MAX(Статистика!$G$10-Статистика!$C$10,0.000001)))-MAX(0,MIN(1,(((IF(Статистика!$C$4="Параллельный режим (активная мощность)",F17,Q17)+Статистика!$J$4))-Статистика!$C$10)/MAX(Статистика!$G$10-Статистика!$C$10,0.000001)))))</f>
        <v>6.0379386111111155E-2</v>
      </c>
      <c r="BB17" s="12">
        <f>IF(A17="","",MAX(0,MAX(0,MIN(1,(((IF(Статистика!$C$4="Параллельный режим (активная мощность)",H17,S17)+Статистика!$J$4))-Статистика!$C$10)/MAX(Статистика!$G$10-Статистика!$C$10,0.000001)))-MAX(0,MIN(1,(((IF(Статистика!$C$4="Параллельный режим (активная мощность)",G17,R17)+Статистика!$J$4))-Статистика!$C$10)/MAX(Статистика!$G$10-Статистика!$C$10,0.000001)))))</f>
        <v>0.11111934166666615</v>
      </c>
      <c r="BC17" s="12">
        <f>IF(A17="","",MAX(0,MAX(0,MIN(1,(((IF(Статистика!$C$4="Параллельный режим (активная мощность)",J17,U17)+Статистика!$J$4))-Статистика!$C$10)/MAX(Статистика!$G$10-Статистика!$C$10,0.000001)))-MAX(0,MIN(1,(((IF(Статистика!$C$4="Параллельный режим (активная мощность)",H17,S17)+Статистика!$J$4))-Статистика!$C$10)/MAX(Статистика!$G$10-Статистика!$C$10,0.000001)))))</f>
        <v>4.5849208500000405E-2</v>
      </c>
      <c r="BD17" s="12">
        <f>IF(A17="","",MAX(0,1-MAX(0,MIN(1,(((IF(Статистика!$C$4="Параллельный режим (активная мощность)",J17,U17)+Статистика!$J$4))-Статистика!$C$10)/MAX(Статистика!$G$10-Статистика!$C$10,0.000001)))))</f>
        <v>0.12492226372222226</v>
      </c>
      <c r="BE17" s="12">
        <f>IF(A17="",NA(),IF(Статистика!$B$8="Вкл",(((IF(Статистика!$C$4="Параллельный режим (активная мощность)",F17,Q17)+Статистика!$J$4))-Статистика!$C$10)/MAX(Статистика!$G$10-Статистика!$C$10,0.000001),NA()))</f>
        <v>0.65772980000000003</v>
      </c>
      <c r="BF17" s="12">
        <f>IF(A17="",NA(),IF(Статистика!$D$8="Вкл",(((IF(Статистика!$C$4="Параллельный режим (активная мощность)",E17,P17)+Статистика!$J$4))-Статистика!$C$10)/MAX(Статистика!$G$10-Статистика!$C$10,0.000001),NA()))</f>
        <v>0.5958479138888888</v>
      </c>
      <c r="BG17" s="12">
        <f>IF(A17="",NA(),IF(Статистика!$D$8="Вкл",(((IF(Статистика!$C$4="Параллельный режим (активная мощность)",G17,R17)+Статистика!$J$4))-Статистика!$C$10)/MAX(Статистика!$G$10-Статистика!$C$10,0.000001),NA()))</f>
        <v>0.71810918611111119</v>
      </c>
      <c r="BH17" s="12">
        <f>IF(A17="",NA(),IF(Статистика!$F$8="Вкл",(((IF(Статистика!$C$4="Параллельный режим (активная мощность)",D17,O17)+Статистика!$J$4))-Статистика!$C$10)/MAX(Статистика!$G$10-Статистика!$C$10,0.000001),NA()))</f>
        <v>0.48634400444444448</v>
      </c>
      <c r="BI17" s="12">
        <f>IF(A17="",NA(),IF(Статистика!$F$8="Вкл",(((IF(Статистика!$C$4="Параллельный режим (активная мощность)",H17,S17)+Статистика!$J$4))-Статистика!$C$10)/MAX(Статистика!$G$10-Статистика!$C$10,0.000001),NA()))</f>
        <v>0.82922852777777734</v>
      </c>
      <c r="BJ17" s="12">
        <f>IF(A17="",NA(),IF(Статистика!$H$8="Вкл",(((IF(Статистика!$C$4="Параллельный режим (активная мощность)",B17,M17)+Статистика!$J$4))-Статистика!$C$10)/MAX(Статистика!$G$10-Статистика!$C$10,0.000001),NA()))</f>
        <v>-1.2190705595555555</v>
      </c>
      <c r="BK17" s="12">
        <f>IF(A17="",NA(),IF(Статистика!$H$8="Вкл",(((IF(Статистика!$C$4="Параллельный режим (активная мощность)",J17,U17)+Статистика!$J$4))-Статистика!$C$10)/MAX(Статистика!$G$10-Статистика!$C$10,0.000001),NA()))</f>
        <v>0.87507773627777774</v>
      </c>
      <c r="BL17" s="12" t="e">
        <f>IF(A17="",NA(),IF(Статистика!$J$8="Вкл",(((IF(Статистика!$C$4="Параллельный режим (активная мощность)",K17,V17)+Статистика!$J$4))-Статистика!$C$10)/MAX(Статистика!$G$10-Статистика!$C$10,0.000001),NA()))</f>
        <v>#N/A</v>
      </c>
      <c r="BM17" s="12" t="e">
        <f>IF(AND(A17&lt;&gt;"",Статистика!$C$6="Вкл",Статистика!$B$6&gt;0),(Статистика!$B$6-Статистика!$C$10)/MAX(Статистика!$G$10-Статистика!$C$10,0.000001),NA())</f>
        <v>#N/A</v>
      </c>
      <c r="BN17" s="12" t="e">
        <f>IF(AND(A17&lt;&gt;"",Статистика!$F$6="Вкл",Статистика!$E$6&gt;0),(Статистика!$E$6-Статистика!$C$10)/MAX(Статистика!$G$10-Статистика!$C$10,0.000001),NA())</f>
        <v>#N/A</v>
      </c>
      <c r="BO17" s="12" t="e">
        <f>IF(AND(A17&lt;&gt;"",Статистика!$I$6="Вкл",Статистика!$H$6&gt;0),(Статистика!$H$6-Статистика!$C$10)/MAX(Статистика!$G$10-Статистика!$C$10,0.000001),NA())</f>
        <v>#N/A</v>
      </c>
      <c r="BP17" s="12" t="e">
        <f>IF(AND(A17&lt;&gt;"",Статистика!$L$6="Вкл",Статистика!$K$6&gt;0),(Статистика!$K$6-Статистика!$C$10)/MAX(Статистика!$G$10-Статистика!$C$10,0.000001),NA())</f>
        <v>#N/A</v>
      </c>
      <c r="BQ17" s="12" t="e">
        <f>IF(AND(A17&lt;&gt;"",Статистика!$M$6="Вкл",Статистика!$O$6&gt;0),(Статистика!$O$6-Статистика!$C$10)/MAX(Статистика!$G$10-Статистика!$C$10,0.000001),NA())</f>
        <v>#N/A</v>
      </c>
      <c r="BR17" s="12">
        <f t="shared" si="0"/>
        <v>1</v>
      </c>
      <c r="BT17" s="12">
        <f>IF(Y17="","",MAX(0,MIN(1,(((IF(Статистика!$C$4="Параллельный режим (активная мощность)",Z17,AK17)+Статистика!$J$4))-Статистика!$C$10)/MAX(Статистика!$G$10-Статистика!$C$10,0.000001))))</f>
        <v>0.47980713066666675</v>
      </c>
      <c r="BU17" s="12">
        <f>IF(Y17="","",MAX(0,MAX(0,MIN(1,(((IF(Статистика!$C$4="Параллельный режим (активная мощность)",AB17,AM17)+Статистика!$J$4))-Статистика!$C$10)/MAX(Статистика!$G$10-Статистика!$C$10,0.000001)))-MAX(0,MIN(1,(((IF(Статистика!$C$4="Параллельный режим (активная мощность)",Z17,AK17)+Статистика!$J$4))-Статистика!$C$10)/MAX(Статистика!$G$10-Статистика!$C$10,0.000001)))))</f>
        <v>5.1707876000000097E-2</v>
      </c>
      <c r="BV17" s="12">
        <f>IF(Y17="","",MAX(0,MAX(0,MIN(1,(((IF(Статистика!$C$4="Параллельный режим (активная мощность)",AC17,AN17)+Статистика!$J$4))-Статистика!$C$10)/MAX(Статистика!$G$10-Статистика!$C$10,0.000001)))-MAX(0,MIN(1,(((IF(Статистика!$C$4="Параллельный режим (активная мощность)",AB17,AM17)+Статистика!$J$4))-Статистика!$C$10)/MAX(Статистика!$G$10-Статистика!$C$10,0.000001)))))</f>
        <v>5.1705782222221996E-2</v>
      </c>
      <c r="BW17" s="12">
        <f>IF(Y17="","",MAX(0,MAX(0,MIN(1,(((IF(Статистика!$C$4="Параллельный режим (активная мощность)",AD17,AO17)+Статистика!$J$4))-Статистика!$C$10)/MAX(Статистика!$G$10-Статистика!$C$10,0.000001)))-MAX(0,MIN(1,(((IF(Статистика!$C$4="Параллельный режим (активная мощность)",AC17,AN17)+Статистика!$J$4))-Статистика!$C$10)/MAX(Статистика!$G$10-Статистика!$C$10,0.000001)))))</f>
        <v>7.050797777777762E-2</v>
      </c>
      <c r="BX17" s="12">
        <f>IF(Y17="","",MAX(0,MAX(0,MIN(1,(((IF(Статистика!$C$4="Параллельный режим (активная мощность)",AE17,AP17)+Статистика!$J$4))-Статистика!$C$10)/MAX(Статистика!$G$10-Статистика!$C$10,0.000001)))-MAX(0,MIN(1,(((IF(Статистика!$C$4="Параллельный режим (активная мощность)",AD17,AO17)+Статистика!$J$4))-Статистика!$C$10)/MAX(Статистика!$G$10-Статистика!$C$10,0.000001)))))</f>
        <v>5.5475424999999912E-2</v>
      </c>
      <c r="BY17" s="12">
        <f>IF(Y17="","",MAX(0,MAX(0,MIN(1,(((IF(Статистика!$C$4="Параллельный режим (активная мощность)",AF17,AQ17)+Статистика!$J$4))-Статистика!$C$10)/MAX(Статистика!$G$10-Статистика!$C$10,0.000001)))-MAX(0,MIN(1,(((IF(Статистика!$C$4="Параллельный режим (активная мощность)",AE17,AP17)+Статистика!$J$4))-Статистика!$C$10)/MAX(Статистика!$G$10-Статистика!$C$10,0.000001)))))</f>
        <v>0.11501617277777831</v>
      </c>
      <c r="BZ17" s="12">
        <f>IF(Y17="","",MAX(0,MAX(0,MIN(1,(((IF(Статистика!$C$4="Параллельный режим (активная мощность)",AH17,AS17)+Статистика!$J$4))-Статистика!$C$10)/MAX(Статистика!$G$10-Статистика!$C$10,0.000001)))-MAX(0,MIN(1,(((IF(Статистика!$C$4="Параллельный режим (активная мощность)",AF17,AQ17)+Статистика!$J$4))-Статистика!$C$10)/MAX(Статистика!$G$10-Статистика!$C$10,0.000001)))))</f>
        <v>2.8631019999993956E-3</v>
      </c>
      <c r="CA17" s="12">
        <f>IF(Y17="","",MAX(0,1-MAX(0,MIN(1,(((IF(Статистика!$C$4="Параллельный режим (активная мощность)",AH17,AS17)+Статистика!$J$4))-Статистика!$C$10)/MAX(Статистика!$G$10-Статистика!$C$10,0.000001)))))</f>
        <v>0.17291653355555592</v>
      </c>
      <c r="CB17" s="12">
        <f>IF(Y17="",NA(),IF(Статистика!$B$8="Вкл",(((IF(Статистика!$C$4="Параллельный режим (активная мощность)",AD17,AO17)+Статистика!$J$4))-Статистика!$C$10)/MAX(Статистика!$G$10-Статистика!$C$10,0.000001),NA()))</f>
        <v>0.65372876666666646</v>
      </c>
      <c r="CC17" s="12">
        <f>IF(Y17="",NA(),IF(Статистика!$D$8="Вкл",(((IF(Статистика!$C$4="Параллельный режим (активная мощность)",AC17,AN17)+Статистика!$J$4))-Статистика!$C$10)/MAX(Статистика!$G$10-Статистика!$C$10,0.000001),NA()))</f>
        <v>0.58322078888888884</v>
      </c>
      <c r="CD17" s="12">
        <f>IF(Y17="",NA(),IF(Статистика!$D$8="Вкл",(((IF(Статистика!$C$4="Параллельный режим (активная мощность)",AE17,AP17)+Статистика!$J$4))-Статистика!$C$10)/MAX(Статистика!$G$10-Статистика!$C$10,0.000001),NA()))</f>
        <v>0.70920419166666637</v>
      </c>
      <c r="CE17" s="12">
        <f>IF(Y17="",NA(),IF(Статистика!$F$8="Вкл",(((IF(Статистика!$C$4="Параллельный режим (активная мощность)",AB17,AM17)+Статистика!$J$4))-Статистика!$C$10)/MAX(Статистика!$G$10-Статистика!$C$10,0.000001),NA()))</f>
        <v>0.53151500666666684</v>
      </c>
      <c r="CF17" s="12">
        <f>IF(Y17="",NA(),IF(Статистика!$F$8="Вкл",(((IF(Статистика!$C$4="Параллельный режим (активная мощность)",AF17,AQ17)+Статистика!$J$4))-Статистика!$C$10)/MAX(Статистика!$G$10-Статистика!$C$10,0.000001),NA()))</f>
        <v>0.82422036444444469</v>
      </c>
      <c r="CG17" s="12">
        <f>IF(Y17="",NA(),IF(Статистика!$H$8="Вкл",(((IF(Статистика!$C$4="Параллельный режим (активная мощность)",Z17,AK17)+Статистика!$J$4))-Статистика!$C$10)/MAX(Статистика!$G$10-Статистика!$C$10,0.000001),NA()))</f>
        <v>0.47980713066666675</v>
      </c>
      <c r="CH17" s="12">
        <f>IF(Y17="",NA(),IF(Статистика!$H$8="Вкл",(((IF(Статистика!$C$4="Параллельный режим (активная мощность)",AH17,AS17)+Статистика!$J$4))-Статистика!$C$10)/MAX(Статистика!$G$10-Статистика!$C$10,0.000001),NA()))</f>
        <v>0.82708346644444408</v>
      </c>
      <c r="CI17" s="12" t="e">
        <f>IF(Y17="",NA(),IF(Статистика!$J$8="Вкл",(((IF(Статистика!$C$4="Параллельный режим (активная мощность)",AI17,AT17)+Статистика!$J$4))-Статистика!$C$10)/MAX(Статистика!$G$10-Статистика!$C$10,0.000001),NA()))</f>
        <v>#N/A</v>
      </c>
      <c r="CJ17" s="12" t="e">
        <f>IF(AND(Y17&lt;&gt;"",Статистика!$C$6="Вкл",Статистика!$B$6&gt;0),(Статистика!$B$6-Статистика!$C$10)/MAX(Статистика!$G$10-Статистика!$C$10,0.000001),NA())</f>
        <v>#N/A</v>
      </c>
      <c r="CK17" s="12" t="e">
        <f>IF(AND(Y17&lt;&gt;"",Статистика!$F$6="Вкл",Статистика!$E$6&gt;0),(Статистика!$E$6-Статистика!$C$10)/MAX(Статистика!$G$10-Статистика!$C$10,0.000001),NA())</f>
        <v>#N/A</v>
      </c>
      <c r="CL17" s="12" t="e">
        <f>IF(AND(Y17&lt;&gt;"",Статистика!$I$6="Вкл",Статистика!$H$6&gt;0),(Статистика!$H$6-Статистика!$C$10)/MAX(Статистика!$G$10-Статистика!$C$10,0.000001),NA())</f>
        <v>#N/A</v>
      </c>
      <c r="CM17" s="12" t="e">
        <f>IF(AND(Y17&lt;&gt;"",Статистика!$L$6="Вкл",Статистика!$K$6&gt;0),(Статистика!$K$6-Статистика!$C$10)/MAX(Статистика!$G$10-Статистика!$C$10,0.000001),NA())</f>
        <v>#N/A</v>
      </c>
      <c r="CN17" s="12" t="e">
        <f>IF(AND(Y17&lt;&gt;"",Статистика!$M$6="Вкл",Статистика!$O$6&gt;0),(Статистика!$O$6-Статистика!$C$10)/MAX(Статистика!$G$10-Статистика!$C$10,0.000001),NA())</f>
        <v>#N/A</v>
      </c>
      <c r="CO17" s="12">
        <f t="shared" si="1"/>
        <v>1</v>
      </c>
    </row>
    <row r="18" spans="1:93" ht="15" customHeight="1">
      <c r="A18" s="12" t="s">
        <v>119</v>
      </c>
      <c r="B18" s="12">
        <v>2342.0476063333331</v>
      </c>
      <c r="C18" s="12">
        <v>5763.7889649999997</v>
      </c>
      <c r="D18" s="12">
        <v>7437.9415033333325</v>
      </c>
      <c r="E18" s="12">
        <v>7763.4806333333336</v>
      </c>
      <c r="F18" s="12">
        <v>7942.44445</v>
      </c>
      <c r="G18" s="12">
        <v>8174.0366833333346</v>
      </c>
      <c r="H18" s="12">
        <v>8482.2544916666666</v>
      </c>
      <c r="I18" s="12">
        <v>8563.659345</v>
      </c>
      <c r="J18" s="12">
        <v>8594.9042156666656</v>
      </c>
      <c r="K18" s="12">
        <v>8757.93</v>
      </c>
      <c r="L18" s="12" t="s">
        <v>120</v>
      </c>
      <c r="M18" s="12">
        <v>2896.5098235</v>
      </c>
      <c r="N18" s="12">
        <v>6633.1855175000001</v>
      </c>
      <c r="O18" s="12">
        <v>8525.3577299999997</v>
      </c>
      <c r="P18" s="12">
        <v>8913.4761249999992</v>
      </c>
      <c r="Q18" s="12">
        <v>9050.7197833333339</v>
      </c>
      <c r="R18" s="12">
        <v>9276.8197583333349</v>
      </c>
      <c r="S18" s="12">
        <v>9617.1359983333314</v>
      </c>
      <c r="T18" s="12">
        <v>9680.0368083333324</v>
      </c>
      <c r="U18" s="12">
        <v>9684.8258683333333</v>
      </c>
      <c r="V18" s="12">
        <v>9837.8799999999992</v>
      </c>
      <c r="W18" s="12" t="s">
        <v>121</v>
      </c>
      <c r="Y18" s="12" t="s">
        <v>119</v>
      </c>
      <c r="Z18" s="12">
        <v>7363.510435166666</v>
      </c>
      <c r="AA18" s="12">
        <v>7448.3527091666665</v>
      </c>
      <c r="AB18" s="12">
        <v>7554.4055516666658</v>
      </c>
      <c r="AC18" s="12">
        <v>7767.1152750000001</v>
      </c>
      <c r="AD18" s="12">
        <v>7978.5162833333325</v>
      </c>
      <c r="AE18" s="12">
        <v>8151.7087416666682</v>
      </c>
      <c r="AF18" s="12">
        <v>8450.0388316666667</v>
      </c>
      <c r="AG18" s="12">
        <v>8464.1528491666668</v>
      </c>
      <c r="AH18" s="12">
        <v>8475.4440631666675</v>
      </c>
      <c r="AI18" s="12">
        <v>8638.84</v>
      </c>
      <c r="AJ18" s="12" t="s">
        <v>122</v>
      </c>
      <c r="AK18" s="12">
        <v>8432.9970504999983</v>
      </c>
      <c r="AL18" s="12">
        <v>8539.2612524999986</v>
      </c>
      <c r="AM18" s="12">
        <v>8672.0915050000003</v>
      </c>
      <c r="AN18" s="12">
        <v>8946.4117416666668</v>
      </c>
      <c r="AO18" s="12">
        <v>9045.4402666666683</v>
      </c>
      <c r="AP18" s="12">
        <v>9277.0324916666668</v>
      </c>
      <c r="AQ18" s="12">
        <v>9565.2479650000005</v>
      </c>
      <c r="AR18" s="12">
        <v>9569.6306491666674</v>
      </c>
      <c r="AS18" s="12">
        <v>9573.1367965000009</v>
      </c>
      <c r="AT18" s="12">
        <v>9727.3700000000008</v>
      </c>
      <c r="AU18" s="12" t="s">
        <v>122</v>
      </c>
      <c r="AW18" s="12">
        <f>IF(A18="","",MAX(0,MIN(1,(((IF(Статистика!$C$4="Параллельный режим (активная мощность)",B18,M18)+Статистика!$J$4))-Статистика!$C$10)/MAX(Статистика!$G$10-Статистика!$C$10,0.000001))))</f>
        <v>0</v>
      </c>
      <c r="AX18" s="12">
        <f>IF(A18="","",MAX(0,MAX(0,MIN(1,(((IF(Статистика!$C$4="Параллельный режим (активная мощность)",D18,O18)+Статистика!$J$4))-Статистика!$C$10)/MAX(Статистика!$G$10-Статистика!$C$10,0.000001)))-MAX(0,MIN(1,(((IF(Статистика!$C$4="Параллельный режим (активная мощность)",B18,M18)+Статистика!$J$4))-Статистика!$C$10)/MAX(Статистика!$G$10-Статистика!$C$10,0.000001)))))</f>
        <v>0.4793138344444442</v>
      </c>
      <c r="AY18" s="12">
        <f>IF(A18="","",MAX(0,MAX(0,MIN(1,(((IF(Статистика!$C$4="Параллельный режим (активная мощность)",E18,P18)+Статистика!$J$4))-Статистика!$C$10)/MAX(Статистика!$G$10-Статистика!$C$10,0.000001)))-MAX(0,MIN(1,(((IF(Статистика!$C$4="Параллельный режим (активная мощность)",D18,O18)+Статистика!$J$4))-Статистика!$C$10)/MAX(Статистика!$G$10-Статистика!$C$10,0.000001)))))</f>
        <v>0.10851304333333367</v>
      </c>
      <c r="AZ18" s="12">
        <f>IF(A18="","",MAX(0,MAX(0,MIN(1,(((IF(Статистика!$C$4="Параллельный режим (активная мощность)",F18,Q18)+Статистика!$J$4))-Статистика!$C$10)/MAX(Статистика!$G$10-Статистика!$C$10,0.000001)))-MAX(0,MIN(1,(((IF(Статистика!$C$4="Параллельный режим (активная мощность)",E18,P18)+Статистика!$J$4))-Статистика!$C$10)/MAX(Статистика!$G$10-Статистика!$C$10,0.000001)))))</f>
        <v>5.9654605555555462E-2</v>
      </c>
      <c r="BA18" s="12">
        <f>IF(A18="","",MAX(0,MAX(0,MIN(1,(((IF(Статистика!$C$4="Параллельный режим (активная мощность)",G18,R18)+Статистика!$J$4))-Статистика!$C$10)/MAX(Статистика!$G$10-Статистика!$C$10,0.000001)))-MAX(0,MIN(1,(((IF(Статистика!$C$4="Параллельный режим (активная мощность)",F18,Q18)+Статистика!$J$4))-Статистика!$C$10)/MAX(Статистика!$G$10-Статистика!$C$10,0.000001)))))</f>
        <v>7.7197411111111558E-2</v>
      </c>
      <c r="BB18" s="12">
        <f>IF(A18="","",MAX(0,MAX(0,MIN(1,(((IF(Статистика!$C$4="Параллельный режим (активная мощность)",H18,S18)+Статистика!$J$4))-Статистика!$C$10)/MAX(Статистика!$G$10-Статистика!$C$10,0.000001)))-MAX(0,MIN(1,(((IF(Статистика!$C$4="Параллельный режим (активная мощность)",G18,R18)+Статистика!$J$4))-Статистика!$C$10)/MAX(Статистика!$G$10-Статистика!$C$10,0.000001)))))</f>
        <v>0.102739269444444</v>
      </c>
      <c r="BC18" s="12">
        <f>IF(A18="","",MAX(0,MAX(0,MIN(1,(((IF(Статистика!$C$4="Параллельный режим (активная мощность)",J18,U18)+Статистика!$J$4))-Статистика!$C$10)/MAX(Статистика!$G$10-Статистика!$C$10,0.000001)))-MAX(0,MIN(1,(((IF(Статистика!$C$4="Параллельный режим (активная мощность)",H18,S18)+Статистика!$J$4))-Статистика!$C$10)/MAX(Статистика!$G$10-Статистика!$C$10,0.000001)))))</f>
        <v>3.7549907999999577E-2</v>
      </c>
      <c r="BD18" s="12">
        <f>IF(A18="","",MAX(0,1-MAX(0,MIN(1,(((IF(Статистика!$C$4="Параллельный режим (активная мощность)",J18,U18)+Статистика!$J$4))-Статистика!$C$10)/MAX(Статистика!$G$10-Статистика!$C$10,0.000001)))))</f>
        <v>0.13503192811111153</v>
      </c>
      <c r="BE18" s="12">
        <f>IF(A18="",NA(),IF(Статистика!$B$8="Вкл",(((IF(Статистика!$C$4="Параллельный режим (активная мощность)",F18,Q18)+Статистика!$J$4))-Статистика!$C$10)/MAX(Статистика!$G$10-Статистика!$C$10,0.000001),NA()))</f>
        <v>0.64748148333333333</v>
      </c>
      <c r="BF18" s="12">
        <f>IF(A18="",NA(),IF(Статистика!$D$8="Вкл",(((IF(Статистика!$C$4="Параллельный режим (активная мощность)",E18,P18)+Статистика!$J$4))-Статистика!$C$10)/MAX(Статистика!$G$10-Статистика!$C$10,0.000001),NA()))</f>
        <v>0.58782687777777787</v>
      </c>
      <c r="BG18" s="12">
        <f>IF(A18="",NA(),IF(Статистика!$D$8="Вкл",(((IF(Статистика!$C$4="Параллельный режим (активная мощность)",G18,R18)+Статистика!$J$4))-Статистика!$C$10)/MAX(Статистика!$G$10-Статистика!$C$10,0.000001),NA()))</f>
        <v>0.72467889444444489</v>
      </c>
      <c r="BH18" s="12">
        <f>IF(A18="",NA(),IF(Статистика!$F$8="Вкл",(((IF(Статистика!$C$4="Параллельный режим (активная мощность)",D18,O18)+Статистика!$J$4))-Статистика!$C$10)/MAX(Статистика!$G$10-Статистика!$C$10,0.000001),NA()))</f>
        <v>0.4793138344444442</v>
      </c>
      <c r="BI18" s="12">
        <f>IF(A18="",NA(),IF(Статистика!$F$8="Вкл",(((IF(Статистика!$C$4="Параллельный режим (активная мощность)",H18,S18)+Статистика!$J$4))-Статистика!$C$10)/MAX(Статистика!$G$10-Статистика!$C$10,0.000001),NA()))</f>
        <v>0.82741816388888889</v>
      </c>
      <c r="BJ18" s="12">
        <f>IF(A18="",NA(),IF(Статистика!$H$8="Вкл",(((IF(Статистика!$C$4="Параллельный режим (активная мощность)",B18,M18)+Статистика!$J$4))-Статистика!$C$10)/MAX(Статистика!$G$10-Статистика!$C$10,0.000001),NA()))</f>
        <v>-1.2193174645555556</v>
      </c>
      <c r="BK18" s="12">
        <f>IF(A18="",NA(),IF(Статистика!$H$8="Вкл",(((IF(Статистика!$C$4="Параллельный режим (активная мощность)",J18,U18)+Статистика!$J$4))-Статистика!$C$10)/MAX(Статистика!$G$10-Статистика!$C$10,0.000001),NA()))</f>
        <v>0.86496807188888847</v>
      </c>
      <c r="BL18" s="12" t="e">
        <f>IF(A18="",NA(),IF(Статистика!$J$8="Вкл",(((IF(Статистика!$C$4="Параллельный режим (активная мощность)",K18,V18)+Статистика!$J$4))-Статистика!$C$10)/MAX(Статистика!$G$10-Статистика!$C$10,0.000001),NA()))</f>
        <v>#N/A</v>
      </c>
      <c r="BM18" s="12" t="e">
        <f>IF(AND(A18&lt;&gt;"",Статистика!$C$6="Вкл",Статистика!$B$6&gt;0),(Статистика!$B$6-Статистика!$C$10)/MAX(Статистика!$G$10-Статистика!$C$10,0.000001),NA())</f>
        <v>#N/A</v>
      </c>
      <c r="BN18" s="12" t="e">
        <f>IF(AND(A18&lt;&gt;"",Статистика!$F$6="Вкл",Статистика!$E$6&gt;0),(Статистика!$E$6-Статистика!$C$10)/MAX(Статистика!$G$10-Статистика!$C$10,0.000001),NA())</f>
        <v>#N/A</v>
      </c>
      <c r="BO18" s="12" t="e">
        <f>IF(AND(A18&lt;&gt;"",Статистика!$I$6="Вкл",Статистика!$H$6&gt;0),(Статистика!$H$6-Статистика!$C$10)/MAX(Статистика!$G$10-Статистика!$C$10,0.000001),NA())</f>
        <v>#N/A</v>
      </c>
      <c r="BP18" s="12" t="e">
        <f>IF(AND(A18&lt;&gt;"",Статистика!$L$6="Вкл",Статистика!$K$6&gt;0),(Статистика!$K$6-Статистика!$C$10)/MAX(Статистика!$G$10-Статистика!$C$10,0.000001),NA())</f>
        <v>#N/A</v>
      </c>
      <c r="BQ18" s="12" t="e">
        <f>IF(AND(A18&lt;&gt;"",Статистика!$M$6="Вкл",Статистика!$O$6&gt;0),(Статистика!$O$6-Статистика!$C$10)/MAX(Статистика!$G$10-Статистика!$C$10,0.000001),NA())</f>
        <v>#N/A</v>
      </c>
      <c r="BR18" s="12">
        <f t="shared" si="0"/>
        <v>1</v>
      </c>
      <c r="BT18" s="12">
        <f>IF(Y18="","",MAX(0,MIN(1,(((IF(Статистика!$C$4="Параллельный режим (активная мощность)",Z18,AK18)+Статистика!$J$4))-Статистика!$C$10)/MAX(Статистика!$G$10-Статистика!$C$10,0.000001))))</f>
        <v>0.45450347838888866</v>
      </c>
      <c r="BU18" s="12">
        <f>IF(Y18="","",MAX(0,MAX(0,MIN(1,(((IF(Статистика!$C$4="Параллельный режим (активная мощность)",AB18,AM18)+Статистика!$J$4))-Статистика!$C$10)/MAX(Статистика!$G$10-Статистика!$C$10,0.000001)))-MAX(0,MIN(1,(((IF(Статистика!$C$4="Параллельный режим (активная мощность)",Z18,AK18)+Статистика!$J$4))-Статистика!$C$10)/MAX(Статистика!$G$10-Статистика!$C$10,0.000001)))))</f>
        <v>6.3631705499999913E-2</v>
      </c>
      <c r="BV18" s="12">
        <f>IF(Y18="","",MAX(0,MAX(0,MIN(1,(((IF(Статистика!$C$4="Параллельный режим (активная мощность)",AC18,AN18)+Статистика!$J$4))-Статистика!$C$10)/MAX(Статистика!$G$10-Статистика!$C$10,0.000001)))-MAX(0,MIN(1,(((IF(Статистика!$C$4="Параллельный режим (активная мощность)",AB18,AM18)+Статистика!$J$4))-Статистика!$C$10)/MAX(Статистика!$G$10-Статистика!$C$10,0.000001)))))</f>
        <v>7.0903241111111459E-2</v>
      </c>
      <c r="BW18" s="12">
        <f>IF(Y18="","",MAX(0,MAX(0,MIN(1,(((IF(Статистика!$C$4="Параллельный режим (активная мощность)",AD18,AO18)+Статистика!$J$4))-Статистика!$C$10)/MAX(Статистика!$G$10-Статистика!$C$10,0.000001)))-MAX(0,MIN(1,(((IF(Статистика!$C$4="Параллельный режим (активная мощность)",AC18,AN18)+Статистика!$J$4))-Статистика!$C$10)/MAX(Статистика!$G$10-Статистика!$C$10,0.000001)))))</f>
        <v>7.046700277777751E-2</v>
      </c>
      <c r="BX18" s="12">
        <f>IF(Y18="","",MAX(0,MAX(0,MIN(1,(((IF(Статистика!$C$4="Параллельный режим (активная мощность)",AE18,AP18)+Статистика!$J$4))-Статистика!$C$10)/MAX(Статистика!$G$10-Статистика!$C$10,0.000001)))-MAX(0,MIN(1,(((IF(Статистика!$C$4="Параллельный режим (активная мощность)",AD18,AO18)+Статистика!$J$4))-Статистика!$C$10)/MAX(Статистика!$G$10-Статистика!$C$10,0.000001)))))</f>
        <v>5.7730819444445136E-2</v>
      </c>
      <c r="BY18" s="12">
        <f>IF(Y18="","",MAX(0,MAX(0,MIN(1,(((IF(Статистика!$C$4="Параллельный режим (активная мощность)",AF18,AQ18)+Статистика!$J$4))-Статистика!$C$10)/MAX(Статистика!$G$10-Статистика!$C$10,0.000001)))-MAX(0,MIN(1,(((IF(Статистика!$C$4="Параллельный режим (активная мощность)",AE18,AP18)+Статистика!$J$4))-Статистика!$C$10)/MAX(Статистика!$G$10-Статистика!$C$10,0.000001)))))</f>
        <v>9.9443363333332924E-2</v>
      </c>
      <c r="BZ18" s="12">
        <f>IF(Y18="","",MAX(0,MAX(0,MIN(1,(((IF(Статистика!$C$4="Параллельный режим (активная мощность)",AH18,AS18)+Статистика!$J$4))-Статистика!$C$10)/MAX(Статистика!$G$10-Статистика!$C$10,0.000001)))-MAX(0,MIN(1,(((IF(Статистика!$C$4="Параллельный режим (активная мощность)",AF18,AQ18)+Статистика!$J$4))-Статистика!$C$10)/MAX(Статистика!$G$10-Статистика!$C$10,0.000001)))))</f>
        <v>8.4684105000002452E-3</v>
      </c>
      <c r="CA18" s="12">
        <f>IF(Y18="","",MAX(0,1-MAX(0,MIN(1,(((IF(Статистика!$C$4="Параллельный режим (активная мощность)",AH18,AS18)+Статистика!$J$4))-Статистика!$C$10)/MAX(Статистика!$G$10-Статистика!$C$10,0.000001)))))</f>
        <v>0.17485197894444415</v>
      </c>
      <c r="CB18" s="12">
        <f>IF(Y18="",NA(),IF(Статистика!$B$8="Вкл",(((IF(Статистика!$C$4="Параллельный режим (активная мощность)",AD18,AO18)+Статистика!$J$4))-Статистика!$C$10)/MAX(Статистика!$G$10-Статистика!$C$10,0.000001),NA()))</f>
        <v>0.65950542777777754</v>
      </c>
      <c r="CC18" s="12">
        <f>IF(Y18="",NA(),IF(Статистика!$D$8="Вкл",(((IF(Статистика!$C$4="Параллельный режим (активная мощность)",AC18,AN18)+Статистика!$J$4))-Статистика!$C$10)/MAX(Статистика!$G$10-Статистика!$C$10,0.000001),NA()))</f>
        <v>0.58903842500000003</v>
      </c>
      <c r="CD18" s="12">
        <f>IF(Y18="",NA(),IF(Статистика!$D$8="Вкл",(((IF(Статистика!$C$4="Параллельный режим (активная мощность)",AE18,AP18)+Статистика!$J$4))-Статистика!$C$10)/MAX(Статистика!$G$10-Статистика!$C$10,0.000001),NA()))</f>
        <v>0.71723624722222268</v>
      </c>
      <c r="CE18" s="12">
        <f>IF(Y18="",NA(),IF(Статистика!$F$8="Вкл",(((IF(Статистика!$C$4="Параллельный режим (активная мощность)",AB18,AM18)+Статистика!$J$4))-Статистика!$C$10)/MAX(Статистика!$G$10-Статистика!$C$10,0.000001),NA()))</f>
        <v>0.51813518388888857</v>
      </c>
      <c r="CF18" s="12">
        <f>IF(Y18="",NA(),IF(Статистика!$F$8="Вкл",(((IF(Статистика!$C$4="Параллельный режим (активная мощность)",AF18,AQ18)+Статистика!$J$4))-Статистика!$C$10)/MAX(Статистика!$G$10-Статистика!$C$10,0.000001),NA()))</f>
        <v>0.8166796105555556</v>
      </c>
      <c r="CG18" s="12">
        <f>IF(Y18="",NA(),IF(Статистика!$H$8="Вкл",(((IF(Статистика!$C$4="Параллельный режим (активная мощность)",Z18,AK18)+Статистика!$J$4))-Статистика!$C$10)/MAX(Статистика!$G$10-Статистика!$C$10,0.000001),NA()))</f>
        <v>0.45450347838888866</v>
      </c>
      <c r="CH18" s="12">
        <f>IF(Y18="",NA(),IF(Статистика!$H$8="Вкл",(((IF(Статистика!$C$4="Параллельный режим (активная мощность)",AH18,AS18)+Статистика!$J$4))-Статистика!$C$10)/MAX(Статистика!$G$10-Статистика!$C$10,0.000001),NA()))</f>
        <v>0.82514802105555585</v>
      </c>
      <c r="CI18" s="12" t="e">
        <f>IF(Y18="",NA(),IF(Статистика!$J$8="Вкл",(((IF(Статистика!$C$4="Параллельный режим (активная мощность)",AI18,AT18)+Статистика!$J$4))-Статистика!$C$10)/MAX(Статистика!$G$10-Статистика!$C$10,0.000001),NA()))</f>
        <v>#N/A</v>
      </c>
      <c r="CJ18" s="12" t="e">
        <f>IF(AND(Y18&lt;&gt;"",Статистика!$C$6="Вкл",Статистика!$B$6&gt;0),(Статистика!$B$6-Статистика!$C$10)/MAX(Статистика!$G$10-Статистика!$C$10,0.000001),NA())</f>
        <v>#N/A</v>
      </c>
      <c r="CK18" s="12" t="e">
        <f>IF(AND(Y18&lt;&gt;"",Статистика!$F$6="Вкл",Статистика!$E$6&gt;0),(Статистика!$E$6-Статистика!$C$10)/MAX(Статистика!$G$10-Статистика!$C$10,0.000001),NA())</f>
        <v>#N/A</v>
      </c>
      <c r="CL18" s="12" t="e">
        <f>IF(AND(Y18&lt;&gt;"",Статистика!$I$6="Вкл",Статистика!$H$6&gt;0),(Статистика!$H$6-Статистика!$C$10)/MAX(Статистика!$G$10-Статистика!$C$10,0.000001),NA())</f>
        <v>#N/A</v>
      </c>
      <c r="CM18" s="12" t="e">
        <f>IF(AND(Y18&lt;&gt;"",Статистика!$L$6="Вкл",Статистика!$K$6&gt;0),(Статистика!$K$6-Статистика!$C$10)/MAX(Статистика!$G$10-Статистика!$C$10,0.000001),NA())</f>
        <v>#N/A</v>
      </c>
      <c r="CN18" s="12" t="e">
        <f>IF(AND(Y18&lt;&gt;"",Статистика!$M$6="Вкл",Статистика!$O$6&gt;0),(Статистика!$O$6-Статистика!$C$10)/MAX(Статистика!$G$10-Статистика!$C$10,0.000001),NA())</f>
        <v>#N/A</v>
      </c>
      <c r="CO18" s="12">
        <f t="shared" si="1"/>
        <v>1</v>
      </c>
    </row>
    <row r="19" spans="1:93" ht="15" customHeight="1">
      <c r="A19" s="12" t="s">
        <v>123</v>
      </c>
      <c r="B19" s="12">
        <v>2382.6602189999999</v>
      </c>
      <c r="C19" s="12">
        <v>5789.0324283333339</v>
      </c>
      <c r="D19" s="12">
        <v>7429.7930550000001</v>
      </c>
      <c r="E19" s="12">
        <v>7835.4522583333337</v>
      </c>
      <c r="F19" s="12">
        <v>7985.4190833333341</v>
      </c>
      <c r="G19" s="12">
        <v>8189.3688666666676</v>
      </c>
      <c r="H19" s="12">
        <v>8476.2111383333322</v>
      </c>
      <c r="I19" s="12">
        <v>8577.5759124999986</v>
      </c>
      <c r="J19" s="12">
        <v>8607.1065158333331</v>
      </c>
      <c r="K19" s="12">
        <v>8760.93</v>
      </c>
      <c r="L19" s="12" t="s">
        <v>124</v>
      </c>
      <c r="M19" s="12">
        <v>2939.9403641666668</v>
      </c>
      <c r="N19" s="12">
        <v>6654.936354166668</v>
      </c>
      <c r="O19" s="12">
        <v>8449.053941666667</v>
      </c>
      <c r="P19" s="12">
        <v>8941.0017750000006</v>
      </c>
      <c r="Q19" s="12">
        <v>9083.8043499999985</v>
      </c>
      <c r="R19" s="12">
        <v>9298.9079999999994</v>
      </c>
      <c r="S19" s="12">
        <v>9622.9077233333319</v>
      </c>
      <c r="T19" s="12">
        <v>9696.7002483333326</v>
      </c>
      <c r="U19" s="12">
        <v>9709.8561563333333</v>
      </c>
      <c r="V19" s="12">
        <v>9851.4500000000007</v>
      </c>
      <c r="W19" s="12" t="s">
        <v>125</v>
      </c>
      <c r="Y19" s="12" t="s">
        <v>123</v>
      </c>
      <c r="Z19" s="12">
        <v>7356.3963968333328</v>
      </c>
      <c r="AA19" s="12">
        <v>7440.7302508333332</v>
      </c>
      <c r="AB19" s="12">
        <v>7546.1475683333329</v>
      </c>
      <c r="AC19" s="12">
        <v>7738.029758333334</v>
      </c>
      <c r="AD19" s="12">
        <v>7962.9575999999997</v>
      </c>
      <c r="AE19" s="12">
        <v>8152.4775083333334</v>
      </c>
      <c r="AF19" s="12">
        <v>8433.0277366666669</v>
      </c>
      <c r="AG19" s="12">
        <v>8433.9288016666669</v>
      </c>
      <c r="AH19" s="12">
        <v>8434.6496536666673</v>
      </c>
      <c r="AI19" s="12">
        <v>8588.69</v>
      </c>
      <c r="AJ19" s="12" t="s">
        <v>126</v>
      </c>
      <c r="AK19" s="12">
        <v>8418.8389975000009</v>
      </c>
      <c r="AL19" s="12">
        <v>8500.8009875000007</v>
      </c>
      <c r="AM19" s="12">
        <v>8603.2534750000013</v>
      </c>
      <c r="AN19" s="12">
        <v>8910.153491666666</v>
      </c>
      <c r="AO19" s="12">
        <v>9034.4601999999995</v>
      </c>
      <c r="AP19" s="12">
        <v>9285.7721416666664</v>
      </c>
      <c r="AQ19" s="12">
        <v>9542.87637</v>
      </c>
      <c r="AR19" s="12">
        <v>9556.1997350000001</v>
      </c>
      <c r="AS19" s="12">
        <v>9566.858427000001</v>
      </c>
      <c r="AT19" s="12">
        <v>9708.25</v>
      </c>
      <c r="AU19" s="12" t="s">
        <v>126</v>
      </c>
      <c r="AW19" s="12">
        <f>IF(A19="","",MAX(0,MIN(1,(((IF(Статистика!$C$4="Параллельный режим (активная мощность)",B19,M19)+Статистика!$J$4))-Статистика!$C$10)/MAX(Статистика!$G$10-Статистика!$C$10,0.000001))))</f>
        <v>0</v>
      </c>
      <c r="AX19" s="12">
        <f>IF(A19="","",MAX(0,MAX(0,MIN(1,(((IF(Статистика!$C$4="Параллельный режим (активная мощность)",D19,O19)+Статистика!$J$4))-Статистика!$C$10)/MAX(Статистика!$G$10-Статистика!$C$10,0.000001)))-MAX(0,MIN(1,(((IF(Статистика!$C$4="Параллельный режим (активная мощность)",B19,M19)+Статистика!$J$4))-Статистика!$C$10)/MAX(Статистика!$G$10-Статистика!$C$10,0.000001)))))</f>
        <v>0.47659768500000005</v>
      </c>
      <c r="AY19" s="12">
        <f>IF(A19="","",MAX(0,MAX(0,MIN(1,(((IF(Статистика!$C$4="Параллельный режим (активная мощность)",E19,P19)+Статистика!$J$4))-Статистика!$C$10)/MAX(Статистика!$G$10-Статистика!$C$10,0.000001)))-MAX(0,MIN(1,(((IF(Статистика!$C$4="Параллельный режим (активная мощность)",D19,O19)+Статистика!$J$4))-Статистика!$C$10)/MAX(Статистика!$G$10-Статистика!$C$10,0.000001)))))</f>
        <v>0.13521973444444452</v>
      </c>
      <c r="AZ19" s="12">
        <f>IF(A19="","",MAX(0,MAX(0,MIN(1,(((IF(Статистика!$C$4="Параллельный режим (активная мощность)",F19,Q19)+Статистика!$J$4))-Статистика!$C$10)/MAX(Статистика!$G$10-Статистика!$C$10,0.000001)))-MAX(0,MIN(1,(((IF(Статистика!$C$4="Параллельный режим (активная мощность)",E19,P19)+Статистика!$J$4))-Статистика!$C$10)/MAX(Статистика!$G$10-Статистика!$C$10,0.000001)))))</f>
        <v>4.9988941666666786E-2</v>
      </c>
      <c r="BA19" s="12">
        <f>IF(A19="","",MAX(0,MAX(0,MIN(1,(((IF(Статистика!$C$4="Параллельный режим (активная мощность)",G19,R19)+Статистика!$J$4))-Статистика!$C$10)/MAX(Статистика!$G$10-Статистика!$C$10,0.000001)))-MAX(0,MIN(1,(((IF(Статистика!$C$4="Параллельный режим (активная мощность)",F19,Q19)+Статистика!$J$4))-Статистика!$C$10)/MAX(Статистика!$G$10-Статистика!$C$10,0.000001)))))</f>
        <v>6.7983261111111193E-2</v>
      </c>
      <c r="BB19" s="12">
        <f>IF(A19="","",MAX(0,MAX(0,MIN(1,(((IF(Статистика!$C$4="Параллельный режим (активная мощность)",H19,S19)+Статистика!$J$4))-Статистика!$C$10)/MAX(Статистика!$G$10-Статистика!$C$10,0.000001)))-MAX(0,MIN(1,(((IF(Статистика!$C$4="Параллельный режим (активная мощность)",G19,R19)+Статистика!$J$4))-Статистика!$C$10)/MAX(Статистика!$G$10-Статистика!$C$10,0.000001)))))</f>
        <v>9.5614090555554809E-2</v>
      </c>
      <c r="BC19" s="12">
        <f>IF(A19="","",MAX(0,MAX(0,MIN(1,(((IF(Статистика!$C$4="Параллельный режим (активная мощность)",J19,U19)+Статистика!$J$4))-Статистика!$C$10)/MAX(Статистика!$G$10-Статистика!$C$10,0.000001)))-MAX(0,MIN(1,(((IF(Статистика!$C$4="Параллельный режим (активная мощность)",H19,S19)+Статистика!$J$4))-Статистика!$C$10)/MAX(Статистика!$G$10-Статистика!$C$10,0.000001)))))</f>
        <v>4.3631792500000377E-2</v>
      </c>
      <c r="BD19" s="12">
        <f>IF(A19="","",MAX(0,1-MAX(0,MIN(1,(((IF(Статистика!$C$4="Параллельный режим (активная мощность)",J19,U19)+Статистика!$J$4))-Статистика!$C$10)/MAX(Статистика!$G$10-Статистика!$C$10,0.000001)))))</f>
        <v>0.13096449472222227</v>
      </c>
      <c r="BE19" s="12">
        <f>IF(A19="",NA(),IF(Статистика!$B$8="Вкл",(((IF(Статистика!$C$4="Параллельный режим (активная мощность)",F19,Q19)+Статистика!$J$4))-Статистика!$C$10)/MAX(Статистика!$G$10-Статистика!$C$10,0.000001),NA()))</f>
        <v>0.66180636111111135</v>
      </c>
      <c r="BF19" s="12">
        <f>IF(A19="",NA(),IF(Статистика!$D$8="Вкл",(((IF(Статистика!$C$4="Параллельный режим (активная мощность)",E19,P19)+Статистика!$J$4))-Статистика!$C$10)/MAX(Статистика!$G$10-Статистика!$C$10,0.000001),NA()))</f>
        <v>0.61181741944444457</v>
      </c>
      <c r="BG19" s="12">
        <f>IF(A19="",NA(),IF(Статистика!$D$8="Вкл",(((IF(Статистика!$C$4="Параллельный режим (активная мощность)",G19,R19)+Статистика!$J$4))-Статистика!$C$10)/MAX(Статистика!$G$10-Статистика!$C$10,0.000001),NA()))</f>
        <v>0.72978962222222254</v>
      </c>
      <c r="BH19" s="12">
        <f>IF(A19="",NA(),IF(Статистика!$F$8="Вкл",(((IF(Статистика!$C$4="Параллельный режим (активная мощность)",D19,O19)+Статистика!$J$4))-Статистика!$C$10)/MAX(Статистика!$G$10-Статистика!$C$10,0.000001),NA()))</f>
        <v>0.47659768500000005</v>
      </c>
      <c r="BI19" s="12">
        <f>IF(A19="",NA(),IF(Статистика!$F$8="Вкл",(((IF(Статистика!$C$4="Параллельный режим (активная мощность)",H19,S19)+Статистика!$J$4))-Статистика!$C$10)/MAX(Статистика!$G$10-Статистика!$C$10,0.000001),NA()))</f>
        <v>0.82540371277777735</v>
      </c>
      <c r="BJ19" s="12">
        <f>IF(A19="",NA(),IF(Статистика!$H$8="Вкл",(((IF(Статистика!$C$4="Параллельный режим (активная мощность)",B19,M19)+Статистика!$J$4))-Статистика!$C$10)/MAX(Статистика!$G$10-Статистика!$C$10,0.000001),NA()))</f>
        <v>-1.205779927</v>
      </c>
      <c r="BK19" s="12">
        <f>IF(A19="",NA(),IF(Статистика!$H$8="Вкл",(((IF(Статистика!$C$4="Параллельный режим (активная мощность)",J19,U19)+Статистика!$J$4))-Статистика!$C$10)/MAX(Статистика!$G$10-Статистика!$C$10,0.000001),NA()))</f>
        <v>0.86903550527777773</v>
      </c>
      <c r="BL19" s="12" t="e">
        <f>IF(A19="",NA(),IF(Статистика!$J$8="Вкл",(((IF(Статистика!$C$4="Параллельный режим (активная мощность)",K19,V19)+Статистика!$J$4))-Статистика!$C$10)/MAX(Статистика!$G$10-Статистика!$C$10,0.000001),NA()))</f>
        <v>#N/A</v>
      </c>
      <c r="BM19" s="12" t="e">
        <f>IF(AND(A19&lt;&gt;"",Статистика!$C$6="Вкл",Статистика!$B$6&gt;0),(Статистика!$B$6-Статистика!$C$10)/MAX(Статистика!$G$10-Статистика!$C$10,0.000001),NA())</f>
        <v>#N/A</v>
      </c>
      <c r="BN19" s="12" t="e">
        <f>IF(AND(A19&lt;&gt;"",Статистика!$F$6="Вкл",Статистика!$E$6&gt;0),(Статистика!$E$6-Статистика!$C$10)/MAX(Статистика!$G$10-Статистика!$C$10,0.000001),NA())</f>
        <v>#N/A</v>
      </c>
      <c r="BO19" s="12" t="e">
        <f>IF(AND(A19&lt;&gt;"",Статистика!$I$6="Вкл",Статистика!$H$6&gt;0),(Статистика!$H$6-Статистика!$C$10)/MAX(Статистика!$G$10-Статистика!$C$10,0.000001),NA())</f>
        <v>#N/A</v>
      </c>
      <c r="BP19" s="12" t="e">
        <f>IF(AND(A19&lt;&gt;"",Статистика!$L$6="Вкл",Статистика!$K$6&gt;0),(Статистика!$K$6-Статистика!$C$10)/MAX(Статистика!$G$10-Статистика!$C$10,0.000001),NA())</f>
        <v>#N/A</v>
      </c>
      <c r="BQ19" s="12" t="e">
        <f>IF(AND(A19&lt;&gt;"",Статистика!$M$6="Вкл",Статистика!$O$6&gt;0),(Статистика!$O$6-Статистика!$C$10)/MAX(Статистика!$G$10-Статистика!$C$10,0.000001),NA())</f>
        <v>#N/A</v>
      </c>
      <c r="BR19" s="12">
        <f t="shared" si="0"/>
        <v>1</v>
      </c>
      <c r="BT19" s="12">
        <f>IF(Y19="","",MAX(0,MIN(1,(((IF(Статистика!$C$4="Параллельный режим (активная мощность)",Z19,AK19)+Статистика!$J$4))-Статистика!$C$10)/MAX(Статистика!$G$10-Статистика!$C$10,0.000001))))</f>
        <v>0.4521321322777776</v>
      </c>
      <c r="BU19" s="12">
        <f>IF(Y19="","",MAX(0,MAX(0,MIN(1,(((IF(Статистика!$C$4="Параллельный режим (активная мощность)",AB19,AM19)+Статистика!$J$4))-Статистика!$C$10)/MAX(Статистика!$G$10-Статистика!$C$10,0.000001)))-MAX(0,MIN(1,(((IF(Статистика!$C$4="Параллельный режим (активная мощность)",Z19,AK19)+Статистика!$J$4))-Статистика!$C$10)/MAX(Статистика!$G$10-Статистика!$C$10,0.000001)))))</f>
        <v>6.3250390500000031E-2</v>
      </c>
      <c r="BV19" s="12">
        <f>IF(Y19="","",MAX(0,MAX(0,MIN(1,(((IF(Статистика!$C$4="Параллельный режим (активная мощность)",AC19,AN19)+Статистика!$J$4))-Статистика!$C$10)/MAX(Статистика!$G$10-Статистика!$C$10,0.000001)))-MAX(0,MIN(1,(((IF(Статистика!$C$4="Параллельный режим (активная мощность)",AB19,AM19)+Статистика!$J$4))-Статистика!$C$10)/MAX(Статистика!$G$10-Статистика!$C$10,0.000001)))))</f>
        <v>6.3960730000000354E-2</v>
      </c>
      <c r="BW19" s="12">
        <f>IF(Y19="","",MAX(0,MAX(0,MIN(1,(((IF(Статистика!$C$4="Параллельный режим (активная мощность)",AD19,AO19)+Статистика!$J$4))-Статистика!$C$10)/MAX(Статистика!$G$10-Статистика!$C$10,0.000001)))-MAX(0,MIN(1,(((IF(Статистика!$C$4="Параллельный режим (активная мощность)",AC19,AN19)+Статистика!$J$4))-Статистика!$C$10)/MAX(Статистика!$G$10-Статистика!$C$10,0.000001)))))</f>
        <v>7.4975947222221895E-2</v>
      </c>
      <c r="BX19" s="12">
        <f>IF(Y19="","",MAX(0,MAX(0,MIN(1,(((IF(Статистика!$C$4="Параллельный режим (активная мощность)",AE19,AP19)+Статистика!$J$4))-Статистика!$C$10)/MAX(Статистика!$G$10-Статистика!$C$10,0.000001)))-MAX(0,MIN(1,(((IF(Статистика!$C$4="Параллельный режим (активная мощность)",AD19,AO19)+Статистика!$J$4))-Статистика!$C$10)/MAX(Статистика!$G$10-Статистика!$C$10,0.000001)))))</f>
        <v>6.3173302777777884E-2</v>
      </c>
      <c r="BY19" s="12">
        <f>IF(Y19="","",MAX(0,MAX(0,MIN(1,(((IF(Статистика!$C$4="Параллельный режим (активная мощность)",AF19,AQ19)+Статистика!$J$4))-Статистика!$C$10)/MAX(Статистика!$G$10-Статистика!$C$10,0.000001)))-MAX(0,MIN(1,(((IF(Статистика!$C$4="Параллельный режим (активная мощность)",AE19,AP19)+Статистика!$J$4))-Статистика!$C$10)/MAX(Статистика!$G$10-Статистика!$C$10,0.000001)))))</f>
        <v>9.3516742777777884E-2</v>
      </c>
      <c r="BZ19" s="12">
        <f>IF(Y19="","",MAX(0,MAX(0,MIN(1,(((IF(Статистика!$C$4="Параллельный режим (активная мощность)",AH19,AS19)+Статистика!$J$4))-Статистика!$C$10)/MAX(Статистика!$G$10-Статистика!$C$10,0.000001)))-MAX(0,MIN(1,(((IF(Статистика!$C$4="Параллельный режим (активная мощность)",AF19,AQ19)+Статистика!$J$4))-Статистика!$C$10)/MAX(Статистика!$G$10-Статистика!$C$10,0.000001)))))</f>
        <v>5.4063900000012044E-4</v>
      </c>
      <c r="CA19" s="12">
        <f>IF(Y19="","",MAX(0,1-MAX(0,MIN(1,(((IF(Статистика!$C$4="Параллельный режим (активная мощность)",AH19,AS19)+Статистика!$J$4))-Статистика!$C$10)/MAX(Статистика!$G$10-Статистика!$C$10,0.000001)))))</f>
        <v>0.18845011544444423</v>
      </c>
      <c r="CB19" s="12">
        <f>IF(Y19="",NA(),IF(Статистика!$B$8="Вкл",(((IF(Статистика!$C$4="Параллельный режим (активная мощность)",AD19,AO19)+Статистика!$J$4))-Статистика!$C$10)/MAX(Статистика!$G$10-Статистика!$C$10,0.000001),NA()))</f>
        <v>0.65431919999999988</v>
      </c>
      <c r="CC19" s="12">
        <f>IF(Y19="",NA(),IF(Статистика!$D$8="Вкл",(((IF(Статистика!$C$4="Параллельный режим (активная мощность)",AC19,AN19)+Статистика!$J$4))-Статистика!$C$10)/MAX(Статистика!$G$10-Статистика!$C$10,0.000001),NA()))</f>
        <v>0.57934325277777798</v>
      </c>
      <c r="CD19" s="12">
        <f>IF(Y19="",NA(),IF(Статистика!$D$8="Вкл",(((IF(Статистика!$C$4="Параллельный режим (активная мощность)",AE19,AP19)+Статистика!$J$4))-Статистика!$C$10)/MAX(Статистика!$G$10-Статистика!$C$10,0.000001),NA()))</f>
        <v>0.71749250277777776</v>
      </c>
      <c r="CE19" s="12">
        <f>IF(Y19="",NA(),IF(Статистика!$F$8="Вкл",(((IF(Статистика!$C$4="Параллельный режим (активная мощность)",AB19,AM19)+Статистика!$J$4))-Статистика!$C$10)/MAX(Статистика!$G$10-Статистика!$C$10,0.000001),NA()))</f>
        <v>0.51538252277777763</v>
      </c>
      <c r="CF19" s="12">
        <f>IF(Y19="",NA(),IF(Статистика!$F$8="Вкл",(((IF(Статистика!$C$4="Параллельный режим (активная мощность)",AF19,AQ19)+Статистика!$J$4))-Статистика!$C$10)/MAX(Статистика!$G$10-Статистика!$C$10,0.000001),NA()))</f>
        <v>0.81100924555555565</v>
      </c>
      <c r="CG19" s="12">
        <f>IF(Y19="",NA(),IF(Статистика!$H$8="Вкл",(((IF(Статистика!$C$4="Параллельный режим (активная мощность)",Z19,AK19)+Статистика!$J$4))-Статистика!$C$10)/MAX(Статистика!$G$10-Статистика!$C$10,0.000001),NA()))</f>
        <v>0.4521321322777776</v>
      </c>
      <c r="CH19" s="12">
        <f>IF(Y19="",NA(),IF(Статистика!$H$8="Вкл",(((IF(Статистика!$C$4="Параллельный режим (активная мощность)",AH19,AS19)+Статистика!$J$4))-Статистика!$C$10)/MAX(Статистика!$G$10-Статистика!$C$10,0.000001),NA()))</f>
        <v>0.81154988455555577</v>
      </c>
      <c r="CI19" s="12" t="e">
        <f>IF(Y19="",NA(),IF(Статистика!$J$8="Вкл",(((IF(Статистика!$C$4="Параллельный режим (активная мощность)",AI19,AT19)+Статистика!$J$4))-Статистика!$C$10)/MAX(Статистика!$G$10-Статистика!$C$10,0.000001),NA()))</f>
        <v>#N/A</v>
      </c>
      <c r="CJ19" s="12" t="e">
        <f>IF(AND(Y19&lt;&gt;"",Статистика!$C$6="Вкл",Статистика!$B$6&gt;0),(Статистика!$B$6-Статистика!$C$10)/MAX(Статистика!$G$10-Статистика!$C$10,0.000001),NA())</f>
        <v>#N/A</v>
      </c>
      <c r="CK19" s="12" t="e">
        <f>IF(AND(Y19&lt;&gt;"",Статистика!$F$6="Вкл",Статистика!$E$6&gt;0),(Статистика!$E$6-Статистика!$C$10)/MAX(Статистика!$G$10-Статистика!$C$10,0.000001),NA())</f>
        <v>#N/A</v>
      </c>
      <c r="CL19" s="12" t="e">
        <f>IF(AND(Y19&lt;&gt;"",Статистика!$I$6="Вкл",Статистика!$H$6&gt;0),(Статистика!$H$6-Статистика!$C$10)/MAX(Статистика!$G$10-Статистика!$C$10,0.000001),NA())</f>
        <v>#N/A</v>
      </c>
      <c r="CM19" s="12" t="e">
        <f>IF(AND(Y19&lt;&gt;"",Статистика!$L$6="Вкл",Статистика!$K$6&gt;0),(Статистика!$K$6-Статистика!$C$10)/MAX(Статистика!$G$10-Статистика!$C$10,0.000001),NA())</f>
        <v>#N/A</v>
      </c>
      <c r="CN19" s="12" t="e">
        <f>IF(AND(Y19&lt;&gt;"",Статистика!$M$6="Вкл",Статистика!$O$6&gt;0),(Статистика!$O$6-Статистика!$C$10)/MAX(Статистика!$G$10-Статистика!$C$10,0.000001),NA())</f>
        <v>#N/A</v>
      </c>
      <c r="CO19" s="12">
        <f t="shared" si="1"/>
        <v>1</v>
      </c>
    </row>
    <row r="20" spans="1:93" ht="15" customHeight="1">
      <c r="A20" s="12" t="s">
        <v>127</v>
      </c>
      <c r="B20" s="12">
        <v>2349.5494093333332</v>
      </c>
      <c r="C20" s="12">
        <v>5761.450913333334</v>
      </c>
      <c r="D20" s="12">
        <v>7399.329118333334</v>
      </c>
      <c r="E20" s="12">
        <v>7771.7251666666662</v>
      </c>
      <c r="F20" s="12">
        <v>7917.8725999999997</v>
      </c>
      <c r="G20" s="12">
        <v>8185.0566999999992</v>
      </c>
      <c r="H20" s="12">
        <v>8452.6485783333319</v>
      </c>
      <c r="I20" s="12">
        <v>8524.8452349999989</v>
      </c>
      <c r="J20" s="12">
        <v>8539.1415003333332</v>
      </c>
      <c r="K20" s="12">
        <v>8761.9699999999993</v>
      </c>
      <c r="L20" s="12" t="s">
        <v>128</v>
      </c>
      <c r="M20" s="12">
        <v>2900.9673723333335</v>
      </c>
      <c r="N20" s="12">
        <v>6629.751528333335</v>
      </c>
      <c r="O20" s="12">
        <v>8444.5101783333339</v>
      </c>
      <c r="P20" s="12">
        <v>8911.6635833333348</v>
      </c>
      <c r="Q20" s="12">
        <v>9025.8356833333346</v>
      </c>
      <c r="R20" s="12">
        <v>9244.4945583333338</v>
      </c>
      <c r="S20" s="12">
        <v>9581.539913333334</v>
      </c>
      <c r="T20" s="12">
        <v>9629.3650841666658</v>
      </c>
      <c r="U20" s="12">
        <v>9650.1722168333326</v>
      </c>
      <c r="V20" s="12">
        <v>9827.15</v>
      </c>
      <c r="W20" s="12" t="s">
        <v>129</v>
      </c>
      <c r="Y20" s="12" t="s">
        <v>127</v>
      </c>
      <c r="Z20" s="12">
        <v>7359.7979911666653</v>
      </c>
      <c r="AA20" s="12">
        <v>7422.5858224999984</v>
      </c>
      <c r="AB20" s="12">
        <v>7501.0706116666661</v>
      </c>
      <c r="AC20" s="12">
        <v>7747.9060250000002</v>
      </c>
      <c r="AD20" s="12">
        <v>7959.0658999999996</v>
      </c>
      <c r="AE20" s="12">
        <v>8137.9544999999998</v>
      </c>
      <c r="AF20" s="12">
        <v>8481.6523649999999</v>
      </c>
      <c r="AG20" s="12">
        <v>8492.8588991666657</v>
      </c>
      <c r="AH20" s="12">
        <v>8501.8241264999997</v>
      </c>
      <c r="AI20" s="12">
        <v>8639.76</v>
      </c>
      <c r="AJ20" s="12" t="s">
        <v>130</v>
      </c>
      <c r="AK20" s="12">
        <v>8415.7739471666682</v>
      </c>
      <c r="AL20" s="12">
        <v>8466.9910691666664</v>
      </c>
      <c r="AM20" s="12">
        <v>8531.0124716666669</v>
      </c>
      <c r="AN20" s="12">
        <v>8896.373450000001</v>
      </c>
      <c r="AO20" s="12">
        <v>9028.2856999999985</v>
      </c>
      <c r="AP20" s="12">
        <v>9274.2460666666666</v>
      </c>
      <c r="AQ20" s="12">
        <v>9605.6286216666667</v>
      </c>
      <c r="AR20" s="12">
        <v>9607.5671608333323</v>
      </c>
      <c r="AS20" s="12">
        <v>9609.1179921666662</v>
      </c>
      <c r="AT20" s="12">
        <v>9770.18</v>
      </c>
      <c r="AU20" s="12" t="s">
        <v>131</v>
      </c>
      <c r="AW20" s="12">
        <f>IF(A20="","",MAX(0,MIN(1,(((IF(Статистика!$C$4="Параллельный режим (активная мощность)",B20,M20)+Статистика!$J$4))-Статистика!$C$10)/MAX(Статистика!$G$10-Статистика!$C$10,0.000001))))</f>
        <v>0</v>
      </c>
      <c r="AX20" s="12">
        <f>IF(A20="","",MAX(0,MAX(0,MIN(1,(((IF(Статистика!$C$4="Параллельный режим (активная мощность)",D20,O20)+Статистика!$J$4))-Статистика!$C$10)/MAX(Статистика!$G$10-Статистика!$C$10,0.000001)))-MAX(0,MIN(1,(((IF(Статистика!$C$4="Параллельный режим (активная мощность)",B20,M20)+Статистика!$J$4))-Статистика!$C$10)/MAX(Статистика!$G$10-Статистика!$C$10,0.000001)))))</f>
        <v>0.46644303944444465</v>
      </c>
      <c r="AY20" s="12">
        <f>IF(A20="","",MAX(0,MAX(0,MIN(1,(((IF(Статистика!$C$4="Параллельный режим (активная мощность)",E20,P20)+Статистика!$J$4))-Статистика!$C$10)/MAX(Статистика!$G$10-Статистика!$C$10,0.000001)))-MAX(0,MIN(1,(((IF(Статистика!$C$4="Параллельный режим (активная мощность)",D20,O20)+Статистика!$J$4))-Статистика!$C$10)/MAX(Статистика!$G$10-Статистика!$C$10,0.000001)))))</f>
        <v>0.12413201611111069</v>
      </c>
      <c r="AZ20" s="12">
        <f>IF(A20="","",MAX(0,MAX(0,MIN(1,(((IF(Статистика!$C$4="Параллельный режим (активная мощность)",F20,Q20)+Статистика!$J$4))-Статистика!$C$10)/MAX(Статистика!$G$10-Статистика!$C$10,0.000001)))-MAX(0,MIN(1,(((IF(Статистика!$C$4="Параллельный режим (активная мощность)",E20,P20)+Статистика!$J$4))-Статистика!$C$10)/MAX(Статистика!$G$10-Статистика!$C$10,0.000001)))))</f>
        <v>4.8715811111111229E-2</v>
      </c>
      <c r="BA20" s="12">
        <f>IF(A20="","",MAX(0,MAX(0,MIN(1,(((IF(Статистика!$C$4="Параллельный режим (активная мощность)",G20,R20)+Статистика!$J$4))-Статистика!$C$10)/MAX(Статистика!$G$10-Статистика!$C$10,0.000001)))-MAX(0,MIN(1,(((IF(Статистика!$C$4="Параллельный режим (активная мощность)",F20,Q20)+Статистика!$J$4))-Статистика!$C$10)/MAX(Статистика!$G$10-Статистика!$C$10,0.000001)))))</f>
        <v>8.906136666666653E-2</v>
      </c>
      <c r="BB20" s="12">
        <f>IF(A20="","",MAX(0,MAX(0,MIN(1,(((IF(Статистика!$C$4="Параллельный режим (активная мощность)",H20,S20)+Статистика!$J$4))-Статистика!$C$10)/MAX(Статистика!$G$10-Статистика!$C$10,0.000001)))-MAX(0,MIN(1,(((IF(Статистика!$C$4="Параллельный режим (активная мощность)",G20,R20)+Статистика!$J$4))-Статистика!$C$10)/MAX(Статистика!$G$10-Статистика!$C$10,0.000001)))))</f>
        <v>8.9197292777777548E-2</v>
      </c>
      <c r="BC20" s="12">
        <f>IF(A20="","",MAX(0,MAX(0,MIN(1,(((IF(Статистика!$C$4="Параллельный режим (активная мощность)",J20,U20)+Статистика!$J$4))-Статистика!$C$10)/MAX(Статистика!$G$10-Статистика!$C$10,0.000001)))-MAX(0,MIN(1,(((IF(Статистика!$C$4="Параллельный режим (активная мощность)",H20,S20)+Статистика!$J$4))-Статистика!$C$10)/MAX(Статистика!$G$10-Статистика!$C$10,0.000001)))))</f>
        <v>2.8830974000000453E-2</v>
      </c>
      <c r="BD20" s="12">
        <f>IF(A20="","",MAX(0,1-MAX(0,MIN(1,(((IF(Статистика!$C$4="Параллельный режим (активная мощность)",J20,U20)+Статистика!$J$4))-Статистика!$C$10)/MAX(Статистика!$G$10-Статистика!$C$10,0.000001)))))</f>
        <v>0.1536194998888889</v>
      </c>
      <c r="BE20" s="12">
        <f>IF(A20="",NA(),IF(Статистика!$B$8="Вкл",(((IF(Статистика!$C$4="Параллельный режим (активная мощность)",F20,Q20)+Статистика!$J$4))-Статистика!$C$10)/MAX(Статистика!$G$10-Статистика!$C$10,0.000001),NA()))</f>
        <v>0.63929086666666657</v>
      </c>
      <c r="BF20" s="12">
        <f>IF(A20="",NA(),IF(Статистика!$D$8="Вкл",(((IF(Статистика!$C$4="Параллельный режим (активная мощность)",E20,P20)+Статистика!$J$4))-Статистика!$C$10)/MAX(Статистика!$G$10-Статистика!$C$10,0.000001),NA()))</f>
        <v>0.59057505555555534</v>
      </c>
      <c r="BG20" s="12">
        <f>IF(A20="",NA(),IF(Статистика!$D$8="Вкл",(((IF(Статистика!$C$4="Параллельный режим (активная мощность)",G20,R20)+Статистика!$J$4))-Статистика!$C$10)/MAX(Статистика!$G$10-Статистика!$C$10,0.000001),NA()))</f>
        <v>0.7283522333333331</v>
      </c>
      <c r="BH20" s="12">
        <f>IF(A20="",NA(),IF(Статистика!$F$8="Вкл",(((IF(Статистика!$C$4="Параллельный режим (активная мощность)",D20,O20)+Статистика!$J$4))-Статистика!$C$10)/MAX(Статистика!$G$10-Статистика!$C$10,0.000001),NA()))</f>
        <v>0.46644303944444465</v>
      </c>
      <c r="BI20" s="12">
        <f>IF(A20="",NA(),IF(Статистика!$F$8="Вкл",(((IF(Статистика!$C$4="Параллельный режим (активная мощность)",H20,S20)+Статистика!$J$4))-Статистика!$C$10)/MAX(Статистика!$G$10-Статистика!$C$10,0.000001),NA()))</f>
        <v>0.81754952611111065</v>
      </c>
      <c r="BJ20" s="12">
        <f>IF(A20="",NA(),IF(Статистика!$H$8="Вкл",(((IF(Статистика!$C$4="Параллельный режим (активная мощность)",B20,M20)+Статистика!$J$4))-Статистика!$C$10)/MAX(Статистика!$G$10-Статистика!$C$10,0.000001),NA()))</f>
        <v>-1.2168168635555556</v>
      </c>
      <c r="BK20" s="12">
        <f>IF(A20="",NA(),IF(Статистика!$H$8="Вкл",(((IF(Статистика!$C$4="Параллельный режим (активная мощность)",J20,U20)+Статистика!$J$4))-Статистика!$C$10)/MAX(Статистика!$G$10-Статистика!$C$10,0.000001),NA()))</f>
        <v>0.8463805001111111</v>
      </c>
      <c r="BL20" s="12" t="e">
        <f>IF(A20="",NA(),IF(Статистика!$J$8="Вкл",(((IF(Статистика!$C$4="Параллельный режим (активная мощность)",K20,V20)+Статистика!$J$4))-Статистика!$C$10)/MAX(Статистика!$G$10-Статистика!$C$10,0.000001),NA()))</f>
        <v>#N/A</v>
      </c>
      <c r="BM20" s="12" t="e">
        <f>IF(AND(A20&lt;&gt;"",Статистика!$C$6="Вкл",Статистика!$B$6&gt;0),(Статистика!$B$6-Статистика!$C$10)/MAX(Статистика!$G$10-Статистика!$C$10,0.000001),NA())</f>
        <v>#N/A</v>
      </c>
      <c r="BN20" s="12" t="e">
        <f>IF(AND(A20&lt;&gt;"",Статистика!$F$6="Вкл",Статистика!$E$6&gt;0),(Статистика!$E$6-Статистика!$C$10)/MAX(Статистика!$G$10-Статистика!$C$10,0.000001),NA())</f>
        <v>#N/A</v>
      </c>
      <c r="BO20" s="12" t="e">
        <f>IF(AND(A20&lt;&gt;"",Статистика!$I$6="Вкл",Статистика!$H$6&gt;0),(Статистика!$H$6-Статистика!$C$10)/MAX(Статистика!$G$10-Статистика!$C$10,0.000001),NA())</f>
        <v>#N/A</v>
      </c>
      <c r="BP20" s="12" t="e">
        <f>IF(AND(A20&lt;&gt;"",Статистика!$L$6="Вкл",Статистика!$K$6&gt;0),(Статистика!$K$6-Статистика!$C$10)/MAX(Статистика!$G$10-Статистика!$C$10,0.000001),NA())</f>
        <v>#N/A</v>
      </c>
      <c r="BQ20" s="12" t="e">
        <f>IF(AND(A20&lt;&gt;"",Статистика!$M$6="Вкл",Статистика!$O$6&gt;0),(Статистика!$O$6-Статистика!$C$10)/MAX(Статистика!$G$10-Статистика!$C$10,0.000001),NA())</f>
        <v>#N/A</v>
      </c>
      <c r="BR20" s="12">
        <f t="shared" si="0"/>
        <v>1</v>
      </c>
      <c r="BT20" s="12">
        <f>IF(Y20="","",MAX(0,MIN(1,(((IF(Статистика!$C$4="Параллельный режим (активная мощность)",Z20,AK20)+Статистика!$J$4))-Статистика!$C$10)/MAX(Статистика!$G$10-Статистика!$C$10,0.000001))))</f>
        <v>0.45326599705555509</v>
      </c>
      <c r="BU20" s="12">
        <f>IF(Y20="","",MAX(0,MAX(0,MIN(1,(((IF(Статистика!$C$4="Параллельный режим (активная мощность)",AB20,AM20)+Статистика!$J$4))-Статистика!$C$10)/MAX(Статистика!$G$10-Статистика!$C$10,0.000001)))-MAX(0,MIN(1,(((IF(Статистика!$C$4="Параллельный режим (активная мощность)",Z20,AK20)+Статистика!$J$4))-Статистика!$C$10)/MAX(Статистика!$G$10-Статистика!$C$10,0.000001)))))</f>
        <v>4.7090873500000241E-2</v>
      </c>
      <c r="BV20" s="12">
        <f>IF(Y20="","",MAX(0,MAX(0,MIN(1,(((IF(Статистика!$C$4="Параллельный режим (активная мощность)",AC20,AN20)+Статистика!$J$4))-Статистика!$C$10)/MAX(Статистика!$G$10-Статистика!$C$10,0.000001)))-MAX(0,MIN(1,(((IF(Статистика!$C$4="Параллельный режим (активная мощность)",AB20,AM20)+Статистика!$J$4))-Статистика!$C$10)/MAX(Статистика!$G$10-Статистика!$C$10,0.000001)))))</f>
        <v>8.2278471111111418E-2</v>
      </c>
      <c r="BW20" s="12">
        <f>IF(Y20="","",MAX(0,MAX(0,MIN(1,(((IF(Статистика!$C$4="Параллельный режим (активная мощность)",AD20,AO20)+Статистика!$J$4))-Статистика!$C$10)/MAX(Статистика!$G$10-Статистика!$C$10,0.000001)))-MAX(0,MIN(1,(((IF(Статистика!$C$4="Параллельный режим (активная мощность)",AC20,AN20)+Статистика!$J$4))-Статистика!$C$10)/MAX(Статистика!$G$10-Статистика!$C$10,0.000001)))))</f>
        <v>7.0386624999999814E-2</v>
      </c>
      <c r="BX20" s="12">
        <f>IF(Y20="","",MAX(0,MAX(0,MIN(1,(((IF(Статистика!$C$4="Параллельный режим (активная мощность)",AE20,AP20)+Статистика!$J$4))-Статистика!$C$10)/MAX(Статистика!$G$10-Статистика!$C$10,0.000001)))-MAX(0,MIN(1,(((IF(Статистика!$C$4="Параллельный режим (активная мощность)",AD20,AO20)+Статистика!$J$4))-Статистика!$C$10)/MAX(Статистика!$G$10-Статистика!$C$10,0.000001)))))</f>
        <v>5.9629533333333429E-2</v>
      </c>
      <c r="BY20" s="12">
        <f>IF(Y20="","",MAX(0,MAX(0,MIN(1,(((IF(Статистика!$C$4="Параллельный режим (активная мощность)",AF20,AQ20)+Статистика!$J$4))-Статистика!$C$10)/MAX(Статистика!$G$10-Статистика!$C$10,0.000001)))-MAX(0,MIN(1,(((IF(Статистика!$C$4="Параллельный режим (активная мощность)",AE20,AP20)+Статистика!$J$4))-Статистика!$C$10)/MAX(Статистика!$G$10-Статистика!$C$10,0.000001)))))</f>
        <v>0.114565955</v>
      </c>
      <c r="BZ20" s="12">
        <f>IF(Y20="","",MAX(0,MAX(0,MIN(1,(((IF(Статистика!$C$4="Параллельный режим (активная мощность)",AH20,AS20)+Статистика!$J$4))-Статистика!$C$10)/MAX(Статистика!$G$10-Статистика!$C$10,0.000001)))-MAX(0,MIN(1,(((IF(Статистика!$C$4="Параллельный режим (активная мощность)",AF20,AQ20)+Статистика!$J$4))-Статистика!$C$10)/MAX(Статистика!$G$10-Статистика!$C$10,0.000001)))))</f>
        <v>6.7239204999999247E-3</v>
      </c>
      <c r="CA20" s="12">
        <f>IF(Y20="","",MAX(0,1-MAX(0,MIN(1,(((IF(Статистика!$C$4="Параллельный режим (активная мощность)",AH20,AS20)+Статистика!$J$4))-Статистика!$C$10)/MAX(Статистика!$G$10-Статистика!$C$10,0.000001)))))</f>
        <v>0.16605862450000008</v>
      </c>
      <c r="CB20" s="12">
        <f>IF(Y20="",NA(),IF(Статистика!$B$8="Вкл",(((IF(Статистика!$C$4="Параллельный режим (активная мощность)",AD20,AO20)+Статистика!$J$4))-Статистика!$C$10)/MAX(Статистика!$G$10-Статистика!$C$10,0.000001),NA()))</f>
        <v>0.65302196666666656</v>
      </c>
      <c r="CC20" s="12">
        <f>IF(Y20="",NA(),IF(Статистика!$D$8="Вкл",(((IF(Статистика!$C$4="Параллельный режим (активная мощность)",AC20,AN20)+Статистика!$J$4))-Статистика!$C$10)/MAX(Статистика!$G$10-Статистика!$C$10,0.000001),NA()))</f>
        <v>0.58263534166666675</v>
      </c>
      <c r="CD20" s="12">
        <f>IF(Y20="",NA(),IF(Статистика!$D$8="Вкл",(((IF(Статистика!$C$4="Параллельный режим (активная мощность)",AE20,AP20)+Статистика!$J$4))-Статистика!$C$10)/MAX(Статистика!$G$10-Статистика!$C$10,0.000001),NA()))</f>
        <v>0.71265149999999999</v>
      </c>
      <c r="CE20" s="12">
        <f>IF(Y20="",NA(),IF(Статистика!$F$8="Вкл",(((IF(Статистика!$C$4="Параллельный режим (активная мощность)",AB20,AM20)+Статистика!$J$4))-Статистика!$C$10)/MAX(Статистика!$G$10-Статистика!$C$10,0.000001),NA()))</f>
        <v>0.50035687055555533</v>
      </c>
      <c r="CF20" s="12">
        <f>IF(Y20="",NA(),IF(Статистика!$F$8="Вкл",(((IF(Статистика!$C$4="Параллельный режим (активная мощность)",AF20,AQ20)+Статистика!$J$4))-Статистика!$C$10)/MAX(Статистика!$G$10-Статистика!$C$10,0.000001),NA()))</f>
        <v>0.82721745499999999</v>
      </c>
      <c r="CG20" s="12">
        <f>IF(Y20="",NA(),IF(Статистика!$H$8="Вкл",(((IF(Статистика!$C$4="Параллельный режим (активная мощность)",Z20,AK20)+Статистика!$J$4))-Статистика!$C$10)/MAX(Статистика!$G$10-Статистика!$C$10,0.000001),NA()))</f>
        <v>0.45326599705555509</v>
      </c>
      <c r="CH20" s="12">
        <f>IF(Y20="",NA(),IF(Статистика!$H$8="Вкл",(((IF(Статистика!$C$4="Параллельный режим (активная мощность)",AH20,AS20)+Статистика!$J$4))-Статистика!$C$10)/MAX(Статистика!$G$10-Статистика!$C$10,0.000001),NA()))</f>
        <v>0.83394137549999992</v>
      </c>
      <c r="CI20" s="12" t="e">
        <f>IF(Y20="",NA(),IF(Статистика!$J$8="Вкл",(((IF(Статистика!$C$4="Параллельный режим (активная мощность)",AI20,AT20)+Статистика!$J$4))-Статистика!$C$10)/MAX(Статистика!$G$10-Статистика!$C$10,0.000001),NA()))</f>
        <v>#N/A</v>
      </c>
      <c r="CJ20" s="12" t="e">
        <f>IF(AND(Y20&lt;&gt;"",Статистика!$C$6="Вкл",Статистика!$B$6&gt;0),(Статистика!$B$6-Статистика!$C$10)/MAX(Статистика!$G$10-Статистика!$C$10,0.000001),NA())</f>
        <v>#N/A</v>
      </c>
      <c r="CK20" s="12" t="e">
        <f>IF(AND(Y20&lt;&gt;"",Статистика!$F$6="Вкл",Статистика!$E$6&gt;0),(Статистика!$E$6-Статистика!$C$10)/MAX(Статистика!$G$10-Статистика!$C$10,0.000001),NA())</f>
        <v>#N/A</v>
      </c>
      <c r="CL20" s="12" t="e">
        <f>IF(AND(Y20&lt;&gt;"",Статистика!$I$6="Вкл",Статистика!$H$6&gt;0),(Статистика!$H$6-Статистика!$C$10)/MAX(Статистика!$G$10-Статистика!$C$10,0.000001),NA())</f>
        <v>#N/A</v>
      </c>
      <c r="CM20" s="12" t="e">
        <f>IF(AND(Y20&lt;&gt;"",Статистика!$L$6="Вкл",Статистика!$K$6&gt;0),(Статистика!$K$6-Статистика!$C$10)/MAX(Статистика!$G$10-Статистика!$C$10,0.000001),NA())</f>
        <v>#N/A</v>
      </c>
      <c r="CN20" s="12" t="e">
        <f>IF(AND(Y20&lt;&gt;"",Статистика!$M$6="Вкл",Статистика!$O$6&gt;0),(Статистика!$O$6-Статистика!$C$10)/MAX(Статистика!$G$10-Статистика!$C$10,0.000001),NA())</f>
        <v>#N/A</v>
      </c>
      <c r="CO20" s="12">
        <f t="shared" si="1"/>
        <v>1</v>
      </c>
    </row>
    <row r="21" spans="1:93" ht="15" customHeight="1">
      <c r="A21" s="12" t="s">
        <v>132</v>
      </c>
      <c r="B21" s="12">
        <v>2338.2658846666668</v>
      </c>
      <c r="C21" s="12">
        <v>5751.8568900000009</v>
      </c>
      <c r="D21" s="12">
        <v>7393.3375066666667</v>
      </c>
      <c r="E21" s="12">
        <v>7744.7292916666665</v>
      </c>
      <c r="F21" s="12">
        <v>7913.7051833333335</v>
      </c>
      <c r="G21" s="12">
        <v>8202.1048749999991</v>
      </c>
      <c r="H21" s="12">
        <v>8380.2070899999999</v>
      </c>
      <c r="I21" s="12">
        <v>8408.115244999999</v>
      </c>
      <c r="J21" s="12">
        <v>8425.733209</v>
      </c>
      <c r="K21" s="12">
        <v>8611.3799999999992</v>
      </c>
      <c r="L21" s="12" t="s">
        <v>133</v>
      </c>
      <c r="M21" s="12">
        <v>2898.5323181666663</v>
      </c>
      <c r="N21" s="12">
        <v>6616.9997241666679</v>
      </c>
      <c r="O21" s="12">
        <v>8420.5457066666659</v>
      </c>
      <c r="P21" s="12">
        <v>8909.3100083333338</v>
      </c>
      <c r="Q21" s="12">
        <v>8996.8887666666669</v>
      </c>
      <c r="R21" s="12">
        <v>9263.0537333333323</v>
      </c>
      <c r="S21" s="12">
        <v>9519.9475133333344</v>
      </c>
      <c r="T21" s="12">
        <v>9538.1373266666669</v>
      </c>
      <c r="U21" s="12">
        <v>9562.6139453333326</v>
      </c>
      <c r="V21" s="12">
        <v>9774.2000000000007</v>
      </c>
      <c r="W21" s="12" t="s">
        <v>133</v>
      </c>
      <c r="Y21" s="12" t="s">
        <v>132</v>
      </c>
      <c r="Z21" s="12">
        <v>7382.6751906666668</v>
      </c>
      <c r="AA21" s="12">
        <v>7444.5692866666668</v>
      </c>
      <c r="AB21" s="12">
        <v>7521.9369066666668</v>
      </c>
      <c r="AC21" s="12">
        <v>7814.8523833333338</v>
      </c>
      <c r="AD21" s="12">
        <v>7949.2722166666663</v>
      </c>
      <c r="AE21" s="12">
        <v>8137.007375000001</v>
      </c>
      <c r="AF21" s="12">
        <v>8490.4338833333331</v>
      </c>
      <c r="AG21" s="12">
        <v>8491.7635083333353</v>
      </c>
      <c r="AH21" s="12">
        <v>8492.8272083333359</v>
      </c>
      <c r="AI21" s="12">
        <v>8644.99</v>
      </c>
      <c r="AJ21" s="12" t="s">
        <v>134</v>
      </c>
      <c r="AK21" s="12">
        <v>8451.157091666666</v>
      </c>
      <c r="AL21" s="12">
        <v>8493.8770583333335</v>
      </c>
      <c r="AM21" s="12">
        <v>8547.2770166666669</v>
      </c>
      <c r="AN21" s="12">
        <v>8926.5074333333323</v>
      </c>
      <c r="AO21" s="12">
        <v>9034.6833499999993</v>
      </c>
      <c r="AP21" s="12">
        <v>9264.1729750000013</v>
      </c>
      <c r="AQ21" s="12">
        <v>9621.962473333333</v>
      </c>
      <c r="AR21" s="12">
        <v>9641.4555366666664</v>
      </c>
      <c r="AS21" s="12">
        <v>9657.0499873333338</v>
      </c>
      <c r="AT21" s="12">
        <v>9842.6299999999992</v>
      </c>
      <c r="AU21" s="12" t="s">
        <v>135</v>
      </c>
      <c r="AW21" s="12">
        <f>IF(A21="","",MAX(0,MIN(1,(((IF(Статистика!$C$4="Параллельный режим (активная мощность)",B21,M21)+Статистика!$J$4))-Статистика!$C$10)/MAX(Статистика!$G$10-Статистика!$C$10,0.000001))))</f>
        <v>0</v>
      </c>
      <c r="AX21" s="12">
        <f>IF(A21="","",MAX(0,MAX(0,MIN(1,(((IF(Статистика!$C$4="Параллельный режим (активная мощность)",D21,O21)+Статистика!$J$4))-Статистика!$C$10)/MAX(Статистика!$G$10-Статистика!$C$10,0.000001)))-MAX(0,MIN(1,(((IF(Статистика!$C$4="Параллельный режим (активная мощность)",B21,M21)+Статистика!$J$4))-Статистика!$C$10)/MAX(Статистика!$G$10-Статистика!$C$10,0.000001)))))</f>
        <v>0.46444583555555558</v>
      </c>
      <c r="AY21" s="12">
        <f>IF(A21="","",MAX(0,MAX(0,MIN(1,(((IF(Статистика!$C$4="Параллельный режим (активная мощность)",E21,P21)+Статистика!$J$4))-Статистика!$C$10)/MAX(Статистика!$G$10-Статистика!$C$10,0.000001)))-MAX(0,MIN(1,(((IF(Статистика!$C$4="Параллельный режим (активная мощность)",D21,O21)+Статистика!$J$4))-Статистика!$C$10)/MAX(Статистика!$G$10-Статистика!$C$10,0.000001)))))</f>
        <v>0.11713059499999995</v>
      </c>
      <c r="AZ21" s="12">
        <f>IF(A21="","",MAX(0,MAX(0,MIN(1,(((IF(Статистика!$C$4="Параллельный режим (активная мощность)",F21,Q21)+Статистика!$J$4))-Статистика!$C$10)/MAX(Статистика!$G$10-Статистика!$C$10,0.000001)))-MAX(0,MIN(1,(((IF(Статистика!$C$4="Параллельный режим (активная мощность)",E21,P21)+Статистика!$J$4))-Статистика!$C$10)/MAX(Статистика!$G$10-Статистика!$C$10,0.000001)))))</f>
        <v>5.6325297222222348E-2</v>
      </c>
      <c r="BA21" s="12">
        <f>IF(A21="","",MAX(0,MAX(0,MIN(1,(((IF(Статистика!$C$4="Параллельный режим (активная мощность)",G21,R21)+Статистика!$J$4))-Статистика!$C$10)/MAX(Статистика!$G$10-Статистика!$C$10,0.000001)))-MAX(0,MIN(1,(((IF(Статистика!$C$4="Параллельный режим (активная мощность)",F21,Q21)+Статистика!$J$4))-Статистика!$C$10)/MAX(Статистика!$G$10-Статистика!$C$10,0.000001)))))</f>
        <v>9.6133230555555116E-2</v>
      </c>
      <c r="BB21" s="12">
        <f>IF(A21="","",MAX(0,MAX(0,MIN(1,(((IF(Статистика!$C$4="Параллельный режим (активная мощность)",H21,S21)+Статистика!$J$4))-Статистика!$C$10)/MAX(Статистика!$G$10-Статистика!$C$10,0.000001)))-MAX(0,MIN(1,(((IF(Статистика!$C$4="Параллельный режим (активная мощность)",G21,R21)+Статистика!$J$4))-Статистика!$C$10)/MAX(Статистика!$G$10-Статистика!$C$10,0.000001)))))</f>
        <v>5.9367405000000262E-2</v>
      </c>
      <c r="BC21" s="12">
        <f>IF(A21="","",MAX(0,MAX(0,MIN(1,(((IF(Статистика!$C$4="Параллельный режим (активная мощность)",J21,U21)+Статистика!$J$4))-Статистика!$C$10)/MAX(Статистика!$G$10-Статистика!$C$10,0.000001)))-MAX(0,MIN(1,(((IF(Статистика!$C$4="Параллельный режим (активная мощность)",H21,S21)+Статистика!$J$4))-Статистика!$C$10)/MAX(Статистика!$G$10-Статистика!$C$10,0.000001)))))</f>
        <v>1.5175373000000048E-2</v>
      </c>
      <c r="BD21" s="12">
        <f>IF(A21="","",MAX(0,1-MAX(0,MIN(1,(((IF(Статистика!$C$4="Параллельный режим (активная мощность)",J21,U21)+Статистика!$J$4))-Статистика!$C$10)/MAX(Статистика!$G$10-Статистика!$C$10,0.000001)))))</f>
        <v>0.1914222636666667</v>
      </c>
      <c r="BE21" s="12">
        <f>IF(A21="",NA(),IF(Статистика!$B$8="Вкл",(((IF(Статистика!$C$4="Параллельный режим (активная мощность)",F21,Q21)+Статистика!$J$4))-Статистика!$C$10)/MAX(Статистика!$G$10-Статистика!$C$10,0.000001),NA()))</f>
        <v>0.63790172777777787</v>
      </c>
      <c r="BF21" s="12">
        <f>IF(A21="",NA(),IF(Статистика!$D$8="Вкл",(((IF(Статистика!$C$4="Параллельный режим (активная мощность)",E21,P21)+Статистика!$J$4))-Статистика!$C$10)/MAX(Статистика!$G$10-Статистика!$C$10,0.000001),NA()))</f>
        <v>0.58157643055555552</v>
      </c>
      <c r="BG21" s="12">
        <f>IF(A21="",NA(),IF(Статистика!$D$8="Вкл",(((IF(Статистика!$C$4="Параллельный режим (активная мощность)",G21,R21)+Статистика!$J$4))-Статистика!$C$10)/MAX(Статистика!$G$10-Статистика!$C$10,0.000001),NA()))</f>
        <v>0.73403495833333299</v>
      </c>
      <c r="BH21" s="12">
        <f>IF(A21="",NA(),IF(Статистика!$F$8="Вкл",(((IF(Статистика!$C$4="Параллельный режим (активная мощность)",D21,O21)+Статистика!$J$4))-Статистика!$C$10)/MAX(Статистика!$G$10-Статистика!$C$10,0.000001),NA()))</f>
        <v>0.46444583555555558</v>
      </c>
      <c r="BI21" s="12">
        <f>IF(A21="",NA(),IF(Статистика!$F$8="Вкл",(((IF(Статистика!$C$4="Параллельный режим (активная мощность)",H21,S21)+Статистика!$J$4))-Статистика!$C$10)/MAX(Статистика!$G$10-Статистика!$C$10,0.000001),NA()))</f>
        <v>0.79340236333333325</v>
      </c>
      <c r="BJ21" s="12">
        <f>IF(A21="",NA(),IF(Статистика!$H$8="Вкл",(((IF(Статистика!$C$4="Параллельный режим (активная мощность)",B21,M21)+Статистика!$J$4))-Статистика!$C$10)/MAX(Статистика!$G$10-Статистика!$C$10,0.000001),NA()))</f>
        <v>-1.2205780384444445</v>
      </c>
      <c r="BK21" s="12">
        <f>IF(A21="",NA(),IF(Статистика!$H$8="Вкл",(((IF(Статистика!$C$4="Параллельный режим (активная мощность)",J21,U21)+Статистика!$J$4))-Статистика!$C$10)/MAX(Статистика!$G$10-Статистика!$C$10,0.000001),NA()))</f>
        <v>0.8085777363333333</v>
      </c>
      <c r="BL21" s="12" t="e">
        <f>IF(A21="",NA(),IF(Статистика!$J$8="Вкл",(((IF(Статистика!$C$4="Параллельный режим (активная мощность)",K21,V21)+Статистика!$J$4))-Статистика!$C$10)/MAX(Статистика!$G$10-Статистика!$C$10,0.000001),NA()))</f>
        <v>#N/A</v>
      </c>
      <c r="BM21" s="12" t="e">
        <f>IF(AND(A21&lt;&gt;"",Статистика!$C$6="Вкл",Статистика!$B$6&gt;0),(Статистика!$B$6-Статистика!$C$10)/MAX(Статистика!$G$10-Статистика!$C$10,0.000001),NA())</f>
        <v>#N/A</v>
      </c>
      <c r="BN21" s="12" t="e">
        <f>IF(AND(A21&lt;&gt;"",Статистика!$F$6="Вкл",Статистика!$E$6&gt;0),(Статистика!$E$6-Статистика!$C$10)/MAX(Статистика!$G$10-Статистика!$C$10,0.000001),NA())</f>
        <v>#N/A</v>
      </c>
      <c r="BO21" s="12" t="e">
        <f>IF(AND(A21&lt;&gt;"",Статистика!$I$6="Вкл",Статистика!$H$6&gt;0),(Статистика!$H$6-Статистика!$C$10)/MAX(Статистика!$G$10-Статистика!$C$10,0.000001),NA())</f>
        <v>#N/A</v>
      </c>
      <c r="BP21" s="12" t="e">
        <f>IF(AND(A21&lt;&gt;"",Статистика!$L$6="Вкл",Статистика!$K$6&gt;0),(Статистика!$K$6-Статистика!$C$10)/MAX(Статистика!$G$10-Статистика!$C$10,0.000001),NA())</f>
        <v>#N/A</v>
      </c>
      <c r="BQ21" s="12" t="e">
        <f>IF(AND(A21&lt;&gt;"",Статистика!$M$6="Вкл",Статистика!$O$6&gt;0),(Статистика!$O$6-Статистика!$C$10)/MAX(Статистика!$G$10-Статистика!$C$10,0.000001),NA())</f>
        <v>#N/A</v>
      </c>
      <c r="BR21" s="12">
        <f t="shared" si="0"/>
        <v>1</v>
      </c>
      <c r="BT21" s="12">
        <f>IF(Y21="","",MAX(0,MIN(1,(((IF(Статистика!$C$4="Параллельный режим (активная мощность)",Z21,AK21)+Статистика!$J$4))-Статистика!$C$10)/MAX(Статистика!$G$10-Статистика!$C$10,0.000001))))</f>
        <v>0.4608917302222223</v>
      </c>
      <c r="BU21" s="12">
        <f>IF(Y21="","",MAX(0,MAX(0,MIN(1,(((IF(Статистика!$C$4="Параллельный режим (активная мощность)",AB21,AM21)+Статистика!$J$4))-Статистика!$C$10)/MAX(Статистика!$G$10-Статистика!$C$10,0.000001)))-MAX(0,MIN(1,(((IF(Статистика!$C$4="Параллельный режим (активная мощность)",Z21,AK21)+Статистика!$J$4))-Статистика!$C$10)/MAX(Статистика!$G$10-Статистика!$C$10,0.000001)))))</f>
        <v>4.6420571999999938E-2</v>
      </c>
      <c r="BV21" s="12">
        <f>IF(Y21="","",MAX(0,MAX(0,MIN(1,(((IF(Статистика!$C$4="Параллельный режим (активная мощность)",AC21,AN21)+Статистика!$J$4))-Статистика!$C$10)/MAX(Статистика!$G$10-Статистика!$C$10,0.000001)))-MAX(0,MIN(1,(((IF(Статистика!$C$4="Параллельный режим (активная мощность)",AB21,AM21)+Статистика!$J$4))-Статистика!$C$10)/MAX(Статистика!$G$10-Статистика!$C$10,0.000001)))))</f>
        <v>9.7638492222222428E-2</v>
      </c>
      <c r="BW21" s="12">
        <f>IF(Y21="","",MAX(0,MAX(0,MIN(1,(((IF(Статистика!$C$4="Параллельный режим (активная мощность)",AD21,AO21)+Статистика!$J$4))-Статистика!$C$10)/MAX(Статистика!$G$10-Статистика!$C$10,0.000001)))-MAX(0,MIN(1,(((IF(Статистика!$C$4="Параллельный режим (активная мощность)",AC21,AN21)+Статистика!$J$4))-Статистика!$C$10)/MAX(Статистика!$G$10-Статистика!$C$10,0.000001)))))</f>
        <v>4.4806611111110728E-2</v>
      </c>
      <c r="BX21" s="12">
        <f>IF(Y21="","",MAX(0,MAX(0,MIN(1,(((IF(Статистика!$C$4="Параллельный режим (активная мощность)",AE21,AP21)+Статистика!$J$4))-Статистика!$C$10)/MAX(Статистика!$G$10-Статистика!$C$10,0.000001)))-MAX(0,MIN(1,(((IF(Статистика!$C$4="Параллельный режим (активная мощность)",AD21,AO21)+Статистика!$J$4))-Статистика!$C$10)/MAX(Статистика!$G$10-Статистика!$C$10,0.000001)))))</f>
        <v>6.2578386111111661E-2</v>
      </c>
      <c r="BY21" s="12">
        <f>IF(Y21="","",MAX(0,MAX(0,MIN(1,(((IF(Статистика!$C$4="Параллельный режим (активная мощность)",AF21,AQ21)+Статистика!$J$4))-Статистика!$C$10)/MAX(Статистика!$G$10-Статистика!$C$10,0.000001)))-MAX(0,MIN(1,(((IF(Статистика!$C$4="Параллельный режим (активная мощность)",AE21,AP21)+Статистика!$J$4))-Статистика!$C$10)/MAX(Статистика!$G$10-Статистика!$C$10,0.000001)))))</f>
        <v>0.1178088361111107</v>
      </c>
      <c r="BZ21" s="12">
        <f>IF(Y21="","",MAX(0,MAX(0,MIN(1,(((IF(Статистика!$C$4="Параллельный режим (активная мощность)",AH21,AS21)+Статистика!$J$4))-Статистика!$C$10)/MAX(Статистика!$G$10-Статистика!$C$10,0.000001)))-MAX(0,MIN(1,(((IF(Статистика!$C$4="Параллельный режим (активная мощность)",AF21,AQ21)+Статистика!$J$4))-Статистика!$C$10)/MAX(Статистика!$G$10-Статистика!$C$10,0.000001)))))</f>
        <v>7.9777500000088875E-4</v>
      </c>
      <c r="CA21" s="12">
        <f>IF(Y21="","",MAX(0,1-MAX(0,MIN(1,(((IF(Статистика!$C$4="Параллельный режим (активная мощность)",AH21,AS21)+Статистика!$J$4))-Статистика!$C$10)/MAX(Статистика!$G$10-Статистика!$C$10,0.000001)))))</f>
        <v>0.16905759722222136</v>
      </c>
      <c r="CB21" s="12">
        <f>IF(Y21="",NA(),IF(Статистика!$B$8="Вкл",(((IF(Статистика!$C$4="Параллельный режим (активная мощность)",AD21,AO21)+Статистика!$J$4))-Статистика!$C$10)/MAX(Статистика!$G$10-Статистика!$C$10,0.000001),NA()))</f>
        <v>0.64975740555555539</v>
      </c>
      <c r="CC21" s="12">
        <f>IF(Y21="",NA(),IF(Статистика!$D$8="Вкл",(((IF(Статистика!$C$4="Параллельный режим (активная мощность)",AC21,AN21)+Статистика!$J$4))-Статистика!$C$10)/MAX(Статистика!$G$10-Статистика!$C$10,0.000001),NA()))</f>
        <v>0.60495079444444466</v>
      </c>
      <c r="CD21" s="12">
        <f>IF(Y21="",NA(),IF(Статистика!$D$8="Вкл",(((IF(Статистика!$C$4="Параллельный режим (активная мощность)",AE21,AP21)+Статистика!$J$4))-Статистика!$C$10)/MAX(Статистика!$G$10-Статистика!$C$10,0.000001),NA()))</f>
        <v>0.71233579166666705</v>
      </c>
      <c r="CE21" s="12">
        <f>IF(Y21="",NA(),IF(Статистика!$F$8="Вкл",(((IF(Статистика!$C$4="Параллельный режим (активная мощность)",AB21,AM21)+Статистика!$J$4))-Статистика!$C$10)/MAX(Статистика!$G$10-Статистика!$C$10,0.000001),NA()))</f>
        <v>0.50731230222222223</v>
      </c>
      <c r="CF21" s="12">
        <f>IF(Y21="",NA(),IF(Статистика!$F$8="Вкл",(((IF(Статистика!$C$4="Параллельный режим (активная мощность)",AF21,AQ21)+Статистика!$J$4))-Статистика!$C$10)/MAX(Статистика!$G$10-Статистика!$C$10,0.000001),NA()))</f>
        <v>0.83014462777777775</v>
      </c>
      <c r="CG21" s="12">
        <f>IF(Y21="",NA(),IF(Статистика!$H$8="Вкл",(((IF(Статистика!$C$4="Параллельный режим (активная мощность)",Z21,AK21)+Статистика!$J$4))-Статистика!$C$10)/MAX(Статистика!$G$10-Статистика!$C$10,0.000001),NA()))</f>
        <v>0.4608917302222223</v>
      </c>
      <c r="CH21" s="12">
        <f>IF(Y21="",NA(),IF(Статистика!$H$8="Вкл",(((IF(Статистика!$C$4="Параллельный режим (активная мощность)",AH21,AS21)+Статистика!$J$4))-Статистика!$C$10)/MAX(Статистика!$G$10-Статистика!$C$10,0.000001),NA()))</f>
        <v>0.83094240277777864</v>
      </c>
      <c r="CI21" s="12" t="e">
        <f>IF(Y21="",NA(),IF(Статистика!$J$8="Вкл",(((IF(Статистика!$C$4="Параллельный режим (активная мощность)",AI21,AT21)+Статистика!$J$4))-Статистика!$C$10)/MAX(Статистика!$G$10-Статистика!$C$10,0.000001),NA()))</f>
        <v>#N/A</v>
      </c>
      <c r="CJ21" s="12" t="e">
        <f>IF(AND(Y21&lt;&gt;"",Статистика!$C$6="Вкл",Статистика!$B$6&gt;0),(Статистика!$B$6-Статистика!$C$10)/MAX(Статистика!$G$10-Статистика!$C$10,0.000001),NA())</f>
        <v>#N/A</v>
      </c>
      <c r="CK21" s="12" t="e">
        <f>IF(AND(Y21&lt;&gt;"",Статистика!$F$6="Вкл",Статистика!$E$6&gt;0),(Статистика!$E$6-Статистика!$C$10)/MAX(Статистика!$G$10-Статистика!$C$10,0.000001),NA())</f>
        <v>#N/A</v>
      </c>
      <c r="CL21" s="12" t="e">
        <f>IF(AND(Y21&lt;&gt;"",Статистика!$I$6="Вкл",Статистика!$H$6&gt;0),(Статистика!$H$6-Статистика!$C$10)/MAX(Статистика!$G$10-Статистика!$C$10,0.000001),NA())</f>
        <v>#N/A</v>
      </c>
      <c r="CM21" s="12" t="e">
        <f>IF(AND(Y21&lt;&gt;"",Статистика!$L$6="Вкл",Статистика!$K$6&gt;0),(Статистика!$K$6-Статистика!$C$10)/MAX(Статистика!$G$10-Статистика!$C$10,0.000001),NA())</f>
        <v>#N/A</v>
      </c>
      <c r="CN21" s="12" t="e">
        <f>IF(AND(Y21&lt;&gt;"",Статистика!$M$6="Вкл",Статистика!$O$6&gt;0),(Статистика!$O$6-Статистика!$C$10)/MAX(Статистика!$G$10-Статистика!$C$10,0.000001),NA())</f>
        <v>#N/A</v>
      </c>
      <c r="CO21" s="12">
        <f t="shared" si="1"/>
        <v>1</v>
      </c>
    </row>
    <row r="22" spans="1:93" ht="15" customHeight="1">
      <c r="A22" s="12" t="s">
        <v>136</v>
      </c>
      <c r="B22" s="12">
        <v>2327.3694590000005</v>
      </c>
      <c r="C22" s="12">
        <v>5755.4638283333352</v>
      </c>
      <c r="D22" s="12">
        <v>7391.5044650000009</v>
      </c>
      <c r="E22" s="12">
        <v>7749.161383333334</v>
      </c>
      <c r="F22" s="12">
        <v>7925.34015</v>
      </c>
      <c r="G22" s="12">
        <v>8189.355508333334</v>
      </c>
      <c r="H22" s="12">
        <v>8372.7258899999997</v>
      </c>
      <c r="I22" s="12">
        <v>8398.1192291666666</v>
      </c>
      <c r="J22" s="12">
        <v>8421.7767524999999</v>
      </c>
      <c r="K22" s="12">
        <v>8602.5</v>
      </c>
      <c r="L22" s="12" t="s">
        <v>137</v>
      </c>
      <c r="M22" s="12">
        <v>2891.5287761666668</v>
      </c>
      <c r="N22" s="12">
        <v>6632.3186808333339</v>
      </c>
      <c r="O22" s="12">
        <v>8422.1997416666654</v>
      </c>
      <c r="P22" s="12">
        <v>8913.271983333334</v>
      </c>
      <c r="Q22" s="12">
        <v>9026.7154499999997</v>
      </c>
      <c r="R22" s="12">
        <v>9255.1938833333334</v>
      </c>
      <c r="S22" s="12">
        <v>9525.1287016666683</v>
      </c>
      <c r="T22" s="12">
        <v>9539.7459650000001</v>
      </c>
      <c r="U22" s="12">
        <v>9546.2577796666665</v>
      </c>
      <c r="V22" s="12">
        <v>9871.24</v>
      </c>
      <c r="W22" s="12" t="s">
        <v>137</v>
      </c>
      <c r="Y22" s="12" t="s">
        <v>136</v>
      </c>
      <c r="Z22" s="12">
        <v>7403.4524544999995</v>
      </c>
      <c r="AA22" s="12">
        <v>7474.7482725</v>
      </c>
      <c r="AB22" s="12">
        <v>7563.8680450000002</v>
      </c>
      <c r="AC22" s="12">
        <v>7817.464899999999</v>
      </c>
      <c r="AD22" s="12">
        <v>7934.7844166666673</v>
      </c>
      <c r="AE22" s="12">
        <v>8131.2539583333328</v>
      </c>
      <c r="AF22" s="12">
        <v>8485.5139316666664</v>
      </c>
      <c r="AG22" s="12">
        <v>8491.330282500001</v>
      </c>
      <c r="AH22" s="12">
        <v>8495.9833631666679</v>
      </c>
      <c r="AI22" s="12">
        <v>8618.2199999999993</v>
      </c>
      <c r="AJ22" s="12" t="s">
        <v>138</v>
      </c>
      <c r="AK22" s="12">
        <v>8486.2755039999993</v>
      </c>
      <c r="AL22" s="12">
        <v>8536.7155199999997</v>
      </c>
      <c r="AM22" s="12">
        <v>8599.7655400000003</v>
      </c>
      <c r="AN22" s="12">
        <v>8935.8767416666669</v>
      </c>
      <c r="AO22" s="12">
        <v>9033.3596166666684</v>
      </c>
      <c r="AP22" s="12">
        <v>9258.1722583333321</v>
      </c>
      <c r="AQ22" s="12">
        <v>9623.6240633333327</v>
      </c>
      <c r="AR22" s="12">
        <v>9635.8432483333327</v>
      </c>
      <c r="AS22" s="12">
        <v>9645.6185963333319</v>
      </c>
      <c r="AT22" s="12">
        <v>9757.7900000000009</v>
      </c>
      <c r="AU22" s="12" t="s">
        <v>139</v>
      </c>
      <c r="AW22" s="12">
        <f>IF(A22="","",MAX(0,MIN(1,(((IF(Статистика!$C$4="Параллельный режим (активная мощность)",B22,M22)+Статистика!$J$4))-Статистика!$C$10)/MAX(Статистика!$G$10-Статистика!$C$10,0.000001))))</f>
        <v>0</v>
      </c>
      <c r="AX22" s="12">
        <f>IF(A22="","",MAX(0,MAX(0,MIN(1,(((IF(Статистика!$C$4="Параллельный режим (активная мощность)",D22,O22)+Статистика!$J$4))-Статистика!$C$10)/MAX(Статистика!$G$10-Статистика!$C$10,0.000001)))-MAX(0,MIN(1,(((IF(Статистика!$C$4="Параллельный режим (активная мощность)",B22,M22)+Статистика!$J$4))-Статистика!$C$10)/MAX(Статистика!$G$10-Статистика!$C$10,0.000001)))))</f>
        <v>0.46383482166666695</v>
      </c>
      <c r="AY22" s="12">
        <f>IF(A22="","",MAX(0,MAX(0,MIN(1,(((IF(Статистика!$C$4="Параллельный режим (активная мощность)",E22,P22)+Статистика!$J$4))-Статистика!$C$10)/MAX(Статистика!$G$10-Статистика!$C$10,0.000001)))-MAX(0,MIN(1,(((IF(Статистика!$C$4="Параллельный режим (активная мощность)",D22,O22)+Статистика!$J$4))-Статистика!$C$10)/MAX(Статистика!$G$10-Статистика!$C$10,0.000001)))))</f>
        <v>0.11921897277777777</v>
      </c>
      <c r="AZ22" s="12">
        <f>IF(A22="","",MAX(0,MAX(0,MIN(1,(((IF(Статистика!$C$4="Параллельный режим (активная мощность)",F22,Q22)+Статистика!$J$4))-Статистика!$C$10)/MAX(Статистика!$G$10-Статистика!$C$10,0.000001)))-MAX(0,MIN(1,(((IF(Статистика!$C$4="Параллельный режим (активная мощность)",E22,P22)+Статистика!$J$4))-Статистика!$C$10)/MAX(Статистика!$G$10-Статистика!$C$10,0.000001)))))</f>
        <v>5.8726255555555329E-2</v>
      </c>
      <c r="BA22" s="12">
        <f>IF(A22="","",MAX(0,MAX(0,MIN(1,(((IF(Статистика!$C$4="Параллельный режим (активная мощность)",G22,R22)+Статистика!$J$4))-Статистика!$C$10)/MAX(Статистика!$G$10-Статистика!$C$10,0.000001)))-MAX(0,MIN(1,(((IF(Статистика!$C$4="Параллельный режим (активная мощность)",F22,Q22)+Статистика!$J$4))-Статистика!$C$10)/MAX(Статистика!$G$10-Статистика!$C$10,0.000001)))))</f>
        <v>8.8005119444444668E-2</v>
      </c>
      <c r="BB22" s="12">
        <f>IF(A22="","",MAX(0,MAX(0,MIN(1,(((IF(Статистика!$C$4="Параллельный режим (активная мощность)",H22,S22)+Статистика!$J$4))-Статистика!$C$10)/MAX(Статистика!$G$10-Статистика!$C$10,0.000001)))-MAX(0,MIN(1,(((IF(Статистика!$C$4="Параллельный режим (активная мощность)",G22,R22)+Статистика!$J$4))-Статистика!$C$10)/MAX(Статистика!$G$10-Статистика!$C$10,0.000001)))))</f>
        <v>6.1123460555555176E-2</v>
      </c>
      <c r="BC22" s="12">
        <f>IF(A22="","",MAX(0,MAX(0,MIN(1,(((IF(Статистика!$C$4="Параллельный режим (активная мощность)",J22,U22)+Статистика!$J$4))-Статистика!$C$10)/MAX(Статистика!$G$10-Статистика!$C$10,0.000001)))-MAX(0,MIN(1,(((IF(Статистика!$C$4="Параллельный режим (активная мощность)",H22,S22)+Статистика!$J$4))-Статистика!$C$10)/MAX(Статистика!$G$10-Статистика!$C$10,0.000001)))))</f>
        <v>1.6350287500000116E-2</v>
      </c>
      <c r="BD22" s="12">
        <f>IF(A22="","",MAX(0,1-MAX(0,MIN(1,(((IF(Статистика!$C$4="Параллельный режим (активная мощность)",J22,U22)+Статистика!$J$4))-Статистика!$C$10)/MAX(Статистика!$G$10-Статистика!$C$10,0.000001)))))</f>
        <v>0.19274108249999999</v>
      </c>
      <c r="BE22" s="12">
        <f>IF(A22="",NA(),IF(Статистика!$B$8="Вкл",(((IF(Статистика!$C$4="Параллельный режим (активная мощность)",F22,Q22)+Статистика!$J$4))-Статистика!$C$10)/MAX(Статистика!$G$10-Статистика!$C$10,0.000001),NA()))</f>
        <v>0.64178005000000005</v>
      </c>
      <c r="BF22" s="12">
        <f>IF(A22="",NA(),IF(Статистика!$D$8="Вкл",(((IF(Статистика!$C$4="Параллельный режим (активная мощность)",E22,P22)+Статистика!$J$4))-Статистика!$C$10)/MAX(Статистика!$G$10-Статистика!$C$10,0.000001),NA()))</f>
        <v>0.58305379444444472</v>
      </c>
      <c r="BG22" s="12">
        <f>IF(A22="",NA(),IF(Статистика!$D$8="Вкл",(((IF(Статистика!$C$4="Параллельный режим (активная мощность)",G22,R22)+Статистика!$J$4))-Статистика!$C$10)/MAX(Статистика!$G$10-Статистика!$C$10,0.000001),NA()))</f>
        <v>0.72978516944444471</v>
      </c>
      <c r="BH22" s="12">
        <f>IF(A22="",NA(),IF(Статистика!$F$8="Вкл",(((IF(Статистика!$C$4="Параллельный режим (активная мощность)",D22,O22)+Статистика!$J$4))-Статистика!$C$10)/MAX(Статистика!$G$10-Статистика!$C$10,0.000001),NA()))</f>
        <v>0.46383482166666695</v>
      </c>
      <c r="BI22" s="12">
        <f>IF(A22="",NA(),IF(Статистика!$F$8="Вкл",(((IF(Статистика!$C$4="Параллельный режим (активная мощность)",H22,S22)+Статистика!$J$4))-Статистика!$C$10)/MAX(Статистика!$G$10-Статистика!$C$10,0.000001),NA()))</f>
        <v>0.79090862999999989</v>
      </c>
      <c r="BJ22" s="12">
        <f>IF(A22="",NA(),IF(Статистика!$H$8="Вкл",(((IF(Статистика!$C$4="Параллельный режим (активная мощность)",B22,M22)+Статистика!$J$4))-Статистика!$C$10)/MAX(Статистика!$G$10-Статистика!$C$10,0.000001),NA()))</f>
        <v>-1.2242101803333332</v>
      </c>
      <c r="BK22" s="12">
        <f>IF(A22="",NA(),IF(Статистика!$H$8="Вкл",(((IF(Статистика!$C$4="Параллельный режим (активная мощность)",J22,U22)+Статистика!$J$4))-Статистика!$C$10)/MAX(Статистика!$G$10-Статистика!$C$10,0.000001),NA()))</f>
        <v>0.80725891750000001</v>
      </c>
      <c r="BL22" s="12" t="e">
        <f>IF(A22="",NA(),IF(Статистика!$J$8="Вкл",(((IF(Статистика!$C$4="Параллельный режим (активная мощность)",K22,V22)+Статистика!$J$4))-Статистика!$C$10)/MAX(Статистика!$G$10-Статистика!$C$10,0.000001),NA()))</f>
        <v>#N/A</v>
      </c>
      <c r="BM22" s="12" t="e">
        <f>IF(AND(A22&lt;&gt;"",Статистика!$C$6="Вкл",Статистика!$B$6&gt;0),(Статистика!$B$6-Статистика!$C$10)/MAX(Статистика!$G$10-Статистика!$C$10,0.000001),NA())</f>
        <v>#N/A</v>
      </c>
      <c r="BN22" s="12" t="e">
        <f>IF(AND(A22&lt;&gt;"",Статистика!$F$6="Вкл",Статистика!$E$6&gt;0),(Статистика!$E$6-Статистика!$C$10)/MAX(Статистика!$G$10-Статистика!$C$10,0.000001),NA())</f>
        <v>#N/A</v>
      </c>
      <c r="BO22" s="12" t="e">
        <f>IF(AND(A22&lt;&gt;"",Статистика!$I$6="Вкл",Статистика!$H$6&gt;0),(Статистика!$H$6-Статистика!$C$10)/MAX(Статистика!$G$10-Статистика!$C$10,0.000001),NA())</f>
        <v>#N/A</v>
      </c>
      <c r="BP22" s="12" t="e">
        <f>IF(AND(A22&lt;&gt;"",Статистика!$L$6="Вкл",Статистика!$K$6&gt;0),(Статистика!$K$6-Статистика!$C$10)/MAX(Статистика!$G$10-Статистика!$C$10,0.000001),NA())</f>
        <v>#N/A</v>
      </c>
      <c r="BQ22" s="12" t="e">
        <f>IF(AND(A22&lt;&gt;"",Статистика!$M$6="Вкл",Статистика!$O$6&gt;0),(Статистика!$O$6-Статистика!$C$10)/MAX(Статистика!$G$10-Статистика!$C$10,0.000001),NA())</f>
        <v>#N/A</v>
      </c>
      <c r="BR22" s="12">
        <f t="shared" si="0"/>
        <v>1</v>
      </c>
      <c r="BT22" s="12">
        <f>IF(Y22="","",MAX(0,MIN(1,(((IF(Статистика!$C$4="Параллельный режим (активная мощность)",Z22,AK22)+Статистика!$J$4))-Статистика!$C$10)/MAX(Статистика!$G$10-Статистика!$C$10,0.000001))))</f>
        <v>0.46781748483333319</v>
      </c>
      <c r="BU22" s="12">
        <f>IF(Y22="","",MAX(0,MAX(0,MIN(1,(((IF(Статистика!$C$4="Параллельный режим (активная мощность)",AB22,AM22)+Статистика!$J$4))-Статистика!$C$10)/MAX(Статистика!$G$10-Статистика!$C$10,0.000001)))-MAX(0,MIN(1,(((IF(Статистика!$C$4="Параллельный режим (активная мощность)",Z22,AK22)+Статистика!$J$4))-Статистика!$C$10)/MAX(Статистика!$G$10-Статистика!$C$10,0.000001)))))</f>
        <v>5.3471863500000216E-2</v>
      </c>
      <c r="BV22" s="12">
        <f>IF(Y22="","",MAX(0,MAX(0,MIN(1,(((IF(Статистика!$C$4="Параллельный режим (активная мощность)",AC22,AN22)+Статистика!$J$4))-Статистика!$C$10)/MAX(Статистика!$G$10-Статистика!$C$10,0.000001)))-MAX(0,MIN(1,(((IF(Статистика!$C$4="Параллельный режим (активная мощность)",AB22,AM22)+Статистика!$J$4))-Статистика!$C$10)/MAX(Статистика!$G$10-Статистика!$C$10,0.000001)))))</f>
        <v>8.4532284999999652E-2</v>
      </c>
      <c r="BW22" s="12">
        <f>IF(Y22="","",MAX(0,MAX(0,MIN(1,(((IF(Статистика!$C$4="Параллельный режим (активная мощность)",AD22,AO22)+Статистика!$J$4))-Статистика!$C$10)/MAX(Статистика!$G$10-Статистика!$C$10,0.000001)))-MAX(0,MIN(1,(((IF(Статистика!$C$4="Параллельный режим (активная мощность)",AC22,AN22)+Статистика!$J$4))-Статистика!$C$10)/MAX(Статистика!$G$10-Статистика!$C$10,0.000001)))))</f>
        <v>3.9106505555556059E-2</v>
      </c>
      <c r="BX22" s="12">
        <f>IF(Y22="","",MAX(0,MAX(0,MIN(1,(((IF(Статистика!$C$4="Параллельный режим (активная мощность)",AE22,AP22)+Статистика!$J$4))-Статистика!$C$10)/MAX(Статистика!$G$10-Статистика!$C$10,0.000001)))-MAX(0,MIN(1,(((IF(Статистика!$C$4="Параллельный режим (активная мощность)",AD22,AO22)+Статистика!$J$4))-Статистика!$C$10)/MAX(Статистика!$G$10-Статистика!$C$10,0.000001)))))</f>
        <v>6.5489847222221842E-2</v>
      </c>
      <c r="BY22" s="12">
        <f>IF(Y22="","",MAX(0,MAX(0,MIN(1,(((IF(Статистика!$C$4="Параллельный режим (активная мощность)",AF22,AQ22)+Статистика!$J$4))-Статистика!$C$10)/MAX(Статистика!$G$10-Статистика!$C$10,0.000001)))-MAX(0,MIN(1,(((IF(Статистика!$C$4="Параллельный режим (активная мощность)",AE22,AP22)+Статистика!$J$4))-Статистика!$C$10)/MAX(Статистика!$G$10-Статистика!$C$10,0.000001)))))</f>
        <v>0.11808665777777783</v>
      </c>
      <c r="BZ22" s="12">
        <f>IF(Y22="","",MAX(0,MAX(0,MIN(1,(((IF(Статистика!$C$4="Параллельный режим (активная мощность)",AH22,AS22)+Статистика!$J$4))-Статистика!$C$10)/MAX(Статистика!$G$10-Статистика!$C$10,0.000001)))-MAX(0,MIN(1,(((IF(Статистика!$C$4="Параллельный режим (активная мощность)",AF22,AQ22)+Статистика!$J$4))-Статистика!$C$10)/MAX(Статистика!$G$10-Статистика!$C$10,0.000001)))))</f>
        <v>3.4898105000005231E-3</v>
      </c>
      <c r="CA22" s="12">
        <f>IF(Y22="","",MAX(0,1-MAX(0,MIN(1,(((IF(Статистика!$C$4="Параллельный режим (активная мощность)",AH22,AS22)+Статистика!$J$4))-Статистика!$C$10)/MAX(Статистика!$G$10-Статистика!$C$10,0.000001)))))</f>
        <v>0.1680055456111107</v>
      </c>
      <c r="CB22" s="12">
        <f>IF(Y22="",NA(),IF(Статистика!$B$8="Вкл",(((IF(Статистика!$C$4="Параллельный режим (активная мощность)",AD22,AO22)+Статистика!$J$4))-Статистика!$C$10)/MAX(Статистика!$G$10-Статистика!$C$10,0.000001),NA()))</f>
        <v>0.64492813888888911</v>
      </c>
      <c r="CC22" s="12">
        <f>IF(Y22="",NA(),IF(Статистика!$D$8="Вкл",(((IF(Статистика!$C$4="Параллельный режим (активная мощность)",AC22,AN22)+Статистика!$J$4))-Статистика!$C$10)/MAX(Статистика!$G$10-Статистика!$C$10,0.000001),NA()))</f>
        <v>0.60582163333333305</v>
      </c>
      <c r="CD22" s="12">
        <f>IF(Y22="",NA(),IF(Статистика!$D$8="Вкл",(((IF(Статистика!$C$4="Параллельный режим (активная мощность)",AE22,AP22)+Статистика!$J$4))-Статистика!$C$10)/MAX(Статистика!$G$10-Статистика!$C$10,0.000001),NA()))</f>
        <v>0.71041798611111096</v>
      </c>
      <c r="CE22" s="12">
        <f>IF(Y22="",NA(),IF(Статистика!$F$8="Вкл",(((IF(Статистика!$C$4="Параллельный режим (активная мощность)",AB22,AM22)+Статистика!$J$4))-Статистика!$C$10)/MAX(Статистика!$G$10-Статистика!$C$10,0.000001),NA()))</f>
        <v>0.5212893483333334</v>
      </c>
      <c r="CF22" s="12">
        <f>IF(Y22="",NA(),IF(Статистика!$F$8="Вкл",(((IF(Статистика!$C$4="Параллельный режим (активная мощность)",AF22,AQ22)+Статистика!$J$4))-Статистика!$C$10)/MAX(Статистика!$G$10-Статистика!$C$10,0.000001),NA()))</f>
        <v>0.82850464388888878</v>
      </c>
      <c r="CG22" s="12">
        <f>IF(Y22="",NA(),IF(Статистика!$H$8="Вкл",(((IF(Статистика!$C$4="Параллельный режим (активная мощность)",Z22,AK22)+Статистика!$J$4))-Статистика!$C$10)/MAX(Статистика!$G$10-Статистика!$C$10,0.000001),NA()))</f>
        <v>0.46781748483333319</v>
      </c>
      <c r="CH22" s="12">
        <f>IF(Y22="",NA(),IF(Статистика!$H$8="Вкл",(((IF(Статистика!$C$4="Параллельный режим (активная мощность)",AH22,AS22)+Статистика!$J$4))-Статистика!$C$10)/MAX(Статистика!$G$10-Статистика!$C$10,0.000001),NA()))</f>
        <v>0.8319944543888893</v>
      </c>
      <c r="CI22" s="12" t="e">
        <f>IF(Y22="",NA(),IF(Статистика!$J$8="Вкл",(((IF(Статистика!$C$4="Параллельный режим (активная мощность)",AI22,AT22)+Статистика!$J$4))-Статистика!$C$10)/MAX(Статистика!$G$10-Статистика!$C$10,0.000001),NA()))</f>
        <v>#N/A</v>
      </c>
      <c r="CJ22" s="12" t="e">
        <f>IF(AND(Y22&lt;&gt;"",Статистика!$C$6="Вкл",Статистика!$B$6&gt;0),(Статистика!$B$6-Статистика!$C$10)/MAX(Статистика!$G$10-Статистика!$C$10,0.000001),NA())</f>
        <v>#N/A</v>
      </c>
      <c r="CK22" s="12" t="e">
        <f>IF(AND(Y22&lt;&gt;"",Статистика!$F$6="Вкл",Статистика!$E$6&gt;0),(Статистика!$E$6-Статистика!$C$10)/MAX(Статистика!$G$10-Статистика!$C$10,0.000001),NA())</f>
        <v>#N/A</v>
      </c>
      <c r="CL22" s="12" t="e">
        <f>IF(AND(Y22&lt;&gt;"",Статистика!$I$6="Вкл",Статистика!$H$6&gt;0),(Статистика!$H$6-Статистика!$C$10)/MAX(Статистика!$G$10-Статистика!$C$10,0.000001),NA())</f>
        <v>#N/A</v>
      </c>
      <c r="CM22" s="12" t="e">
        <f>IF(AND(Y22&lt;&gt;"",Статистика!$L$6="Вкл",Статистика!$K$6&gt;0),(Статистика!$K$6-Статистика!$C$10)/MAX(Статистика!$G$10-Статистика!$C$10,0.000001),NA())</f>
        <v>#N/A</v>
      </c>
      <c r="CN22" s="12" t="e">
        <f>IF(AND(Y22&lt;&gt;"",Статистика!$M$6="Вкл",Статистика!$O$6&gt;0),(Статистика!$O$6-Статистика!$C$10)/MAX(Статистика!$G$10-Статистика!$C$10,0.000001),NA())</f>
        <v>#N/A</v>
      </c>
      <c r="CO22" s="12">
        <f t="shared" si="1"/>
        <v>1</v>
      </c>
    </row>
    <row r="23" spans="1:93" ht="15" customHeight="1">
      <c r="A23" s="12" t="s">
        <v>140</v>
      </c>
      <c r="B23" s="12">
        <v>2327.5520759999999</v>
      </c>
      <c r="C23" s="12">
        <v>5745.1994466666674</v>
      </c>
      <c r="D23" s="12">
        <v>7381.0598699999991</v>
      </c>
      <c r="E23" s="12">
        <v>7737.3606083333325</v>
      </c>
      <c r="F23" s="12">
        <v>7891.1247000000003</v>
      </c>
      <c r="G23" s="12">
        <v>8216.963083333334</v>
      </c>
      <c r="H23" s="12">
        <v>8408.2441400000007</v>
      </c>
      <c r="I23" s="12">
        <v>8430.6165266666667</v>
      </c>
      <c r="J23" s="12">
        <v>8441.0934919999982</v>
      </c>
      <c r="K23" s="12">
        <v>8640.65</v>
      </c>
      <c r="L23" s="12" t="s">
        <v>141</v>
      </c>
      <c r="M23" s="12">
        <v>2892.9327479999997</v>
      </c>
      <c r="N23" s="12">
        <v>6637.1125400000001</v>
      </c>
      <c r="O23" s="12">
        <v>8431.4884199999997</v>
      </c>
      <c r="P23" s="12">
        <v>8874.6219916666669</v>
      </c>
      <c r="Q23" s="12">
        <v>9042.2196333333341</v>
      </c>
      <c r="R23" s="12">
        <v>9272.2943916666682</v>
      </c>
      <c r="S23" s="12">
        <v>9508.9884349999993</v>
      </c>
      <c r="T23" s="12">
        <v>9548.7795591666654</v>
      </c>
      <c r="U23" s="12">
        <v>9627.3823384999996</v>
      </c>
      <c r="V23" s="12">
        <v>9803.19</v>
      </c>
      <c r="W23" s="12" t="s">
        <v>141</v>
      </c>
      <c r="Y23" s="12" t="s">
        <v>140</v>
      </c>
      <c r="Z23" s="12">
        <v>7382.5356611666675</v>
      </c>
      <c r="AA23" s="12">
        <v>7447.0601725000006</v>
      </c>
      <c r="AB23" s="12">
        <v>7527.7158116666669</v>
      </c>
      <c r="AC23" s="12">
        <v>7797.8308083333322</v>
      </c>
      <c r="AD23" s="12">
        <v>7992.8323499999988</v>
      </c>
      <c r="AE23" s="12">
        <v>8148.2241333333322</v>
      </c>
      <c r="AF23" s="12">
        <v>8500.1030016666664</v>
      </c>
      <c r="AG23" s="12">
        <v>8507.4190008333335</v>
      </c>
      <c r="AH23" s="12">
        <v>8513.2718001666672</v>
      </c>
      <c r="AI23" s="12">
        <v>8752.31</v>
      </c>
      <c r="AJ23" s="12" t="s">
        <v>142</v>
      </c>
      <c r="AK23" s="12">
        <v>8482.6991794999994</v>
      </c>
      <c r="AL23" s="12">
        <v>8519.0520308333325</v>
      </c>
      <c r="AM23" s="12">
        <v>8564.4930949999998</v>
      </c>
      <c r="AN23" s="12">
        <v>8913.3978999999999</v>
      </c>
      <c r="AO23" s="12">
        <v>9060.1734500000002</v>
      </c>
      <c r="AP23" s="12">
        <v>9311.7326166666662</v>
      </c>
      <c r="AQ23" s="12">
        <v>9634.8898249999984</v>
      </c>
      <c r="AR23" s="12">
        <v>9662.3692458333317</v>
      </c>
      <c r="AS23" s="12">
        <v>9684.3527824999983</v>
      </c>
      <c r="AT23" s="12">
        <v>9868.68</v>
      </c>
      <c r="AU23" s="12" t="s">
        <v>142</v>
      </c>
      <c r="AW23" s="12">
        <f>IF(A23="","",MAX(0,MIN(1,(((IF(Статистика!$C$4="Параллельный режим (активная мощность)",B23,M23)+Статистика!$J$4))-Статистика!$C$10)/MAX(Статистика!$G$10-Статистика!$C$10,0.000001))))</f>
        <v>0</v>
      </c>
      <c r="AX23" s="12">
        <f>IF(A23="","",MAX(0,MAX(0,MIN(1,(((IF(Статистика!$C$4="Параллельный режим (активная мощность)",D23,O23)+Статистика!$J$4))-Статистика!$C$10)/MAX(Статистика!$G$10-Статистика!$C$10,0.000001)))-MAX(0,MIN(1,(((IF(Статистика!$C$4="Параллельный режим (активная мощность)",B23,M23)+Статистика!$J$4))-Статистика!$C$10)/MAX(Статистика!$G$10-Статистика!$C$10,0.000001)))))</f>
        <v>0.46035328999999969</v>
      </c>
      <c r="AY23" s="12">
        <f>IF(A23="","",MAX(0,MAX(0,MIN(1,(((IF(Статистика!$C$4="Параллельный режим (активная мощность)",E23,P23)+Статистика!$J$4))-Статистика!$C$10)/MAX(Статистика!$G$10-Статистика!$C$10,0.000001)))-MAX(0,MIN(1,(((IF(Статистика!$C$4="Параллельный режим (активная мощность)",D23,O23)+Статистика!$J$4))-Статистика!$C$10)/MAX(Статистика!$G$10-Статистика!$C$10,0.000001)))))</f>
        <v>0.11876691277777784</v>
      </c>
      <c r="AZ23" s="12">
        <f>IF(A23="","",MAX(0,MAX(0,MIN(1,(((IF(Статистика!$C$4="Параллельный режим (активная мощность)",F23,Q23)+Статистика!$J$4))-Статистика!$C$10)/MAX(Статистика!$G$10-Статистика!$C$10,0.000001)))-MAX(0,MIN(1,(((IF(Статистика!$C$4="Параллельный режим (активная мощность)",E23,P23)+Статистика!$J$4))-Статистика!$C$10)/MAX(Статистика!$G$10-Статистика!$C$10,0.000001)))))</f>
        <v>5.1254697222222534E-2</v>
      </c>
      <c r="BA23" s="12">
        <f>IF(A23="","",MAX(0,MAX(0,MIN(1,(((IF(Статистика!$C$4="Параллельный режим (активная мощность)",G23,R23)+Статистика!$J$4))-Статистика!$C$10)/MAX(Статистика!$G$10-Статистика!$C$10,0.000001)))-MAX(0,MIN(1,(((IF(Статистика!$C$4="Параллельный режим (активная мощность)",F23,Q23)+Статистика!$J$4))-Статистика!$C$10)/MAX(Статистика!$G$10-Статистика!$C$10,0.000001)))))</f>
        <v>0.1086127944444446</v>
      </c>
      <c r="BB23" s="12">
        <f>IF(A23="","",MAX(0,MAX(0,MIN(1,(((IF(Статистика!$C$4="Параллельный режим (активная мощность)",H23,S23)+Статистика!$J$4))-Статистика!$C$10)/MAX(Статистика!$G$10-Статистика!$C$10,0.000001)))-MAX(0,MIN(1,(((IF(Статистика!$C$4="Параллельный режим (активная мощность)",G23,R23)+Статистика!$J$4))-Статистика!$C$10)/MAX(Статистика!$G$10-Статистика!$C$10,0.000001)))))</f>
        <v>6.3760352222222205E-2</v>
      </c>
      <c r="BC23" s="12">
        <f>IF(A23="","",MAX(0,MAX(0,MIN(1,(((IF(Статистика!$C$4="Параллельный режим (активная мощность)",J23,U23)+Статистика!$J$4))-Статистика!$C$10)/MAX(Статистика!$G$10-Статистика!$C$10,0.000001)))-MAX(0,MIN(1,(((IF(Статистика!$C$4="Параллельный режим (активная мощность)",H23,S23)+Статистика!$J$4))-Статистика!$C$10)/MAX(Статистика!$G$10-Статистика!$C$10,0.000001)))))</f>
        <v>1.094978399999913E-2</v>
      </c>
      <c r="BD23" s="12">
        <f>IF(A23="","",MAX(0,1-MAX(0,MIN(1,(((IF(Статистика!$C$4="Параллельный режим (активная мощность)",J23,U23)+Статистика!$J$4))-Статистика!$C$10)/MAX(Статистика!$G$10-Статистика!$C$10,0.000001)))))</f>
        <v>0.18630216933333399</v>
      </c>
      <c r="BE23" s="12">
        <f>IF(A23="",NA(),IF(Статистика!$B$8="Вкл",(((IF(Статистика!$C$4="Параллельный режим (активная мощность)",F23,Q23)+Статистика!$J$4))-Статистика!$C$10)/MAX(Статистика!$G$10-Статистика!$C$10,0.000001),NA()))</f>
        <v>0.63037490000000007</v>
      </c>
      <c r="BF23" s="12">
        <f>IF(A23="",NA(),IF(Статистика!$D$8="Вкл",(((IF(Статистика!$C$4="Параллельный режим (активная мощность)",E23,P23)+Статистика!$J$4))-Статистика!$C$10)/MAX(Статистика!$G$10-Статистика!$C$10,0.000001),NA()))</f>
        <v>0.57912020277777754</v>
      </c>
      <c r="BG23" s="12">
        <f>IF(A23="",NA(),IF(Статистика!$D$8="Вкл",(((IF(Статистика!$C$4="Параллельный режим (активная мощность)",G23,R23)+Статистика!$J$4))-Статистика!$C$10)/MAX(Статистика!$G$10-Статистика!$C$10,0.000001),NA()))</f>
        <v>0.73898769444444468</v>
      </c>
      <c r="BH23" s="12">
        <f>IF(A23="",NA(),IF(Статистика!$F$8="Вкл",(((IF(Статистика!$C$4="Параллельный режим (активная мощность)",D23,O23)+Статистика!$J$4))-Статистика!$C$10)/MAX(Статистика!$G$10-Статистика!$C$10,0.000001),NA()))</f>
        <v>0.46035328999999969</v>
      </c>
      <c r="BI23" s="12">
        <f>IF(A23="",NA(),IF(Статистика!$F$8="Вкл",(((IF(Статистика!$C$4="Параллельный режим (активная мощность)",H23,S23)+Статистика!$J$4))-Статистика!$C$10)/MAX(Статистика!$G$10-Статистика!$C$10,0.000001),NA()))</f>
        <v>0.80274804666666688</v>
      </c>
      <c r="BJ23" s="12">
        <f>IF(A23="",NA(),IF(Статистика!$H$8="Вкл",(((IF(Статистика!$C$4="Параллельный режим (активная мощность)",B23,M23)+Статистика!$J$4))-Статистика!$C$10)/MAX(Статистика!$G$10-Статистика!$C$10,0.000001),NA()))</f>
        <v>-1.2241493080000001</v>
      </c>
      <c r="BK23" s="12">
        <f>IF(A23="",NA(),IF(Статистика!$H$8="Вкл",(((IF(Статистика!$C$4="Параллельный режим (активная мощность)",J23,U23)+Статистика!$J$4))-Статистика!$C$10)/MAX(Статистика!$G$10-Статистика!$C$10,0.000001),NA()))</f>
        <v>0.81369783066666601</v>
      </c>
      <c r="BL23" s="12" t="e">
        <f>IF(A23="",NA(),IF(Статистика!$J$8="Вкл",(((IF(Статистика!$C$4="Параллельный режим (активная мощность)",K23,V23)+Статистика!$J$4))-Статистика!$C$10)/MAX(Статистика!$G$10-Статистика!$C$10,0.000001),NA()))</f>
        <v>#N/A</v>
      </c>
      <c r="BM23" s="12" t="e">
        <f>IF(AND(A23&lt;&gt;"",Статистика!$C$6="Вкл",Статистика!$B$6&gt;0),(Статистика!$B$6-Статистика!$C$10)/MAX(Статистика!$G$10-Статистика!$C$10,0.000001),NA())</f>
        <v>#N/A</v>
      </c>
      <c r="BN23" s="12" t="e">
        <f>IF(AND(A23&lt;&gt;"",Статистика!$F$6="Вкл",Статистика!$E$6&gt;0),(Статистика!$E$6-Статистика!$C$10)/MAX(Статистика!$G$10-Статистика!$C$10,0.000001),NA())</f>
        <v>#N/A</v>
      </c>
      <c r="BO23" s="12" t="e">
        <f>IF(AND(A23&lt;&gt;"",Статистика!$I$6="Вкл",Статистика!$H$6&gt;0),(Статистика!$H$6-Статистика!$C$10)/MAX(Статистика!$G$10-Статистика!$C$10,0.000001),NA())</f>
        <v>#N/A</v>
      </c>
      <c r="BP23" s="12" t="e">
        <f>IF(AND(A23&lt;&gt;"",Статистика!$L$6="Вкл",Статистика!$K$6&gt;0),(Статистика!$K$6-Статистика!$C$10)/MAX(Статистика!$G$10-Статистика!$C$10,0.000001),NA())</f>
        <v>#N/A</v>
      </c>
      <c r="BQ23" s="12" t="e">
        <f>IF(AND(A23&lt;&gt;"",Статистика!$M$6="Вкл",Статистика!$O$6&gt;0),(Статистика!$O$6-Статистика!$C$10)/MAX(Статистика!$G$10-Статистика!$C$10,0.000001),NA())</f>
        <v>#N/A</v>
      </c>
      <c r="BR23" s="12">
        <f t="shared" si="0"/>
        <v>1</v>
      </c>
      <c r="BT23" s="12">
        <f>IF(Y23="","",MAX(0,MIN(1,(((IF(Статистика!$C$4="Параллельный режим (активная мощность)",Z23,AK23)+Статистика!$J$4))-Статистика!$C$10)/MAX(Статистика!$G$10-Статистика!$C$10,0.000001))))</f>
        <v>0.4608452203888892</v>
      </c>
      <c r="BU23" s="12">
        <f>IF(Y23="","",MAX(0,MAX(0,MIN(1,(((IF(Статистика!$C$4="Параллельный режим (активная мощность)",AB23,AM23)+Статистика!$J$4))-Статистика!$C$10)/MAX(Статистика!$G$10-Статистика!$C$10,0.000001)))-MAX(0,MIN(1,(((IF(Статистика!$C$4="Параллельный режим (активная мощность)",Z23,AK23)+Статистика!$J$4))-Статистика!$C$10)/MAX(Статистика!$G$10-Статистика!$C$10,0.000001)))))</f>
        <v>4.8393383499999776E-2</v>
      </c>
      <c r="BV23" s="12">
        <f>IF(Y23="","",MAX(0,MAX(0,MIN(1,(((IF(Статистика!$C$4="Параллельный режим (активная мощность)",AC23,AN23)+Статистика!$J$4))-Статистика!$C$10)/MAX(Статистика!$G$10-Статистика!$C$10,0.000001)))-MAX(0,MIN(1,(((IF(Статистика!$C$4="Параллельный режим (активная мощность)",AB23,AM23)+Статистика!$J$4))-Статистика!$C$10)/MAX(Статистика!$G$10-Статистика!$C$10,0.000001)))))</f>
        <v>9.0038332222221795E-2</v>
      </c>
      <c r="BW23" s="12">
        <f>IF(Y23="","",MAX(0,MAX(0,MIN(1,(((IF(Статистика!$C$4="Параллельный режим (активная мощность)",AD23,AO23)+Статистика!$J$4))-Статистика!$C$10)/MAX(Статистика!$G$10-Статистика!$C$10,0.000001)))-MAX(0,MIN(1,(((IF(Статистика!$C$4="Параллельный режим (активная мощность)",AC23,AN23)+Статистика!$J$4))-Статистика!$C$10)/MAX(Статистика!$G$10-Статистика!$C$10,0.000001)))))</f>
        <v>6.5000513888888833E-2</v>
      </c>
      <c r="BX23" s="12">
        <f>IF(Y23="","",MAX(0,MAX(0,MIN(1,(((IF(Статистика!$C$4="Параллельный режим (активная мощность)",AE23,AP23)+Статистика!$J$4))-Статистика!$C$10)/MAX(Статистика!$G$10-Статистика!$C$10,0.000001)))-MAX(0,MIN(1,(((IF(Статистика!$C$4="Параллельный режим (активная мощность)",AD23,AO23)+Статистика!$J$4))-Статистика!$C$10)/MAX(Статистика!$G$10-Статистика!$C$10,0.000001)))))</f>
        <v>5.1797261111111159E-2</v>
      </c>
      <c r="BY23" s="12">
        <f>IF(Y23="","",MAX(0,MAX(0,MIN(1,(((IF(Статистика!$C$4="Параллельный режим (активная мощность)",AF23,AQ23)+Статистика!$J$4))-Статистика!$C$10)/MAX(Статистика!$G$10-Статистика!$C$10,0.000001)))-MAX(0,MIN(1,(((IF(Статистика!$C$4="Параллельный режим (активная мощность)",AE23,AP23)+Статистика!$J$4))-Статистика!$C$10)/MAX(Статистика!$G$10-Статистика!$C$10,0.000001)))))</f>
        <v>0.11729295611111135</v>
      </c>
      <c r="BZ23" s="12">
        <f>IF(Y23="","",MAX(0,MAX(0,MIN(1,(((IF(Статистика!$C$4="Параллельный режим (активная мощность)",AH23,AS23)+Статистика!$J$4))-Статистика!$C$10)/MAX(Статистика!$G$10-Статистика!$C$10,0.000001)))-MAX(0,MIN(1,(((IF(Статистика!$C$4="Параллельный режим (активная мощность)",AF23,AQ23)+Статистика!$J$4))-Статистика!$C$10)/MAX(Статистика!$G$10-Статистика!$C$10,0.000001)))))</f>
        <v>4.3895995000002852E-3</v>
      </c>
      <c r="CA23" s="12">
        <f>IF(Y23="","",MAX(0,1-MAX(0,MIN(1,(((IF(Статистика!$C$4="Параллельный режим (активная мощность)",AH23,AS23)+Статистика!$J$4))-Статистика!$C$10)/MAX(Статистика!$G$10-Статистика!$C$10,0.000001)))))</f>
        <v>0.16224273327777761</v>
      </c>
      <c r="CB23" s="12">
        <f>IF(Y23="",NA(),IF(Статистика!$B$8="Вкл",(((IF(Статистика!$C$4="Параллельный режим (активная мощность)",AD23,AO23)+Статистика!$J$4))-Статистика!$C$10)/MAX(Статистика!$G$10-Статистика!$C$10,0.000001),NA()))</f>
        <v>0.6642774499999996</v>
      </c>
      <c r="CC23" s="12">
        <f>IF(Y23="",NA(),IF(Статистика!$D$8="Вкл",(((IF(Статистика!$C$4="Параллельный режим (активная мощность)",AC23,AN23)+Статистика!$J$4))-Статистика!$C$10)/MAX(Статистика!$G$10-Статистика!$C$10,0.000001),NA()))</f>
        <v>0.59927693611111077</v>
      </c>
      <c r="CD23" s="12">
        <f>IF(Y23="",NA(),IF(Статистика!$D$8="Вкл",(((IF(Статистика!$C$4="Параллельный режим (активная мощность)",AE23,AP23)+Статистика!$J$4))-Статистика!$C$10)/MAX(Статистика!$G$10-Статистика!$C$10,0.000001),NA()))</f>
        <v>0.71607471111111076</v>
      </c>
      <c r="CE23" s="12">
        <f>IF(Y23="",NA(),IF(Статистика!$F$8="Вкл",(((IF(Статистика!$C$4="Параллельный режим (активная мощность)",AB23,AM23)+Статистика!$J$4))-Статистика!$C$10)/MAX(Статистика!$G$10-Статистика!$C$10,0.000001),NA()))</f>
        <v>0.50923860388888897</v>
      </c>
      <c r="CF23" s="12">
        <f>IF(Y23="",NA(),IF(Статистика!$F$8="Вкл",(((IF(Статистика!$C$4="Параллельный режим (активная мощность)",AF23,AQ23)+Статистика!$J$4))-Статистика!$C$10)/MAX(Статистика!$G$10-Статистика!$C$10,0.000001),NA()))</f>
        <v>0.83336766722222211</v>
      </c>
      <c r="CG23" s="12">
        <f>IF(Y23="",NA(),IF(Статистика!$H$8="Вкл",(((IF(Статистика!$C$4="Параллельный режим (активная мощность)",Z23,AK23)+Статистика!$J$4))-Статистика!$C$10)/MAX(Статистика!$G$10-Статистика!$C$10,0.000001),NA()))</f>
        <v>0.4608452203888892</v>
      </c>
      <c r="CH23" s="12">
        <f>IF(Y23="",NA(),IF(Статистика!$H$8="Вкл",(((IF(Статистика!$C$4="Параллельный режим (активная мощность)",AH23,AS23)+Статистика!$J$4))-Статистика!$C$10)/MAX(Статистика!$G$10-Статистика!$C$10,0.000001),NA()))</f>
        <v>0.83775726672222239</v>
      </c>
      <c r="CI23" s="12" t="e">
        <f>IF(Y23="",NA(),IF(Статистика!$J$8="Вкл",(((IF(Статистика!$C$4="Параллельный режим (активная мощность)",AI23,AT23)+Статистика!$J$4))-Статистика!$C$10)/MAX(Статистика!$G$10-Статистика!$C$10,0.000001),NA()))</f>
        <v>#N/A</v>
      </c>
      <c r="CJ23" s="12" t="e">
        <f>IF(AND(Y23&lt;&gt;"",Статистика!$C$6="Вкл",Статистика!$B$6&gt;0),(Статистика!$B$6-Статистика!$C$10)/MAX(Статистика!$G$10-Статистика!$C$10,0.000001),NA())</f>
        <v>#N/A</v>
      </c>
      <c r="CK23" s="12" t="e">
        <f>IF(AND(Y23&lt;&gt;"",Статистика!$F$6="Вкл",Статистика!$E$6&gt;0),(Статистика!$E$6-Статистика!$C$10)/MAX(Статистика!$G$10-Статистика!$C$10,0.000001),NA())</f>
        <v>#N/A</v>
      </c>
      <c r="CL23" s="12" t="e">
        <f>IF(AND(Y23&lt;&gt;"",Статистика!$I$6="Вкл",Статистика!$H$6&gt;0),(Статистика!$H$6-Статистика!$C$10)/MAX(Статистика!$G$10-Статистика!$C$10,0.000001),NA())</f>
        <v>#N/A</v>
      </c>
      <c r="CM23" s="12" t="e">
        <f>IF(AND(Y23&lt;&gt;"",Статистика!$L$6="Вкл",Статистика!$K$6&gt;0),(Статистика!$K$6-Статистика!$C$10)/MAX(Статистика!$G$10-Статистика!$C$10,0.000001),NA())</f>
        <v>#N/A</v>
      </c>
      <c r="CN23" s="12" t="e">
        <f>IF(AND(Y23&lt;&gt;"",Статистика!$M$6="Вкл",Статистика!$O$6&gt;0),(Статистика!$O$6-Статистика!$C$10)/MAX(Статистика!$G$10-Статистика!$C$10,0.000001),NA())</f>
        <v>#N/A</v>
      </c>
      <c r="CO23" s="12">
        <f t="shared" si="1"/>
        <v>1</v>
      </c>
    </row>
    <row r="24" spans="1:93" ht="15" customHeight="1">
      <c r="A24" s="12" t="s">
        <v>143</v>
      </c>
      <c r="B24" s="12">
        <v>2320.052956333333</v>
      </c>
      <c r="C24" s="12">
        <v>5754.5291816666668</v>
      </c>
      <c r="D24" s="12">
        <v>7409.7938533333327</v>
      </c>
      <c r="E24" s="12">
        <v>7740.3868166666653</v>
      </c>
      <c r="F24" s="12">
        <v>7903.15985</v>
      </c>
      <c r="G24" s="12">
        <v>8170.4501083333334</v>
      </c>
      <c r="H24" s="12">
        <v>8390.1148016666666</v>
      </c>
      <c r="I24" s="12">
        <v>8401.4406799999997</v>
      </c>
      <c r="J24" s="12">
        <v>8401.7294426666667</v>
      </c>
      <c r="K24" s="12">
        <v>8563.7999999999993</v>
      </c>
      <c r="L24" s="12" t="s">
        <v>144</v>
      </c>
      <c r="M24" s="12">
        <v>2878.9369858333334</v>
      </c>
      <c r="N24" s="12">
        <v>6640.4406625000001</v>
      </c>
      <c r="O24" s="12">
        <v>8462.9577283333329</v>
      </c>
      <c r="P24" s="12">
        <v>8860.3581416666657</v>
      </c>
      <c r="Q24" s="12">
        <v>9049.4041833333322</v>
      </c>
      <c r="R24" s="12">
        <v>9238.7550833333335</v>
      </c>
      <c r="S24" s="12">
        <v>9477.4681116666652</v>
      </c>
      <c r="T24" s="12">
        <v>9518.3464041666666</v>
      </c>
      <c r="U24" s="12">
        <v>9604.3467741666645</v>
      </c>
      <c r="V24" s="12">
        <v>9741.33</v>
      </c>
      <c r="W24" s="12" t="s">
        <v>145</v>
      </c>
      <c r="Y24" s="12" t="s">
        <v>143</v>
      </c>
      <c r="Z24" s="12">
        <v>7404.3729406666662</v>
      </c>
      <c r="AA24" s="12">
        <v>7468.8285699999997</v>
      </c>
      <c r="AB24" s="12">
        <v>7549.3981066666665</v>
      </c>
      <c r="AC24" s="12">
        <v>7825.5906499999992</v>
      </c>
      <c r="AD24" s="12">
        <v>7950.9007500000007</v>
      </c>
      <c r="AE24" s="12">
        <v>8159.3430416666661</v>
      </c>
      <c r="AF24" s="12">
        <v>8515.4073433333324</v>
      </c>
      <c r="AG24" s="12">
        <v>8525.1890383333321</v>
      </c>
      <c r="AH24" s="12">
        <v>8533.0143943333314</v>
      </c>
      <c r="AI24" s="12">
        <v>8653.58</v>
      </c>
      <c r="AJ24" s="12" t="s">
        <v>146</v>
      </c>
      <c r="AK24" s="12">
        <v>8493.3529301666676</v>
      </c>
      <c r="AL24" s="12">
        <v>8533.3069175000001</v>
      </c>
      <c r="AM24" s="12">
        <v>8583.249401666666</v>
      </c>
      <c r="AN24" s="12">
        <v>8916.1621833333338</v>
      </c>
      <c r="AO24" s="12">
        <v>9039.0238666666683</v>
      </c>
      <c r="AP24" s="12">
        <v>9296.7319833333331</v>
      </c>
      <c r="AQ24" s="12">
        <v>9652.4946366666663</v>
      </c>
      <c r="AR24" s="12">
        <v>9654.3224516666669</v>
      </c>
      <c r="AS24" s="12">
        <v>9655.7847036666681</v>
      </c>
      <c r="AT24" s="12">
        <v>9765.1299999999992</v>
      </c>
      <c r="AU24" s="12" t="s">
        <v>147</v>
      </c>
      <c r="AW24" s="12">
        <f>IF(A24="","",MAX(0,MIN(1,(((IF(Статистика!$C$4="Параллельный режим (активная мощность)",B24,M24)+Статистика!$J$4))-Статистика!$C$10)/MAX(Статистика!$G$10-Статистика!$C$10,0.000001))))</f>
        <v>0</v>
      </c>
      <c r="AX24" s="12">
        <f>IF(A24="","",MAX(0,MAX(0,MIN(1,(((IF(Статистика!$C$4="Параллельный режим (активная мощность)",D24,O24)+Статистика!$J$4))-Статистика!$C$10)/MAX(Статистика!$G$10-Статистика!$C$10,0.000001)))-MAX(0,MIN(1,(((IF(Статистика!$C$4="Параллельный режим (активная мощность)",B24,M24)+Статистика!$J$4))-Статистика!$C$10)/MAX(Статистика!$G$10-Статистика!$C$10,0.000001)))))</f>
        <v>0.46993128444444421</v>
      </c>
      <c r="AY24" s="12">
        <f>IF(A24="","",MAX(0,MAX(0,MIN(1,(((IF(Статистика!$C$4="Параллельный режим (активная мощность)",E24,P24)+Статистика!$J$4))-Статистика!$C$10)/MAX(Статистика!$G$10-Статистика!$C$10,0.000001)))-MAX(0,MIN(1,(((IF(Статистика!$C$4="Параллельный режим (активная мощность)",D24,O24)+Статистика!$J$4))-Статистика!$C$10)/MAX(Статистика!$G$10-Статистика!$C$10,0.000001)))))</f>
        <v>0.11019765444444418</v>
      </c>
      <c r="AZ24" s="12">
        <f>IF(A24="","",MAX(0,MAX(0,MIN(1,(((IF(Статистика!$C$4="Параллельный режим (активная мощность)",F24,Q24)+Статистика!$J$4))-Статистика!$C$10)/MAX(Статистика!$G$10-Статистика!$C$10,0.000001)))-MAX(0,MIN(1,(((IF(Статистика!$C$4="Параллельный режим (активная мощность)",E24,P24)+Статистика!$J$4))-Статистика!$C$10)/MAX(Статистика!$G$10-Статистика!$C$10,0.000001)))))</f>
        <v>5.4257677777778235E-2</v>
      </c>
      <c r="BA24" s="12">
        <f>IF(A24="","",MAX(0,MAX(0,MIN(1,(((IF(Статистика!$C$4="Параллельный режим (активная мощность)",G24,R24)+Статистика!$J$4))-Статистика!$C$10)/MAX(Статистика!$G$10-Статистика!$C$10,0.000001)))-MAX(0,MIN(1,(((IF(Статистика!$C$4="Параллельный режим (активная мощность)",F24,Q24)+Статистика!$J$4))-Статистика!$C$10)/MAX(Статистика!$G$10-Статистика!$C$10,0.000001)))))</f>
        <v>8.9096752777777843E-2</v>
      </c>
      <c r="BB24" s="12">
        <f>IF(A24="","",MAX(0,MAX(0,MIN(1,(((IF(Статистика!$C$4="Параллельный режим (активная мощность)",H24,S24)+Статистика!$J$4))-Статистика!$C$10)/MAX(Статистика!$G$10-Статистика!$C$10,0.000001)))-MAX(0,MIN(1,(((IF(Статистика!$C$4="Параллельный режим (активная мощность)",G24,R24)+Статистика!$J$4))-Статистика!$C$10)/MAX(Статистика!$G$10-Статистика!$C$10,0.000001)))))</f>
        <v>7.3221564444444387E-2</v>
      </c>
      <c r="BC24" s="12">
        <f>IF(A24="","",MAX(0,MAX(0,MIN(1,(((IF(Статистика!$C$4="Параллельный режим (активная мощность)",J24,U24)+Статистика!$J$4))-Статистика!$C$10)/MAX(Статистика!$G$10-Статистика!$C$10,0.000001)))-MAX(0,MIN(1,(((IF(Статистика!$C$4="Параллельный режим (активная мощность)",H24,S24)+Статистика!$J$4))-Статистика!$C$10)/MAX(Статистика!$G$10-Статистика!$C$10,0.000001)))))</f>
        <v>3.8715470000000307E-3</v>
      </c>
      <c r="BD24" s="12">
        <f>IF(A24="","",MAX(0,1-MAX(0,MIN(1,(((IF(Статистика!$C$4="Параллельный режим (активная мощность)",J24,U24)+Статистика!$J$4))-Статистика!$C$10)/MAX(Статистика!$G$10-Статистика!$C$10,0.000001)))))</f>
        <v>0.19942351911111111</v>
      </c>
      <c r="BE24" s="12">
        <f>IF(A24="",NA(),IF(Статистика!$B$8="Вкл",(((IF(Статистика!$C$4="Параллельный режим (активная мощность)",F24,Q24)+Статистика!$J$4))-Статистика!$C$10)/MAX(Статистика!$G$10-Статистика!$C$10,0.000001),NA()))</f>
        <v>0.63438661666666663</v>
      </c>
      <c r="BF24" s="12">
        <f>IF(A24="",NA(),IF(Статистика!$D$8="Вкл",(((IF(Статистика!$C$4="Параллельный режим (активная мощность)",E24,P24)+Статистика!$J$4))-Статистика!$C$10)/MAX(Статистика!$G$10-Статистика!$C$10,0.000001),NA()))</f>
        <v>0.58012893888888839</v>
      </c>
      <c r="BG24" s="12">
        <f>IF(A24="",NA(),IF(Статистика!$D$8="Вкл",(((IF(Статистика!$C$4="Параллельный режим (активная мощность)",G24,R24)+Статистика!$J$4))-Статистика!$C$10)/MAX(Статистика!$G$10-Статистика!$C$10,0.000001),NA()))</f>
        <v>0.72348336944444447</v>
      </c>
      <c r="BH24" s="12">
        <f>IF(A24="",NA(),IF(Статистика!$F$8="Вкл",(((IF(Статистика!$C$4="Параллельный режим (активная мощность)",D24,O24)+Статистика!$J$4))-Статистика!$C$10)/MAX(Статистика!$G$10-Статистика!$C$10,0.000001),NA()))</f>
        <v>0.46993128444444421</v>
      </c>
      <c r="BI24" s="12">
        <f>IF(A24="",NA(),IF(Статистика!$F$8="Вкл",(((IF(Статистика!$C$4="Параллельный режим (активная мощность)",H24,S24)+Статистика!$J$4))-Статистика!$C$10)/MAX(Статистика!$G$10-Статистика!$C$10,0.000001),NA()))</f>
        <v>0.79670493388888886</v>
      </c>
      <c r="BJ24" s="12">
        <f>IF(A24="",NA(),IF(Статистика!$H$8="Вкл",(((IF(Статистика!$C$4="Параллельный режим (активная мощность)",B24,M24)+Статистика!$J$4))-Статистика!$C$10)/MAX(Статистика!$G$10-Статистика!$C$10,0.000001),NA()))</f>
        <v>-1.2266490145555558</v>
      </c>
      <c r="BK24" s="12">
        <f>IF(A24="",NA(),IF(Статистика!$H$8="Вкл",(((IF(Статистика!$C$4="Параллельный режим (активная мощность)",J24,U24)+Статистика!$J$4))-Статистика!$C$10)/MAX(Статистика!$G$10-Статистика!$C$10,0.000001),NA()))</f>
        <v>0.80057648088888889</v>
      </c>
      <c r="BL24" s="12" t="e">
        <f>IF(A24="",NA(),IF(Статистика!$J$8="Вкл",(((IF(Статистика!$C$4="Параллельный режим (активная мощность)",K24,V24)+Статистика!$J$4))-Статистика!$C$10)/MAX(Статистика!$G$10-Статистика!$C$10,0.000001),NA()))</f>
        <v>#N/A</v>
      </c>
      <c r="BM24" s="12" t="e">
        <f>IF(AND(A24&lt;&gt;"",Статистика!$C$6="Вкл",Статистика!$B$6&gt;0),(Статистика!$B$6-Статистика!$C$10)/MAX(Статистика!$G$10-Статистика!$C$10,0.000001),NA())</f>
        <v>#N/A</v>
      </c>
      <c r="BN24" s="12" t="e">
        <f>IF(AND(A24&lt;&gt;"",Статистика!$F$6="Вкл",Статистика!$E$6&gt;0),(Статистика!$E$6-Статистика!$C$10)/MAX(Статистика!$G$10-Статистика!$C$10,0.000001),NA())</f>
        <v>#N/A</v>
      </c>
      <c r="BO24" s="12" t="e">
        <f>IF(AND(A24&lt;&gt;"",Статистика!$I$6="Вкл",Статистика!$H$6&gt;0),(Статистика!$H$6-Статистика!$C$10)/MAX(Статистика!$G$10-Статистика!$C$10,0.000001),NA())</f>
        <v>#N/A</v>
      </c>
      <c r="BP24" s="12" t="e">
        <f>IF(AND(A24&lt;&gt;"",Статистика!$L$6="Вкл",Статистика!$K$6&gt;0),(Статистика!$K$6-Статистика!$C$10)/MAX(Статистика!$G$10-Статистика!$C$10,0.000001),NA())</f>
        <v>#N/A</v>
      </c>
      <c r="BQ24" s="12" t="e">
        <f>IF(AND(A24&lt;&gt;"",Статистика!$M$6="Вкл",Статистика!$O$6&gt;0),(Статистика!$O$6-Статистика!$C$10)/MAX(Статистика!$G$10-Статистика!$C$10,0.000001),NA())</f>
        <v>#N/A</v>
      </c>
      <c r="BR24" s="12">
        <f t="shared" si="0"/>
        <v>1</v>
      </c>
      <c r="BT24" s="12">
        <f>IF(Y24="","",MAX(0,MIN(1,(((IF(Статистика!$C$4="Параллельный режим (активная мощность)",Z24,AK24)+Статистика!$J$4))-Статистика!$C$10)/MAX(Статистика!$G$10-Статистика!$C$10,0.000001))))</f>
        <v>0.46812431355555539</v>
      </c>
      <c r="BU24" s="12">
        <f>IF(Y24="","",MAX(0,MAX(0,MIN(1,(((IF(Статистика!$C$4="Параллельный режим (активная мощность)",AB24,AM24)+Статистика!$J$4))-Статистика!$C$10)/MAX(Статистика!$G$10-Статистика!$C$10,0.000001)))-MAX(0,MIN(1,(((IF(Статистика!$C$4="Параллельный режим (активная мощность)",Z24,AK24)+Статистика!$J$4))-Статистика!$C$10)/MAX(Статистика!$G$10-Статистика!$C$10,0.000001)))))</f>
        <v>4.8341722000000087E-2</v>
      </c>
      <c r="BV24" s="12">
        <f>IF(Y24="","",MAX(0,MAX(0,MIN(1,(((IF(Статистика!$C$4="Параллельный режим (активная мощность)",AC24,AN24)+Статистика!$J$4))-Статистика!$C$10)/MAX(Статистика!$G$10-Статистика!$C$10,0.000001)))-MAX(0,MIN(1,(((IF(Статистика!$C$4="Параллельный режим (активная мощность)",AB24,AM24)+Статистика!$J$4))-Статистика!$C$10)/MAX(Статистика!$G$10-Статистика!$C$10,0.000001)))))</f>
        <v>9.2064181111110921E-2</v>
      </c>
      <c r="BW24" s="12">
        <f>IF(Y24="","",MAX(0,MAX(0,MIN(1,(((IF(Статистика!$C$4="Параллельный режим (активная мощность)",AD24,AO24)+Статистика!$J$4))-Статистика!$C$10)/MAX(Статистика!$G$10-Статистика!$C$10,0.000001)))-MAX(0,MIN(1,(((IF(Статистика!$C$4="Параллельный режим (активная мощность)",AC24,AN24)+Статистика!$J$4))-Статистика!$C$10)/MAX(Статистика!$G$10-Статистика!$C$10,0.000001)))))</f>
        <v>4.1770033333333845E-2</v>
      </c>
      <c r="BX24" s="12">
        <f>IF(Y24="","",MAX(0,MAX(0,MIN(1,(((IF(Статистика!$C$4="Параллельный режим (активная мощность)",AE24,AP24)+Статистика!$J$4))-Статистика!$C$10)/MAX(Статистика!$G$10-Статистика!$C$10,0.000001)))-MAX(0,MIN(1,(((IF(Статистика!$C$4="Параллельный режим (активная мощность)",AD24,AO24)+Статистика!$J$4))-Статистика!$C$10)/MAX(Статистика!$G$10-Статистика!$C$10,0.000001)))))</f>
        <v>6.9480763888888464E-2</v>
      </c>
      <c r="BY24" s="12">
        <f>IF(Y24="","",MAX(0,MAX(0,MIN(1,(((IF(Статистика!$C$4="Параллельный режим (активная мощность)",AF24,AQ24)+Статистика!$J$4))-Статистика!$C$10)/MAX(Статистика!$G$10-Статистика!$C$10,0.000001)))-MAX(0,MIN(1,(((IF(Статистика!$C$4="Параллельный режим (активная мощность)",AE24,AP24)+Статистика!$J$4))-Статистика!$C$10)/MAX(Статистика!$G$10-Статистика!$C$10,0.000001)))))</f>
        <v>0.11868810055555545</v>
      </c>
      <c r="BZ24" s="12">
        <f>IF(Y24="","",MAX(0,MAX(0,MIN(1,(((IF(Статистика!$C$4="Параллельный режим (активная мощность)",AH24,AS24)+Статистика!$J$4))-Статистика!$C$10)/MAX(Статистика!$G$10-Статистика!$C$10,0.000001)))-MAX(0,MIN(1,(((IF(Статистика!$C$4="Параллельный режим (активная мощность)",AF24,AQ24)+Статистика!$J$4))-Статистика!$C$10)/MAX(Статистика!$G$10-Статистика!$C$10,0.000001)))))</f>
        <v>5.8690169999996433E-3</v>
      </c>
      <c r="CA24" s="12">
        <f>IF(Y24="","",MAX(0,1-MAX(0,MIN(1,(((IF(Статистика!$C$4="Параллельный режим (активная мощность)",AH24,AS24)+Статистика!$J$4))-Статистика!$C$10)/MAX(Статистика!$G$10-Статистика!$C$10,0.000001)))))</f>
        <v>0.15566186855555619</v>
      </c>
      <c r="CB24" s="12">
        <f>IF(Y24="",NA(),IF(Статистика!$B$8="Вкл",(((IF(Статистика!$C$4="Параллельный режим (активная мощность)",AD24,AO24)+Статистика!$J$4))-Статистика!$C$10)/MAX(Статистика!$G$10-Статистика!$C$10,0.000001),NA()))</f>
        <v>0.65030025000000025</v>
      </c>
      <c r="CC24" s="12">
        <f>IF(Y24="",NA(),IF(Статистика!$D$8="Вкл",(((IF(Статистика!$C$4="Параллельный режим (активная мощность)",AC24,AN24)+Статистика!$J$4))-Статистика!$C$10)/MAX(Статистика!$G$10-Статистика!$C$10,0.000001),NA()))</f>
        <v>0.6085302166666664</v>
      </c>
      <c r="CD24" s="12">
        <f>IF(Y24="",NA(),IF(Статистика!$D$8="Вкл",(((IF(Статистика!$C$4="Параллельный режим (активная мощность)",AE24,AP24)+Статистика!$J$4))-Статистика!$C$10)/MAX(Статистика!$G$10-Статистика!$C$10,0.000001),NA()))</f>
        <v>0.71978101388888871</v>
      </c>
      <c r="CE24" s="12">
        <f>IF(Y24="",NA(),IF(Статистика!$F$8="Вкл",(((IF(Статистика!$C$4="Параллельный режим (активная мощность)",AB24,AM24)+Статистика!$J$4))-Статистика!$C$10)/MAX(Статистика!$G$10-Статистика!$C$10,0.000001),NA()))</f>
        <v>0.51646603555555548</v>
      </c>
      <c r="CF24" s="12">
        <f>IF(Y24="",NA(),IF(Статистика!$F$8="Вкл",(((IF(Статистика!$C$4="Параллельный режим (активная мощность)",AF24,AQ24)+Статистика!$J$4))-Статистика!$C$10)/MAX(Статистика!$G$10-Статистика!$C$10,0.000001),NA()))</f>
        <v>0.83846911444444416</v>
      </c>
      <c r="CG24" s="12">
        <f>IF(Y24="",NA(),IF(Статистика!$H$8="Вкл",(((IF(Статистика!$C$4="Параллельный режим (активная мощность)",Z24,AK24)+Статистика!$J$4))-Статистика!$C$10)/MAX(Статистика!$G$10-Статистика!$C$10,0.000001),NA()))</f>
        <v>0.46812431355555539</v>
      </c>
      <c r="CH24" s="12">
        <f>IF(Y24="",NA(),IF(Статистика!$H$8="Вкл",(((IF(Статистика!$C$4="Параллельный режим (активная мощность)",AH24,AS24)+Статистика!$J$4))-Статистика!$C$10)/MAX(Статистика!$G$10-Статистика!$C$10,0.000001),NA()))</f>
        <v>0.84433813144444381</v>
      </c>
      <c r="CI24" s="12" t="e">
        <f>IF(Y24="",NA(),IF(Статистика!$J$8="Вкл",(((IF(Статистика!$C$4="Параллельный режим (активная мощность)",AI24,AT24)+Статистика!$J$4))-Статистика!$C$10)/MAX(Статистика!$G$10-Статистика!$C$10,0.000001),NA()))</f>
        <v>#N/A</v>
      </c>
      <c r="CJ24" s="12" t="e">
        <f>IF(AND(Y24&lt;&gt;"",Статистика!$C$6="Вкл",Статистика!$B$6&gt;0),(Статистика!$B$6-Статистика!$C$10)/MAX(Статистика!$G$10-Статистика!$C$10,0.000001),NA())</f>
        <v>#N/A</v>
      </c>
      <c r="CK24" s="12" t="e">
        <f>IF(AND(Y24&lt;&gt;"",Статистика!$F$6="Вкл",Статистика!$E$6&gt;0),(Статистика!$E$6-Статистика!$C$10)/MAX(Статистика!$G$10-Статистика!$C$10,0.000001),NA())</f>
        <v>#N/A</v>
      </c>
      <c r="CL24" s="12" t="e">
        <f>IF(AND(Y24&lt;&gt;"",Статистика!$I$6="Вкл",Статистика!$H$6&gt;0),(Статистика!$H$6-Статистика!$C$10)/MAX(Статистика!$G$10-Статистика!$C$10,0.000001),NA())</f>
        <v>#N/A</v>
      </c>
      <c r="CM24" s="12" t="e">
        <f>IF(AND(Y24&lt;&gt;"",Статистика!$L$6="Вкл",Статистика!$K$6&gt;0),(Статистика!$K$6-Статистика!$C$10)/MAX(Статистика!$G$10-Статистика!$C$10,0.000001),NA())</f>
        <v>#N/A</v>
      </c>
      <c r="CN24" s="12" t="e">
        <f>IF(AND(Y24&lt;&gt;"",Статистика!$M$6="Вкл",Статистика!$O$6&gt;0),(Статистика!$O$6-Статистика!$C$10)/MAX(Статистика!$G$10-Статистика!$C$10,0.000001),NA())</f>
        <v>#N/A</v>
      </c>
      <c r="CO24" s="12">
        <f t="shared" si="1"/>
        <v>1</v>
      </c>
    </row>
    <row r="25" spans="1:93" ht="15" customHeight="1">
      <c r="A25" s="12" t="s">
        <v>148</v>
      </c>
      <c r="B25" s="12">
        <v>2315.5047420000001</v>
      </c>
      <c r="C25" s="12">
        <v>5708.2029100000009</v>
      </c>
      <c r="D25" s="12">
        <v>7396.737435</v>
      </c>
      <c r="E25" s="12">
        <v>7723.6065916666666</v>
      </c>
      <c r="F25" s="12">
        <v>7892.4011333333337</v>
      </c>
      <c r="G25" s="12">
        <v>8144.6659333333319</v>
      </c>
      <c r="H25" s="12">
        <v>8344.7987633333323</v>
      </c>
      <c r="I25" s="12">
        <v>8381.3173349999997</v>
      </c>
      <c r="J25" s="12">
        <v>8390.3727203333347</v>
      </c>
      <c r="K25" s="12">
        <v>8872.6200000000008</v>
      </c>
      <c r="L25" s="12" t="s">
        <v>149</v>
      </c>
      <c r="M25" s="12">
        <v>2877.5667690000005</v>
      </c>
      <c r="N25" s="12">
        <v>6583.5186450000001</v>
      </c>
      <c r="O25" s="12">
        <v>8449.5193199999994</v>
      </c>
      <c r="P25" s="12">
        <v>8857.3243083333327</v>
      </c>
      <c r="Q25" s="12">
        <v>9025.217083333333</v>
      </c>
      <c r="R25" s="12">
        <v>9216.3723833333333</v>
      </c>
      <c r="S25" s="12">
        <v>9429.8101483333339</v>
      </c>
      <c r="T25" s="12">
        <v>9480.5568141666663</v>
      </c>
      <c r="U25" s="12">
        <v>9574.9480828333326</v>
      </c>
      <c r="V25" s="12">
        <v>9750.59</v>
      </c>
      <c r="W25" s="12" t="s">
        <v>150</v>
      </c>
      <c r="Y25" s="12" t="s">
        <v>148</v>
      </c>
      <c r="Z25" s="12">
        <v>7376.1479866666668</v>
      </c>
      <c r="AA25" s="12">
        <v>7440.0588666666672</v>
      </c>
      <c r="AB25" s="12">
        <v>7519.9474666666674</v>
      </c>
      <c r="AC25" s="12">
        <v>7810.8168916666664</v>
      </c>
      <c r="AD25" s="12">
        <v>7939.7463666666672</v>
      </c>
      <c r="AE25" s="12">
        <v>8077.1181000000006</v>
      </c>
      <c r="AF25" s="12">
        <v>8474.9765916666656</v>
      </c>
      <c r="AG25" s="12">
        <v>8481.3798291666662</v>
      </c>
      <c r="AH25" s="12">
        <v>8486.5024191666671</v>
      </c>
      <c r="AI25" s="12">
        <v>8668.32</v>
      </c>
      <c r="AJ25" s="12" t="s">
        <v>151</v>
      </c>
      <c r="AK25" s="12">
        <v>8461.6467385000014</v>
      </c>
      <c r="AL25" s="12">
        <v>8499.896092500001</v>
      </c>
      <c r="AM25" s="12">
        <v>8547.7077850000005</v>
      </c>
      <c r="AN25" s="12">
        <v>8925.5688499999997</v>
      </c>
      <c r="AO25" s="12">
        <v>8993.4004166666637</v>
      </c>
      <c r="AP25" s="12">
        <v>9223.9085333333351</v>
      </c>
      <c r="AQ25" s="12">
        <v>9608.4743783333342</v>
      </c>
      <c r="AR25" s="12">
        <v>9609.1875725000009</v>
      </c>
      <c r="AS25" s="12">
        <v>9609.7581278333346</v>
      </c>
      <c r="AT25" s="12">
        <v>9758.61</v>
      </c>
      <c r="AU25" s="12" t="s">
        <v>152</v>
      </c>
      <c r="AW25" s="12">
        <f>IF(A25="","",MAX(0,MIN(1,(((IF(Статистика!$C$4="Параллельный режим (активная мощность)",B25,M25)+Статистика!$J$4))-Статистика!$C$10)/MAX(Статистика!$G$10-Статистика!$C$10,0.000001))))</f>
        <v>0</v>
      </c>
      <c r="AX25" s="12">
        <f>IF(A25="","",MAX(0,MAX(0,MIN(1,(((IF(Статистика!$C$4="Параллельный режим (активная мощность)",D25,O25)+Статистика!$J$4))-Статистика!$C$10)/MAX(Статистика!$G$10-Статистика!$C$10,0.000001)))-MAX(0,MIN(1,(((IF(Статистика!$C$4="Параллельный режим (активная мощность)",B25,M25)+Статистика!$J$4))-Статистика!$C$10)/MAX(Статистика!$G$10-Статистика!$C$10,0.000001)))))</f>
        <v>0.46557914500000003</v>
      </c>
      <c r="AY25" s="12">
        <f>IF(A25="","",MAX(0,MAX(0,MIN(1,(((IF(Статистика!$C$4="Параллельный режим (активная мощность)",E25,P25)+Статистика!$J$4))-Статистика!$C$10)/MAX(Статистика!$G$10-Статистика!$C$10,0.000001)))-MAX(0,MIN(1,(((IF(Статистика!$C$4="Параллельный режим (активная мощность)",D25,O25)+Статистика!$J$4))-Статистика!$C$10)/MAX(Статистика!$G$10-Статистика!$C$10,0.000001)))))</f>
        <v>0.10895638555555548</v>
      </c>
      <c r="AZ25" s="12">
        <f>IF(A25="","",MAX(0,MAX(0,MIN(1,(((IF(Статистика!$C$4="Параллельный режим (активная мощность)",F25,Q25)+Статистика!$J$4))-Статистика!$C$10)/MAX(Статистика!$G$10-Статистика!$C$10,0.000001)))-MAX(0,MIN(1,(((IF(Статистика!$C$4="Параллельный режим (активная мощность)",E25,P25)+Статистика!$J$4))-Статистика!$C$10)/MAX(Статистика!$G$10-Статистика!$C$10,0.000001)))))</f>
        <v>5.6264847222222358E-2</v>
      </c>
      <c r="BA25" s="12">
        <f>IF(A25="","",MAX(0,MAX(0,MIN(1,(((IF(Статистика!$C$4="Параллельный режим (активная мощность)",G25,R25)+Статистика!$J$4))-Статистика!$C$10)/MAX(Статистика!$G$10-Статистика!$C$10,0.000001)))-MAX(0,MIN(1,(((IF(Статистика!$C$4="Параллельный режим (активная мощность)",F25,Q25)+Статистика!$J$4))-Статистика!$C$10)/MAX(Статистика!$G$10-Статистика!$C$10,0.000001)))))</f>
        <v>8.4088266666666134E-2</v>
      </c>
      <c r="BB25" s="12">
        <f>IF(A25="","",MAX(0,MAX(0,MIN(1,(((IF(Статистика!$C$4="Параллельный режим (активная мощность)",H25,S25)+Статистика!$J$4))-Статистика!$C$10)/MAX(Статистика!$G$10-Статистика!$C$10,0.000001)))-MAX(0,MIN(1,(((IF(Статистика!$C$4="Параллельный режим (активная мощность)",G25,R25)+Статистика!$J$4))-Статистика!$C$10)/MAX(Статистика!$G$10-Статистика!$C$10,0.000001)))))</f>
        <v>6.6710943333333494E-2</v>
      </c>
      <c r="BC25" s="12">
        <f>IF(A25="","",MAX(0,MAX(0,MIN(1,(((IF(Статистика!$C$4="Параллельный режим (активная мощность)",J25,U25)+Статистика!$J$4))-Статистика!$C$10)/MAX(Статистика!$G$10-Статистика!$C$10,0.000001)))-MAX(0,MIN(1,(((IF(Статистика!$C$4="Параллельный режим (активная мощность)",H25,S25)+Статистика!$J$4))-Статистика!$C$10)/MAX(Статистика!$G$10-Статистика!$C$10,0.000001)))))</f>
        <v>1.5191319000000703E-2</v>
      </c>
      <c r="BD25" s="12">
        <f>IF(A25="","",MAX(0,1-MAX(0,MIN(1,(((IF(Статистика!$C$4="Параллельный режим (активная мощность)",J25,U25)+Статистика!$J$4))-Статистика!$C$10)/MAX(Статистика!$G$10-Статистика!$C$10,0.000001)))))</f>
        <v>0.2032090932222218</v>
      </c>
      <c r="BE25" s="12">
        <f>IF(A25="",NA(),IF(Статистика!$B$8="Вкл",(((IF(Статистика!$C$4="Параллельный режим (активная мощность)",F25,Q25)+Статистика!$J$4))-Статистика!$C$10)/MAX(Статистика!$G$10-Статистика!$C$10,0.000001),NA()))</f>
        <v>0.63080037777777787</v>
      </c>
      <c r="BF25" s="12">
        <f>IF(A25="",NA(),IF(Статистика!$D$8="Вкл",(((IF(Статистика!$C$4="Параллельный режим (активная мощность)",E25,P25)+Статистика!$J$4))-Статистика!$C$10)/MAX(Статистика!$G$10-Статистика!$C$10,0.000001),NA()))</f>
        <v>0.57453553055555551</v>
      </c>
      <c r="BG25" s="12">
        <f>IF(A25="",NA(),IF(Статистика!$D$8="Вкл",(((IF(Статистика!$C$4="Параллельный режим (активная мощность)",G25,R25)+Статистика!$J$4))-Статистика!$C$10)/MAX(Статистика!$G$10-Статистика!$C$10,0.000001),NA()))</f>
        <v>0.714888644444444</v>
      </c>
      <c r="BH25" s="12">
        <f>IF(A25="",NA(),IF(Статистика!$F$8="Вкл",(((IF(Статистика!$C$4="Параллельный режим (активная мощность)",D25,O25)+Статистика!$J$4))-Статистика!$C$10)/MAX(Статистика!$G$10-Статистика!$C$10,0.000001),NA()))</f>
        <v>0.46557914500000003</v>
      </c>
      <c r="BI25" s="12">
        <f>IF(A25="",NA(),IF(Статистика!$F$8="Вкл",(((IF(Статистика!$C$4="Параллельный режим (активная мощность)",H25,S25)+Статистика!$J$4))-Статистика!$C$10)/MAX(Статистика!$G$10-Статистика!$C$10,0.000001),NA()))</f>
        <v>0.78159958777777749</v>
      </c>
      <c r="BJ25" s="12">
        <f>IF(A25="",NA(),IF(Статистика!$H$8="Вкл",(((IF(Статистика!$C$4="Параллельный режим (активная мощность)",B25,M25)+Статистика!$J$4))-Статистика!$C$10)/MAX(Статистика!$G$10-Статистика!$C$10,0.000001),NA()))</f>
        <v>-1.228165086</v>
      </c>
      <c r="BK25" s="12">
        <f>IF(A25="",NA(),IF(Статистика!$H$8="Вкл",(((IF(Статистика!$C$4="Параллельный режим (активная мощность)",J25,U25)+Статистика!$J$4))-Статистика!$C$10)/MAX(Статистика!$G$10-Статистика!$C$10,0.000001),NA()))</f>
        <v>0.7967909067777782</v>
      </c>
      <c r="BL25" s="12" t="e">
        <f>IF(A25="",NA(),IF(Статистика!$J$8="Вкл",(((IF(Статистика!$C$4="Параллельный режим (активная мощность)",K25,V25)+Статистика!$J$4))-Статистика!$C$10)/MAX(Статистика!$G$10-Статистика!$C$10,0.000001),NA()))</f>
        <v>#N/A</v>
      </c>
      <c r="BM25" s="12" t="e">
        <f>IF(AND(A25&lt;&gt;"",Статистика!$C$6="Вкл",Статистика!$B$6&gt;0),(Статистика!$B$6-Статистика!$C$10)/MAX(Статистика!$G$10-Статистика!$C$10,0.000001),NA())</f>
        <v>#N/A</v>
      </c>
      <c r="BN25" s="12" t="e">
        <f>IF(AND(A25&lt;&gt;"",Статистика!$F$6="Вкл",Статистика!$E$6&gt;0),(Статистика!$E$6-Статистика!$C$10)/MAX(Статистика!$G$10-Статистика!$C$10,0.000001),NA())</f>
        <v>#N/A</v>
      </c>
      <c r="BO25" s="12" t="e">
        <f>IF(AND(A25&lt;&gt;"",Статистика!$I$6="Вкл",Статистика!$H$6&gt;0),(Статистика!$H$6-Статистика!$C$10)/MAX(Статистика!$G$10-Статистика!$C$10,0.000001),NA())</f>
        <v>#N/A</v>
      </c>
      <c r="BP25" s="12" t="e">
        <f>IF(AND(A25&lt;&gt;"",Статистика!$L$6="Вкл",Статистика!$K$6&gt;0),(Статистика!$K$6-Статистика!$C$10)/MAX(Статистика!$G$10-Статистика!$C$10,0.000001),NA())</f>
        <v>#N/A</v>
      </c>
      <c r="BQ25" s="12" t="e">
        <f>IF(AND(A25&lt;&gt;"",Статистика!$M$6="Вкл",Статистика!$O$6&gt;0),(Статистика!$O$6-Статистика!$C$10)/MAX(Статистика!$G$10-Статистика!$C$10,0.000001),NA())</f>
        <v>#N/A</v>
      </c>
      <c r="BR25" s="12">
        <f t="shared" si="0"/>
        <v>1</v>
      </c>
      <c r="BT25" s="12">
        <f>IF(Y25="","",MAX(0,MIN(1,(((IF(Статистика!$C$4="Параллельный режим (активная мощность)",Z25,AK25)+Статистика!$J$4))-Статистика!$C$10)/MAX(Статистика!$G$10-Статистика!$C$10,0.000001))))</f>
        <v>0.45871599555555559</v>
      </c>
      <c r="BU25" s="12">
        <f>IF(Y25="","",MAX(0,MAX(0,MIN(1,(((IF(Статистика!$C$4="Параллельный режим (активная мощность)",AB25,AM25)+Статистика!$J$4))-Статистика!$C$10)/MAX(Статистика!$G$10-Статистика!$C$10,0.000001)))-MAX(0,MIN(1,(((IF(Статистика!$C$4="Параллельный режим (активная мощность)",Z25,AK25)+Статистика!$J$4))-Статистика!$C$10)/MAX(Статистика!$G$10-Статистика!$C$10,0.000001)))))</f>
        <v>4.7933160000000197E-2</v>
      </c>
      <c r="BV25" s="12">
        <f>IF(Y25="","",MAX(0,MAX(0,MIN(1,(((IF(Статистика!$C$4="Параллельный режим (активная мощность)",AC25,AN25)+Статистика!$J$4))-Статистика!$C$10)/MAX(Статистика!$G$10-Статистика!$C$10,0.000001)))-MAX(0,MIN(1,(((IF(Статистика!$C$4="Параллельный режим (активная мощность)",AB25,AM25)+Статистика!$J$4))-Статистика!$C$10)/MAX(Статистика!$G$10-Статистика!$C$10,0.000001)))))</f>
        <v>9.6956474999999709E-2</v>
      </c>
      <c r="BW25" s="12">
        <f>IF(Y25="","",MAX(0,MAX(0,MIN(1,(((IF(Статистика!$C$4="Параллельный режим (активная мощность)",AD25,AO25)+Статистика!$J$4))-Статистика!$C$10)/MAX(Статистика!$G$10-Статистика!$C$10,0.000001)))-MAX(0,MIN(1,(((IF(Статистика!$C$4="Параллельный режим (активная мощность)",AC25,AN25)+Статистика!$J$4))-Статистика!$C$10)/MAX(Статистика!$G$10-Статистика!$C$10,0.000001)))))</f>
        <v>4.2976491666666949E-2</v>
      </c>
      <c r="BX25" s="12">
        <f>IF(Y25="","",MAX(0,MAX(0,MIN(1,(((IF(Статистика!$C$4="Параллельный режим (активная мощность)",AE25,AP25)+Статистика!$J$4))-Статистика!$C$10)/MAX(Статистика!$G$10-Статистика!$C$10,0.000001)))-MAX(0,MIN(1,(((IF(Статистика!$C$4="Параллельный режим (активная мощность)",AD25,AO25)+Статистика!$J$4))-Статистика!$C$10)/MAX(Статистика!$G$10-Статистика!$C$10,0.000001)))))</f>
        <v>4.579057777777773E-2</v>
      </c>
      <c r="BY25" s="12">
        <f>IF(Y25="","",MAX(0,MAX(0,MIN(1,(((IF(Статистика!$C$4="Параллельный режим (активная мощность)",AF25,AQ25)+Статистика!$J$4))-Статистика!$C$10)/MAX(Статистика!$G$10-Статистика!$C$10,0.000001)))-MAX(0,MIN(1,(((IF(Статистика!$C$4="Параллельный режим (активная мощность)",AE25,AP25)+Статистика!$J$4))-Статистика!$C$10)/MAX(Статистика!$G$10-Статистика!$C$10,0.000001)))))</f>
        <v>0.13261949722222166</v>
      </c>
      <c r="BZ25" s="12">
        <f>IF(Y25="","",MAX(0,MAX(0,MIN(1,(((IF(Статистика!$C$4="Параллельный режим (активная мощность)",AH25,AS25)+Статистика!$J$4))-Статистика!$C$10)/MAX(Статистика!$G$10-Статистика!$C$10,0.000001)))-MAX(0,MIN(1,(((IF(Статистика!$C$4="Параллельный режим (активная мощность)",AF25,AQ25)+Статистика!$J$4))-Статистика!$C$10)/MAX(Статистика!$G$10-Статистика!$C$10,0.000001)))))</f>
        <v>3.8419425000005836E-3</v>
      </c>
      <c r="CA25" s="12">
        <f>IF(Y25="","",MAX(0,1-MAX(0,MIN(1,(((IF(Статистика!$C$4="Параллельный режим (активная мощность)",AH25,AS25)+Статистика!$J$4))-Статистика!$C$10)/MAX(Статистика!$G$10-Статистика!$C$10,0.000001)))))</f>
        <v>0.17116586027777758</v>
      </c>
      <c r="CB25" s="12">
        <f>IF(Y25="",NA(),IF(Статистика!$B$8="Вкл",(((IF(Статистика!$C$4="Параллельный режим (активная мощность)",AD25,AO25)+Статистика!$J$4))-Статистика!$C$10)/MAX(Статистика!$G$10-Статистика!$C$10,0.000001),NA()))</f>
        <v>0.64658212222222244</v>
      </c>
      <c r="CC25" s="12">
        <f>IF(Y25="",NA(),IF(Статистика!$D$8="Вкл",(((IF(Статистика!$C$4="Параллельный режим (активная мощность)",AC25,AN25)+Статистика!$J$4))-Статистика!$C$10)/MAX(Статистика!$G$10-Статистика!$C$10,0.000001),NA()))</f>
        <v>0.60360563055555549</v>
      </c>
      <c r="CD25" s="12">
        <f>IF(Y25="",NA(),IF(Статистика!$D$8="Вкл",(((IF(Статистика!$C$4="Параллельный режим (активная мощность)",AE25,AP25)+Статистика!$J$4))-Статистика!$C$10)/MAX(Статистика!$G$10-Статистика!$C$10,0.000001),NA()))</f>
        <v>0.69237270000000017</v>
      </c>
      <c r="CE25" s="12">
        <f>IF(Y25="",NA(),IF(Статистика!$F$8="Вкл",(((IF(Статистика!$C$4="Параллельный режим (активная мощность)",AB25,AM25)+Статистика!$J$4))-Статистика!$C$10)/MAX(Статистика!$G$10-Статистика!$C$10,0.000001),NA()))</f>
        <v>0.50664915555555579</v>
      </c>
      <c r="CF25" s="12">
        <f>IF(Y25="",NA(),IF(Статистика!$F$8="Вкл",(((IF(Статистика!$C$4="Параллельный режим (активная мощность)",AF25,AQ25)+Статистика!$J$4))-Статистика!$C$10)/MAX(Статистика!$G$10-Статистика!$C$10,0.000001),NA()))</f>
        <v>0.82499219722222183</v>
      </c>
      <c r="CG25" s="12">
        <f>IF(Y25="",NA(),IF(Статистика!$H$8="Вкл",(((IF(Статистика!$C$4="Параллельный режим (активная мощность)",Z25,AK25)+Статистика!$J$4))-Статистика!$C$10)/MAX(Статистика!$G$10-Статистика!$C$10,0.000001),NA()))</f>
        <v>0.45871599555555559</v>
      </c>
      <c r="CH25" s="12">
        <f>IF(Y25="",NA(),IF(Статистика!$H$8="Вкл",(((IF(Статистика!$C$4="Параллельный режим (активная мощность)",AH25,AS25)+Статистика!$J$4))-Статистика!$C$10)/MAX(Статистика!$G$10-Статистика!$C$10,0.000001),NA()))</f>
        <v>0.82883413972222242</v>
      </c>
      <c r="CI25" s="12" t="e">
        <f>IF(Y25="",NA(),IF(Статистика!$J$8="Вкл",(((IF(Статистика!$C$4="Параллельный режим (активная мощность)",AI25,AT25)+Статистика!$J$4))-Статистика!$C$10)/MAX(Статистика!$G$10-Статистика!$C$10,0.000001),NA()))</f>
        <v>#N/A</v>
      </c>
      <c r="CJ25" s="12" t="e">
        <f>IF(AND(Y25&lt;&gt;"",Статистика!$C$6="Вкл",Статистика!$B$6&gt;0),(Статистика!$B$6-Статистика!$C$10)/MAX(Статистика!$G$10-Статистика!$C$10,0.000001),NA())</f>
        <v>#N/A</v>
      </c>
      <c r="CK25" s="12" t="e">
        <f>IF(AND(Y25&lt;&gt;"",Статистика!$F$6="Вкл",Статистика!$E$6&gt;0),(Статистика!$E$6-Статистика!$C$10)/MAX(Статистика!$G$10-Статистика!$C$10,0.000001),NA())</f>
        <v>#N/A</v>
      </c>
      <c r="CL25" s="12" t="e">
        <f>IF(AND(Y25&lt;&gt;"",Статистика!$I$6="Вкл",Статистика!$H$6&gt;0),(Статистика!$H$6-Статистика!$C$10)/MAX(Статистика!$G$10-Статистика!$C$10,0.000001),NA())</f>
        <v>#N/A</v>
      </c>
      <c r="CM25" s="12" t="e">
        <f>IF(AND(Y25&lt;&gt;"",Статистика!$L$6="Вкл",Статистика!$K$6&gt;0),(Статистика!$K$6-Статистика!$C$10)/MAX(Статистика!$G$10-Статистика!$C$10,0.000001),NA())</f>
        <v>#N/A</v>
      </c>
      <c r="CN25" s="12" t="e">
        <f>IF(AND(Y25&lt;&gt;"",Статистика!$M$6="Вкл",Статистика!$O$6&gt;0),(Статистика!$O$6-Статистика!$C$10)/MAX(Статистика!$G$10-Статистика!$C$10,0.000001),NA())</f>
        <v>#N/A</v>
      </c>
      <c r="CO25" s="12">
        <f t="shared" si="1"/>
        <v>1</v>
      </c>
    </row>
    <row r="26" spans="1:93" ht="15" customHeight="1">
      <c r="A26" s="12" t="s">
        <v>153</v>
      </c>
      <c r="B26" s="12">
        <v>2320.2822489999999</v>
      </c>
      <c r="C26" s="12">
        <v>5681.5037783333337</v>
      </c>
      <c r="D26" s="12">
        <v>7341.7826500000001</v>
      </c>
      <c r="E26" s="12">
        <v>7701.5501500000009</v>
      </c>
      <c r="F26" s="12">
        <v>7876.0054500000006</v>
      </c>
      <c r="G26" s="12">
        <v>8078.5313333333334</v>
      </c>
      <c r="H26" s="12">
        <v>8319.7259466666655</v>
      </c>
      <c r="I26" s="12">
        <v>8367.3496183333336</v>
      </c>
      <c r="J26" s="12">
        <v>8368.6898436666652</v>
      </c>
      <c r="K26" s="12">
        <v>8510.74</v>
      </c>
      <c r="L26" s="12" t="s">
        <v>154</v>
      </c>
      <c r="M26" s="12">
        <v>2883.2948688333331</v>
      </c>
      <c r="N26" s="12">
        <v>6560.0752775000001</v>
      </c>
      <c r="O26" s="12">
        <v>8401.7367183333336</v>
      </c>
      <c r="P26" s="12">
        <v>8845.5432999999994</v>
      </c>
      <c r="Q26" s="12">
        <v>8966.7795499999993</v>
      </c>
      <c r="R26" s="12">
        <v>9136.1116750000001</v>
      </c>
      <c r="S26" s="12">
        <v>9396.5846766666655</v>
      </c>
      <c r="T26" s="12">
        <v>9472.8149858333327</v>
      </c>
      <c r="U26" s="12">
        <v>9588.1749171666652</v>
      </c>
      <c r="V26" s="12">
        <v>9804.19</v>
      </c>
      <c r="W26" s="12" t="s">
        <v>155</v>
      </c>
      <c r="Y26" s="12" t="s">
        <v>153</v>
      </c>
      <c r="Z26" s="12">
        <v>7460.4063259999984</v>
      </c>
      <c r="AA26" s="12">
        <v>7500.5166966666657</v>
      </c>
      <c r="AB26" s="12">
        <v>7550.6546600000001</v>
      </c>
      <c r="AC26" s="12">
        <v>7811.0182249999998</v>
      </c>
      <c r="AD26" s="12">
        <v>7912.5019833333336</v>
      </c>
      <c r="AE26" s="12">
        <v>8088.9960666666666</v>
      </c>
      <c r="AF26" s="12">
        <v>8450.726866666666</v>
      </c>
      <c r="AG26" s="12">
        <v>8475.1096500000003</v>
      </c>
      <c r="AH26" s="12">
        <v>8494.6158766666667</v>
      </c>
      <c r="AI26" s="12">
        <v>8675.6200000000008</v>
      </c>
      <c r="AJ26" s="12" t="s">
        <v>156</v>
      </c>
      <c r="AK26" s="12">
        <v>8538.327020499999</v>
      </c>
      <c r="AL26" s="12">
        <v>8554.4588358333331</v>
      </c>
      <c r="AM26" s="12">
        <v>8574.6236049999989</v>
      </c>
      <c r="AN26" s="12">
        <v>8941.1972000000005</v>
      </c>
      <c r="AO26" s="12">
        <v>9024.0913166666651</v>
      </c>
      <c r="AP26" s="12">
        <v>9114.107</v>
      </c>
      <c r="AQ26" s="12">
        <v>9572.450228333335</v>
      </c>
      <c r="AR26" s="12">
        <v>9585.8169975000001</v>
      </c>
      <c r="AS26" s="12">
        <v>9596.5104128333332</v>
      </c>
      <c r="AT26" s="12">
        <v>9754.06</v>
      </c>
      <c r="AU26" s="12" t="s">
        <v>156</v>
      </c>
      <c r="AW26" s="12">
        <f>IF(A26="","",MAX(0,MIN(1,(((IF(Статистика!$C$4="Параллельный режим (активная мощность)",B26,M26)+Статистика!$J$4))-Статистика!$C$10)/MAX(Статистика!$G$10-Статистика!$C$10,0.000001))))</f>
        <v>0</v>
      </c>
      <c r="AX26" s="12">
        <f>IF(A26="","",MAX(0,MAX(0,MIN(1,(((IF(Статистика!$C$4="Параллельный режим (активная мощность)",D26,O26)+Статистика!$J$4))-Статистика!$C$10)/MAX(Статистика!$G$10-Статистика!$C$10,0.000001)))-MAX(0,MIN(1,(((IF(Статистика!$C$4="Параллельный режим (активная мощность)",B26,M26)+Статистика!$J$4))-Статистика!$C$10)/MAX(Статистика!$G$10-Статистика!$C$10,0.000001)))))</f>
        <v>0.44726088333333336</v>
      </c>
      <c r="AY26" s="12">
        <f>IF(A26="","",MAX(0,MAX(0,MIN(1,(((IF(Статистика!$C$4="Параллельный режим (активная мощность)",E26,P26)+Статистика!$J$4))-Статистика!$C$10)/MAX(Статистика!$G$10-Статистика!$C$10,0.000001)))-MAX(0,MIN(1,(((IF(Статистика!$C$4="Параллельный режим (активная мощность)",D26,O26)+Статистика!$J$4))-Статистика!$C$10)/MAX(Статистика!$G$10-Статистика!$C$10,0.000001)))))</f>
        <v>0.11992250000000026</v>
      </c>
      <c r="AZ26" s="12">
        <f>IF(A26="","",MAX(0,MAX(0,MIN(1,(((IF(Статистика!$C$4="Параллельный режим (активная мощность)",F26,Q26)+Статистика!$J$4))-Статистика!$C$10)/MAX(Статистика!$G$10-Статистика!$C$10,0.000001)))-MAX(0,MIN(1,(((IF(Статистика!$C$4="Параллельный режим (активная мощность)",E26,P26)+Статистика!$J$4))-Статистика!$C$10)/MAX(Статистика!$G$10-Статистика!$C$10,0.000001)))))</f>
        <v>5.8151766666666549E-2</v>
      </c>
      <c r="BA26" s="12">
        <f>IF(A26="","",MAX(0,MAX(0,MIN(1,(((IF(Статистика!$C$4="Параллельный режим (активная мощность)",G26,R26)+Статистика!$J$4))-Статистика!$C$10)/MAX(Статистика!$G$10-Статистика!$C$10,0.000001)))-MAX(0,MIN(1,(((IF(Статистика!$C$4="Параллельный режим (активная мощность)",F26,Q26)+Статистика!$J$4))-Статистика!$C$10)/MAX(Статистика!$G$10-Статистика!$C$10,0.000001)))))</f>
        <v>6.7508627777777663E-2</v>
      </c>
      <c r="BB26" s="12">
        <f>IF(A26="","",MAX(0,MAX(0,MIN(1,(((IF(Статистика!$C$4="Параллельный режим (активная мощность)",H26,S26)+Статистика!$J$4))-Статистика!$C$10)/MAX(Статистика!$G$10-Статистика!$C$10,0.000001)))-MAX(0,MIN(1,(((IF(Статистика!$C$4="Параллельный режим (активная мощность)",G26,R26)+Статистика!$J$4))-Статистика!$C$10)/MAX(Статистика!$G$10-Статистика!$C$10,0.000001)))))</f>
        <v>8.039820444444401E-2</v>
      </c>
      <c r="BC26" s="12">
        <f>IF(A26="","",MAX(0,MAX(0,MIN(1,(((IF(Статистика!$C$4="Параллельный режим (активная мощность)",J26,U26)+Статистика!$J$4))-Статистика!$C$10)/MAX(Статистика!$G$10-Статистика!$C$10,0.000001)))-MAX(0,MIN(1,(((IF(Статистика!$C$4="Параллельный режим (активная мощность)",H26,S26)+Статистика!$J$4))-Статистика!$C$10)/MAX(Статистика!$G$10-Статистика!$C$10,0.000001)))))</f>
        <v>1.63212989999999E-2</v>
      </c>
      <c r="BD26" s="12">
        <f>IF(A26="","",MAX(0,1-MAX(0,MIN(1,(((IF(Статистика!$C$4="Параллельный режим (активная мощность)",J26,U26)+Статистика!$J$4))-Статистика!$C$10)/MAX(Статистика!$G$10-Статистика!$C$10,0.000001)))))</f>
        <v>0.21043671877777825</v>
      </c>
      <c r="BE26" s="12">
        <f>IF(A26="",NA(),IF(Статистика!$B$8="Вкл",(((IF(Статистика!$C$4="Параллельный режим (активная мощность)",F26,Q26)+Статистика!$J$4))-Статистика!$C$10)/MAX(Статистика!$G$10-Статистика!$C$10,0.000001),NA()))</f>
        <v>0.62533515000000017</v>
      </c>
      <c r="BF26" s="12">
        <f>IF(A26="",NA(),IF(Статистика!$D$8="Вкл",(((IF(Статистика!$C$4="Параллельный режим (активная мощность)",E26,P26)+Статистика!$J$4))-Статистика!$C$10)/MAX(Статистика!$G$10-Статистика!$C$10,0.000001),NA()))</f>
        <v>0.56718338333333362</v>
      </c>
      <c r="BG26" s="12">
        <f>IF(A26="",NA(),IF(Статистика!$D$8="Вкл",(((IF(Статистика!$C$4="Параллельный режим (активная мощность)",G26,R26)+Статистика!$J$4))-Статистика!$C$10)/MAX(Статистика!$G$10-Статистика!$C$10,0.000001),NA()))</f>
        <v>0.69284377777777784</v>
      </c>
      <c r="BH26" s="12">
        <f>IF(A26="",NA(),IF(Статистика!$F$8="Вкл",(((IF(Статистика!$C$4="Параллельный режим (активная мощность)",D26,O26)+Статистика!$J$4))-Статистика!$C$10)/MAX(Статистика!$G$10-Статистика!$C$10,0.000001),NA()))</f>
        <v>0.44726088333333336</v>
      </c>
      <c r="BI26" s="12">
        <f>IF(A26="",NA(),IF(Статистика!$F$8="Вкл",(((IF(Статистика!$C$4="Параллельный режим (активная мощность)",H26,S26)+Статистика!$J$4))-Статистика!$C$10)/MAX(Статистика!$G$10-Статистика!$C$10,0.000001),NA()))</f>
        <v>0.77324198222222185</v>
      </c>
      <c r="BJ26" s="12">
        <f>IF(A26="",NA(),IF(Статистика!$H$8="Вкл",(((IF(Статистика!$C$4="Параллельный режим (активная мощность)",B26,M26)+Статистика!$J$4))-Статистика!$C$10)/MAX(Статистика!$G$10-Статистика!$C$10,0.000001),NA()))</f>
        <v>-1.2265725836666668</v>
      </c>
      <c r="BK26" s="12">
        <f>IF(A26="",NA(),IF(Статистика!$H$8="Вкл",(((IF(Статистика!$C$4="Параллельный режим (активная мощность)",J26,U26)+Статистика!$J$4))-Статистика!$C$10)/MAX(Статистика!$G$10-Статистика!$C$10,0.000001),NA()))</f>
        <v>0.78956328122222175</v>
      </c>
      <c r="BL26" s="12" t="e">
        <f>IF(A26="",NA(),IF(Статистика!$J$8="Вкл",(((IF(Статистика!$C$4="Параллельный режим (активная мощность)",K26,V26)+Статистика!$J$4))-Статистика!$C$10)/MAX(Статистика!$G$10-Статистика!$C$10,0.000001),NA()))</f>
        <v>#N/A</v>
      </c>
      <c r="BM26" s="12" t="e">
        <f>IF(AND(A26&lt;&gt;"",Статистика!$C$6="Вкл",Статистика!$B$6&gt;0),(Статистика!$B$6-Статистика!$C$10)/MAX(Статистика!$G$10-Статистика!$C$10,0.000001),NA())</f>
        <v>#N/A</v>
      </c>
      <c r="BN26" s="12" t="e">
        <f>IF(AND(A26&lt;&gt;"",Статистика!$F$6="Вкл",Статистика!$E$6&gt;0),(Статистика!$E$6-Статистика!$C$10)/MAX(Статистика!$G$10-Статистика!$C$10,0.000001),NA())</f>
        <v>#N/A</v>
      </c>
      <c r="BO26" s="12" t="e">
        <f>IF(AND(A26&lt;&gt;"",Статистика!$I$6="Вкл",Статистика!$H$6&gt;0),(Статистика!$H$6-Статистика!$C$10)/MAX(Статистика!$G$10-Статистика!$C$10,0.000001),NA())</f>
        <v>#N/A</v>
      </c>
      <c r="BP26" s="12" t="e">
        <f>IF(AND(A26&lt;&gt;"",Статистика!$L$6="Вкл",Статистика!$K$6&gt;0),(Статистика!$K$6-Статистика!$C$10)/MAX(Статистика!$G$10-Статистика!$C$10,0.000001),NA())</f>
        <v>#N/A</v>
      </c>
      <c r="BQ26" s="12" t="e">
        <f>IF(AND(A26&lt;&gt;"",Статистика!$M$6="Вкл",Статистика!$O$6&gt;0),(Статистика!$O$6-Статистика!$C$10)/MAX(Статистика!$G$10-Статистика!$C$10,0.000001),NA())</f>
        <v>#N/A</v>
      </c>
      <c r="BR26" s="12">
        <f t="shared" si="0"/>
        <v>1</v>
      </c>
      <c r="BT26" s="12">
        <f>IF(Y26="","",MAX(0,MIN(1,(((IF(Статистика!$C$4="Параллельный режим (активная мощность)",Z26,AK26)+Статистика!$J$4))-Статистика!$C$10)/MAX(Статистика!$G$10-Статистика!$C$10,0.000001))))</f>
        <v>0.48680210866666612</v>
      </c>
      <c r="BU26" s="12">
        <f>IF(Y26="","",MAX(0,MAX(0,MIN(1,(((IF(Статистика!$C$4="Параллельный режим (активная мощность)",AB26,AM26)+Статистика!$J$4))-Статистика!$C$10)/MAX(Статистика!$G$10-Статистика!$C$10,0.000001)))-MAX(0,MIN(1,(((IF(Статистика!$C$4="Параллельный режим (активная мощность)",Z26,AK26)+Статистика!$J$4))-Статистика!$C$10)/MAX(Статистика!$G$10-Статистика!$C$10,0.000001)))))</f>
        <v>3.0082778000000643E-2</v>
      </c>
      <c r="BV26" s="12">
        <f>IF(Y26="","",MAX(0,MAX(0,MIN(1,(((IF(Статистика!$C$4="Параллельный режим (активная мощность)",AC26,AN26)+Статистика!$J$4))-Статистика!$C$10)/MAX(Статистика!$G$10-Статистика!$C$10,0.000001)))-MAX(0,MIN(1,(((IF(Статистика!$C$4="Параллельный режим (активная мощность)",AB26,AM26)+Статистика!$J$4))-Статистика!$C$10)/MAX(Статистика!$G$10-Статистика!$C$10,0.000001)))))</f>
        <v>8.6787854999999858E-2</v>
      </c>
      <c r="BW26" s="12">
        <f>IF(Y26="","",MAX(0,MAX(0,MIN(1,(((IF(Статистика!$C$4="Параллельный режим (активная мощность)",AD26,AO26)+Статистика!$J$4))-Статистика!$C$10)/MAX(Статистика!$G$10-Статистика!$C$10,0.000001)))-MAX(0,MIN(1,(((IF(Статистика!$C$4="Параллельный режим (активная мощность)",AC26,AN26)+Статистика!$J$4))-Статистика!$C$10)/MAX(Статистика!$G$10-Статистика!$C$10,0.000001)))))</f>
        <v>3.3827919444444521E-2</v>
      </c>
      <c r="BX26" s="12">
        <f>IF(Y26="","",MAX(0,MAX(0,MIN(1,(((IF(Статистика!$C$4="Параллельный режим (активная мощность)",AE26,AP26)+Статистика!$J$4))-Статистика!$C$10)/MAX(Статистика!$G$10-Статистика!$C$10,0.000001)))-MAX(0,MIN(1,(((IF(Статистика!$C$4="Параллельный режим (активная мощность)",AD26,AO26)+Статистика!$J$4))-Статистика!$C$10)/MAX(Статистика!$G$10-Статистика!$C$10,0.000001)))))</f>
        <v>5.8831361111111091E-2</v>
      </c>
      <c r="BY26" s="12">
        <f>IF(Y26="","",MAX(0,MAX(0,MIN(1,(((IF(Статистика!$C$4="Параллельный режим (активная мощность)",AF26,AQ26)+Статистика!$J$4))-Статистика!$C$10)/MAX(Статистика!$G$10-Статистика!$C$10,0.000001)))-MAX(0,MIN(1,(((IF(Статистика!$C$4="Параллельный режим (активная мощность)",AE26,AP26)+Статистика!$J$4))-Статистика!$C$10)/MAX(Статистика!$G$10-Статистика!$C$10,0.000001)))))</f>
        <v>0.12057693333333308</v>
      </c>
      <c r="BZ26" s="12">
        <f>IF(Y26="","",MAX(0,MAX(0,MIN(1,(((IF(Статистика!$C$4="Параллельный режим (активная мощность)",AH26,AS26)+Статистика!$J$4))-Статистика!$C$10)/MAX(Статистика!$G$10-Статистика!$C$10,0.000001)))-MAX(0,MIN(1,(((IF(Статистика!$C$4="Параллельный режим (активная мощность)",AF26,AQ26)+Статистика!$J$4))-Статистика!$C$10)/MAX(Статистика!$G$10-Статистика!$C$10,0.000001)))))</f>
        <v>1.4629670000000261E-2</v>
      </c>
      <c r="CA26" s="12">
        <f>IF(Y26="","",MAX(0,1-MAX(0,MIN(1,(((IF(Статистика!$C$4="Параллельный режим (активная мощность)",AH26,AS26)+Статистика!$J$4))-Статистика!$C$10)/MAX(Статистика!$G$10-Статистика!$C$10,0.000001)))))</f>
        <v>0.16846137444444442</v>
      </c>
      <c r="CB26" s="12">
        <f>IF(Y26="",NA(),IF(Статистика!$B$8="Вкл",(((IF(Статистика!$C$4="Параллельный режим (активная мощность)",AD26,AO26)+Статистика!$J$4))-Статистика!$C$10)/MAX(Статистика!$G$10-Статистика!$C$10,0.000001),NA()))</f>
        <v>0.63750066111111114</v>
      </c>
      <c r="CC26" s="12">
        <f>IF(Y26="",NA(),IF(Статистика!$D$8="Вкл",(((IF(Статистика!$C$4="Параллельный режим (активная мощность)",AC26,AN26)+Статистика!$J$4))-Статистика!$C$10)/MAX(Статистика!$G$10-Статистика!$C$10,0.000001),NA()))</f>
        <v>0.60367274166666662</v>
      </c>
      <c r="CD26" s="12">
        <f>IF(Y26="",NA(),IF(Статистика!$D$8="Вкл",(((IF(Статистика!$C$4="Параллельный режим (активная мощность)",AE26,AP26)+Статистика!$J$4))-Статистика!$C$10)/MAX(Статистика!$G$10-Статистика!$C$10,0.000001),NA()))</f>
        <v>0.69633202222222224</v>
      </c>
      <c r="CE26" s="12">
        <f>IF(Y26="",NA(),IF(Статистика!$F$8="Вкл",(((IF(Статистика!$C$4="Параллельный режим (активная мощность)",AB26,AM26)+Статистика!$J$4))-Статистика!$C$10)/MAX(Статистика!$G$10-Статистика!$C$10,0.000001),NA()))</f>
        <v>0.51688488666666677</v>
      </c>
      <c r="CF26" s="12">
        <f>IF(Y26="",NA(),IF(Статистика!$F$8="Вкл",(((IF(Статистика!$C$4="Параллельный режим (активная мощность)",AF26,AQ26)+Статистика!$J$4))-Статистика!$C$10)/MAX(Статистика!$G$10-Статистика!$C$10,0.000001),NA()))</f>
        <v>0.81690895555555532</v>
      </c>
      <c r="CG26" s="12">
        <f>IF(Y26="",NA(),IF(Статистика!$H$8="Вкл",(((IF(Статистика!$C$4="Параллельный режим (активная мощность)",Z26,AK26)+Статистика!$J$4))-Статистика!$C$10)/MAX(Статистика!$G$10-Статистика!$C$10,0.000001),NA()))</f>
        <v>0.48680210866666612</v>
      </c>
      <c r="CH26" s="12">
        <f>IF(Y26="",NA(),IF(Статистика!$H$8="Вкл",(((IF(Статистика!$C$4="Параллельный режим (активная мощность)",AH26,AS26)+Статистика!$J$4))-Статистика!$C$10)/MAX(Статистика!$G$10-Статистика!$C$10,0.000001),NA()))</f>
        <v>0.83153862555555558</v>
      </c>
      <c r="CI26" s="12" t="e">
        <f>IF(Y26="",NA(),IF(Статистика!$J$8="Вкл",(((IF(Статистика!$C$4="Параллельный режим (активная мощность)",AI26,AT26)+Статистика!$J$4))-Статистика!$C$10)/MAX(Статистика!$G$10-Статистика!$C$10,0.000001),NA()))</f>
        <v>#N/A</v>
      </c>
      <c r="CJ26" s="12" t="e">
        <f>IF(AND(Y26&lt;&gt;"",Статистика!$C$6="Вкл",Статистика!$B$6&gt;0),(Статистика!$B$6-Статистика!$C$10)/MAX(Статистика!$G$10-Статистика!$C$10,0.000001),NA())</f>
        <v>#N/A</v>
      </c>
      <c r="CK26" s="12" t="e">
        <f>IF(AND(Y26&lt;&gt;"",Статистика!$F$6="Вкл",Статистика!$E$6&gt;0),(Статистика!$E$6-Статистика!$C$10)/MAX(Статистика!$G$10-Статистика!$C$10,0.000001),NA())</f>
        <v>#N/A</v>
      </c>
      <c r="CL26" s="12" t="e">
        <f>IF(AND(Y26&lt;&gt;"",Статистика!$I$6="Вкл",Статистика!$H$6&gt;0),(Статистика!$H$6-Статистика!$C$10)/MAX(Статистика!$G$10-Статистика!$C$10,0.000001),NA())</f>
        <v>#N/A</v>
      </c>
      <c r="CM26" s="12" t="e">
        <f>IF(AND(Y26&lt;&gt;"",Статистика!$L$6="Вкл",Статистика!$K$6&gt;0),(Статистика!$K$6-Статистика!$C$10)/MAX(Статистика!$G$10-Статистика!$C$10,0.000001),NA())</f>
        <v>#N/A</v>
      </c>
      <c r="CN26" s="12" t="e">
        <f>IF(AND(Y26&lt;&gt;"",Статистика!$M$6="Вкл",Статистика!$O$6&gt;0),(Статистика!$O$6-Статистика!$C$10)/MAX(Статистика!$G$10-Статистика!$C$10,0.000001),NA())</f>
        <v>#N/A</v>
      </c>
      <c r="CO26" s="12">
        <f t="shared" si="1"/>
        <v>1</v>
      </c>
    </row>
    <row r="27" spans="1:93" ht="15" customHeight="1">
      <c r="A27" s="12" t="s">
        <v>157</v>
      </c>
      <c r="B27" s="12">
        <v>2314.2213929999998</v>
      </c>
      <c r="C27" s="12">
        <v>5693.9606983333342</v>
      </c>
      <c r="D27" s="12">
        <v>7372.7386200000001</v>
      </c>
      <c r="E27" s="12">
        <v>7703.2467000000015</v>
      </c>
      <c r="F27" s="12">
        <v>7883.823699999999</v>
      </c>
      <c r="G27" s="12">
        <v>8084.3714749999999</v>
      </c>
      <c r="H27" s="12">
        <v>8332.4948616666679</v>
      </c>
      <c r="I27" s="12">
        <v>8358.0777083333342</v>
      </c>
      <c r="J27" s="12">
        <v>8376.8525016666663</v>
      </c>
      <c r="K27" s="12">
        <v>8497.1</v>
      </c>
      <c r="L27" s="12" t="s">
        <v>158</v>
      </c>
      <c r="M27" s="12">
        <v>2876.1307795000002</v>
      </c>
      <c r="N27" s="12">
        <v>6573.0761641666677</v>
      </c>
      <c r="O27" s="12">
        <v>8435.8262799999993</v>
      </c>
      <c r="P27" s="12">
        <v>8832.9755166666691</v>
      </c>
      <c r="Q27" s="12">
        <v>8988.9858333333341</v>
      </c>
      <c r="R27" s="12">
        <v>9152.2264749999995</v>
      </c>
      <c r="S27" s="12">
        <v>9425.5962299999992</v>
      </c>
      <c r="T27" s="12">
        <v>9466.3321974999999</v>
      </c>
      <c r="U27" s="12">
        <v>9545.8379594999988</v>
      </c>
      <c r="V27" s="12">
        <v>9695.7199999999993</v>
      </c>
      <c r="W27" s="12" t="s">
        <v>159</v>
      </c>
      <c r="Y27" s="12" t="s">
        <v>157</v>
      </c>
      <c r="Z27" s="12">
        <v>7468.9773411666665</v>
      </c>
      <c r="AA27" s="12">
        <v>7513.3988391666662</v>
      </c>
      <c r="AB27" s="12">
        <v>7568.9257116666668</v>
      </c>
      <c r="AC27" s="12">
        <v>7815.0199166666671</v>
      </c>
      <c r="AD27" s="12">
        <v>7945.310166666668</v>
      </c>
      <c r="AE27" s="12">
        <v>8084.7581833333334</v>
      </c>
      <c r="AF27" s="12">
        <v>8444.2178750000003</v>
      </c>
      <c r="AG27" s="12">
        <v>8468.106254166667</v>
      </c>
      <c r="AH27" s="12">
        <v>8487.2169575000007</v>
      </c>
      <c r="AI27" s="12">
        <v>8686.48</v>
      </c>
      <c r="AJ27" s="12" t="s">
        <v>160</v>
      </c>
      <c r="AK27" s="12">
        <v>8562.6932746666662</v>
      </c>
      <c r="AL27" s="12">
        <v>8575.856373333334</v>
      </c>
      <c r="AM27" s="12">
        <v>8592.310246666666</v>
      </c>
      <c r="AN27" s="12">
        <v>8945.8219583333339</v>
      </c>
      <c r="AO27" s="12">
        <v>9047.3005333333331</v>
      </c>
      <c r="AP27" s="12">
        <v>9152.0041500000007</v>
      </c>
      <c r="AQ27" s="12">
        <v>9562.1549133333319</v>
      </c>
      <c r="AR27" s="12">
        <v>9575.2413566666655</v>
      </c>
      <c r="AS27" s="12">
        <v>9585.7105113333328</v>
      </c>
      <c r="AT27" s="12">
        <v>9807.19</v>
      </c>
      <c r="AU27" s="12" t="s">
        <v>160</v>
      </c>
      <c r="AW27" s="12">
        <f>IF(A27="","",MAX(0,MIN(1,(((IF(Статистика!$C$4="Параллельный режим (активная мощность)",B27,M27)+Статистика!$J$4))-Статистика!$C$10)/MAX(Статистика!$G$10-Статистика!$C$10,0.000001))))</f>
        <v>0</v>
      </c>
      <c r="AX27" s="12">
        <f>IF(A27="","",MAX(0,MAX(0,MIN(1,(((IF(Статистика!$C$4="Параллельный режим (активная мощность)",D27,O27)+Статистика!$J$4))-Статистика!$C$10)/MAX(Статистика!$G$10-Статистика!$C$10,0.000001)))-MAX(0,MIN(1,(((IF(Статистика!$C$4="Параллельный режим (активная мощность)",B27,M27)+Статистика!$J$4))-Статистика!$C$10)/MAX(Статистика!$G$10-Статистика!$C$10,0.000001)))))</f>
        <v>0.45757954000000001</v>
      </c>
      <c r="AY27" s="12">
        <f>IF(A27="","",MAX(0,MAX(0,MIN(1,(((IF(Статистика!$C$4="Параллельный режим (активная мощность)",E27,P27)+Статистика!$J$4))-Статистика!$C$10)/MAX(Статистика!$G$10-Статистика!$C$10,0.000001)))-MAX(0,MIN(1,(((IF(Статистика!$C$4="Параллельный режим (активная мощность)",D27,O27)+Статистика!$J$4))-Статистика!$C$10)/MAX(Статистика!$G$10-Статистика!$C$10,0.000001)))))</f>
        <v>0.11016936000000055</v>
      </c>
      <c r="AZ27" s="12">
        <f>IF(A27="","",MAX(0,MAX(0,MIN(1,(((IF(Статистика!$C$4="Параллельный режим (активная мощность)",F27,Q27)+Статистика!$J$4))-Статистика!$C$10)/MAX(Статистика!$G$10-Статистика!$C$10,0.000001)))-MAX(0,MIN(1,(((IF(Статистика!$C$4="Параллельный режим (активная мощность)",E27,P27)+Статистика!$J$4))-Статистика!$C$10)/MAX(Статистика!$G$10-Статистика!$C$10,0.000001)))))</f>
        <v>6.0192333333332404E-2</v>
      </c>
      <c r="BA27" s="12">
        <f>IF(A27="","",MAX(0,MAX(0,MIN(1,(((IF(Статистика!$C$4="Параллельный режим (активная мощность)",G27,R27)+Статистика!$J$4))-Статистика!$C$10)/MAX(Статистика!$G$10-Статистика!$C$10,0.000001)))-MAX(0,MIN(1,(((IF(Статистика!$C$4="Параллельный режим (активная мощность)",F27,Q27)+Статистика!$J$4))-Статистика!$C$10)/MAX(Статистика!$G$10-Статистика!$C$10,0.000001)))))</f>
        <v>6.6849258333333661E-2</v>
      </c>
      <c r="BB27" s="12">
        <f>IF(A27="","",MAX(0,MAX(0,MIN(1,(((IF(Статистика!$C$4="Параллельный режим (активная мощность)",H27,S27)+Статистика!$J$4))-Статистика!$C$10)/MAX(Статистика!$G$10-Статистика!$C$10,0.000001)))-MAX(0,MIN(1,(((IF(Статистика!$C$4="Параллельный режим (активная мощность)",G27,R27)+Статистика!$J$4))-Статистика!$C$10)/MAX(Статистика!$G$10-Статистика!$C$10,0.000001)))))</f>
        <v>8.2707795555556074E-2</v>
      </c>
      <c r="BC27" s="12">
        <f>IF(A27="","",MAX(0,MAX(0,MIN(1,(((IF(Статистика!$C$4="Параллельный режим (активная мощность)",J27,U27)+Статистика!$J$4))-Статистика!$C$10)/MAX(Статистика!$G$10-Статистика!$C$10,0.000001)))-MAX(0,MIN(1,(((IF(Статистика!$C$4="Параллельный режим (активная мощность)",H27,S27)+Статистика!$J$4))-Статистика!$C$10)/MAX(Статистика!$G$10-Статистика!$C$10,0.000001)))))</f>
        <v>1.4785879999999363E-2</v>
      </c>
      <c r="BD27" s="12">
        <f>IF(A27="","",MAX(0,1-MAX(0,MIN(1,(((IF(Статистика!$C$4="Параллельный режим (активная мощность)",J27,U27)+Статистика!$J$4))-Статистика!$C$10)/MAX(Статистика!$G$10-Статистика!$C$10,0.000001)))))</f>
        <v>0.20771583277777794</v>
      </c>
      <c r="BE27" s="12">
        <f>IF(A27="",NA(),IF(Статистика!$B$8="Вкл",(((IF(Статистика!$C$4="Параллельный режим (активная мощность)",F27,Q27)+Статистика!$J$4))-Статистика!$C$10)/MAX(Статистика!$G$10-Статистика!$C$10,0.000001),NA()))</f>
        <v>0.62794123333333296</v>
      </c>
      <c r="BF27" s="12">
        <f>IF(A27="",NA(),IF(Статистика!$D$8="Вкл",(((IF(Статистика!$C$4="Параллельный режим (активная мощность)",E27,P27)+Статистика!$J$4))-Статистика!$C$10)/MAX(Статистика!$G$10-Статистика!$C$10,0.000001),NA()))</f>
        <v>0.56774890000000056</v>
      </c>
      <c r="BG27" s="12">
        <f>IF(A27="",NA(),IF(Статистика!$D$8="Вкл",(((IF(Статистика!$C$4="Параллельный режим (активная мощность)",G27,R27)+Статистика!$J$4))-Статистика!$C$10)/MAX(Статистика!$G$10-Статистика!$C$10,0.000001),NA()))</f>
        <v>0.69479049166666662</v>
      </c>
      <c r="BH27" s="12">
        <f>IF(A27="",NA(),IF(Статистика!$F$8="Вкл",(((IF(Статистика!$C$4="Параллельный режим (активная мощность)",D27,O27)+Статистика!$J$4))-Статистика!$C$10)/MAX(Статистика!$G$10-Статистика!$C$10,0.000001),NA()))</f>
        <v>0.45757954000000001</v>
      </c>
      <c r="BI27" s="12">
        <f>IF(A27="",NA(),IF(Статистика!$F$8="Вкл",(((IF(Статистика!$C$4="Параллельный режим (активная мощность)",H27,S27)+Статистика!$J$4))-Статистика!$C$10)/MAX(Статистика!$G$10-Статистика!$C$10,0.000001),NA()))</f>
        <v>0.77749828722222269</v>
      </c>
      <c r="BJ27" s="12">
        <f>IF(A27="",NA(),IF(Статистика!$H$8="Вкл",(((IF(Статистика!$C$4="Параллельный режим (активная мощность)",B27,M27)+Статистика!$J$4))-Статистика!$C$10)/MAX(Статистика!$G$10-Статистика!$C$10,0.000001),NA()))</f>
        <v>-1.2285928690000001</v>
      </c>
      <c r="BK27" s="12">
        <f>IF(A27="",NA(),IF(Статистика!$H$8="Вкл",(((IF(Статистика!$C$4="Параллельный режим (активная мощность)",J27,U27)+Статистика!$J$4))-Статистика!$C$10)/MAX(Статистика!$G$10-Статистика!$C$10,0.000001),NA()))</f>
        <v>0.79228416722222206</v>
      </c>
      <c r="BL27" s="12" t="e">
        <f>IF(A27="",NA(),IF(Статистика!$J$8="Вкл",(((IF(Статистика!$C$4="Параллельный режим (активная мощность)",K27,V27)+Статистика!$J$4))-Статистика!$C$10)/MAX(Статистика!$G$10-Статистика!$C$10,0.000001),NA()))</f>
        <v>#N/A</v>
      </c>
      <c r="BM27" s="12" t="e">
        <f>IF(AND(A27&lt;&gt;"",Статистика!$C$6="Вкл",Статистика!$B$6&gt;0),(Статистика!$B$6-Статистика!$C$10)/MAX(Статистика!$G$10-Статистика!$C$10,0.000001),NA())</f>
        <v>#N/A</v>
      </c>
      <c r="BN27" s="12" t="e">
        <f>IF(AND(A27&lt;&gt;"",Статистика!$F$6="Вкл",Статистика!$E$6&gt;0),(Статистика!$E$6-Статистика!$C$10)/MAX(Статистика!$G$10-Статистика!$C$10,0.000001),NA())</f>
        <v>#N/A</v>
      </c>
      <c r="BO27" s="12" t="e">
        <f>IF(AND(A27&lt;&gt;"",Статистика!$I$6="Вкл",Статистика!$H$6&gt;0),(Статистика!$H$6-Статистика!$C$10)/MAX(Статистика!$G$10-Статистика!$C$10,0.000001),NA())</f>
        <v>#N/A</v>
      </c>
      <c r="BP27" s="12" t="e">
        <f>IF(AND(A27&lt;&gt;"",Статистика!$L$6="Вкл",Статистика!$K$6&gt;0),(Статистика!$K$6-Статистика!$C$10)/MAX(Статистика!$G$10-Статистика!$C$10,0.000001),NA())</f>
        <v>#N/A</v>
      </c>
      <c r="BQ27" s="12" t="e">
        <f>IF(AND(A27&lt;&gt;"",Статистика!$M$6="Вкл",Статистика!$O$6&gt;0),(Статистика!$O$6-Статистика!$C$10)/MAX(Статистика!$G$10-Статистика!$C$10,0.000001),NA())</f>
        <v>#N/A</v>
      </c>
      <c r="BR27" s="12">
        <f t="shared" si="0"/>
        <v>1</v>
      </c>
      <c r="BT27" s="12">
        <f>IF(Y27="","",MAX(0,MIN(1,(((IF(Статистика!$C$4="Параллельный режим (активная мощность)",Z27,AK27)+Статистика!$J$4))-Статистика!$C$10)/MAX(Статистика!$G$10-Статистика!$C$10,0.000001))))</f>
        <v>0.48965911372222215</v>
      </c>
      <c r="BU27" s="12">
        <f>IF(Y27="","",MAX(0,MAX(0,MIN(1,(((IF(Статистика!$C$4="Параллельный режим (активная мощность)",AB27,AM27)+Статистика!$J$4))-Статистика!$C$10)/MAX(Статистика!$G$10-Статистика!$C$10,0.000001)))-MAX(0,MIN(1,(((IF(Статистика!$C$4="Параллельный режим (активная мощность)",Z27,AK27)+Статистика!$J$4))-Статистика!$C$10)/MAX(Статистика!$G$10-Статистика!$C$10,0.000001)))))</f>
        <v>3.3316123500000128E-2</v>
      </c>
      <c r="BV27" s="12">
        <f>IF(Y27="","",MAX(0,MAX(0,MIN(1,(((IF(Статистика!$C$4="Параллельный режим (активная мощность)",AC27,AN27)+Статистика!$J$4))-Статистика!$C$10)/MAX(Статистика!$G$10-Статистика!$C$10,0.000001)))-MAX(0,MIN(1,(((IF(Статистика!$C$4="Параллельный режим (активная мощность)",AB27,AM27)+Статистика!$J$4))-Статистика!$C$10)/MAX(Статистика!$G$10-Статистика!$C$10,0.000001)))))</f>
        <v>8.2031401666666781E-2</v>
      </c>
      <c r="BW27" s="12">
        <f>IF(Y27="","",MAX(0,MAX(0,MIN(1,(((IF(Статистика!$C$4="Параллельный режим (активная мощность)",AD27,AO27)+Статистика!$J$4))-Статистика!$C$10)/MAX(Статистика!$G$10-Статистика!$C$10,0.000001)))-MAX(0,MIN(1,(((IF(Статистика!$C$4="Параллельный режим (активная мощность)",AC27,AN27)+Статистика!$J$4))-Статистика!$C$10)/MAX(Статистика!$G$10-Статистика!$C$10,0.000001)))))</f>
        <v>4.3430083333333647E-2</v>
      </c>
      <c r="BX27" s="12">
        <f>IF(Y27="","",MAX(0,MAX(0,MIN(1,(((IF(Статистика!$C$4="Параллельный режим (активная мощность)",AE27,AP27)+Статистика!$J$4))-Статистика!$C$10)/MAX(Статистика!$G$10-Статистика!$C$10,0.000001)))-MAX(0,MIN(1,(((IF(Статистика!$C$4="Параллельный режим (активная мощность)",AD27,AO27)+Статистика!$J$4))-Статистика!$C$10)/MAX(Статистика!$G$10-Статистика!$C$10,0.000001)))))</f>
        <v>4.6482672222221799E-2</v>
      </c>
      <c r="BY27" s="12">
        <f>IF(Y27="","",MAX(0,MAX(0,MIN(1,(((IF(Статистика!$C$4="Параллельный режим (активная мощность)",AF27,AQ27)+Статистика!$J$4))-Статистика!$C$10)/MAX(Статистика!$G$10-Статистика!$C$10,0.000001)))-MAX(0,MIN(1,(((IF(Статистика!$C$4="Параллельный режим (активная мощность)",AE27,AP27)+Статистика!$J$4))-Статистика!$C$10)/MAX(Статистика!$G$10-Статистика!$C$10,0.000001)))))</f>
        <v>0.1198198972222223</v>
      </c>
      <c r="BZ27" s="12">
        <f>IF(Y27="","",MAX(0,MAX(0,MIN(1,(((IF(Статистика!$C$4="Параллельный режим (активная мощность)",AH27,AS27)+Статистика!$J$4))-Статистика!$C$10)/MAX(Статистика!$G$10-Статистика!$C$10,0.000001)))-MAX(0,MIN(1,(((IF(Статистика!$C$4="Параллельный режим (активная мощность)",AF27,AQ27)+Статистика!$J$4))-Статистика!$C$10)/MAX(Статистика!$G$10-Статистика!$C$10,0.000001)))))</f>
        <v>1.4333027500000095E-2</v>
      </c>
      <c r="CA27" s="12">
        <f>IF(Y27="","",MAX(0,1-MAX(0,MIN(1,(((IF(Статистика!$C$4="Параллельный режим (активная мощность)",AH27,AS27)+Статистика!$J$4))-Статистика!$C$10)/MAX(Статистика!$G$10-Статистика!$C$10,0.000001)))))</f>
        <v>0.1709276808333331</v>
      </c>
      <c r="CB27" s="12">
        <f>IF(Y27="",NA(),IF(Статистика!$B$8="Вкл",(((IF(Статистика!$C$4="Параллельный режим (активная мощность)",AD27,AO27)+Статистика!$J$4))-Статистика!$C$10)/MAX(Статистика!$G$10-Статистика!$C$10,0.000001),NA()))</f>
        <v>0.64843672222222271</v>
      </c>
      <c r="CC27" s="12">
        <f>IF(Y27="",NA(),IF(Статистика!$D$8="Вкл",(((IF(Статистика!$C$4="Параллельный режим (активная мощность)",AC27,AN27)+Статистика!$J$4))-Статистика!$C$10)/MAX(Статистика!$G$10-Статистика!$C$10,0.000001),NA()))</f>
        <v>0.60500663888888906</v>
      </c>
      <c r="CD27" s="12">
        <f>IF(Y27="",NA(),IF(Статистика!$D$8="Вкл",(((IF(Статистика!$C$4="Параллельный режим (активная мощность)",AE27,AP27)+Статистика!$J$4))-Статистика!$C$10)/MAX(Статистика!$G$10-Статистика!$C$10,0.000001),NA()))</f>
        <v>0.6949193944444445</v>
      </c>
      <c r="CE27" s="12">
        <f>IF(Y27="",NA(),IF(Статистика!$F$8="Вкл",(((IF(Статистика!$C$4="Параллельный режим (активная мощность)",AB27,AM27)+Статистика!$J$4))-Статистика!$C$10)/MAX(Статистика!$G$10-Статистика!$C$10,0.000001),NA()))</f>
        <v>0.52297523722222228</v>
      </c>
      <c r="CF27" s="12">
        <f>IF(Y27="",NA(),IF(Статистика!$F$8="Вкл",(((IF(Статистика!$C$4="Параллельный режим (активная мощность)",AF27,AQ27)+Статистика!$J$4))-Статистика!$C$10)/MAX(Статистика!$G$10-Статистика!$C$10,0.000001),NA()))</f>
        <v>0.81473929166666681</v>
      </c>
      <c r="CG27" s="12">
        <f>IF(Y27="",NA(),IF(Статистика!$H$8="Вкл",(((IF(Статистика!$C$4="Параллельный режим (активная мощность)",Z27,AK27)+Статистика!$J$4))-Статистика!$C$10)/MAX(Статистика!$G$10-Статистика!$C$10,0.000001),NA()))</f>
        <v>0.48965911372222215</v>
      </c>
      <c r="CH27" s="12">
        <f>IF(Y27="",NA(),IF(Статистика!$H$8="Вкл",(((IF(Статистика!$C$4="Параллельный режим (активная мощность)",AH27,AS27)+Статистика!$J$4))-Статистика!$C$10)/MAX(Статистика!$G$10-Статистика!$C$10,0.000001),NA()))</f>
        <v>0.8290723191666669</v>
      </c>
      <c r="CI27" s="12" t="e">
        <f>IF(Y27="",NA(),IF(Статистика!$J$8="Вкл",(((IF(Статистика!$C$4="Параллельный режим (активная мощность)",AI27,AT27)+Статистика!$J$4))-Статистика!$C$10)/MAX(Статистика!$G$10-Статистика!$C$10,0.000001),NA()))</f>
        <v>#N/A</v>
      </c>
      <c r="CJ27" s="12" t="e">
        <f>IF(AND(Y27&lt;&gt;"",Статистика!$C$6="Вкл",Статистика!$B$6&gt;0),(Статистика!$B$6-Статистика!$C$10)/MAX(Статистика!$G$10-Статистика!$C$10,0.000001),NA())</f>
        <v>#N/A</v>
      </c>
      <c r="CK27" s="12" t="e">
        <f>IF(AND(Y27&lt;&gt;"",Статистика!$F$6="Вкл",Статистика!$E$6&gt;0),(Статистика!$E$6-Статистика!$C$10)/MAX(Статистика!$G$10-Статистика!$C$10,0.000001),NA())</f>
        <v>#N/A</v>
      </c>
      <c r="CL27" s="12" t="e">
        <f>IF(AND(Y27&lt;&gt;"",Статистика!$I$6="Вкл",Статистика!$H$6&gt;0),(Статистика!$H$6-Статистика!$C$10)/MAX(Статистика!$G$10-Статистика!$C$10,0.000001),NA())</f>
        <v>#N/A</v>
      </c>
      <c r="CM27" s="12" t="e">
        <f>IF(AND(Y27&lt;&gt;"",Статистика!$L$6="Вкл",Статистика!$K$6&gt;0),(Статистика!$K$6-Статистика!$C$10)/MAX(Статистика!$G$10-Статистика!$C$10,0.000001),NA())</f>
        <v>#N/A</v>
      </c>
      <c r="CN27" s="12" t="e">
        <f>IF(AND(Y27&lt;&gt;"",Статистика!$M$6="Вкл",Статистика!$O$6&gt;0),(Статистика!$O$6-Статистика!$C$10)/MAX(Статистика!$G$10-Статистика!$C$10,0.000001),NA())</f>
        <v>#N/A</v>
      </c>
      <c r="CO27" s="12">
        <f t="shared" si="1"/>
        <v>1</v>
      </c>
    </row>
    <row r="28" spans="1:93" ht="15" customHeight="1">
      <c r="A28" s="12" t="s">
        <v>161</v>
      </c>
      <c r="B28" s="12">
        <v>2338.7295184999994</v>
      </c>
      <c r="C28" s="12">
        <v>5746.1417258333331</v>
      </c>
      <c r="D28" s="12">
        <v>7424.4693199999992</v>
      </c>
      <c r="E28" s="12">
        <v>7731.5062416666669</v>
      </c>
      <c r="F28" s="12">
        <v>7927.069816666668</v>
      </c>
      <c r="G28" s="12">
        <v>8081.1559583333328</v>
      </c>
      <c r="H28" s="12">
        <v>8348.2793633333331</v>
      </c>
      <c r="I28" s="12">
        <v>8384.2870208333334</v>
      </c>
      <c r="J28" s="12">
        <v>8395.4708708333346</v>
      </c>
      <c r="K28" s="12">
        <v>8546.7199999999993</v>
      </c>
      <c r="L28" s="12" t="s">
        <v>162</v>
      </c>
      <c r="M28" s="12">
        <v>2908.4668231666665</v>
      </c>
      <c r="N28" s="12">
        <v>6635.0323825000005</v>
      </c>
      <c r="O28" s="12">
        <v>8461.2335866666672</v>
      </c>
      <c r="P28" s="12">
        <v>8884.927275</v>
      </c>
      <c r="Q28" s="12">
        <v>9023.2202666666672</v>
      </c>
      <c r="R28" s="12">
        <v>9149.4211083333321</v>
      </c>
      <c r="S28" s="12">
        <v>9429.963174999999</v>
      </c>
      <c r="T28" s="12">
        <v>9483.4732350000013</v>
      </c>
      <c r="U28" s="12">
        <v>9574.6372870000014</v>
      </c>
      <c r="V28" s="12">
        <v>9783.32</v>
      </c>
      <c r="W28" s="12" t="s">
        <v>162</v>
      </c>
      <c r="Y28" s="12" t="s">
        <v>161</v>
      </c>
      <c r="Z28" s="12">
        <v>7494.5870941666662</v>
      </c>
      <c r="AA28" s="12">
        <v>7532.7513374999999</v>
      </c>
      <c r="AB28" s="12">
        <v>7580.4566416666667</v>
      </c>
      <c r="AC28" s="12">
        <v>7800.842083333333</v>
      </c>
      <c r="AD28" s="12">
        <v>7923.0047833333329</v>
      </c>
      <c r="AE28" s="12">
        <v>8118.3521500000006</v>
      </c>
      <c r="AF28" s="12">
        <v>8461.9904200000001</v>
      </c>
      <c r="AG28" s="12">
        <v>8493.298326666667</v>
      </c>
      <c r="AH28" s="12">
        <v>8518.3446519999998</v>
      </c>
      <c r="AI28" s="12">
        <v>8705.5400000000009</v>
      </c>
      <c r="AJ28" s="12" t="s">
        <v>163</v>
      </c>
      <c r="AK28" s="12">
        <v>8602.5258691666659</v>
      </c>
      <c r="AL28" s="12">
        <v>8603.3073458333329</v>
      </c>
      <c r="AM28" s="12">
        <v>8604.2841916666657</v>
      </c>
      <c r="AN28" s="12">
        <v>8958.7015500000016</v>
      </c>
      <c r="AO28" s="12">
        <v>9036.8386333333328</v>
      </c>
      <c r="AP28" s="12">
        <v>9239.1454583333325</v>
      </c>
      <c r="AQ28" s="12">
        <v>9588.4889116666673</v>
      </c>
      <c r="AR28" s="12">
        <v>9611.4111058333328</v>
      </c>
      <c r="AS28" s="12">
        <v>9629.7488611666668</v>
      </c>
      <c r="AT28" s="12">
        <v>9855.23</v>
      </c>
      <c r="AU28" s="12" t="s">
        <v>163</v>
      </c>
      <c r="AW28" s="12">
        <f>IF(A28="","",MAX(0,MIN(1,(((IF(Статистика!$C$4="Параллельный режим (активная мощность)",B28,M28)+Статистика!$J$4))-Статистика!$C$10)/MAX(Статистика!$G$10-Статистика!$C$10,0.000001))))</f>
        <v>0</v>
      </c>
      <c r="AX28" s="12">
        <f>IF(A28="","",MAX(0,MAX(0,MIN(1,(((IF(Статистика!$C$4="Параллельный режим (активная мощность)",D28,O28)+Статистика!$J$4))-Статистика!$C$10)/MAX(Статистика!$G$10-Статистика!$C$10,0.000001)))-MAX(0,MIN(1,(((IF(Статистика!$C$4="Параллельный режим (активная мощность)",B28,M28)+Статистика!$J$4))-Статистика!$C$10)/MAX(Статистика!$G$10-Статистика!$C$10,0.000001)))))</f>
        <v>0.47482310666666644</v>
      </c>
      <c r="AY28" s="12">
        <f>IF(A28="","",MAX(0,MAX(0,MIN(1,(((IF(Статистика!$C$4="Параллельный режим (активная мощность)",E28,P28)+Статистика!$J$4))-Статистика!$C$10)/MAX(Статистика!$G$10-Статистика!$C$10,0.000001)))-MAX(0,MIN(1,(((IF(Статистика!$C$4="Параллельный режим (активная мощность)",D28,O28)+Статистика!$J$4))-Статистика!$C$10)/MAX(Статистика!$G$10-Статистика!$C$10,0.000001)))))</f>
        <v>0.10234564055555589</v>
      </c>
      <c r="AZ28" s="12">
        <f>IF(A28="","",MAX(0,MAX(0,MIN(1,(((IF(Статистика!$C$4="Параллельный режим (активная мощность)",F28,Q28)+Статистика!$J$4))-Статистика!$C$10)/MAX(Статистика!$G$10-Статистика!$C$10,0.000001)))-MAX(0,MIN(1,(((IF(Статистика!$C$4="Параллельный режим (активная мощность)",E28,P28)+Статистика!$J$4))-Статистика!$C$10)/MAX(Статистика!$G$10-Статистика!$C$10,0.000001)))))</f>
        <v>6.5187858333333626E-2</v>
      </c>
      <c r="BA28" s="12">
        <f>IF(A28="","",MAX(0,MAX(0,MIN(1,(((IF(Статистика!$C$4="Параллельный режим (активная мощность)",G28,R28)+Статистика!$J$4))-Статистика!$C$10)/MAX(Статистика!$G$10-Статистика!$C$10,0.000001)))-MAX(0,MIN(1,(((IF(Статистика!$C$4="Параллельный режим (активная мощность)",F28,Q28)+Статистика!$J$4))-Статистика!$C$10)/MAX(Статистика!$G$10-Статистика!$C$10,0.000001)))))</f>
        <v>5.1362047222221596E-2</v>
      </c>
      <c r="BB28" s="12">
        <f>IF(A28="","",MAX(0,MAX(0,MIN(1,(((IF(Статистика!$C$4="Параллельный режим (активная мощность)",H28,S28)+Статистика!$J$4))-Статистика!$C$10)/MAX(Статистика!$G$10-Статистика!$C$10,0.000001)))-MAX(0,MIN(1,(((IF(Статистика!$C$4="Параллельный режим (активная мощность)",G28,R28)+Статистика!$J$4))-Статистика!$C$10)/MAX(Статистика!$G$10-Статистика!$C$10,0.000001)))))</f>
        <v>8.9041135000000105E-2</v>
      </c>
      <c r="BC28" s="12">
        <f>IF(A28="","",MAX(0,MAX(0,MIN(1,(((IF(Статистика!$C$4="Параллельный режим (активная мощность)",J28,U28)+Статистика!$J$4))-Статистика!$C$10)/MAX(Статистика!$G$10-Статистика!$C$10,0.000001)))-MAX(0,MIN(1,(((IF(Статистика!$C$4="Параллельный режим (активная мощность)",H28,S28)+Статистика!$J$4))-Статистика!$C$10)/MAX(Статистика!$G$10-Статистика!$C$10,0.000001)))))</f>
        <v>1.5730502500000521E-2</v>
      </c>
      <c r="BD28" s="12">
        <f>IF(A28="","",MAX(0,1-MAX(0,MIN(1,(((IF(Статистика!$C$4="Параллельный режим (активная мощность)",J28,U28)+Статистика!$J$4))-Статистика!$C$10)/MAX(Статистика!$G$10-Статистика!$C$10,0.000001)))))</f>
        <v>0.20150970972222182</v>
      </c>
      <c r="BE28" s="12">
        <f>IF(A28="",NA(),IF(Статистика!$B$8="Вкл",(((IF(Статистика!$C$4="Параллельный режим (активная мощность)",F28,Q28)+Статистика!$J$4))-Статистика!$C$10)/MAX(Статистика!$G$10-Статистика!$C$10,0.000001),NA()))</f>
        <v>0.64235660555555596</v>
      </c>
      <c r="BF28" s="12">
        <f>IF(A28="",NA(),IF(Статистика!$D$8="Вкл",(((IF(Статистика!$C$4="Параллельный режим (активная мощность)",E28,P28)+Статистика!$J$4))-Статистика!$C$10)/MAX(Статистика!$G$10-Статистика!$C$10,0.000001),NA()))</f>
        <v>0.57716874722222233</v>
      </c>
      <c r="BG28" s="12">
        <f>IF(A28="",NA(),IF(Статистика!$D$8="Вкл",(((IF(Статистика!$C$4="Параллельный режим (активная мощность)",G28,R28)+Статистика!$J$4))-Статистика!$C$10)/MAX(Статистика!$G$10-Статистика!$C$10,0.000001),NA()))</f>
        <v>0.69371865277777756</v>
      </c>
      <c r="BH28" s="12">
        <f>IF(A28="",NA(),IF(Статистика!$F$8="Вкл",(((IF(Статистика!$C$4="Параллельный режим (активная мощность)",D28,O28)+Статистика!$J$4))-Статистика!$C$10)/MAX(Статистика!$G$10-Статистика!$C$10,0.000001),NA()))</f>
        <v>0.47482310666666644</v>
      </c>
      <c r="BI28" s="12">
        <f>IF(A28="",NA(),IF(Статистика!$F$8="Вкл",(((IF(Статистика!$C$4="Параллельный режим (активная мощность)",H28,S28)+Статистика!$J$4))-Статистика!$C$10)/MAX(Статистика!$G$10-Статистика!$C$10,0.000001),NA()))</f>
        <v>0.78275978777777766</v>
      </c>
      <c r="BJ28" s="12">
        <f>IF(A28="",NA(),IF(Статистика!$H$8="Вкл",(((IF(Статистика!$C$4="Параллельный режим (активная мощность)",B28,M28)+Статистика!$J$4))-Статистика!$C$10)/MAX(Статистика!$G$10-Статистика!$C$10,0.000001),NA()))</f>
        <v>-1.2204234938333336</v>
      </c>
      <c r="BK28" s="12">
        <f>IF(A28="",NA(),IF(Статистика!$H$8="Вкл",(((IF(Статистика!$C$4="Параллельный режим (активная мощность)",J28,U28)+Статистика!$J$4))-Статистика!$C$10)/MAX(Статистика!$G$10-Статистика!$C$10,0.000001),NA()))</f>
        <v>0.79849029027777818</v>
      </c>
      <c r="BL28" s="12" t="e">
        <f>IF(A28="",NA(),IF(Статистика!$J$8="Вкл",(((IF(Статистика!$C$4="Параллельный режим (активная мощность)",K28,V28)+Статистика!$J$4))-Статистика!$C$10)/MAX(Статистика!$G$10-Статистика!$C$10,0.000001),NA()))</f>
        <v>#N/A</v>
      </c>
      <c r="BM28" s="12" t="e">
        <f>IF(AND(A28&lt;&gt;"",Статистика!$C$6="Вкл",Статистика!$B$6&gt;0),(Статистика!$B$6-Статистика!$C$10)/MAX(Статистика!$G$10-Статистика!$C$10,0.000001),NA())</f>
        <v>#N/A</v>
      </c>
      <c r="BN28" s="12" t="e">
        <f>IF(AND(A28&lt;&gt;"",Статистика!$F$6="Вкл",Статистика!$E$6&gt;0),(Статистика!$E$6-Статистика!$C$10)/MAX(Статистика!$G$10-Статистика!$C$10,0.000001),NA())</f>
        <v>#N/A</v>
      </c>
      <c r="BO28" s="12" t="e">
        <f>IF(AND(A28&lt;&gt;"",Статистика!$I$6="Вкл",Статистика!$H$6&gt;0),(Статистика!$H$6-Статистика!$C$10)/MAX(Статистика!$G$10-Статистика!$C$10,0.000001),NA())</f>
        <v>#N/A</v>
      </c>
      <c r="BP28" s="12" t="e">
        <f>IF(AND(A28&lt;&gt;"",Статистика!$L$6="Вкл",Статистика!$K$6&gt;0),(Статистика!$K$6-Статистика!$C$10)/MAX(Статистика!$G$10-Статистика!$C$10,0.000001),NA())</f>
        <v>#N/A</v>
      </c>
      <c r="BQ28" s="12" t="e">
        <f>IF(AND(A28&lt;&gt;"",Статистика!$M$6="Вкл",Статистика!$O$6&gt;0),(Статистика!$O$6-Статистика!$C$10)/MAX(Статистика!$G$10-Статистика!$C$10,0.000001),NA())</f>
        <v>#N/A</v>
      </c>
      <c r="BR28" s="12">
        <f t="shared" si="0"/>
        <v>1</v>
      </c>
      <c r="BT28" s="12">
        <f>IF(Y28="","",MAX(0,MIN(1,(((IF(Статистика!$C$4="Параллельный режим (активная мощность)",Z28,AK28)+Статистика!$J$4))-Статистика!$C$10)/MAX(Статистика!$G$10-Статистика!$C$10,0.000001))))</f>
        <v>0.49819569805555541</v>
      </c>
      <c r="BU28" s="12">
        <f>IF(Y28="","",MAX(0,MAX(0,MIN(1,(((IF(Статистика!$C$4="Параллельный режим (активная мощность)",AB28,AM28)+Статистика!$J$4))-Статистика!$C$10)/MAX(Статистика!$G$10-Статистика!$C$10,0.000001)))-MAX(0,MIN(1,(((IF(Статистика!$C$4="Параллельный режим (активная мощность)",Z28,AK28)+Статистика!$J$4))-Статистика!$C$10)/MAX(Статистика!$G$10-Статистика!$C$10,0.000001)))))</f>
        <v>2.8623182500000177E-2</v>
      </c>
      <c r="BV28" s="12">
        <f>IF(Y28="","",MAX(0,MAX(0,MIN(1,(((IF(Статистика!$C$4="Параллельный режим (активная мощность)",AC28,AN28)+Статистика!$J$4))-Статистика!$C$10)/MAX(Статистика!$G$10-Статистика!$C$10,0.000001)))-MAX(0,MIN(1,(((IF(Статистика!$C$4="Параллельный режим (активная мощность)",AB28,AM28)+Статистика!$J$4))-Статистика!$C$10)/MAX(Статистика!$G$10-Статистика!$C$10,0.000001)))))</f>
        <v>7.3461813888888727E-2</v>
      </c>
      <c r="BW28" s="12">
        <f>IF(Y28="","",MAX(0,MAX(0,MIN(1,(((IF(Статистика!$C$4="Параллельный режим (активная мощность)",AD28,AO28)+Статистика!$J$4))-Статистика!$C$10)/MAX(Статистика!$G$10-Статистика!$C$10,0.000001)))-MAX(0,MIN(1,(((IF(Статистика!$C$4="Параллельный режим (активная мощность)",AC28,AN28)+Статистика!$J$4))-Статистика!$C$10)/MAX(Статистика!$G$10-Статистика!$C$10,0.000001)))))</f>
        <v>4.0720899999999949E-2</v>
      </c>
      <c r="BX28" s="12">
        <f>IF(Y28="","",MAX(0,MAX(0,MIN(1,(((IF(Статистика!$C$4="Параллельный режим (активная мощность)",AE28,AP28)+Статистика!$J$4))-Статистика!$C$10)/MAX(Статистика!$G$10-Статистика!$C$10,0.000001)))-MAX(0,MIN(1,(((IF(Статистика!$C$4="Параллельный режим (активная мощность)",AD28,AO28)+Статистика!$J$4))-Статистика!$C$10)/MAX(Статистика!$G$10-Статистика!$C$10,0.000001)))))</f>
        <v>6.5115788888889248E-2</v>
      </c>
      <c r="BY28" s="12">
        <f>IF(Y28="","",MAX(0,MAX(0,MIN(1,(((IF(Статистика!$C$4="Параллельный режим (активная мощность)",AF28,AQ28)+Статистика!$J$4))-Статистика!$C$10)/MAX(Статистика!$G$10-Статистика!$C$10,0.000001)))-MAX(0,MIN(1,(((IF(Статистика!$C$4="Параллельный режим (активная мощность)",AE28,AP28)+Статистика!$J$4))-Статистика!$C$10)/MAX(Статистика!$G$10-Статистика!$C$10,0.000001)))))</f>
        <v>0.11454608999999982</v>
      </c>
      <c r="BZ28" s="12">
        <f>IF(Y28="","",MAX(0,MAX(0,MIN(1,(((IF(Статистика!$C$4="Параллельный режим (активная мощность)",AH28,AS28)+Статистика!$J$4))-Статистика!$C$10)/MAX(Статистика!$G$10-Статистика!$C$10,0.000001)))-MAX(0,MIN(1,(((IF(Статистика!$C$4="Параллельный режим (активная мощность)",AF28,AQ28)+Статистика!$J$4))-Статистика!$C$10)/MAX(Статистика!$G$10-Статистика!$C$10,0.000001)))))</f>
        <v>1.8784743999999964E-2</v>
      </c>
      <c r="CA28" s="12">
        <f>IF(Y28="","",MAX(0,1-MAX(0,MIN(1,(((IF(Статистика!$C$4="Параллельный режим (активная мощность)",AH28,AS28)+Статистика!$J$4))-Статистика!$C$10)/MAX(Статистика!$G$10-Статистика!$C$10,0.000001)))))</f>
        <v>0.1605517826666667</v>
      </c>
      <c r="CB28" s="12">
        <f>IF(Y28="",NA(),IF(Статистика!$B$8="Вкл",(((IF(Статистика!$C$4="Параллельный режим (активная мощность)",AD28,AO28)+Статистика!$J$4))-Статистика!$C$10)/MAX(Статистика!$G$10-Статистика!$C$10,0.000001),NA()))</f>
        <v>0.64100159444444427</v>
      </c>
      <c r="CC28" s="12">
        <f>IF(Y28="",NA(),IF(Статистика!$D$8="Вкл",(((IF(Статистика!$C$4="Параллельный режим (активная мощность)",AC28,AN28)+Статистика!$J$4))-Статистика!$C$10)/MAX(Статистика!$G$10-Статистика!$C$10,0.000001),NA()))</f>
        <v>0.60028069444444432</v>
      </c>
      <c r="CD28" s="12">
        <f>IF(Y28="",NA(),IF(Статистика!$D$8="Вкл",(((IF(Статистика!$C$4="Параллельный режим (активная мощность)",AE28,AP28)+Статистика!$J$4))-Статистика!$C$10)/MAX(Статистика!$G$10-Статистика!$C$10,0.000001),NA()))</f>
        <v>0.70611738333333351</v>
      </c>
      <c r="CE28" s="12">
        <f>IF(Y28="",NA(),IF(Статистика!$F$8="Вкл",(((IF(Статистика!$C$4="Параллельный режим (активная мощность)",AB28,AM28)+Статистика!$J$4))-Статистика!$C$10)/MAX(Статистика!$G$10-Статистика!$C$10,0.000001),NA()))</f>
        <v>0.52681888055555559</v>
      </c>
      <c r="CF28" s="12">
        <f>IF(Y28="",NA(),IF(Статистика!$F$8="Вкл",(((IF(Статистика!$C$4="Параллельный режим (активная мощность)",AF28,AQ28)+Статистика!$J$4))-Статистика!$C$10)/MAX(Статистика!$G$10-Статистика!$C$10,0.000001),NA()))</f>
        <v>0.82066347333333334</v>
      </c>
      <c r="CG28" s="12">
        <f>IF(Y28="",NA(),IF(Статистика!$H$8="Вкл",(((IF(Статистика!$C$4="Параллельный режим (активная мощность)",Z28,AK28)+Статистика!$J$4))-Статистика!$C$10)/MAX(Статистика!$G$10-Статистика!$C$10,0.000001),NA()))</f>
        <v>0.49819569805555541</v>
      </c>
      <c r="CH28" s="12">
        <f>IF(Y28="",NA(),IF(Статистика!$H$8="Вкл",(((IF(Статистика!$C$4="Параллельный режим (активная мощность)",AH28,AS28)+Статистика!$J$4))-Статистика!$C$10)/MAX(Статистика!$G$10-Статистика!$C$10,0.000001),NA()))</f>
        <v>0.8394482173333333</v>
      </c>
      <c r="CI28" s="12" t="e">
        <f>IF(Y28="",NA(),IF(Статистика!$J$8="Вкл",(((IF(Статистика!$C$4="Параллельный режим (активная мощность)",AI28,AT28)+Статистика!$J$4))-Статистика!$C$10)/MAX(Статистика!$G$10-Статистика!$C$10,0.000001),NA()))</f>
        <v>#N/A</v>
      </c>
      <c r="CJ28" s="12" t="e">
        <f>IF(AND(Y28&lt;&gt;"",Статистика!$C$6="Вкл",Статистика!$B$6&gt;0),(Статистика!$B$6-Статистика!$C$10)/MAX(Статистика!$G$10-Статистика!$C$10,0.000001),NA())</f>
        <v>#N/A</v>
      </c>
      <c r="CK28" s="12" t="e">
        <f>IF(AND(Y28&lt;&gt;"",Статистика!$F$6="Вкл",Статистика!$E$6&gt;0),(Статистика!$E$6-Статистика!$C$10)/MAX(Статистика!$G$10-Статистика!$C$10,0.000001),NA())</f>
        <v>#N/A</v>
      </c>
      <c r="CL28" s="12" t="e">
        <f>IF(AND(Y28&lt;&gt;"",Статистика!$I$6="Вкл",Статистика!$H$6&gt;0),(Статистика!$H$6-Статистика!$C$10)/MAX(Статистика!$G$10-Статистика!$C$10,0.000001),NA())</f>
        <v>#N/A</v>
      </c>
      <c r="CM28" s="12" t="e">
        <f>IF(AND(Y28&lt;&gt;"",Статистика!$L$6="Вкл",Статистика!$K$6&gt;0),(Статистика!$K$6-Статистика!$C$10)/MAX(Статистика!$G$10-Статистика!$C$10,0.000001),NA())</f>
        <v>#N/A</v>
      </c>
      <c r="CN28" s="12" t="e">
        <f>IF(AND(Y28&lt;&gt;"",Статистика!$M$6="Вкл",Статистика!$O$6&gt;0),(Статистика!$O$6-Статистика!$C$10)/MAX(Статистика!$G$10-Статистика!$C$10,0.000001),NA())</f>
        <v>#N/A</v>
      </c>
      <c r="CO28" s="12">
        <f t="shared" si="1"/>
        <v>1</v>
      </c>
    </row>
    <row r="29" spans="1:93" ht="15" customHeight="1">
      <c r="A29" s="12" t="s">
        <v>164</v>
      </c>
      <c r="B29" s="12">
        <v>2326.3171028333331</v>
      </c>
      <c r="C29" s="12">
        <v>5735.5720474999998</v>
      </c>
      <c r="D29" s="12">
        <v>7380.9344783333327</v>
      </c>
      <c r="E29" s="12">
        <v>7734.080691666667</v>
      </c>
      <c r="F29" s="12">
        <v>7925.9369666666671</v>
      </c>
      <c r="G29" s="12">
        <v>8113.6398499999996</v>
      </c>
      <c r="H29" s="12">
        <v>8330.1012933333332</v>
      </c>
      <c r="I29" s="12">
        <v>8386.2100675000002</v>
      </c>
      <c r="J29" s="12">
        <v>8392.5895068333339</v>
      </c>
      <c r="K29" s="12">
        <v>8533.59</v>
      </c>
      <c r="L29" s="12" t="s">
        <v>165</v>
      </c>
      <c r="M29" s="12">
        <v>2889.7151573333331</v>
      </c>
      <c r="N29" s="12">
        <v>6632.7013866666675</v>
      </c>
      <c r="O29" s="12">
        <v>8439.6444233333332</v>
      </c>
      <c r="P29" s="12">
        <v>8919.0640999999996</v>
      </c>
      <c r="Q29" s="12">
        <v>9049.3805500000017</v>
      </c>
      <c r="R29" s="12">
        <v>9159.7896166666651</v>
      </c>
      <c r="S29" s="12">
        <v>9407.8566033333318</v>
      </c>
      <c r="T29" s="12">
        <v>9474.1031941666661</v>
      </c>
      <c r="U29" s="12">
        <v>9564.1857588333332</v>
      </c>
      <c r="V29" s="12">
        <v>9729.1299999999992</v>
      </c>
      <c r="W29" s="12" t="s">
        <v>165</v>
      </c>
      <c r="Y29" s="12" t="s">
        <v>164</v>
      </c>
      <c r="Z29" s="12">
        <v>7508.5727980000001</v>
      </c>
      <c r="AA29" s="12">
        <v>7521.3570566666667</v>
      </c>
      <c r="AB29" s="12">
        <v>7537.3373799999999</v>
      </c>
      <c r="AC29" s="12">
        <v>7710.5181833333336</v>
      </c>
      <c r="AD29" s="12">
        <v>7955.9250666666667</v>
      </c>
      <c r="AE29" s="12">
        <v>8222.3396499999999</v>
      </c>
      <c r="AF29" s="12">
        <v>8470.5031133333341</v>
      </c>
      <c r="AG29" s="12">
        <v>8510.4664066666664</v>
      </c>
      <c r="AH29" s="12">
        <v>8542.4370413333345</v>
      </c>
      <c r="AI29" s="12">
        <v>8703.08</v>
      </c>
      <c r="AJ29" s="12" t="s">
        <v>166</v>
      </c>
      <c r="AK29" s="12">
        <v>8511.3637658333319</v>
      </c>
      <c r="AL29" s="12">
        <v>8538.3852291666662</v>
      </c>
      <c r="AM29" s="12">
        <v>8572.1620583333333</v>
      </c>
      <c r="AN29" s="12">
        <v>8853.9632666666657</v>
      </c>
      <c r="AO29" s="12">
        <v>9059.1285833333332</v>
      </c>
      <c r="AP29" s="12">
        <v>9335.8451249999998</v>
      </c>
      <c r="AQ29" s="12">
        <v>9606.0805833333343</v>
      </c>
      <c r="AR29" s="12">
        <v>9638.4060083333334</v>
      </c>
      <c r="AS29" s="12">
        <v>9664.2663483333345</v>
      </c>
      <c r="AT29" s="12">
        <v>9813.7000000000007</v>
      </c>
      <c r="AU29" s="12" t="s">
        <v>166</v>
      </c>
      <c r="AW29" s="12">
        <f>IF(A29="","",MAX(0,MIN(1,(((IF(Статистика!$C$4="Параллельный режим (активная мощность)",B29,M29)+Статистика!$J$4))-Статистика!$C$10)/MAX(Статистика!$G$10-Статистика!$C$10,0.000001))))</f>
        <v>0</v>
      </c>
      <c r="AX29" s="12">
        <f>IF(A29="","",MAX(0,MAX(0,MIN(1,(((IF(Статистика!$C$4="Параллельный режим (активная мощность)",D29,O29)+Статистика!$J$4))-Статистика!$C$10)/MAX(Статистика!$G$10-Статистика!$C$10,0.000001)))-MAX(0,MIN(1,(((IF(Статистика!$C$4="Параллельный режим (активная мощность)",B29,M29)+Статистика!$J$4))-Статистика!$C$10)/MAX(Статистика!$G$10-Статистика!$C$10,0.000001)))))</f>
        <v>0.46031149277777755</v>
      </c>
      <c r="AY29" s="12">
        <f>IF(A29="","",MAX(0,MAX(0,MIN(1,(((IF(Статистика!$C$4="Параллельный режим (активная мощность)",E29,P29)+Статистика!$J$4))-Статистика!$C$10)/MAX(Статистика!$G$10-Статистика!$C$10,0.000001)))-MAX(0,MIN(1,(((IF(Статистика!$C$4="Параллельный режим (активная мощность)",D29,O29)+Статистика!$J$4))-Статистика!$C$10)/MAX(Статистика!$G$10-Статистика!$C$10,0.000001)))))</f>
        <v>0.11771540444444478</v>
      </c>
      <c r="AZ29" s="12">
        <f>IF(A29="","",MAX(0,MAX(0,MIN(1,(((IF(Статистика!$C$4="Параллельный режим (активная мощность)",F29,Q29)+Статистика!$J$4))-Статистика!$C$10)/MAX(Статистика!$G$10-Статистика!$C$10,0.000001)))-MAX(0,MIN(1,(((IF(Статистика!$C$4="Параллельный режим (активная мощность)",E29,P29)+Статистика!$J$4))-Статистика!$C$10)/MAX(Статистика!$G$10-Статистика!$C$10,0.000001)))))</f>
        <v>6.3952091666666711E-2</v>
      </c>
      <c r="BA29" s="12">
        <f>IF(A29="","",MAX(0,MAX(0,MIN(1,(((IF(Статистика!$C$4="Параллельный режим (активная мощность)",G29,R29)+Статистика!$J$4))-Статистика!$C$10)/MAX(Статистика!$G$10-Статистика!$C$10,0.000001)))-MAX(0,MIN(1,(((IF(Статистика!$C$4="Параллельный режим (активная мощность)",F29,Q29)+Статистика!$J$4))-Статистика!$C$10)/MAX(Статистика!$G$10-Статистика!$C$10,0.000001)))))</f>
        <v>6.2567627777777468E-2</v>
      </c>
      <c r="BB29" s="12">
        <f>IF(A29="","",MAX(0,MAX(0,MIN(1,(((IF(Статистика!$C$4="Параллельный режим (активная мощность)",H29,S29)+Статистика!$J$4))-Статистика!$C$10)/MAX(Статистика!$G$10-Статистика!$C$10,0.000001)))-MAX(0,MIN(1,(((IF(Статистика!$C$4="Параллельный режим (активная мощность)",G29,R29)+Статистика!$J$4))-Статистика!$C$10)/MAX(Статистика!$G$10-Статистика!$C$10,0.000001)))))</f>
        <v>7.2153814444444575E-2</v>
      </c>
      <c r="BC29" s="12">
        <f>IF(A29="","",MAX(0,MAX(0,MIN(1,(((IF(Статистика!$C$4="Параллельный режим (активная мощность)",J29,U29)+Статистика!$J$4))-Статистика!$C$10)/MAX(Статистика!$G$10-Статистика!$C$10,0.000001)))-MAX(0,MIN(1,(((IF(Статистика!$C$4="Параллельный режим (активная мощность)",H29,S29)+Статистика!$J$4))-Статистика!$C$10)/MAX(Статистика!$G$10-Статистика!$C$10,0.000001)))))</f>
        <v>2.0829404500000148E-2</v>
      </c>
      <c r="BD29" s="12">
        <f>IF(A29="","",MAX(0,1-MAX(0,MIN(1,(((IF(Статистика!$C$4="Параллельный режим (активная мощность)",J29,U29)+Статистика!$J$4))-Статистика!$C$10)/MAX(Статистика!$G$10-Статистика!$C$10,0.000001)))))</f>
        <v>0.20247016438888876</v>
      </c>
      <c r="BE29" s="12">
        <f>IF(A29="",NA(),IF(Статистика!$B$8="Вкл",(((IF(Статистика!$C$4="Параллельный режим (активная мощность)",F29,Q29)+Статистика!$J$4))-Статистика!$C$10)/MAX(Статистика!$G$10-Статистика!$C$10,0.000001),NA()))</f>
        <v>0.64197898888888905</v>
      </c>
      <c r="BF29" s="12">
        <f>IF(A29="",NA(),IF(Статистика!$D$8="Вкл",(((IF(Статистика!$C$4="Параллельный режим (активная мощность)",E29,P29)+Статистика!$J$4))-Статистика!$C$10)/MAX(Статистика!$G$10-Статистика!$C$10,0.000001),NA()))</f>
        <v>0.57802689722222234</v>
      </c>
      <c r="BG29" s="12">
        <f>IF(A29="",NA(),IF(Статистика!$D$8="Вкл",(((IF(Статистика!$C$4="Параллельный режим (активная мощность)",G29,R29)+Статистика!$J$4))-Статистика!$C$10)/MAX(Статистика!$G$10-Статистика!$C$10,0.000001),NA()))</f>
        <v>0.70454661666666651</v>
      </c>
      <c r="BH29" s="12">
        <f>IF(A29="",NA(),IF(Статистика!$F$8="Вкл",(((IF(Статистика!$C$4="Параллельный режим (активная мощность)",D29,O29)+Статистика!$J$4))-Статистика!$C$10)/MAX(Статистика!$G$10-Статистика!$C$10,0.000001),NA()))</f>
        <v>0.46031149277777755</v>
      </c>
      <c r="BI29" s="12">
        <f>IF(A29="",NA(),IF(Статистика!$F$8="Вкл",(((IF(Статистика!$C$4="Параллельный режим (активная мощность)",H29,S29)+Статистика!$J$4))-Статистика!$C$10)/MAX(Статистика!$G$10-Статистика!$C$10,0.000001),NA()))</f>
        <v>0.77670043111111109</v>
      </c>
      <c r="BJ29" s="12">
        <f>IF(A29="",NA(),IF(Статистика!$H$8="Вкл",(((IF(Статистика!$C$4="Параллельный режим (активная мощность)",B29,M29)+Статистика!$J$4))-Статистика!$C$10)/MAX(Статистика!$G$10-Статистика!$C$10,0.000001),NA()))</f>
        <v>-1.2245609657222223</v>
      </c>
      <c r="BK29" s="12">
        <f>IF(A29="",NA(),IF(Статистика!$H$8="Вкл",(((IF(Статистика!$C$4="Параллельный режим (активная мощность)",J29,U29)+Статистика!$J$4))-Статистика!$C$10)/MAX(Статистика!$G$10-Статистика!$C$10,0.000001),NA()))</f>
        <v>0.79752983561111124</v>
      </c>
      <c r="BL29" s="12" t="e">
        <f>IF(A29="",NA(),IF(Статистика!$J$8="Вкл",(((IF(Статистика!$C$4="Параллельный режим (активная мощность)",K29,V29)+Статистика!$J$4))-Статистика!$C$10)/MAX(Статистика!$G$10-Статистика!$C$10,0.000001),NA()))</f>
        <v>#N/A</v>
      </c>
      <c r="BM29" s="12" t="e">
        <f>IF(AND(A29&lt;&gt;"",Статистика!$C$6="Вкл",Статистика!$B$6&gt;0),(Статистика!$B$6-Статистика!$C$10)/MAX(Статистика!$G$10-Статистика!$C$10,0.000001),NA())</f>
        <v>#N/A</v>
      </c>
      <c r="BN29" s="12" t="e">
        <f>IF(AND(A29&lt;&gt;"",Статистика!$F$6="Вкл",Статистика!$E$6&gt;0),(Статистика!$E$6-Статистика!$C$10)/MAX(Статистика!$G$10-Статистика!$C$10,0.000001),NA())</f>
        <v>#N/A</v>
      </c>
      <c r="BO29" s="12" t="e">
        <f>IF(AND(A29&lt;&gt;"",Статистика!$I$6="Вкл",Статистика!$H$6&gt;0),(Статистика!$H$6-Статистика!$C$10)/MAX(Статистика!$G$10-Статистика!$C$10,0.000001),NA())</f>
        <v>#N/A</v>
      </c>
      <c r="BP29" s="12" t="e">
        <f>IF(AND(A29&lt;&gt;"",Статистика!$L$6="Вкл",Статистика!$K$6&gt;0),(Статистика!$K$6-Статистика!$C$10)/MAX(Статистика!$G$10-Статистика!$C$10,0.000001),NA())</f>
        <v>#N/A</v>
      </c>
      <c r="BQ29" s="12" t="e">
        <f>IF(AND(A29&lt;&gt;"",Статистика!$M$6="Вкл",Статистика!$O$6&gt;0),(Статистика!$O$6-Статистика!$C$10)/MAX(Статистика!$G$10-Статистика!$C$10,0.000001),NA())</f>
        <v>#N/A</v>
      </c>
      <c r="BR29" s="12">
        <f t="shared" si="0"/>
        <v>1</v>
      </c>
      <c r="BT29" s="12">
        <f>IF(Y29="","",MAX(0,MIN(1,(((IF(Статистика!$C$4="Параллельный режим (активная мощность)",Z29,AK29)+Статистика!$J$4))-Статистика!$C$10)/MAX(Статистика!$G$10-Статистика!$C$10,0.000001))))</f>
        <v>0.5028575993333334</v>
      </c>
      <c r="BU29" s="12">
        <f>IF(Y29="","",MAX(0,MAX(0,MIN(1,(((IF(Статистика!$C$4="Параллельный режим (активная мощность)",AB29,AM29)+Статистика!$J$4))-Статистика!$C$10)/MAX(Статистика!$G$10-Статистика!$C$10,0.000001)))-MAX(0,MIN(1,(((IF(Статистика!$C$4="Параллельный режим (активная мощность)",Z29,AK29)+Статистика!$J$4))-Статистика!$C$10)/MAX(Статистика!$G$10-Статистика!$C$10,0.000001)))))</f>
        <v>9.5881939999998833E-3</v>
      </c>
      <c r="BV29" s="12">
        <f>IF(Y29="","",MAX(0,MAX(0,MIN(1,(((IF(Статистика!$C$4="Параллельный режим (активная мощность)",AC29,AN29)+Статистика!$J$4))-Статистика!$C$10)/MAX(Статистика!$G$10-Статистика!$C$10,0.000001)))-MAX(0,MIN(1,(((IF(Статистика!$C$4="Параллельный режим (активная мощность)",AB29,AM29)+Статистика!$J$4))-Статистика!$C$10)/MAX(Статистика!$G$10-Статистика!$C$10,0.000001)))))</f>
        <v>5.7726934444444544E-2</v>
      </c>
      <c r="BW29" s="12">
        <f>IF(Y29="","",MAX(0,MAX(0,MIN(1,(((IF(Статистика!$C$4="Параллельный режим (активная мощность)",AD29,AO29)+Статистика!$J$4))-Статистика!$C$10)/MAX(Статистика!$G$10-Статистика!$C$10,0.000001)))-MAX(0,MIN(1,(((IF(Статистика!$C$4="Параллельный режим (активная мощность)",AC29,AN29)+Статистика!$J$4))-Статистика!$C$10)/MAX(Статистика!$G$10-Статистика!$C$10,0.000001)))))</f>
        <v>8.1802294444444423E-2</v>
      </c>
      <c r="BX29" s="12">
        <f>IF(Y29="","",MAX(0,MAX(0,MIN(1,(((IF(Статистика!$C$4="Параллельный режим (активная мощность)",AE29,AP29)+Статистика!$J$4))-Статистика!$C$10)/MAX(Статистика!$G$10-Статистика!$C$10,0.000001)))-MAX(0,MIN(1,(((IF(Статистика!$C$4="Параллельный режим (активная мощность)",AD29,AO29)+Статистика!$J$4))-Статистика!$C$10)/MAX(Статистика!$G$10-Статистика!$C$10,0.000001)))))</f>
        <v>8.8804861111111077E-2</v>
      </c>
      <c r="BY29" s="12">
        <f>IF(Y29="","",MAX(0,MAX(0,MIN(1,(((IF(Статистика!$C$4="Параллельный режим (активная мощность)",AF29,AQ29)+Статистика!$J$4))-Статистика!$C$10)/MAX(Статистика!$G$10-Статистика!$C$10,0.000001)))-MAX(0,MIN(1,(((IF(Статистика!$C$4="Параллельный режим (активная мощность)",AE29,AP29)+Статистика!$J$4))-Статистика!$C$10)/MAX(Статистика!$G$10-Статистика!$C$10,0.000001)))))</f>
        <v>8.2721154444444722E-2</v>
      </c>
      <c r="BZ29" s="12">
        <f>IF(Y29="","",MAX(0,MAX(0,MIN(1,(((IF(Статистика!$C$4="Параллельный режим (активная мощность)",AH29,AS29)+Статистика!$J$4))-Статистика!$C$10)/MAX(Статистика!$G$10-Статистика!$C$10,0.000001)))-MAX(0,MIN(1,(((IF(Статистика!$C$4="Параллельный режим (активная мощность)",AF29,AQ29)+Статистика!$J$4))-Статистика!$C$10)/MAX(Статистика!$G$10-Статистика!$C$10,0.000001)))))</f>
        <v>2.3977976000000067E-2</v>
      </c>
      <c r="CA29" s="12">
        <f>IF(Y29="","",MAX(0,1-MAX(0,MIN(1,(((IF(Статистика!$C$4="Параллельный режим (активная мощность)",AH29,AS29)+Статистика!$J$4))-Статистика!$C$10)/MAX(Статистика!$G$10-Статистика!$C$10,0.000001)))))</f>
        <v>0.15252098622222188</v>
      </c>
      <c r="CB29" s="12">
        <f>IF(Y29="",NA(),IF(Статистика!$B$8="Вкл",(((IF(Статистика!$C$4="Параллельный режим (активная мощность)",AD29,AO29)+Статистика!$J$4))-Статистика!$C$10)/MAX(Статистика!$G$10-Статистика!$C$10,0.000001),NA()))</f>
        <v>0.65197502222222226</v>
      </c>
      <c r="CC29" s="12">
        <f>IF(Y29="",NA(),IF(Статистика!$D$8="Вкл",(((IF(Статистика!$C$4="Параллельный режим (активная мощность)",AC29,AN29)+Статистика!$J$4))-Статистика!$C$10)/MAX(Статистика!$G$10-Статистика!$C$10,0.000001),NA()))</f>
        <v>0.57017272777777783</v>
      </c>
      <c r="CD29" s="12">
        <f>IF(Y29="",NA(),IF(Статистика!$D$8="Вкл",(((IF(Статистика!$C$4="Параллельный режим (активная мощность)",AE29,AP29)+Статистика!$J$4))-Статистика!$C$10)/MAX(Статистика!$G$10-Статистика!$C$10,0.000001),NA()))</f>
        <v>0.74077988333333333</v>
      </c>
      <c r="CE29" s="12">
        <f>IF(Y29="",NA(),IF(Статистика!$F$8="Вкл",(((IF(Статистика!$C$4="Параллельный режим (активная мощность)",AB29,AM29)+Статистика!$J$4))-Статистика!$C$10)/MAX(Статистика!$G$10-Статистика!$C$10,0.000001),NA()))</f>
        <v>0.51244579333333329</v>
      </c>
      <c r="CF29" s="12">
        <f>IF(Y29="",NA(),IF(Статистика!$F$8="Вкл",(((IF(Статистика!$C$4="Параллельный режим (активная мощность)",AF29,AQ29)+Статистика!$J$4))-Статистика!$C$10)/MAX(Статистика!$G$10-Статистика!$C$10,0.000001),NA()))</f>
        <v>0.82350103777777806</v>
      </c>
      <c r="CG29" s="12">
        <f>IF(Y29="",NA(),IF(Статистика!$H$8="Вкл",(((IF(Статистика!$C$4="Параллельный режим (активная мощность)",Z29,AK29)+Статистика!$J$4))-Статистика!$C$10)/MAX(Статистика!$G$10-Статистика!$C$10,0.000001),NA()))</f>
        <v>0.5028575993333334</v>
      </c>
      <c r="CH29" s="12">
        <f>IF(Y29="",NA(),IF(Статистика!$H$8="Вкл",(((IF(Статистика!$C$4="Параллельный режим (активная мощность)",AH29,AS29)+Статистика!$J$4))-Статистика!$C$10)/MAX(Статистика!$G$10-Статистика!$C$10,0.000001),NA()))</f>
        <v>0.84747901377777812</v>
      </c>
      <c r="CI29" s="12" t="e">
        <f>IF(Y29="",NA(),IF(Статистика!$J$8="Вкл",(((IF(Статистика!$C$4="Параллельный режим (активная мощность)",AI29,AT29)+Статистика!$J$4))-Статистика!$C$10)/MAX(Статистика!$G$10-Статистика!$C$10,0.000001),NA()))</f>
        <v>#N/A</v>
      </c>
      <c r="CJ29" s="12" t="e">
        <f>IF(AND(Y29&lt;&gt;"",Статистика!$C$6="Вкл",Статистика!$B$6&gt;0),(Статистика!$B$6-Статистика!$C$10)/MAX(Статистика!$G$10-Статистика!$C$10,0.000001),NA())</f>
        <v>#N/A</v>
      </c>
      <c r="CK29" s="12" t="e">
        <f>IF(AND(Y29&lt;&gt;"",Статистика!$F$6="Вкл",Статистика!$E$6&gt;0),(Статистика!$E$6-Статистика!$C$10)/MAX(Статистика!$G$10-Статистика!$C$10,0.000001),NA())</f>
        <v>#N/A</v>
      </c>
      <c r="CL29" s="12" t="e">
        <f>IF(AND(Y29&lt;&gt;"",Статистика!$I$6="Вкл",Статистика!$H$6&gt;0),(Статистика!$H$6-Статистика!$C$10)/MAX(Статистика!$G$10-Статистика!$C$10,0.000001),NA())</f>
        <v>#N/A</v>
      </c>
      <c r="CM29" s="12" t="e">
        <f>IF(AND(Y29&lt;&gt;"",Статистика!$L$6="Вкл",Статистика!$K$6&gt;0),(Статистика!$K$6-Статистика!$C$10)/MAX(Статистика!$G$10-Статистика!$C$10,0.000001),NA())</f>
        <v>#N/A</v>
      </c>
      <c r="CN29" s="12" t="e">
        <f>IF(AND(Y29&lt;&gt;"",Статистика!$M$6="Вкл",Статистика!$O$6&gt;0),(Статистика!$O$6-Статистика!$C$10)/MAX(Статистика!$G$10-Статистика!$C$10,0.000001),NA())</f>
        <v>#N/A</v>
      </c>
      <c r="CO29" s="12">
        <f t="shared" si="1"/>
        <v>1</v>
      </c>
    </row>
    <row r="30" spans="1:93" ht="15" customHeight="1">
      <c r="A30" s="12" t="s">
        <v>167</v>
      </c>
      <c r="B30" s="12">
        <v>2328.2902493333331</v>
      </c>
      <c r="C30" s="12">
        <v>5720.7841800000006</v>
      </c>
      <c r="D30" s="12">
        <v>7359.184358333333</v>
      </c>
      <c r="E30" s="12">
        <v>7706.1098833333335</v>
      </c>
      <c r="F30" s="12">
        <v>7940.6370166666666</v>
      </c>
      <c r="G30" s="12">
        <v>8061.8668249999992</v>
      </c>
      <c r="H30" s="12">
        <v>8307.1431750000011</v>
      </c>
      <c r="I30" s="12">
        <v>8329.8616508333344</v>
      </c>
      <c r="J30" s="12">
        <v>8372.2819035000011</v>
      </c>
      <c r="K30" s="12">
        <v>8527.0300000000007</v>
      </c>
      <c r="L30" s="12" t="s">
        <v>168</v>
      </c>
      <c r="M30" s="12">
        <v>2883.4945954999998</v>
      </c>
      <c r="N30" s="12">
        <v>6621.1719108333346</v>
      </c>
      <c r="O30" s="12">
        <v>8414.3069000000014</v>
      </c>
      <c r="P30" s="12">
        <v>8865.4819666666663</v>
      </c>
      <c r="Q30" s="12">
        <v>9029.6425833333342</v>
      </c>
      <c r="R30" s="12">
        <v>9128.9306833333321</v>
      </c>
      <c r="S30" s="12">
        <v>9422.6162299999996</v>
      </c>
      <c r="T30" s="12">
        <v>9437.2802041666673</v>
      </c>
      <c r="U30" s="12">
        <v>9445.3803874999994</v>
      </c>
      <c r="V30" s="12">
        <v>9626.67</v>
      </c>
      <c r="W30" s="12" t="s">
        <v>169</v>
      </c>
      <c r="Y30" s="12" t="s">
        <v>167</v>
      </c>
      <c r="Z30" s="12">
        <v>7551.2079166666663</v>
      </c>
      <c r="AA30" s="12">
        <v>7559.6757166666666</v>
      </c>
      <c r="AB30" s="12">
        <v>7570.2604666666666</v>
      </c>
      <c r="AC30" s="12">
        <v>7665.9982500000006</v>
      </c>
      <c r="AD30" s="12">
        <v>7977.3633166666659</v>
      </c>
      <c r="AE30" s="12">
        <v>8239.6820666666663</v>
      </c>
      <c r="AF30" s="12">
        <v>8517.0472550000013</v>
      </c>
      <c r="AG30" s="12">
        <v>8542.9238108333338</v>
      </c>
      <c r="AH30" s="12">
        <v>8563.6250555000006</v>
      </c>
      <c r="AI30" s="12">
        <v>8706.82</v>
      </c>
      <c r="AJ30" s="12" t="s">
        <v>170</v>
      </c>
      <c r="AK30" s="12">
        <v>8527.7212526666663</v>
      </c>
      <c r="AL30" s="12">
        <v>8567.5746633333329</v>
      </c>
      <c r="AM30" s="12">
        <v>8617.391426666667</v>
      </c>
      <c r="AN30" s="12">
        <v>8799.6187333333328</v>
      </c>
      <c r="AO30" s="12">
        <v>9055.1551333333337</v>
      </c>
      <c r="AP30" s="12">
        <v>9353.1145583333328</v>
      </c>
      <c r="AQ30" s="12">
        <v>9661.3044366666654</v>
      </c>
      <c r="AR30" s="12">
        <v>9674.7357849999989</v>
      </c>
      <c r="AS30" s="12">
        <v>9685.4808636666658</v>
      </c>
      <c r="AT30" s="12">
        <v>9876.5499999999993</v>
      </c>
      <c r="AU30" s="12" t="s">
        <v>171</v>
      </c>
      <c r="AW30" s="12">
        <f>IF(A30="","",MAX(0,MIN(1,(((IF(Статистика!$C$4="Параллельный режим (активная мощность)",B30,M30)+Статистика!$J$4))-Статистика!$C$10)/MAX(Статистика!$G$10-Статистика!$C$10,0.000001))))</f>
        <v>0</v>
      </c>
      <c r="AX30" s="12">
        <f>IF(A30="","",MAX(0,MAX(0,MIN(1,(((IF(Статистика!$C$4="Параллельный режим (активная мощность)",D30,O30)+Статистика!$J$4))-Статистика!$C$10)/MAX(Статистика!$G$10-Статистика!$C$10,0.000001)))-MAX(0,MIN(1,(((IF(Статистика!$C$4="Параллельный режим (активная мощность)",B30,M30)+Статистика!$J$4))-Статистика!$C$10)/MAX(Статистика!$G$10-Статистика!$C$10,0.000001)))))</f>
        <v>0.45306145277777765</v>
      </c>
      <c r="AY30" s="12">
        <f>IF(A30="","",MAX(0,MAX(0,MIN(1,(((IF(Статистика!$C$4="Параллельный режим (активная мощность)",E30,P30)+Статистика!$J$4))-Статистика!$C$10)/MAX(Статистика!$G$10-Статистика!$C$10,0.000001)))-MAX(0,MIN(1,(((IF(Статистика!$C$4="Параллельный режим (активная мощность)",D30,O30)+Статистика!$J$4))-Статистика!$C$10)/MAX(Статистика!$G$10-Статистика!$C$10,0.000001)))))</f>
        <v>0.11564184166666691</v>
      </c>
      <c r="AZ30" s="12">
        <f>IF(A30="","",MAX(0,MAX(0,MIN(1,(((IF(Статистика!$C$4="Параллельный режим (активная мощность)",F30,Q30)+Статистика!$J$4))-Статистика!$C$10)/MAX(Статистика!$G$10-Статистика!$C$10,0.000001)))-MAX(0,MIN(1,(((IF(Статистика!$C$4="Параллельный режим (активная мощность)",E30,P30)+Статистика!$J$4))-Статистика!$C$10)/MAX(Статистика!$G$10-Статистика!$C$10,0.000001)))))</f>
        <v>7.817571111111099E-2</v>
      </c>
      <c r="BA30" s="12">
        <f>IF(A30="","",MAX(0,MAX(0,MIN(1,(((IF(Статистика!$C$4="Параллельный режим (активная мощность)",G30,R30)+Статистика!$J$4))-Статистика!$C$10)/MAX(Статистика!$G$10-Статистика!$C$10,0.000001)))-MAX(0,MIN(1,(((IF(Статистика!$C$4="Параллельный режим (активная мощность)",F30,Q30)+Статистика!$J$4))-Статистика!$C$10)/MAX(Статистика!$G$10-Статистика!$C$10,0.000001)))))</f>
        <v>4.0409936111110878E-2</v>
      </c>
      <c r="BB30" s="12">
        <f>IF(A30="","",MAX(0,MAX(0,MIN(1,(((IF(Статистика!$C$4="Параллельный режим (активная мощность)",H30,S30)+Статистика!$J$4))-Статистика!$C$10)/MAX(Статистика!$G$10-Статистика!$C$10,0.000001)))-MAX(0,MIN(1,(((IF(Статистика!$C$4="Параллельный режим (активная мощность)",G30,R30)+Статистика!$J$4))-Статистика!$C$10)/MAX(Статистика!$G$10-Статистика!$C$10,0.000001)))))</f>
        <v>8.1758783333333973E-2</v>
      </c>
      <c r="BC30" s="12">
        <f>IF(A30="","",MAX(0,MAX(0,MIN(1,(((IF(Статистика!$C$4="Параллельный режим (активная мощность)",J30,U30)+Статистика!$J$4))-Статистика!$C$10)/MAX(Статистика!$G$10-Статистика!$C$10,0.000001)))-MAX(0,MIN(1,(((IF(Статистика!$C$4="Параллельный режим (активная мощность)",H30,S30)+Статистика!$J$4))-Статистика!$C$10)/MAX(Статистика!$G$10-Статистика!$C$10,0.000001)))))</f>
        <v>2.1712909499999933E-2</v>
      </c>
      <c r="BD30" s="12">
        <f>IF(A30="","",MAX(0,1-MAX(0,MIN(1,(((IF(Статистика!$C$4="Параллельный режим (активная мощность)",J30,U30)+Статистика!$J$4))-Статистика!$C$10)/MAX(Статистика!$G$10-Статистика!$C$10,0.000001)))))</f>
        <v>0.20923936549999966</v>
      </c>
      <c r="BE30" s="12">
        <f>IF(A30="",NA(),IF(Статистика!$B$8="Вкл",(((IF(Статистика!$C$4="Параллельный режим (активная мощность)",F30,Q30)+Статистика!$J$4))-Статистика!$C$10)/MAX(Статистика!$G$10-Статистика!$C$10,0.000001),NA()))</f>
        <v>0.64687900555555555</v>
      </c>
      <c r="BF30" s="12">
        <f>IF(A30="",NA(),IF(Статистика!$D$8="Вкл",(((IF(Статистика!$C$4="Параллельный режим (активная мощность)",E30,P30)+Статистика!$J$4))-Статистика!$C$10)/MAX(Статистика!$G$10-Статистика!$C$10,0.000001),NA()))</f>
        <v>0.56870329444444456</v>
      </c>
      <c r="BG30" s="12">
        <f>IF(A30="",NA(),IF(Статистика!$D$8="Вкл",(((IF(Статистика!$C$4="Параллельный режим (активная мощность)",G30,R30)+Статистика!$J$4))-Статистика!$C$10)/MAX(Статистика!$G$10-Статистика!$C$10,0.000001),NA()))</f>
        <v>0.68728894166666643</v>
      </c>
      <c r="BH30" s="12">
        <f>IF(A30="",NA(),IF(Статистика!$F$8="Вкл",(((IF(Статистика!$C$4="Параллельный режим (активная мощность)",D30,O30)+Статистика!$J$4))-Статистика!$C$10)/MAX(Статистика!$G$10-Статистика!$C$10,0.000001),NA()))</f>
        <v>0.45306145277777765</v>
      </c>
      <c r="BI30" s="12">
        <f>IF(A30="",NA(),IF(Статистика!$F$8="Вкл",(((IF(Статистика!$C$4="Параллельный режим (активная мощность)",H30,S30)+Статистика!$J$4))-Статистика!$C$10)/MAX(Статистика!$G$10-Статистика!$C$10,0.000001),NA()))</f>
        <v>0.7690477250000004</v>
      </c>
      <c r="BJ30" s="12">
        <f>IF(A30="",NA(),IF(Статистика!$H$8="Вкл",(((IF(Статистика!$C$4="Параллельный режим (активная мощность)",B30,M30)+Статистика!$J$4))-Статистика!$C$10)/MAX(Статистика!$G$10-Статистика!$C$10,0.000001),NA()))</f>
        <v>-1.2239032502222222</v>
      </c>
      <c r="BK30" s="12">
        <f>IF(A30="",NA(),IF(Статистика!$H$8="Вкл",(((IF(Статистика!$C$4="Параллельный режим (активная мощность)",J30,U30)+Статистика!$J$4))-Статистика!$C$10)/MAX(Статистика!$G$10-Статистика!$C$10,0.000001),NA()))</f>
        <v>0.79076063450000034</v>
      </c>
      <c r="BL30" s="12" t="e">
        <f>IF(A30="",NA(),IF(Статистика!$J$8="Вкл",(((IF(Статистика!$C$4="Параллельный режим (активная мощность)",K30,V30)+Статистика!$J$4))-Статистика!$C$10)/MAX(Статистика!$G$10-Статистика!$C$10,0.000001),NA()))</f>
        <v>#N/A</v>
      </c>
      <c r="BM30" s="12" t="e">
        <f>IF(AND(A30&lt;&gt;"",Статистика!$C$6="Вкл",Статистика!$B$6&gt;0),(Статистика!$B$6-Статистика!$C$10)/MAX(Статистика!$G$10-Статистика!$C$10,0.000001),NA())</f>
        <v>#N/A</v>
      </c>
      <c r="BN30" s="12" t="e">
        <f>IF(AND(A30&lt;&gt;"",Статистика!$F$6="Вкл",Статистика!$E$6&gt;0),(Статистика!$E$6-Статистика!$C$10)/MAX(Статистика!$G$10-Статистика!$C$10,0.000001),NA())</f>
        <v>#N/A</v>
      </c>
      <c r="BO30" s="12" t="e">
        <f>IF(AND(A30&lt;&gt;"",Статистика!$I$6="Вкл",Статистика!$H$6&gt;0),(Статистика!$H$6-Статистика!$C$10)/MAX(Статистика!$G$10-Статистика!$C$10,0.000001),NA())</f>
        <v>#N/A</v>
      </c>
      <c r="BP30" s="12" t="e">
        <f>IF(AND(A30&lt;&gt;"",Статистика!$L$6="Вкл",Статистика!$K$6&gt;0),(Статистика!$K$6-Статистика!$C$10)/MAX(Статистика!$G$10-Статистика!$C$10,0.000001),NA())</f>
        <v>#N/A</v>
      </c>
      <c r="BQ30" s="12" t="e">
        <f>IF(AND(A30&lt;&gt;"",Статистика!$M$6="Вкл",Статистика!$O$6&gt;0),(Статистика!$O$6-Статистика!$C$10)/MAX(Статистика!$G$10-Статистика!$C$10,0.000001),NA())</f>
        <v>#N/A</v>
      </c>
      <c r="BR30" s="12">
        <f t="shared" si="0"/>
        <v>1</v>
      </c>
      <c r="BT30" s="12">
        <f>IF(Y30="","",MAX(0,MIN(1,(((IF(Статистика!$C$4="Параллельный режим (активная мощность)",Z30,AK30)+Статистика!$J$4))-Статистика!$C$10)/MAX(Статистика!$G$10-Статистика!$C$10,0.000001))))</f>
        <v>0.51706930555555541</v>
      </c>
      <c r="BU30" s="12">
        <f>IF(Y30="","",MAX(0,MAX(0,MIN(1,(((IF(Статистика!$C$4="Параллельный режим (активная мощность)",AB30,AM30)+Статистика!$J$4))-Статистика!$C$10)/MAX(Статистика!$G$10-Статистика!$C$10,0.000001)))-MAX(0,MIN(1,(((IF(Статистика!$C$4="Параллельный режим (активная мощность)",Z30,AK30)+Статистика!$J$4))-Статистика!$C$10)/MAX(Статистика!$G$10-Статистика!$C$10,0.000001)))))</f>
        <v>6.35085000000013E-3</v>
      </c>
      <c r="BV30" s="12">
        <f>IF(Y30="","",MAX(0,MAX(0,MIN(1,(((IF(Статистика!$C$4="Параллельный режим (активная мощность)",AC30,AN30)+Статистика!$J$4))-Статистика!$C$10)/MAX(Статистика!$G$10-Статистика!$C$10,0.000001)))-MAX(0,MIN(1,(((IF(Статистика!$C$4="Параллельный режим (активная мощность)",AB30,AM30)+Статистика!$J$4))-Статистика!$C$10)/MAX(Статистика!$G$10-Статистика!$C$10,0.000001)))))</f>
        <v>3.1912594444444609E-2</v>
      </c>
      <c r="BW30" s="12">
        <f>IF(Y30="","",MAX(0,MAX(0,MIN(1,(((IF(Статистика!$C$4="Параллельный режим (активная мощность)",AD30,AO30)+Статистика!$J$4))-Статистика!$C$10)/MAX(Статистика!$G$10-Статистика!$C$10,0.000001)))-MAX(0,MIN(1,(((IF(Статистика!$C$4="Параллельный режим (активная мощность)",AC30,AN30)+Статистика!$J$4))-Статистика!$C$10)/MAX(Статистика!$G$10-Статистика!$C$10,0.000001)))))</f>
        <v>0.1037883555555551</v>
      </c>
      <c r="BX30" s="12">
        <f>IF(Y30="","",MAX(0,MAX(0,MIN(1,(((IF(Статистика!$C$4="Параллельный режим (активная мощность)",AE30,AP30)+Статистика!$J$4))-Статистика!$C$10)/MAX(Статистика!$G$10-Статистика!$C$10,0.000001)))-MAX(0,MIN(1,(((IF(Статистика!$C$4="Параллельный режим (активная мощность)",AD30,AO30)+Статистика!$J$4))-Статистика!$C$10)/MAX(Статистика!$G$10-Статистика!$C$10,0.000001)))))</f>
        <v>8.7439583333333459E-2</v>
      </c>
      <c r="BY30" s="12">
        <f>IF(Y30="","",MAX(0,MAX(0,MIN(1,(((IF(Статистика!$C$4="Параллельный режим (активная мощность)",AF30,AQ30)+Статистика!$J$4))-Статистика!$C$10)/MAX(Статистика!$G$10-Статистика!$C$10,0.000001)))-MAX(0,MIN(1,(((IF(Статистика!$C$4="Параллельный режим (активная мощность)",AE30,AP30)+Статистика!$J$4))-Статистика!$C$10)/MAX(Статистика!$G$10-Статистика!$C$10,0.000001)))))</f>
        <v>9.2455062777778374E-2</v>
      </c>
      <c r="BZ30" s="12">
        <f>IF(Y30="","",MAX(0,MAX(0,MIN(1,(((IF(Статистика!$C$4="Параллельный режим (активная мощность)",AH30,AS30)+Статистика!$J$4))-Статистика!$C$10)/MAX(Статистика!$G$10-Статистика!$C$10,0.000001)))-MAX(0,MIN(1,(((IF(Статистика!$C$4="Параллельный режим (активная мощность)",AF30,AQ30)+Статистика!$J$4))-Статистика!$C$10)/MAX(Статистика!$G$10-Статистика!$C$10,0.000001)))))</f>
        <v>1.5525933499999756E-2</v>
      </c>
      <c r="CA30" s="12">
        <f>IF(Y30="","",MAX(0,1-MAX(0,MIN(1,(((IF(Статистика!$C$4="Параллельный режим (активная мощность)",AH30,AS30)+Статистика!$J$4))-Статистика!$C$10)/MAX(Статистика!$G$10-Статистика!$C$10,0.000001)))))</f>
        <v>0.14545831483333316</v>
      </c>
      <c r="CB30" s="12">
        <f>IF(Y30="",NA(),IF(Статистика!$B$8="Вкл",(((IF(Статистика!$C$4="Параллельный режим (активная мощность)",AD30,AO30)+Статистика!$J$4))-Статистика!$C$10)/MAX(Статистика!$G$10-Статистика!$C$10,0.000001),NA()))</f>
        <v>0.65912110555555525</v>
      </c>
      <c r="CC30" s="12">
        <f>IF(Y30="",NA(),IF(Статистика!$D$8="Вкл",(((IF(Статистика!$C$4="Параллельный режим (активная мощность)",AC30,AN30)+Статистика!$J$4))-Статистика!$C$10)/MAX(Статистика!$G$10-Статистика!$C$10,0.000001),NA()))</f>
        <v>0.55533275000000015</v>
      </c>
      <c r="CD30" s="12">
        <f>IF(Y30="",NA(),IF(Статистика!$D$8="Вкл",(((IF(Статистика!$C$4="Параллельный режим (активная мощность)",AE30,AP30)+Статистика!$J$4))-Статистика!$C$10)/MAX(Статистика!$G$10-Статистика!$C$10,0.000001),NA()))</f>
        <v>0.74656068888888871</v>
      </c>
      <c r="CE30" s="12">
        <f>IF(Y30="",NA(),IF(Статистика!$F$8="Вкл",(((IF(Статистика!$C$4="Параллельный режим (активная мощность)",AB30,AM30)+Статистика!$J$4))-Статистика!$C$10)/MAX(Статистика!$G$10-Статистика!$C$10,0.000001),NA()))</f>
        <v>0.52342015555555554</v>
      </c>
      <c r="CF30" s="12">
        <f>IF(Y30="",NA(),IF(Статистика!$F$8="Вкл",(((IF(Статистика!$C$4="Параллельный режим (активная мощность)",AF30,AQ30)+Статистика!$J$4))-Статистика!$C$10)/MAX(Статистика!$G$10-Статистика!$C$10,0.000001),NA()))</f>
        <v>0.83901575166666709</v>
      </c>
      <c r="CG30" s="12">
        <f>IF(Y30="",NA(),IF(Статистика!$H$8="Вкл",(((IF(Статистика!$C$4="Параллельный режим (активная мощность)",Z30,AK30)+Статистика!$J$4))-Статистика!$C$10)/MAX(Статистика!$G$10-Статистика!$C$10,0.000001),NA()))</f>
        <v>0.51706930555555541</v>
      </c>
      <c r="CH30" s="12">
        <f>IF(Y30="",NA(),IF(Статистика!$H$8="Вкл",(((IF(Статистика!$C$4="Параллельный режим (активная мощность)",AH30,AS30)+Статистика!$J$4))-Статистика!$C$10)/MAX(Статистика!$G$10-Статистика!$C$10,0.000001),NA()))</f>
        <v>0.85454168516666684</v>
      </c>
      <c r="CI30" s="12" t="e">
        <f>IF(Y30="",NA(),IF(Статистика!$J$8="Вкл",(((IF(Статистика!$C$4="Параллельный режим (активная мощность)",AI30,AT30)+Статистика!$J$4))-Статистика!$C$10)/MAX(Статистика!$G$10-Статистика!$C$10,0.000001),NA()))</f>
        <v>#N/A</v>
      </c>
      <c r="CJ30" s="12" t="e">
        <f>IF(AND(Y30&lt;&gt;"",Статистика!$C$6="Вкл",Статистика!$B$6&gt;0),(Статистика!$B$6-Статистика!$C$10)/MAX(Статистика!$G$10-Статистика!$C$10,0.000001),NA())</f>
        <v>#N/A</v>
      </c>
      <c r="CK30" s="12" t="e">
        <f>IF(AND(Y30&lt;&gt;"",Статистика!$F$6="Вкл",Статистика!$E$6&gt;0),(Статистика!$E$6-Статистика!$C$10)/MAX(Статистика!$G$10-Статистика!$C$10,0.000001),NA())</f>
        <v>#N/A</v>
      </c>
      <c r="CL30" s="12" t="e">
        <f>IF(AND(Y30&lt;&gt;"",Статистика!$I$6="Вкл",Статистика!$H$6&gt;0),(Статистика!$H$6-Статистика!$C$10)/MAX(Статистика!$G$10-Статистика!$C$10,0.000001),NA())</f>
        <v>#N/A</v>
      </c>
      <c r="CM30" s="12" t="e">
        <f>IF(AND(Y30&lt;&gt;"",Статистика!$L$6="Вкл",Статистика!$K$6&gt;0),(Статистика!$K$6-Статистика!$C$10)/MAX(Статистика!$G$10-Статистика!$C$10,0.000001),NA())</f>
        <v>#N/A</v>
      </c>
      <c r="CN30" s="12" t="e">
        <f>IF(AND(Y30&lt;&gt;"",Статистика!$M$6="Вкл",Статистика!$O$6&gt;0),(Статистика!$O$6-Статистика!$C$10)/MAX(Статистика!$G$10-Статистика!$C$10,0.000001),NA())</f>
        <v>#N/A</v>
      </c>
      <c r="CO30" s="12">
        <f t="shared" si="1"/>
        <v>1</v>
      </c>
    </row>
    <row r="31" spans="1:93" ht="15" customHeight="1">
      <c r="A31" s="12" t="s">
        <v>172</v>
      </c>
      <c r="B31" s="12">
        <v>2345.5174640000005</v>
      </c>
      <c r="C31" s="12">
        <v>5723.686786666668</v>
      </c>
      <c r="D31" s="12">
        <v>7354.4235500000013</v>
      </c>
      <c r="E31" s="12">
        <v>7741.3100916666654</v>
      </c>
      <c r="F31" s="12">
        <v>7895.7558000000008</v>
      </c>
      <c r="G31" s="12">
        <v>8043.1156666666675</v>
      </c>
      <c r="H31" s="12">
        <v>8325.8795333333328</v>
      </c>
      <c r="I31" s="12">
        <v>8360.1186516666658</v>
      </c>
      <c r="J31" s="12">
        <v>8415.0655703333323</v>
      </c>
      <c r="K31" s="12">
        <v>8572.52</v>
      </c>
      <c r="L31" s="12" t="s">
        <v>173</v>
      </c>
      <c r="M31" s="12">
        <v>2898.3921726666663</v>
      </c>
      <c r="N31" s="12">
        <v>6613.4948633333343</v>
      </c>
      <c r="O31" s="12">
        <v>8400.0945816666663</v>
      </c>
      <c r="P31" s="12">
        <v>8836.0877</v>
      </c>
      <c r="Q31" s="12">
        <v>8996.2089166666665</v>
      </c>
      <c r="R31" s="12">
        <v>9142.0022083333351</v>
      </c>
      <c r="S31" s="12">
        <v>9396.7405083333342</v>
      </c>
      <c r="T31" s="12">
        <v>9459.7748875000016</v>
      </c>
      <c r="U31" s="12">
        <v>9492.194470833334</v>
      </c>
      <c r="V31" s="12">
        <v>9677.0499999999993</v>
      </c>
      <c r="W31" s="12" t="s">
        <v>174</v>
      </c>
      <c r="Y31" s="12" t="s">
        <v>172</v>
      </c>
      <c r="Z31" s="12">
        <v>7554.2859369999996</v>
      </c>
      <c r="AA31" s="12">
        <v>7570.7566183333329</v>
      </c>
      <c r="AB31" s="12">
        <v>7591.3449700000001</v>
      </c>
      <c r="AC31" s="12">
        <v>7665.7510750000001</v>
      </c>
      <c r="AD31" s="12">
        <v>8015.7637666666669</v>
      </c>
      <c r="AE31" s="12">
        <v>8224.6749833333324</v>
      </c>
      <c r="AF31" s="12">
        <v>8486.3484083333333</v>
      </c>
      <c r="AG31" s="12">
        <v>8496.9531875000011</v>
      </c>
      <c r="AH31" s="12">
        <v>8505.4370108333333</v>
      </c>
      <c r="AI31" s="12">
        <v>8635</v>
      </c>
      <c r="AJ31" s="12" t="s">
        <v>175</v>
      </c>
      <c r="AK31" s="12">
        <v>8592.2124381666672</v>
      </c>
      <c r="AL31" s="12">
        <v>8621.1837908333328</v>
      </c>
      <c r="AM31" s="12">
        <v>8657.397981666667</v>
      </c>
      <c r="AN31" s="12">
        <v>8815.9716916666675</v>
      </c>
      <c r="AO31" s="12">
        <v>9113.8289499999992</v>
      </c>
      <c r="AP31" s="12">
        <v>9328.0889333333325</v>
      </c>
      <c r="AQ31" s="12">
        <v>9624.9588383333321</v>
      </c>
      <c r="AR31" s="12">
        <v>9625.1059358333332</v>
      </c>
      <c r="AS31" s="12">
        <v>9625.2236138333319</v>
      </c>
      <c r="AT31" s="12">
        <v>9759.23</v>
      </c>
      <c r="AU31" s="12" t="s">
        <v>176</v>
      </c>
      <c r="AW31" s="12">
        <f>IF(A31="","",MAX(0,MIN(1,(((IF(Статистика!$C$4="Параллельный режим (активная мощность)",B31,M31)+Статистика!$J$4))-Статистика!$C$10)/MAX(Статистика!$G$10-Статистика!$C$10,0.000001))))</f>
        <v>0</v>
      </c>
      <c r="AX31" s="12">
        <f>IF(A31="","",MAX(0,MAX(0,MIN(1,(((IF(Статистика!$C$4="Параллельный режим (активная мощность)",D31,O31)+Статистика!$J$4))-Статистика!$C$10)/MAX(Статистика!$G$10-Статистика!$C$10,0.000001)))-MAX(0,MIN(1,(((IF(Статистика!$C$4="Параллельный режим (активная мощность)",B31,M31)+Статистика!$J$4))-Статистика!$C$10)/MAX(Статистика!$G$10-Статистика!$C$10,0.000001)))))</f>
        <v>0.4514745166666671</v>
      </c>
      <c r="AY31" s="12">
        <f>IF(A31="","",MAX(0,MAX(0,MIN(1,(((IF(Статистика!$C$4="Параллельный режим (активная мощность)",E31,P31)+Статистика!$J$4))-Статистика!$C$10)/MAX(Статистика!$G$10-Статистика!$C$10,0.000001)))-MAX(0,MIN(1,(((IF(Статистика!$C$4="Параллельный режим (активная мощность)",D31,O31)+Статистика!$J$4))-Статистика!$C$10)/MAX(Статистика!$G$10-Статистика!$C$10,0.000001)))))</f>
        <v>0.1289621805555547</v>
      </c>
      <c r="AZ31" s="12">
        <f>IF(A31="","",MAX(0,MAX(0,MIN(1,(((IF(Статистика!$C$4="Параллельный режим (активная мощность)",F31,Q31)+Статистика!$J$4))-Статистика!$C$10)/MAX(Статистика!$G$10-Статистика!$C$10,0.000001)))-MAX(0,MIN(1,(((IF(Статистика!$C$4="Параллельный режим (активная мощность)",E31,P31)+Статистика!$J$4))-Статистика!$C$10)/MAX(Статистика!$G$10-Статистика!$C$10,0.000001)))))</f>
        <v>5.1481902777778421E-2</v>
      </c>
      <c r="BA31" s="12">
        <f>IF(A31="","",MAX(0,MAX(0,MIN(1,(((IF(Статистика!$C$4="Параллельный режим (активная мощность)",G31,R31)+Статистика!$J$4))-Статистика!$C$10)/MAX(Статистика!$G$10-Статистика!$C$10,0.000001)))-MAX(0,MIN(1,(((IF(Статистика!$C$4="Параллельный режим (активная мощность)",F31,Q31)+Статистика!$J$4))-Статистика!$C$10)/MAX(Статистика!$G$10-Статистика!$C$10,0.000001)))))</f>
        <v>4.9119955555555594E-2</v>
      </c>
      <c r="BB31" s="12">
        <f>IF(A31="","",MAX(0,MAX(0,MIN(1,(((IF(Статистика!$C$4="Параллельный режим (активная мощность)",H31,S31)+Статистика!$J$4))-Статистика!$C$10)/MAX(Статистика!$G$10-Статистика!$C$10,0.000001)))-MAX(0,MIN(1,(((IF(Статистика!$C$4="Параллельный режим (активная мощность)",G31,R31)+Статистика!$J$4))-Статистика!$C$10)/MAX(Статистика!$G$10-Статистика!$C$10,0.000001)))))</f>
        <v>9.4254622222221807E-2</v>
      </c>
      <c r="BC31" s="12">
        <f>IF(A31="","",MAX(0,MAX(0,MIN(1,(((IF(Статистика!$C$4="Параллельный режим (активная мощность)",J31,U31)+Статистика!$J$4))-Статистика!$C$10)/MAX(Статистика!$G$10-Статистика!$C$10,0.000001)))-MAX(0,MIN(1,(((IF(Статистика!$C$4="Параллельный режим (активная мощность)",H31,S31)+Статистика!$J$4))-Статистика!$C$10)/MAX(Статистика!$G$10-Статистика!$C$10,0.000001)))))</f>
        <v>2.9728678999999758E-2</v>
      </c>
      <c r="BD31" s="12">
        <f>IF(A31="","",MAX(0,1-MAX(0,MIN(1,(((IF(Статистика!$C$4="Параллельный режим (активная мощность)",J31,U31)+Статистика!$J$4))-Статистика!$C$10)/MAX(Статистика!$G$10-Статистика!$C$10,0.000001)))))</f>
        <v>0.19497814322222262</v>
      </c>
      <c r="BE31" s="12">
        <f>IF(A31="",NA(),IF(Статистика!$B$8="Вкл",(((IF(Статистика!$C$4="Параллельный режим (активная мощность)",F31,Q31)+Статистика!$J$4))-Статистика!$C$10)/MAX(Статистика!$G$10-Статистика!$C$10,0.000001),NA()))</f>
        <v>0.63191860000000022</v>
      </c>
      <c r="BF31" s="12">
        <f>IF(A31="",NA(),IF(Статистика!$D$8="Вкл",(((IF(Статистика!$C$4="Параллельный режим (активная мощность)",E31,P31)+Статистика!$J$4))-Статистика!$C$10)/MAX(Статистика!$G$10-Статистика!$C$10,0.000001),NA()))</f>
        <v>0.5804366972222218</v>
      </c>
      <c r="BG31" s="12">
        <f>IF(A31="",NA(),IF(Статистика!$D$8="Вкл",(((IF(Статистика!$C$4="Параллельный режим (активная мощность)",G31,R31)+Статистика!$J$4))-Статистика!$C$10)/MAX(Статистика!$G$10-Статистика!$C$10,0.000001),NA()))</f>
        <v>0.68103855555555581</v>
      </c>
      <c r="BH31" s="12">
        <f>IF(A31="",NA(),IF(Статистика!$F$8="Вкл",(((IF(Статистика!$C$4="Параллельный режим (активная мощность)",D31,O31)+Статистика!$J$4))-Статистика!$C$10)/MAX(Статистика!$G$10-Статистика!$C$10,0.000001),NA()))</f>
        <v>0.4514745166666671</v>
      </c>
      <c r="BI31" s="12">
        <f>IF(A31="",NA(),IF(Статистика!$F$8="Вкл",(((IF(Статистика!$C$4="Параллельный режим (активная мощность)",H31,S31)+Статистика!$J$4))-Статистика!$C$10)/MAX(Статистика!$G$10-Статистика!$C$10,0.000001),NA()))</f>
        <v>0.77529317777777762</v>
      </c>
      <c r="BJ31" s="12">
        <f>IF(A31="",NA(),IF(Статистика!$H$8="Вкл",(((IF(Статистика!$C$4="Параллельный режим (активная мощность)",B31,M31)+Статистика!$J$4))-Статистика!$C$10)/MAX(Статистика!$G$10-Статистика!$C$10,0.000001),NA()))</f>
        <v>-1.2181608453333332</v>
      </c>
      <c r="BK31" s="12">
        <f>IF(A31="",NA(),IF(Статистика!$H$8="Вкл",(((IF(Статистика!$C$4="Параллельный режим (активная мощность)",J31,U31)+Статистика!$J$4))-Статистика!$C$10)/MAX(Статистика!$G$10-Статистика!$C$10,0.000001),NA()))</f>
        <v>0.80502185677777738</v>
      </c>
      <c r="BL31" s="12" t="e">
        <f>IF(A31="",NA(),IF(Статистика!$J$8="Вкл",(((IF(Статистика!$C$4="Параллельный режим (активная мощность)",K31,V31)+Статистика!$J$4))-Статистика!$C$10)/MAX(Статистика!$G$10-Статистика!$C$10,0.000001),NA()))</f>
        <v>#N/A</v>
      </c>
      <c r="BM31" s="12" t="e">
        <f>IF(AND(A31&lt;&gt;"",Статистика!$C$6="Вкл",Статистика!$B$6&gt;0),(Статистика!$B$6-Статистика!$C$10)/MAX(Статистика!$G$10-Статистика!$C$10,0.000001),NA())</f>
        <v>#N/A</v>
      </c>
      <c r="BN31" s="12" t="e">
        <f>IF(AND(A31&lt;&gt;"",Статистика!$F$6="Вкл",Статистика!$E$6&gt;0),(Статистика!$E$6-Статистика!$C$10)/MAX(Статистика!$G$10-Статистика!$C$10,0.000001),NA())</f>
        <v>#N/A</v>
      </c>
      <c r="BO31" s="12" t="e">
        <f>IF(AND(A31&lt;&gt;"",Статистика!$I$6="Вкл",Статистика!$H$6&gt;0),(Статистика!$H$6-Статистика!$C$10)/MAX(Статистика!$G$10-Статистика!$C$10,0.000001),NA())</f>
        <v>#N/A</v>
      </c>
      <c r="BP31" s="12" t="e">
        <f>IF(AND(A31&lt;&gt;"",Статистика!$L$6="Вкл",Статистика!$K$6&gt;0),(Статистика!$K$6-Статистика!$C$10)/MAX(Статистика!$G$10-Статистика!$C$10,0.000001),NA())</f>
        <v>#N/A</v>
      </c>
      <c r="BQ31" s="12" t="e">
        <f>IF(AND(A31&lt;&gt;"",Статистика!$M$6="Вкл",Статистика!$O$6&gt;0),(Статистика!$O$6-Статистика!$C$10)/MAX(Статистика!$G$10-Статистика!$C$10,0.000001),NA())</f>
        <v>#N/A</v>
      </c>
      <c r="BR31" s="12">
        <f t="shared" si="0"/>
        <v>1</v>
      </c>
      <c r="BT31" s="12">
        <f>IF(Y31="","",MAX(0,MIN(1,(((IF(Статистика!$C$4="Параллельный режим (активная мощность)",Z31,AK31)+Статистика!$J$4))-Статистика!$C$10)/MAX(Статистика!$G$10-Статистика!$C$10,0.000001))))</f>
        <v>0.51809531233333317</v>
      </c>
      <c r="BU31" s="12">
        <f>IF(Y31="","",MAX(0,MAX(0,MIN(1,(((IF(Статистика!$C$4="Параллельный режим (активная мощность)",AB31,AM31)+Статистика!$J$4))-Статистика!$C$10)/MAX(Статистика!$G$10-Статистика!$C$10,0.000001)))-MAX(0,MIN(1,(((IF(Статистика!$C$4="Параллельный режим (активная мощность)",Z31,AK31)+Статистика!$J$4))-Статистика!$C$10)/MAX(Статистика!$G$10-Статистика!$C$10,0.000001)))))</f>
        <v>1.2353011000000191E-2</v>
      </c>
      <c r="BV31" s="12">
        <f>IF(Y31="","",MAX(0,MAX(0,MIN(1,(((IF(Статистика!$C$4="Параллельный режим (активная мощность)",AC31,AN31)+Статистика!$J$4))-Статистика!$C$10)/MAX(Статистика!$G$10-Статистика!$C$10,0.000001)))-MAX(0,MIN(1,(((IF(Статистика!$C$4="Параллельный режим (активная мощность)",AB31,AM31)+Статистика!$J$4))-Статистика!$C$10)/MAX(Статистика!$G$10-Статистика!$C$10,0.000001)))))</f>
        <v>2.4802035E-2</v>
      </c>
      <c r="BW31" s="12">
        <f>IF(Y31="","",MAX(0,MAX(0,MIN(1,(((IF(Статистика!$C$4="Параллельный режим (активная мощность)",AD31,AO31)+Статистика!$J$4))-Статистика!$C$10)/MAX(Статистика!$G$10-Статистика!$C$10,0.000001)))-MAX(0,MIN(1,(((IF(Статистика!$C$4="Параллельный режим (активная мощность)",AC31,AN31)+Статистика!$J$4))-Статистика!$C$10)/MAX(Статистика!$G$10-Статистика!$C$10,0.000001)))))</f>
        <v>0.11667089722222224</v>
      </c>
      <c r="BX31" s="12">
        <f>IF(Y31="","",MAX(0,MAX(0,MIN(1,(((IF(Статистика!$C$4="Параллельный режим (активная мощность)",AE31,AP31)+Статистика!$J$4))-Статистика!$C$10)/MAX(Статистика!$G$10-Статистика!$C$10,0.000001)))-MAX(0,MIN(1,(((IF(Статистика!$C$4="Параллельный режим (активная мощность)",AD31,AO31)+Статистика!$J$4))-Статистика!$C$10)/MAX(Статистика!$G$10-Статистика!$C$10,0.000001)))))</f>
        <v>6.963707222222193E-2</v>
      </c>
      <c r="BY31" s="12">
        <f>IF(Y31="","",MAX(0,MAX(0,MIN(1,(((IF(Статистика!$C$4="Параллельный режим (активная мощность)",AF31,AQ31)+Статистика!$J$4))-Статистика!$C$10)/MAX(Статистика!$G$10-Статистика!$C$10,0.000001)))-MAX(0,MIN(1,(((IF(Статистика!$C$4="Параллельный режим (активная мощность)",AE31,AP31)+Статистика!$J$4))-Статистика!$C$10)/MAX(Статистика!$G$10-Статистика!$C$10,0.000001)))))</f>
        <v>8.722447500000019E-2</v>
      </c>
      <c r="BZ31" s="12">
        <f>IF(Y31="","",MAX(0,MAX(0,MIN(1,(((IF(Статистика!$C$4="Параллельный режим (активная мощность)",AH31,AS31)+Статистика!$J$4))-Статистика!$C$10)/MAX(Статистика!$G$10-Статистика!$C$10,0.000001)))-MAX(0,MIN(1,(((IF(Статистика!$C$4="Параллельный режим (активная мощность)",AF31,AQ31)+Статистика!$J$4))-Статистика!$C$10)/MAX(Статистика!$G$10-Статистика!$C$10,0.000001)))))</f>
        <v>6.3628675000000356E-3</v>
      </c>
      <c r="CA31" s="12">
        <f>IF(Y31="","",MAX(0,1-MAX(0,MIN(1,(((IF(Статистика!$C$4="Параллельный режим (активная мощность)",AH31,AS31)+Статистика!$J$4))-Статистика!$C$10)/MAX(Статистика!$G$10-Статистика!$C$10,0.000001)))))</f>
        <v>0.16485432972222225</v>
      </c>
      <c r="CB31" s="12">
        <f>IF(Y31="",NA(),IF(Статистика!$B$8="Вкл",(((IF(Статистика!$C$4="Параллельный режим (активная мощность)",AD31,AO31)+Статистика!$J$4))-Статистика!$C$10)/MAX(Статистика!$G$10-Статистика!$C$10,0.000001),NA()))</f>
        <v>0.6719212555555556</v>
      </c>
      <c r="CC31" s="12">
        <f>IF(Y31="",NA(),IF(Статистика!$D$8="Вкл",(((IF(Статистика!$C$4="Параллельный режим (активная мощность)",AC31,AN31)+Статистика!$J$4))-Статистика!$C$10)/MAX(Статистика!$G$10-Статистика!$C$10,0.000001),NA()))</f>
        <v>0.55525035833333336</v>
      </c>
      <c r="CD31" s="12">
        <f>IF(Y31="",NA(),IF(Статистика!$D$8="Вкл",(((IF(Статистика!$C$4="Параллельный режим (активная мощность)",AE31,AP31)+Статистика!$J$4))-Статистика!$C$10)/MAX(Статистика!$G$10-Статистика!$C$10,0.000001),NA()))</f>
        <v>0.74155832777777753</v>
      </c>
      <c r="CE31" s="12">
        <f>IF(Y31="",NA(),IF(Статистика!$F$8="Вкл",(((IF(Статистика!$C$4="Параллельный режим (активная мощность)",AB31,AM31)+Статистика!$J$4))-Статистика!$C$10)/MAX(Статистика!$G$10-Статистика!$C$10,0.000001),NA()))</f>
        <v>0.53044832333333336</v>
      </c>
      <c r="CF31" s="12">
        <f>IF(Y31="",NA(),IF(Статистика!$F$8="Вкл",(((IF(Статистика!$C$4="Параллельный режим (активная мощность)",AF31,AQ31)+Статистика!$J$4))-Статистика!$C$10)/MAX(Статистика!$G$10-Статистика!$C$10,0.000001),NA()))</f>
        <v>0.82878280277777772</v>
      </c>
      <c r="CG31" s="12">
        <f>IF(Y31="",NA(),IF(Статистика!$H$8="Вкл",(((IF(Статистика!$C$4="Параллельный режим (активная мощность)",Z31,AK31)+Статистика!$J$4))-Статистика!$C$10)/MAX(Статистика!$G$10-Статистика!$C$10,0.000001),NA()))</f>
        <v>0.51809531233333317</v>
      </c>
      <c r="CH31" s="12">
        <f>IF(Y31="",NA(),IF(Статистика!$H$8="Вкл",(((IF(Статистика!$C$4="Параллельный режим (активная мощность)",AH31,AS31)+Статистика!$J$4))-Статистика!$C$10)/MAX(Статистика!$G$10-Статистика!$C$10,0.000001),NA()))</f>
        <v>0.83514567027777775</v>
      </c>
      <c r="CI31" s="12" t="e">
        <f>IF(Y31="",NA(),IF(Статистика!$J$8="Вкл",(((IF(Статистика!$C$4="Параллельный режим (активная мощность)",AI31,AT31)+Статистика!$J$4))-Статистика!$C$10)/MAX(Статистика!$G$10-Статистика!$C$10,0.000001),NA()))</f>
        <v>#N/A</v>
      </c>
      <c r="CJ31" s="12" t="e">
        <f>IF(AND(Y31&lt;&gt;"",Статистика!$C$6="Вкл",Статистика!$B$6&gt;0),(Статистика!$B$6-Статистика!$C$10)/MAX(Статистика!$G$10-Статистика!$C$10,0.000001),NA())</f>
        <v>#N/A</v>
      </c>
      <c r="CK31" s="12" t="e">
        <f>IF(AND(Y31&lt;&gt;"",Статистика!$F$6="Вкл",Статистика!$E$6&gt;0),(Статистика!$E$6-Статистика!$C$10)/MAX(Статистика!$G$10-Статистика!$C$10,0.000001),NA())</f>
        <v>#N/A</v>
      </c>
      <c r="CL31" s="12" t="e">
        <f>IF(AND(Y31&lt;&gt;"",Статистика!$I$6="Вкл",Статистика!$H$6&gt;0),(Статистика!$H$6-Статистика!$C$10)/MAX(Статистика!$G$10-Статистика!$C$10,0.000001),NA())</f>
        <v>#N/A</v>
      </c>
      <c r="CM31" s="12" t="e">
        <f>IF(AND(Y31&lt;&gt;"",Статистика!$L$6="Вкл",Статистика!$K$6&gt;0),(Статистика!$K$6-Статистика!$C$10)/MAX(Статистика!$G$10-Статистика!$C$10,0.000001),NA())</f>
        <v>#N/A</v>
      </c>
      <c r="CN31" s="12" t="e">
        <f>IF(AND(Y31&lt;&gt;"",Статистика!$M$6="Вкл",Статистика!$O$6&gt;0),(Статистика!$O$6-Статистика!$C$10)/MAX(Статистика!$G$10-Статистика!$C$10,0.000001),NA())</f>
        <v>#N/A</v>
      </c>
      <c r="CO31" s="12">
        <f t="shared" si="1"/>
        <v>1</v>
      </c>
    </row>
    <row r="32" spans="1:93" ht="15" customHeight="1">
      <c r="A32" s="12" t="s">
        <v>177</v>
      </c>
      <c r="B32" s="12">
        <v>2318.7986455</v>
      </c>
      <c r="C32" s="12">
        <v>5715.116960833333</v>
      </c>
      <c r="D32" s="12">
        <v>7340.6293749999995</v>
      </c>
      <c r="E32" s="12">
        <v>7716.4736166666662</v>
      </c>
      <c r="F32" s="12">
        <v>7875.9722500000007</v>
      </c>
      <c r="G32" s="12">
        <v>7995.0143250000001</v>
      </c>
      <c r="H32" s="12">
        <v>8338.8173949999982</v>
      </c>
      <c r="I32" s="12">
        <v>8361.9025024999992</v>
      </c>
      <c r="J32" s="12">
        <v>8403.3847404999997</v>
      </c>
      <c r="K32" s="12">
        <v>8526.0300000000007</v>
      </c>
      <c r="L32" s="12" t="s">
        <v>178</v>
      </c>
      <c r="M32" s="12">
        <v>2867.4643676666665</v>
      </c>
      <c r="N32" s="12">
        <v>6598.3185050000002</v>
      </c>
      <c r="O32" s="12">
        <v>8389.6068266666662</v>
      </c>
      <c r="P32" s="12">
        <v>8885.9119250000003</v>
      </c>
      <c r="Q32" s="12">
        <v>9014.0525000000016</v>
      </c>
      <c r="R32" s="12">
        <v>9095.3574583333339</v>
      </c>
      <c r="S32" s="12">
        <v>9431.1978983333338</v>
      </c>
      <c r="T32" s="12">
        <v>9476.7549299999991</v>
      </c>
      <c r="U32" s="12">
        <v>9478.322399333334</v>
      </c>
      <c r="V32" s="12">
        <v>9619.5300000000007</v>
      </c>
      <c r="W32" s="12" t="s">
        <v>179</v>
      </c>
      <c r="Y32" s="12" t="s">
        <v>177</v>
      </c>
      <c r="Z32" s="12">
        <v>7508.016867166667</v>
      </c>
      <c r="AA32" s="12">
        <v>7518.3207358333339</v>
      </c>
      <c r="AB32" s="12">
        <v>7531.2005716666672</v>
      </c>
      <c r="AC32" s="12">
        <v>7672.077491666666</v>
      </c>
      <c r="AD32" s="12">
        <v>8029.7642500000002</v>
      </c>
      <c r="AE32" s="12">
        <v>8206.5217000000011</v>
      </c>
      <c r="AF32" s="12">
        <v>8480.2411733333338</v>
      </c>
      <c r="AG32" s="12">
        <v>8493.4349033333328</v>
      </c>
      <c r="AH32" s="12">
        <v>8503.9898873333332</v>
      </c>
      <c r="AI32" s="12">
        <v>8658.57</v>
      </c>
      <c r="AJ32" s="12" t="s">
        <v>180</v>
      </c>
      <c r="AK32" s="12">
        <v>8524.3721528333335</v>
      </c>
      <c r="AL32" s="12">
        <v>8542.6530308333331</v>
      </c>
      <c r="AM32" s="12">
        <v>8565.5041283333339</v>
      </c>
      <c r="AN32" s="12">
        <v>8838.8548916666678</v>
      </c>
      <c r="AO32" s="12">
        <v>9119.753850000001</v>
      </c>
      <c r="AP32" s="12">
        <v>9317.6521916666661</v>
      </c>
      <c r="AQ32" s="12">
        <v>9629.0288899999996</v>
      </c>
      <c r="AR32" s="12">
        <v>9633.2558783333334</v>
      </c>
      <c r="AS32" s="12">
        <v>9636.6374690000011</v>
      </c>
      <c r="AT32" s="12">
        <v>9785.89</v>
      </c>
      <c r="AU32" s="12" t="s">
        <v>181</v>
      </c>
      <c r="AW32" s="12">
        <f>IF(A32="","",MAX(0,MIN(1,(((IF(Статистика!$C$4="Параллельный режим (активная мощность)",B32,M32)+Статистика!$J$4))-Статистика!$C$10)/MAX(Статистика!$G$10-Статистика!$C$10,0.000001))))</f>
        <v>0</v>
      </c>
      <c r="AX32" s="12">
        <f>IF(A32="","",MAX(0,MAX(0,MIN(1,(((IF(Статистика!$C$4="Параллельный режим (активная мощность)",D32,O32)+Статистика!$J$4))-Статистика!$C$10)/MAX(Статистика!$G$10-Статистика!$C$10,0.000001)))-MAX(0,MIN(1,(((IF(Статистика!$C$4="Параллельный режим (активная мощность)",B32,M32)+Статистика!$J$4))-Статистика!$C$10)/MAX(Статистика!$G$10-Статистика!$C$10,0.000001)))))</f>
        <v>0.44687645833333317</v>
      </c>
      <c r="AY32" s="12">
        <f>IF(A32="","",MAX(0,MAX(0,MIN(1,(((IF(Статистика!$C$4="Параллельный режим (активная мощность)",E32,P32)+Статистика!$J$4))-Статистика!$C$10)/MAX(Статистика!$G$10-Статистика!$C$10,0.000001)))-MAX(0,MIN(1,(((IF(Статистика!$C$4="Параллельный режим (активная мощность)",D32,O32)+Статистика!$J$4))-Статистика!$C$10)/MAX(Статистика!$G$10-Статистика!$C$10,0.000001)))))</f>
        <v>0.12528141388888886</v>
      </c>
      <c r="AZ32" s="12">
        <f>IF(A32="","",MAX(0,MAX(0,MIN(1,(((IF(Статистика!$C$4="Параллельный режим (активная мощность)",F32,Q32)+Статистика!$J$4))-Статистика!$C$10)/MAX(Статистика!$G$10-Статистика!$C$10,0.000001)))-MAX(0,MIN(1,(((IF(Статистика!$C$4="Параллельный режим (активная мощность)",E32,P32)+Статистика!$J$4))-Статистика!$C$10)/MAX(Статистика!$G$10-Статистика!$C$10,0.000001)))))</f>
        <v>5.3166211111111528E-2</v>
      </c>
      <c r="BA32" s="12">
        <f>IF(A32="","",MAX(0,MAX(0,MIN(1,(((IF(Статистика!$C$4="Параллельный режим (активная мощность)",G32,R32)+Статистика!$J$4))-Статистика!$C$10)/MAX(Статистика!$G$10-Статистика!$C$10,0.000001)))-MAX(0,MIN(1,(((IF(Статистика!$C$4="Параллельный режим (активная мощность)",F32,Q32)+Статистика!$J$4))-Статистика!$C$10)/MAX(Статистика!$G$10-Статистика!$C$10,0.000001)))))</f>
        <v>3.9680691666666434E-2</v>
      </c>
      <c r="BB32" s="12">
        <f>IF(A32="","",MAX(0,MAX(0,MIN(1,(((IF(Статистика!$C$4="Параллельный режим (активная мощность)",H32,S32)+Статистика!$J$4))-Статистика!$C$10)/MAX(Статистика!$G$10-Статистика!$C$10,0.000001)))-MAX(0,MIN(1,(((IF(Статистика!$C$4="Параллельный режим (активная мощность)",G32,R32)+Статистика!$J$4))-Статистика!$C$10)/MAX(Статистика!$G$10-Статистика!$C$10,0.000001)))))</f>
        <v>0.11460102333333277</v>
      </c>
      <c r="BC32" s="12">
        <f>IF(A32="","",MAX(0,MAX(0,MIN(1,(((IF(Статистика!$C$4="Параллельный режим (активная мощность)",J32,U32)+Статистика!$J$4))-Статистика!$C$10)/MAX(Статистика!$G$10-Статистика!$C$10,0.000001)))-MAX(0,MIN(1,(((IF(Статистика!$C$4="Параллельный режим (активная мощность)",H32,S32)+Статистика!$J$4))-Статистика!$C$10)/MAX(Статистика!$G$10-Статистика!$C$10,0.000001)))))</f>
        <v>2.1522448500000513E-2</v>
      </c>
      <c r="BD32" s="12">
        <f>IF(A32="","",MAX(0,1-MAX(0,MIN(1,(((IF(Статистика!$C$4="Параллельный режим (активная мощность)",J32,U32)+Статистика!$J$4))-Статистика!$C$10)/MAX(Статистика!$G$10-Статистика!$C$10,0.000001)))))</f>
        <v>0.19887175316666672</v>
      </c>
      <c r="BE32" s="12">
        <f>IF(A32="",NA(),IF(Статистика!$B$8="Вкл",(((IF(Статистика!$C$4="Параллельный режим (активная мощность)",F32,Q32)+Статистика!$J$4))-Статистика!$C$10)/MAX(Статистика!$G$10-Статистика!$C$10,0.000001),NA()))</f>
        <v>0.62532408333333356</v>
      </c>
      <c r="BF32" s="12">
        <f>IF(A32="",NA(),IF(Статистика!$D$8="Вкл",(((IF(Статистика!$C$4="Параллельный режим (активная мощность)",E32,P32)+Статистика!$J$4))-Статистика!$C$10)/MAX(Статистика!$G$10-Статистика!$C$10,0.000001),NA()))</f>
        <v>0.57215787222222203</v>
      </c>
      <c r="BG32" s="12">
        <f>IF(A32="",NA(),IF(Статистика!$D$8="Вкл",(((IF(Статистика!$C$4="Параллельный режим (активная мощность)",G32,R32)+Статистика!$J$4))-Статистика!$C$10)/MAX(Статистика!$G$10-Статистика!$C$10,0.000001),NA()))</f>
        <v>0.66500477499999999</v>
      </c>
      <c r="BH32" s="12">
        <f>IF(A32="",NA(),IF(Статистика!$F$8="Вкл",(((IF(Статистика!$C$4="Параллельный режим (активная мощность)",D32,O32)+Статистика!$J$4))-Статистика!$C$10)/MAX(Статистика!$G$10-Статистика!$C$10,0.000001),NA()))</f>
        <v>0.44687645833333317</v>
      </c>
      <c r="BI32" s="12">
        <f>IF(A32="",NA(),IF(Статистика!$F$8="Вкл",(((IF(Статистика!$C$4="Параллельный режим (активная мощность)",H32,S32)+Статистика!$J$4))-Статистика!$C$10)/MAX(Статистика!$G$10-Статистика!$C$10,0.000001),NA()))</f>
        <v>0.77960579833333277</v>
      </c>
      <c r="BJ32" s="12">
        <f>IF(A32="",NA(),IF(Статистика!$H$8="Вкл",(((IF(Статистика!$C$4="Параллельный режим (активная мощность)",B32,M32)+Статистика!$J$4))-Статистика!$C$10)/MAX(Статистика!$G$10-Статистика!$C$10,0.000001),NA()))</f>
        <v>-1.2270671181666666</v>
      </c>
      <c r="BK32" s="12">
        <f>IF(A32="",NA(),IF(Статистика!$H$8="Вкл",(((IF(Статистика!$C$4="Параллельный режим (активная мощность)",J32,U32)+Статистика!$J$4))-Статистика!$C$10)/MAX(Статистика!$G$10-Статистика!$C$10,0.000001),NA()))</f>
        <v>0.80112824683333328</v>
      </c>
      <c r="BL32" s="12" t="e">
        <f>IF(A32="",NA(),IF(Статистика!$J$8="Вкл",(((IF(Статистика!$C$4="Параллельный режим (активная мощность)",K32,V32)+Статистика!$J$4))-Статистика!$C$10)/MAX(Статистика!$G$10-Статистика!$C$10,0.000001),NA()))</f>
        <v>#N/A</v>
      </c>
      <c r="BM32" s="12" t="e">
        <f>IF(AND(A32&lt;&gt;"",Статистика!$C$6="Вкл",Статистика!$B$6&gt;0),(Статистика!$B$6-Статистика!$C$10)/MAX(Статистика!$G$10-Статистика!$C$10,0.000001),NA())</f>
        <v>#N/A</v>
      </c>
      <c r="BN32" s="12" t="e">
        <f>IF(AND(A32&lt;&gt;"",Статистика!$F$6="Вкл",Статистика!$E$6&gt;0),(Статистика!$E$6-Статистика!$C$10)/MAX(Статистика!$G$10-Статистика!$C$10,0.000001),NA())</f>
        <v>#N/A</v>
      </c>
      <c r="BO32" s="12" t="e">
        <f>IF(AND(A32&lt;&gt;"",Статистика!$I$6="Вкл",Статистика!$H$6&gt;0),(Статистика!$H$6-Статистика!$C$10)/MAX(Статистика!$G$10-Статистика!$C$10,0.000001),NA())</f>
        <v>#N/A</v>
      </c>
      <c r="BP32" s="12" t="e">
        <f>IF(AND(A32&lt;&gt;"",Статистика!$L$6="Вкл",Статистика!$K$6&gt;0),(Статистика!$K$6-Статистика!$C$10)/MAX(Статистика!$G$10-Статистика!$C$10,0.000001),NA())</f>
        <v>#N/A</v>
      </c>
      <c r="BQ32" s="12" t="e">
        <f>IF(AND(A32&lt;&gt;"",Статистика!$M$6="Вкл",Статистика!$O$6&gt;0),(Статистика!$O$6-Статистика!$C$10)/MAX(Статистика!$G$10-Статистика!$C$10,0.000001),NA())</f>
        <v>#N/A</v>
      </c>
      <c r="BR32" s="12">
        <f t="shared" si="0"/>
        <v>1</v>
      </c>
      <c r="BT32" s="12">
        <f>IF(Y32="","",MAX(0,MIN(1,(((IF(Статистика!$C$4="Параллельный режим (активная мощность)",Z32,AK32)+Статистика!$J$4))-Статистика!$C$10)/MAX(Статистика!$G$10-Статистика!$C$10,0.000001))))</f>
        <v>0.50267228905555572</v>
      </c>
      <c r="BU32" s="12">
        <f>IF(Y32="","",MAX(0,MAX(0,MIN(1,(((IF(Статистика!$C$4="Параллельный режим (активная мощность)",AB32,AM32)+Статистика!$J$4))-Статистика!$C$10)/MAX(Статистика!$G$10-Статистика!$C$10,0.000001)))-MAX(0,MIN(1,(((IF(Статистика!$C$4="Параллельный режим (активная мощность)",Z32,AK32)+Статистика!$J$4))-Статистика!$C$10)/MAX(Статистика!$G$10-Статистика!$C$10,0.000001)))))</f>
        <v>7.7279015000000228E-3</v>
      </c>
      <c r="BV32" s="12">
        <f>IF(Y32="","",MAX(0,MAX(0,MIN(1,(((IF(Статистика!$C$4="Параллельный режим (активная мощность)",AC32,AN32)+Статистика!$J$4))-Статистика!$C$10)/MAX(Статистика!$G$10-Статистика!$C$10,0.000001)))-MAX(0,MIN(1,(((IF(Статистика!$C$4="Параллельный режим (активная мощность)",AB32,AM32)+Статистика!$J$4))-Статистика!$C$10)/MAX(Статистика!$G$10-Статистика!$C$10,0.000001)))))</f>
        <v>4.6958973333332876E-2</v>
      </c>
      <c r="BW32" s="12">
        <f>IF(Y32="","",MAX(0,MAX(0,MIN(1,(((IF(Статистика!$C$4="Параллельный режим (активная мощность)",AD32,AO32)+Статистика!$J$4))-Статистика!$C$10)/MAX(Статистика!$G$10-Статистика!$C$10,0.000001)))-MAX(0,MIN(1,(((IF(Статистика!$C$4="Параллельный режим (активная мощность)",AC32,AN32)+Статистика!$J$4))-Статистика!$C$10)/MAX(Статистика!$G$10-Статистика!$C$10,0.000001)))))</f>
        <v>0.1192289194444448</v>
      </c>
      <c r="BX32" s="12">
        <f>IF(Y32="","",MAX(0,MAX(0,MIN(1,(((IF(Статистика!$C$4="Параллельный режим (активная мощность)",AE32,AP32)+Статистика!$J$4))-Статистика!$C$10)/MAX(Статистика!$G$10-Статистика!$C$10,0.000001)))-MAX(0,MIN(1,(((IF(Статистика!$C$4="Параллельный режим (активная мощность)",AD32,AO32)+Статистика!$J$4))-Статистика!$C$10)/MAX(Статистика!$G$10-Статистика!$C$10,0.000001)))))</f>
        <v>5.8919150000000253E-2</v>
      </c>
      <c r="BY32" s="12">
        <f>IF(Y32="","",MAX(0,MAX(0,MIN(1,(((IF(Статистика!$C$4="Параллельный режим (активная мощность)",AF32,AQ32)+Статистика!$J$4))-Статистика!$C$10)/MAX(Статистика!$G$10-Статистика!$C$10,0.000001)))-MAX(0,MIN(1,(((IF(Статистика!$C$4="Параллельный режим (активная мощность)",AE32,AP32)+Статистика!$J$4))-Статистика!$C$10)/MAX(Статистика!$G$10-Статистика!$C$10,0.000001)))))</f>
        <v>9.1239824444444229E-2</v>
      </c>
      <c r="BZ32" s="12">
        <f>IF(Y32="","",MAX(0,MAX(0,MIN(1,(((IF(Статистика!$C$4="Параллельный режим (активная мощность)",AH32,AS32)+Статистика!$J$4))-Статистика!$C$10)/MAX(Статистика!$G$10-Статистика!$C$10,0.000001)))-MAX(0,MIN(1,(((IF(Статистика!$C$4="Параллельный режим (активная мощность)",AF32,AQ32)+Статистика!$J$4))-Статистика!$C$10)/MAX(Статистика!$G$10-Статистика!$C$10,0.000001)))))</f>
        <v>7.9162379999998533E-3</v>
      </c>
      <c r="CA32" s="12">
        <f>IF(Y32="","",MAX(0,1-MAX(0,MIN(1,(((IF(Статистика!$C$4="Параллельный режим (активная мощность)",AH32,AS32)+Статистика!$J$4))-Статистика!$C$10)/MAX(Статистика!$G$10-Статистика!$C$10,0.000001)))))</f>
        <v>0.16533670422222224</v>
      </c>
      <c r="CB32" s="12">
        <f>IF(Y32="",NA(),IF(Статистика!$B$8="Вкл",(((IF(Статистика!$C$4="Параллельный режим (активная мощность)",AD32,AO32)+Статистика!$J$4))-Статистика!$C$10)/MAX(Статистика!$G$10-Статистика!$C$10,0.000001),NA()))</f>
        <v>0.67658808333333342</v>
      </c>
      <c r="CC32" s="12">
        <f>IF(Y32="",NA(),IF(Статистика!$D$8="Вкл",(((IF(Статистика!$C$4="Параллельный режим (активная мощность)",AC32,AN32)+Статистика!$J$4))-Статистика!$C$10)/MAX(Статистика!$G$10-Статистика!$C$10,0.000001),NA()))</f>
        <v>0.55735916388888862</v>
      </c>
      <c r="CD32" s="12">
        <f>IF(Y32="",NA(),IF(Статистика!$D$8="Вкл",(((IF(Статистика!$C$4="Параллельный режим (активная мощность)",AE32,AP32)+Статистика!$J$4))-Статистика!$C$10)/MAX(Статистика!$G$10-Статистика!$C$10,0.000001),NA()))</f>
        <v>0.73550723333333368</v>
      </c>
      <c r="CE32" s="12">
        <f>IF(Y32="",NA(),IF(Статистика!$F$8="Вкл",(((IF(Статистика!$C$4="Параллельный режим (активная мощность)",AB32,AM32)+Статистика!$J$4))-Статистика!$C$10)/MAX(Статистика!$G$10-Статистика!$C$10,0.000001),NA()))</f>
        <v>0.51040019055555574</v>
      </c>
      <c r="CF32" s="12">
        <f>IF(Y32="",NA(),IF(Статистика!$F$8="Вкл",(((IF(Статистика!$C$4="Параллельный режим (активная мощность)",AF32,AQ32)+Статистика!$J$4))-Статистика!$C$10)/MAX(Статистика!$G$10-Статистика!$C$10,0.000001),NA()))</f>
        <v>0.82674705777777791</v>
      </c>
      <c r="CG32" s="12">
        <f>IF(Y32="",NA(),IF(Статистика!$H$8="Вкл",(((IF(Статистика!$C$4="Параллельный режим (активная мощность)",Z32,AK32)+Статистика!$J$4))-Статистика!$C$10)/MAX(Статистика!$G$10-Статистика!$C$10,0.000001),NA()))</f>
        <v>0.50267228905555572</v>
      </c>
      <c r="CH32" s="12">
        <f>IF(Y32="",NA(),IF(Статистика!$H$8="Вкл",(((IF(Статистика!$C$4="Параллельный режим (активная мощность)",AH32,AS32)+Статистика!$J$4))-Статистика!$C$10)/MAX(Статистика!$G$10-Статистика!$C$10,0.000001),NA()))</f>
        <v>0.83466329577777776</v>
      </c>
      <c r="CI32" s="12" t="e">
        <f>IF(Y32="",NA(),IF(Статистика!$J$8="Вкл",(((IF(Статистика!$C$4="Параллельный режим (активная мощность)",AI32,AT32)+Статистика!$J$4))-Статистика!$C$10)/MAX(Статистика!$G$10-Статистика!$C$10,0.000001),NA()))</f>
        <v>#N/A</v>
      </c>
      <c r="CJ32" s="12" t="e">
        <f>IF(AND(Y32&lt;&gt;"",Статистика!$C$6="Вкл",Статистика!$B$6&gt;0),(Статистика!$B$6-Статистика!$C$10)/MAX(Статистика!$G$10-Статистика!$C$10,0.000001),NA())</f>
        <v>#N/A</v>
      </c>
      <c r="CK32" s="12" t="e">
        <f>IF(AND(Y32&lt;&gt;"",Статистика!$F$6="Вкл",Статистика!$E$6&gt;0),(Статистика!$E$6-Статистика!$C$10)/MAX(Статистика!$G$10-Статистика!$C$10,0.000001),NA())</f>
        <v>#N/A</v>
      </c>
      <c r="CL32" s="12" t="e">
        <f>IF(AND(Y32&lt;&gt;"",Статистика!$I$6="Вкл",Статистика!$H$6&gt;0),(Статистика!$H$6-Статистика!$C$10)/MAX(Статистика!$G$10-Статистика!$C$10,0.000001),NA())</f>
        <v>#N/A</v>
      </c>
      <c r="CM32" s="12" t="e">
        <f>IF(AND(Y32&lt;&gt;"",Статистика!$L$6="Вкл",Статистика!$K$6&gt;0),(Статистика!$K$6-Статистика!$C$10)/MAX(Статистика!$G$10-Статистика!$C$10,0.000001),NA())</f>
        <v>#N/A</v>
      </c>
      <c r="CN32" s="12" t="e">
        <f>IF(AND(Y32&lt;&gt;"",Статистика!$M$6="Вкл",Статистика!$O$6&gt;0),(Статистика!$O$6-Статистика!$C$10)/MAX(Статистика!$G$10-Статистика!$C$10,0.000001),NA())</f>
        <v>#N/A</v>
      </c>
      <c r="CO32" s="12">
        <f t="shared" si="1"/>
        <v>1</v>
      </c>
    </row>
    <row r="33" spans="1:93" ht="15" customHeight="1">
      <c r="A33" s="12" t="s">
        <v>182</v>
      </c>
      <c r="B33" s="12">
        <v>2328.7162998333329</v>
      </c>
      <c r="C33" s="12">
        <v>5729.3786991666657</v>
      </c>
      <c r="D33" s="12">
        <v>7362.348603333332</v>
      </c>
      <c r="E33" s="12">
        <v>7703.9336666666668</v>
      </c>
      <c r="F33" s="12">
        <v>7839.7479166666672</v>
      </c>
      <c r="G33" s="12">
        <v>8001.3346333333329</v>
      </c>
      <c r="H33" s="12">
        <v>8341.0825416666667</v>
      </c>
      <c r="I33" s="12">
        <v>8373.4899124999993</v>
      </c>
      <c r="J33" s="12">
        <v>8389.8413691666665</v>
      </c>
      <c r="K33" s="12">
        <v>8545.48</v>
      </c>
      <c r="L33" s="12" t="s">
        <v>183</v>
      </c>
      <c r="M33" s="12">
        <v>2883.2858498333335</v>
      </c>
      <c r="N33" s="12">
        <v>6635.2523158333343</v>
      </c>
      <c r="O33" s="12">
        <v>8432.7869183333332</v>
      </c>
      <c r="P33" s="12">
        <v>8857.5182499999992</v>
      </c>
      <c r="Q33" s="12">
        <v>9009.3845666666675</v>
      </c>
      <c r="R33" s="12">
        <v>9106.8669666666683</v>
      </c>
      <c r="S33" s="12">
        <v>9399.3632466666659</v>
      </c>
      <c r="T33" s="12">
        <v>9420.2469066666672</v>
      </c>
      <c r="U33" s="12">
        <v>9443.429274666667</v>
      </c>
      <c r="V33" s="12">
        <v>9604.6299999999992</v>
      </c>
      <c r="W33" s="12" t="s">
        <v>183</v>
      </c>
      <c r="Y33" s="12" t="s">
        <v>182</v>
      </c>
      <c r="Z33" s="12">
        <v>7498.8524576666678</v>
      </c>
      <c r="AA33" s="12">
        <v>7528.1526883333336</v>
      </c>
      <c r="AB33" s="12">
        <v>7564.7779766666672</v>
      </c>
      <c r="AC33" s="12">
        <v>7779.1034333333328</v>
      </c>
      <c r="AD33" s="12">
        <v>8018.0113333333338</v>
      </c>
      <c r="AE33" s="12">
        <v>8162.7913916666657</v>
      </c>
      <c r="AF33" s="12">
        <v>8475.3211416666654</v>
      </c>
      <c r="AG33" s="12">
        <v>8482.5437874999989</v>
      </c>
      <c r="AH33" s="12">
        <v>8488.3219041666653</v>
      </c>
      <c r="AI33" s="12">
        <v>8637.57</v>
      </c>
      <c r="AJ33" s="12" t="s">
        <v>184</v>
      </c>
      <c r="AK33" s="12">
        <v>8588.8239851666676</v>
      </c>
      <c r="AL33" s="12">
        <v>8591.0907258333355</v>
      </c>
      <c r="AM33" s="12">
        <v>8593.924151666668</v>
      </c>
      <c r="AN33" s="12">
        <v>8915.4366666666683</v>
      </c>
      <c r="AO33" s="12">
        <v>9093.3278499999997</v>
      </c>
      <c r="AP33" s="12">
        <v>9273.2481416666669</v>
      </c>
      <c r="AQ33" s="12">
        <v>9624.2547749999994</v>
      </c>
      <c r="AR33" s="12">
        <v>9627.5638041666662</v>
      </c>
      <c r="AS33" s="12">
        <v>9630.2110274999995</v>
      </c>
      <c r="AT33" s="12">
        <v>9773.35</v>
      </c>
      <c r="AU33" s="12" t="s">
        <v>185</v>
      </c>
      <c r="AW33" s="12">
        <f>IF(A33="","",MAX(0,MIN(1,(((IF(Статистика!$C$4="Параллельный режим (активная мощность)",B33,M33)+Статистика!$J$4))-Статистика!$C$10)/MAX(Статистика!$G$10-Статистика!$C$10,0.000001))))</f>
        <v>0</v>
      </c>
      <c r="AX33" s="12">
        <f>IF(A33="","",MAX(0,MAX(0,MIN(1,(((IF(Статистика!$C$4="Параллельный режим (активная мощность)",D33,O33)+Статистика!$J$4))-Статистика!$C$10)/MAX(Статистика!$G$10-Статистика!$C$10,0.000001)))-MAX(0,MIN(1,(((IF(Статистика!$C$4="Параллельный режим (активная мощность)",B33,M33)+Статистика!$J$4))-Статистика!$C$10)/MAX(Статистика!$G$10-Статистика!$C$10,0.000001)))))</f>
        <v>0.45411620111111067</v>
      </c>
      <c r="AY33" s="12">
        <f>IF(A33="","",MAX(0,MAX(0,MIN(1,(((IF(Статистика!$C$4="Параллельный режим (активная мощность)",E33,P33)+Статистика!$J$4))-Статистика!$C$10)/MAX(Статистика!$G$10-Статистика!$C$10,0.000001)))-MAX(0,MIN(1,(((IF(Статистика!$C$4="Параллельный режим (активная мощность)",D33,O33)+Статистика!$J$4))-Статистика!$C$10)/MAX(Статистика!$G$10-Статистика!$C$10,0.000001)))))</f>
        <v>0.11386168777777822</v>
      </c>
      <c r="AZ33" s="12">
        <f>IF(A33="","",MAX(0,MAX(0,MIN(1,(((IF(Статистика!$C$4="Параллельный режим (активная мощность)",F33,Q33)+Статистика!$J$4))-Статистика!$C$10)/MAX(Статистика!$G$10-Статистика!$C$10,0.000001)))-MAX(0,MIN(1,(((IF(Статистика!$C$4="Параллельный режим (активная мощность)",E33,P33)+Статистика!$J$4))-Статистика!$C$10)/MAX(Статистика!$G$10-Статистика!$C$10,0.000001)))))</f>
        <v>4.5271416666666786E-2</v>
      </c>
      <c r="BA33" s="12">
        <f>IF(A33="","",MAX(0,MAX(0,MIN(1,(((IF(Статистика!$C$4="Параллельный режим (активная мощность)",G33,R33)+Статистика!$J$4))-Статистика!$C$10)/MAX(Статистика!$G$10-Статистика!$C$10,0.000001)))-MAX(0,MIN(1,(((IF(Статистика!$C$4="Параллельный режим (активная мощность)",F33,Q33)+Статистика!$J$4))-Статистика!$C$10)/MAX(Статистика!$G$10-Статистика!$C$10,0.000001)))))</f>
        <v>5.3862238888888636E-2</v>
      </c>
      <c r="BB33" s="12">
        <f>IF(A33="","",MAX(0,MAX(0,MIN(1,(((IF(Статистика!$C$4="Параллельный режим (активная мощность)",H33,S33)+Статистика!$J$4))-Статистика!$C$10)/MAX(Статистика!$G$10-Статистика!$C$10,0.000001)))-MAX(0,MIN(1,(((IF(Статистика!$C$4="Параллельный режим (активная мощность)",G33,R33)+Статистика!$J$4))-Статистика!$C$10)/MAX(Статистика!$G$10-Статистика!$C$10,0.000001)))))</f>
        <v>0.11324930277777789</v>
      </c>
      <c r="BC33" s="12">
        <f>IF(A33="","",MAX(0,MAX(0,MIN(1,(((IF(Статистика!$C$4="Параллельный режим (активная мощность)",J33,U33)+Статистика!$J$4))-Статистика!$C$10)/MAX(Статистика!$G$10-Статистика!$C$10,0.000001)))-MAX(0,MIN(1,(((IF(Статистика!$C$4="Параллельный режим (активная мощность)",H33,S33)+Статистика!$J$4))-Статистика!$C$10)/MAX(Статистика!$G$10-Статистика!$C$10,0.000001)))))</f>
        <v>1.6252942499999978E-2</v>
      </c>
      <c r="BD33" s="12">
        <f>IF(A33="","",MAX(0,1-MAX(0,MIN(1,(((IF(Статистика!$C$4="Параллельный режим (активная мощность)",J33,U33)+Статистика!$J$4))-Статистика!$C$10)/MAX(Статистика!$G$10-Статистика!$C$10,0.000001)))))</f>
        <v>0.20338621027777781</v>
      </c>
      <c r="BE33" s="12">
        <f>IF(A33="",NA(),IF(Статистика!$B$8="Вкл",(((IF(Статистика!$C$4="Параллельный режим (активная мощность)",F33,Q33)+Статистика!$J$4))-Статистика!$C$10)/MAX(Статистика!$G$10-Статистика!$C$10,0.000001),NA()))</f>
        <v>0.61324930555555568</v>
      </c>
      <c r="BF33" s="12">
        <f>IF(A33="",NA(),IF(Статистика!$D$8="Вкл",(((IF(Статистика!$C$4="Параллельный режим (активная мощность)",E33,P33)+Статистика!$J$4))-Статистика!$C$10)/MAX(Статистика!$G$10-Статистика!$C$10,0.000001),NA()))</f>
        <v>0.56797788888888889</v>
      </c>
      <c r="BG33" s="12">
        <f>IF(A33="",NA(),IF(Статистика!$D$8="Вкл",(((IF(Статистика!$C$4="Параллельный режим (активная мощность)",G33,R33)+Статистика!$J$4))-Статистика!$C$10)/MAX(Статистика!$G$10-Статистика!$C$10,0.000001),NA()))</f>
        <v>0.66711154444444432</v>
      </c>
      <c r="BH33" s="12">
        <f>IF(A33="",NA(),IF(Статистика!$F$8="Вкл",(((IF(Статистика!$C$4="Параллельный режим (активная мощность)",D33,O33)+Статистика!$J$4))-Статистика!$C$10)/MAX(Статистика!$G$10-Статистика!$C$10,0.000001),NA()))</f>
        <v>0.45411620111111067</v>
      </c>
      <c r="BI33" s="12">
        <f>IF(A33="",NA(),IF(Статистика!$F$8="Вкл",(((IF(Статистика!$C$4="Параллельный режим (активная мощность)",H33,S33)+Статистика!$J$4))-Статистика!$C$10)/MAX(Статистика!$G$10-Статистика!$C$10,0.000001),NA()))</f>
        <v>0.78036084722222221</v>
      </c>
      <c r="BJ33" s="12">
        <f>IF(A33="",NA(),IF(Статистика!$H$8="Вкл",(((IF(Статистика!$C$4="Параллельный режим (активная мощность)",B33,M33)+Статистика!$J$4))-Статистика!$C$10)/MAX(Статистика!$G$10-Статистика!$C$10,0.000001),NA()))</f>
        <v>-1.223761233388889</v>
      </c>
      <c r="BK33" s="12">
        <f>IF(A33="",NA(),IF(Статистика!$H$8="Вкл",(((IF(Статистика!$C$4="Параллельный режим (активная мощность)",J33,U33)+Статистика!$J$4))-Статистика!$C$10)/MAX(Статистика!$G$10-Статистика!$C$10,0.000001),NA()))</f>
        <v>0.79661378972222219</v>
      </c>
      <c r="BL33" s="12" t="e">
        <f>IF(A33="",NA(),IF(Статистика!$J$8="Вкл",(((IF(Статистика!$C$4="Параллельный режим (активная мощность)",K33,V33)+Статистика!$J$4))-Статистика!$C$10)/MAX(Статистика!$G$10-Статистика!$C$10,0.000001),NA()))</f>
        <v>#N/A</v>
      </c>
      <c r="BM33" s="12" t="e">
        <f>IF(AND(A33&lt;&gt;"",Статистика!$C$6="Вкл",Статистика!$B$6&gt;0),(Статистика!$B$6-Статистика!$C$10)/MAX(Статистика!$G$10-Статистика!$C$10,0.000001),NA())</f>
        <v>#N/A</v>
      </c>
      <c r="BN33" s="12" t="e">
        <f>IF(AND(A33&lt;&gt;"",Статистика!$F$6="Вкл",Статистика!$E$6&gt;0),(Статистика!$E$6-Статистика!$C$10)/MAX(Статистика!$G$10-Статистика!$C$10,0.000001),NA())</f>
        <v>#N/A</v>
      </c>
      <c r="BO33" s="12" t="e">
        <f>IF(AND(A33&lt;&gt;"",Статистика!$I$6="Вкл",Статистика!$H$6&gt;0),(Статистика!$H$6-Статистика!$C$10)/MAX(Статистика!$G$10-Статистика!$C$10,0.000001),NA())</f>
        <v>#N/A</v>
      </c>
      <c r="BP33" s="12" t="e">
        <f>IF(AND(A33&lt;&gt;"",Статистика!$L$6="Вкл",Статистика!$K$6&gt;0),(Статистика!$K$6-Статистика!$C$10)/MAX(Статистика!$G$10-Статистика!$C$10,0.000001),NA())</f>
        <v>#N/A</v>
      </c>
      <c r="BQ33" s="12" t="e">
        <f>IF(AND(A33&lt;&gt;"",Статистика!$M$6="Вкл",Статистика!$O$6&gt;0),(Статистика!$O$6-Статистика!$C$10)/MAX(Статистика!$G$10-Статистика!$C$10,0.000001),NA())</f>
        <v>#N/A</v>
      </c>
      <c r="BR33" s="12">
        <f t="shared" si="0"/>
        <v>1</v>
      </c>
      <c r="BT33" s="12">
        <f>IF(Y33="","",MAX(0,MIN(1,(((IF(Статистика!$C$4="Параллельный режим (активная мощность)",Z33,AK33)+Статистика!$J$4))-Статистика!$C$10)/MAX(Статистика!$G$10-Статистика!$C$10,0.000001))))</f>
        <v>0.49961748588888927</v>
      </c>
      <c r="BU33" s="12">
        <f>IF(Y33="","",MAX(0,MAX(0,MIN(1,(((IF(Статистика!$C$4="Параллельный режим (активная мощность)",AB33,AM33)+Статистика!$J$4))-Статистика!$C$10)/MAX(Статистика!$G$10-Статистика!$C$10,0.000001)))-MAX(0,MIN(1,(((IF(Статистика!$C$4="Параллельный режим (активная мощность)",Z33,AK33)+Статистика!$J$4))-Статистика!$C$10)/MAX(Статистика!$G$10-Статистика!$C$10,0.000001)))))</f>
        <v>2.1975172999999792E-2</v>
      </c>
      <c r="BV33" s="12">
        <f>IF(Y33="","",MAX(0,MAX(0,MIN(1,(((IF(Статистика!$C$4="Параллельный режим (активная мощность)",AC33,AN33)+Статистика!$J$4))-Статистика!$C$10)/MAX(Статистика!$G$10-Статистика!$C$10,0.000001)))-MAX(0,MIN(1,(((IF(Статистика!$C$4="Параллельный режим (активная мощность)",AB33,AM33)+Статистика!$J$4))-Статистика!$C$10)/MAX(Статистика!$G$10-Статистика!$C$10,0.000001)))))</f>
        <v>7.1441818888888564E-2</v>
      </c>
      <c r="BW33" s="12">
        <f>IF(Y33="","",MAX(0,MAX(0,MIN(1,(((IF(Статистика!$C$4="Параллельный режим (активная мощность)",AD33,AO33)+Статистика!$J$4))-Статистика!$C$10)/MAX(Статистика!$G$10-Статистика!$C$10,0.000001)))-MAX(0,MIN(1,(((IF(Статистика!$C$4="Параллельный режим (активная мощность)",AC33,AN33)+Статистика!$J$4))-Статистика!$C$10)/MAX(Статистика!$G$10-Статистика!$C$10,0.000001)))))</f>
        <v>7.9635966666666946E-2</v>
      </c>
      <c r="BX33" s="12">
        <f>IF(Y33="","",MAX(0,MAX(0,MIN(1,(((IF(Статистика!$C$4="Параллельный режим (активная мощность)",AE33,AP33)+Статистика!$J$4))-Статистика!$C$10)/MAX(Статистика!$G$10-Статистика!$C$10,0.000001)))-MAX(0,MIN(1,(((IF(Статистика!$C$4="Параллельный режим (активная мощность)",AD33,AO33)+Статистика!$J$4))-Статистика!$C$10)/MAX(Статистика!$G$10-Статистика!$C$10,0.000001)))))</f>
        <v>4.8260019444444024E-2</v>
      </c>
      <c r="BY33" s="12">
        <f>IF(Y33="","",MAX(0,MAX(0,MIN(1,(((IF(Статистика!$C$4="Параллельный режим (активная мощность)",AF33,AQ33)+Статистика!$J$4))-Статистика!$C$10)/MAX(Статистика!$G$10-Статистика!$C$10,0.000001)))-MAX(0,MIN(1,(((IF(Статистика!$C$4="Параллельный режим (активная мощность)",AE33,AP33)+Статистика!$J$4))-Статистика!$C$10)/MAX(Статистика!$G$10-Статистика!$C$10,0.000001)))))</f>
        <v>0.10417658333333324</v>
      </c>
      <c r="BZ33" s="12">
        <f>IF(Y33="","",MAX(0,MAX(0,MIN(1,(((IF(Статистика!$C$4="Параллельный режим (активная мощность)",AH33,AS33)+Статистика!$J$4))-Статистика!$C$10)/MAX(Статистика!$G$10-Статистика!$C$10,0.000001)))-MAX(0,MIN(1,(((IF(Статистика!$C$4="Параллельный режим (активная мощность)",AF33,AQ33)+Статистика!$J$4))-Статистика!$C$10)/MAX(Статистика!$G$10-Статистика!$C$10,0.000001)))))</f>
        <v>4.3335874999999024E-3</v>
      </c>
      <c r="CA33" s="12">
        <f>IF(Y33="","",MAX(0,1-MAX(0,MIN(1,(((IF(Статистика!$C$4="Параллельный режим (активная мощность)",AH33,AS33)+Статистика!$J$4))-Статистика!$C$10)/MAX(Статистика!$G$10-Статистика!$C$10,0.000001)))))</f>
        <v>0.17055936527777826</v>
      </c>
      <c r="CB33" s="12">
        <f>IF(Y33="",NA(),IF(Статистика!$B$8="Вкл",(((IF(Статистика!$C$4="Параллельный режим (активная мощность)",AD33,AO33)+Статистика!$J$4))-Статистика!$C$10)/MAX(Статистика!$G$10-Статистика!$C$10,0.000001),NA()))</f>
        <v>0.67267044444444457</v>
      </c>
      <c r="CC33" s="12">
        <f>IF(Y33="",NA(),IF(Статистика!$D$8="Вкл",(((IF(Статистика!$C$4="Параллельный режим (активная мощность)",AC33,AN33)+Статистика!$J$4))-Статистика!$C$10)/MAX(Статистика!$G$10-Статистика!$C$10,0.000001),NA()))</f>
        <v>0.59303447777777762</v>
      </c>
      <c r="CD33" s="12">
        <f>IF(Y33="",NA(),IF(Статистика!$D$8="Вкл",(((IF(Статистика!$C$4="Параллельный режим (активная мощность)",AE33,AP33)+Статистика!$J$4))-Статистика!$C$10)/MAX(Статистика!$G$10-Статистика!$C$10,0.000001),NA()))</f>
        <v>0.7209304638888886</v>
      </c>
      <c r="CE33" s="12">
        <f>IF(Y33="",NA(),IF(Статистика!$F$8="Вкл",(((IF(Статистика!$C$4="Параллельный режим (активная мощность)",AB33,AM33)+Статистика!$J$4))-Статистика!$C$10)/MAX(Статистика!$G$10-Статистика!$C$10,0.000001),NA()))</f>
        <v>0.52159265888888906</v>
      </c>
      <c r="CF33" s="12">
        <f>IF(Y33="",NA(),IF(Статистика!$F$8="Вкл",(((IF(Статистика!$C$4="Параллельный режим (активная мощность)",AF33,AQ33)+Статистика!$J$4))-Статистика!$C$10)/MAX(Статистика!$G$10-Статистика!$C$10,0.000001),NA()))</f>
        <v>0.82510704722222183</v>
      </c>
      <c r="CG33" s="12">
        <f>IF(Y33="",NA(),IF(Статистика!$H$8="Вкл",(((IF(Статистика!$C$4="Параллельный режим (активная мощность)",Z33,AK33)+Статистика!$J$4))-Статистика!$C$10)/MAX(Статистика!$G$10-Статистика!$C$10,0.000001),NA()))</f>
        <v>0.49961748588888927</v>
      </c>
      <c r="CH33" s="12">
        <f>IF(Y33="",NA(),IF(Статистика!$H$8="Вкл",(((IF(Статистика!$C$4="Параллельный режим (активная мощность)",AH33,AS33)+Статистика!$J$4))-Статистика!$C$10)/MAX(Статистика!$G$10-Статистика!$C$10,0.000001),NA()))</f>
        <v>0.82944063472222174</v>
      </c>
      <c r="CI33" s="12" t="e">
        <f>IF(Y33="",NA(),IF(Статистика!$J$8="Вкл",(((IF(Статистика!$C$4="Параллельный режим (активная мощность)",AI33,AT33)+Статистика!$J$4))-Статистика!$C$10)/MAX(Статистика!$G$10-Статистика!$C$10,0.000001),NA()))</f>
        <v>#N/A</v>
      </c>
      <c r="CJ33" s="12" t="e">
        <f>IF(AND(Y33&lt;&gt;"",Статистика!$C$6="Вкл",Статистика!$B$6&gt;0),(Статистика!$B$6-Статистика!$C$10)/MAX(Статистика!$G$10-Статистика!$C$10,0.000001),NA())</f>
        <v>#N/A</v>
      </c>
      <c r="CK33" s="12" t="e">
        <f>IF(AND(Y33&lt;&gt;"",Статистика!$F$6="Вкл",Статистика!$E$6&gt;0),(Статистика!$E$6-Статистика!$C$10)/MAX(Статистика!$G$10-Статистика!$C$10,0.000001),NA())</f>
        <v>#N/A</v>
      </c>
      <c r="CL33" s="12" t="e">
        <f>IF(AND(Y33&lt;&gt;"",Статистика!$I$6="Вкл",Статистика!$H$6&gt;0),(Статистика!$H$6-Статистика!$C$10)/MAX(Статистика!$G$10-Статистика!$C$10,0.000001),NA())</f>
        <v>#N/A</v>
      </c>
      <c r="CM33" s="12" t="e">
        <f>IF(AND(Y33&lt;&gt;"",Статистика!$L$6="Вкл",Статистика!$K$6&gt;0),(Статистика!$K$6-Статистика!$C$10)/MAX(Статистика!$G$10-Статистика!$C$10,0.000001),NA())</f>
        <v>#N/A</v>
      </c>
      <c r="CN33" s="12" t="e">
        <f>IF(AND(Y33&lt;&gt;"",Статистика!$M$6="Вкл",Статистика!$O$6&gt;0),(Статистика!$O$6-Статистика!$C$10)/MAX(Статистика!$G$10-Статистика!$C$10,0.000001),NA())</f>
        <v>#N/A</v>
      </c>
      <c r="CO33" s="12">
        <f t="shared" si="1"/>
        <v>1</v>
      </c>
    </row>
    <row r="34" spans="1:93" ht="15" customHeight="1">
      <c r="A34" s="12" t="s">
        <v>186</v>
      </c>
      <c r="B34" s="12">
        <v>2311.2806415</v>
      </c>
      <c r="C34" s="12">
        <v>5710.9425408333345</v>
      </c>
      <c r="D34" s="12">
        <v>7347.6853800000008</v>
      </c>
      <c r="E34" s="12">
        <v>7677.7138750000004</v>
      </c>
      <c r="F34" s="12">
        <v>7830.9072666666671</v>
      </c>
      <c r="G34" s="12">
        <v>7969.9727583333333</v>
      </c>
      <c r="H34" s="12">
        <v>8361.405745</v>
      </c>
      <c r="I34" s="12">
        <v>8394.358306666667</v>
      </c>
      <c r="J34" s="12">
        <v>8450.065528000001</v>
      </c>
      <c r="K34" s="12">
        <v>8584.09</v>
      </c>
      <c r="L34" s="12" t="s">
        <v>187</v>
      </c>
      <c r="M34" s="12">
        <v>2868.8488525000002</v>
      </c>
      <c r="N34" s="12">
        <v>6618.8607958333341</v>
      </c>
      <c r="O34" s="12">
        <v>8430.0673749999987</v>
      </c>
      <c r="P34" s="12">
        <v>8831.6448083333325</v>
      </c>
      <c r="Q34" s="12">
        <v>8989.7537166666662</v>
      </c>
      <c r="R34" s="12">
        <v>9121.0621499999997</v>
      </c>
      <c r="S34" s="12">
        <v>9429.3965816666678</v>
      </c>
      <c r="T34" s="12">
        <v>9465.3051749999995</v>
      </c>
      <c r="U34" s="12">
        <v>9494.4209816666662</v>
      </c>
      <c r="V34" s="12">
        <v>9643.94</v>
      </c>
      <c r="W34" s="12" t="s">
        <v>188</v>
      </c>
      <c r="Y34" s="12" t="s">
        <v>186</v>
      </c>
      <c r="Z34" s="12">
        <v>7499.949228833334</v>
      </c>
      <c r="AA34" s="12">
        <v>7513.1884108333334</v>
      </c>
      <c r="AB34" s="12">
        <v>7529.737388333333</v>
      </c>
      <c r="AC34" s="12">
        <v>7756.7078166666661</v>
      </c>
      <c r="AD34" s="12">
        <v>8015.0457999999999</v>
      </c>
      <c r="AE34" s="12">
        <v>8078.1664416666663</v>
      </c>
      <c r="AF34" s="12">
        <v>8445.5159399999993</v>
      </c>
      <c r="AG34" s="12">
        <v>8470.8349699999999</v>
      </c>
      <c r="AH34" s="12">
        <v>8491.0901939999985</v>
      </c>
      <c r="AI34" s="12">
        <v>8637.0300000000007</v>
      </c>
      <c r="AJ34" s="12" t="s">
        <v>189</v>
      </c>
      <c r="AK34" s="12">
        <v>8525.3571958333323</v>
      </c>
      <c r="AL34" s="12">
        <v>8535.0073124999999</v>
      </c>
      <c r="AM34" s="12">
        <v>8547.0699583333335</v>
      </c>
      <c r="AN34" s="12">
        <v>8887.4798916666659</v>
      </c>
      <c r="AO34" s="12">
        <v>9076.5056333333323</v>
      </c>
      <c r="AP34" s="12">
        <v>9257.9022750000004</v>
      </c>
      <c r="AQ34" s="12">
        <v>9589.2743183333332</v>
      </c>
      <c r="AR34" s="12">
        <v>9625.394825833333</v>
      </c>
      <c r="AS34" s="12">
        <v>9654.2912318333329</v>
      </c>
      <c r="AT34" s="12">
        <v>9773.0300000000007</v>
      </c>
      <c r="AU34" s="12" t="s">
        <v>190</v>
      </c>
      <c r="AW34" s="12">
        <f>IF(A34="","",MAX(0,MIN(1,(((IF(Статистика!$C$4="Параллельный режим (активная мощность)",B34,M34)+Статистика!$J$4))-Статистика!$C$10)/MAX(Статистика!$G$10-Статистика!$C$10,0.000001))))</f>
        <v>0</v>
      </c>
      <c r="AX34" s="12">
        <f>IF(A34="","",MAX(0,MAX(0,MIN(1,(((IF(Статистика!$C$4="Параллельный режим (активная мощность)",D34,O34)+Статистика!$J$4))-Статистика!$C$10)/MAX(Статистика!$G$10-Статистика!$C$10,0.000001)))-MAX(0,MIN(1,(((IF(Статистика!$C$4="Параллельный режим (активная мощность)",B34,M34)+Статистика!$J$4))-Статистика!$C$10)/MAX(Статистика!$G$10-Статистика!$C$10,0.000001)))))</f>
        <v>0.44922846000000027</v>
      </c>
      <c r="AY34" s="12">
        <f>IF(A34="","",MAX(0,MAX(0,MIN(1,(((IF(Статистика!$C$4="Параллельный режим (активная мощность)",E34,P34)+Статистика!$J$4))-Статистика!$C$10)/MAX(Статистика!$G$10-Статистика!$C$10,0.000001)))-MAX(0,MIN(1,(((IF(Статистика!$C$4="Параллельный режим (активная мощность)",D34,O34)+Статистика!$J$4))-Статистика!$C$10)/MAX(Статистика!$G$10-Статистика!$C$10,0.000001)))))</f>
        <v>0.11000949833333318</v>
      </c>
      <c r="AZ34" s="12">
        <f>IF(A34="","",MAX(0,MAX(0,MIN(1,(((IF(Статистика!$C$4="Параллельный режим (активная мощность)",F34,Q34)+Статистика!$J$4))-Статистика!$C$10)/MAX(Статистика!$G$10-Статистика!$C$10,0.000001)))-MAX(0,MIN(1,(((IF(Статистика!$C$4="Параллельный режим (активная мощность)",E34,P34)+Статистика!$J$4))-Статистика!$C$10)/MAX(Статистика!$G$10-Статистика!$C$10,0.000001)))))</f>
        <v>5.1064463888888856E-2</v>
      </c>
      <c r="BA34" s="12">
        <f>IF(A34="","",MAX(0,MAX(0,MIN(1,(((IF(Статистика!$C$4="Параллельный режим (активная мощность)",G34,R34)+Статистика!$J$4))-Статистика!$C$10)/MAX(Статистика!$G$10-Статистика!$C$10,0.000001)))-MAX(0,MIN(1,(((IF(Статистика!$C$4="Параллельный режим (активная мощность)",F34,Q34)+Статистика!$J$4))-Статистика!$C$10)/MAX(Статистика!$G$10-Статистика!$C$10,0.000001)))))</f>
        <v>4.6355163888888828E-2</v>
      </c>
      <c r="BB34" s="12">
        <f>IF(A34="","",MAX(0,MAX(0,MIN(1,(((IF(Статистика!$C$4="Параллельный режим (активная мощность)",H34,S34)+Статистика!$J$4))-Статистика!$C$10)/MAX(Статистика!$G$10-Статистика!$C$10,0.000001)))-MAX(0,MIN(1,(((IF(Статистика!$C$4="Параллельный режим (активная мощность)",G34,R34)+Статистика!$J$4))-Статистика!$C$10)/MAX(Статистика!$G$10-Статистика!$C$10,0.000001)))))</f>
        <v>0.13047766222222223</v>
      </c>
      <c r="BC34" s="12">
        <f>IF(A34="","",MAX(0,MAX(0,MIN(1,(((IF(Статистика!$C$4="Параллельный режим (активная мощность)",J34,U34)+Статистика!$J$4))-Статистика!$C$10)/MAX(Статистика!$G$10-Статистика!$C$10,0.000001)))-MAX(0,MIN(1,(((IF(Статистика!$C$4="Параллельный режим (активная мощность)",H34,S34)+Статистика!$J$4))-Статистика!$C$10)/MAX(Статистика!$G$10-Статистика!$C$10,0.000001)))))</f>
        <v>2.955326100000033E-2</v>
      </c>
      <c r="BD34" s="12">
        <f>IF(A34="","",MAX(0,1-MAX(0,MIN(1,(((IF(Статистика!$C$4="Параллельный режим (активная мощность)",J34,U34)+Статистика!$J$4))-Статистика!$C$10)/MAX(Статистика!$G$10-Статистика!$C$10,0.000001)))))</f>
        <v>0.1833114906666663</v>
      </c>
      <c r="BE34" s="12">
        <f>IF(A34="",NA(),IF(Статистика!$B$8="Вкл",(((IF(Статистика!$C$4="Параллельный режим (активная мощность)",F34,Q34)+Статистика!$J$4))-Статистика!$C$10)/MAX(Статистика!$G$10-Статистика!$C$10,0.000001),NA()))</f>
        <v>0.61030242222222231</v>
      </c>
      <c r="BF34" s="12">
        <f>IF(A34="",NA(),IF(Статистика!$D$8="Вкл",(((IF(Статистика!$C$4="Параллельный режим (активная мощность)",E34,P34)+Статистика!$J$4))-Статистика!$C$10)/MAX(Статистика!$G$10-Статистика!$C$10,0.000001),NA()))</f>
        <v>0.55923795833333345</v>
      </c>
      <c r="BG34" s="12">
        <f>IF(A34="",NA(),IF(Статистика!$D$8="Вкл",(((IF(Статистика!$C$4="Параллельный режим (активная мощность)",G34,R34)+Статистика!$J$4))-Статистика!$C$10)/MAX(Статистика!$G$10-Статистика!$C$10,0.000001),NA()))</f>
        <v>0.65665758611111114</v>
      </c>
      <c r="BH34" s="12">
        <f>IF(A34="",NA(),IF(Статистика!$F$8="Вкл",(((IF(Статистика!$C$4="Параллельный режим (активная мощность)",D34,O34)+Статистика!$J$4))-Статистика!$C$10)/MAX(Статистика!$G$10-Статистика!$C$10,0.000001),NA()))</f>
        <v>0.44922846000000027</v>
      </c>
      <c r="BI34" s="12">
        <f>IF(A34="",NA(),IF(Статистика!$F$8="Вкл",(((IF(Статистика!$C$4="Параллельный режим (активная мощность)",H34,S34)+Статистика!$J$4))-Статистика!$C$10)/MAX(Статистика!$G$10-Статистика!$C$10,0.000001),NA()))</f>
        <v>0.78713524833333337</v>
      </c>
      <c r="BJ34" s="12">
        <f>IF(A34="",NA(),IF(Статистика!$H$8="Вкл",(((IF(Статистика!$C$4="Параллельный режим (активная мощность)",B34,M34)+Статистика!$J$4))-Статистика!$C$10)/MAX(Статистика!$G$10-Статистика!$C$10,0.000001),NA()))</f>
        <v>-1.2295731194999999</v>
      </c>
      <c r="BK34" s="12">
        <f>IF(A34="",NA(),IF(Статистика!$H$8="Вкл",(((IF(Статистика!$C$4="Параллельный режим (активная мощность)",J34,U34)+Статистика!$J$4))-Статистика!$C$10)/MAX(Статистика!$G$10-Статистика!$C$10,0.000001),NA()))</f>
        <v>0.8166885093333337</v>
      </c>
      <c r="BL34" s="12" t="e">
        <f>IF(A34="",NA(),IF(Статистика!$J$8="Вкл",(((IF(Статистика!$C$4="Параллельный режим (активная мощность)",K34,V34)+Статистика!$J$4))-Статистика!$C$10)/MAX(Статистика!$G$10-Статистика!$C$10,0.000001),NA()))</f>
        <v>#N/A</v>
      </c>
      <c r="BM34" s="12" t="e">
        <f>IF(AND(A34&lt;&gt;"",Статистика!$C$6="Вкл",Статистика!$B$6&gt;0),(Статистика!$B$6-Статистика!$C$10)/MAX(Статистика!$G$10-Статистика!$C$10,0.000001),NA())</f>
        <v>#N/A</v>
      </c>
      <c r="BN34" s="12" t="e">
        <f>IF(AND(A34&lt;&gt;"",Статистика!$F$6="Вкл",Статистика!$E$6&gt;0),(Статистика!$E$6-Статистика!$C$10)/MAX(Статистика!$G$10-Статистика!$C$10,0.000001),NA())</f>
        <v>#N/A</v>
      </c>
      <c r="BO34" s="12" t="e">
        <f>IF(AND(A34&lt;&gt;"",Статистика!$I$6="Вкл",Статистика!$H$6&gt;0),(Статистика!$H$6-Статистика!$C$10)/MAX(Статистика!$G$10-Статистика!$C$10,0.000001),NA())</f>
        <v>#N/A</v>
      </c>
      <c r="BP34" s="12" t="e">
        <f>IF(AND(A34&lt;&gt;"",Статистика!$L$6="Вкл",Статистика!$K$6&gt;0),(Статистика!$K$6-Статистика!$C$10)/MAX(Статистика!$G$10-Статистика!$C$10,0.000001),NA())</f>
        <v>#N/A</v>
      </c>
      <c r="BQ34" s="12" t="e">
        <f>IF(AND(A34&lt;&gt;"",Статистика!$M$6="Вкл",Статистика!$O$6&gt;0),(Статистика!$O$6-Статистика!$C$10)/MAX(Статистика!$G$10-Статистика!$C$10,0.000001),NA())</f>
        <v>#N/A</v>
      </c>
      <c r="BR34" s="12">
        <f t="shared" si="0"/>
        <v>1</v>
      </c>
      <c r="BT34" s="12">
        <f>IF(Y34="","",MAX(0,MIN(1,(((IF(Статистика!$C$4="Параллельный режим (активная мощность)",Z34,AK34)+Статистика!$J$4))-Статистика!$C$10)/MAX(Статистика!$G$10-Статистика!$C$10,0.000001))))</f>
        <v>0.49998307627777799</v>
      </c>
      <c r="BU34" s="12">
        <f>IF(Y34="","",MAX(0,MAX(0,MIN(1,(((IF(Статистика!$C$4="Параллельный режим (активная мощность)",AB34,AM34)+Статистика!$J$4))-Статистика!$C$10)/MAX(Статистика!$G$10-Статистика!$C$10,0.000001)))-MAX(0,MIN(1,(((IF(Статистика!$C$4="Параллельный режим (активная мощность)",Z34,AK34)+Статистика!$J$4))-Статистика!$C$10)/MAX(Статистика!$G$10-Статистика!$C$10,0.000001)))))</f>
        <v>9.9293864999996928E-3</v>
      </c>
      <c r="BV34" s="12">
        <f>IF(Y34="","",MAX(0,MAX(0,MIN(1,(((IF(Статистика!$C$4="Параллельный режим (активная мощность)",AC34,AN34)+Статистика!$J$4))-Статистика!$C$10)/MAX(Статистика!$G$10-Статистика!$C$10,0.000001)))-MAX(0,MIN(1,(((IF(Статистика!$C$4="Параллельный режим (активная мощность)",AB34,AM34)+Статистика!$J$4))-Статистика!$C$10)/MAX(Статистика!$G$10-Статистика!$C$10,0.000001)))))</f>
        <v>7.5656809444444306E-2</v>
      </c>
      <c r="BW34" s="12">
        <f>IF(Y34="","",MAX(0,MAX(0,MIN(1,(((IF(Статистика!$C$4="Параллельный режим (активная мощность)",AD34,AO34)+Статистика!$J$4))-Статистика!$C$10)/MAX(Статистика!$G$10-Статистика!$C$10,0.000001)))-MAX(0,MIN(1,(((IF(Статистика!$C$4="Параллельный режим (активная мощность)",AC34,AN34)+Статистика!$J$4))-Статистика!$C$10)/MAX(Статистика!$G$10-Статистика!$C$10,0.000001)))))</f>
        <v>8.6112661111111266E-2</v>
      </c>
      <c r="BX34" s="12">
        <f>IF(Y34="","",MAX(0,MAX(0,MIN(1,(((IF(Статистика!$C$4="Параллельный режим (активная мощность)",AE34,AP34)+Статистика!$J$4))-Статистика!$C$10)/MAX(Статистика!$G$10-Статистика!$C$10,0.000001)))-MAX(0,MIN(1,(((IF(Статистика!$C$4="Параллельный режим (активная мощность)",AD34,AO34)+Статистика!$J$4))-Статистика!$C$10)/MAX(Статистика!$G$10-Статистика!$C$10,0.000001)))))</f>
        <v>2.1040213888888881E-2</v>
      </c>
      <c r="BY34" s="12">
        <f>IF(Y34="","",MAX(0,MAX(0,MIN(1,(((IF(Статистика!$C$4="Параллельный режим (активная мощность)",AF34,AQ34)+Статистика!$J$4))-Статистика!$C$10)/MAX(Статистика!$G$10-Статистика!$C$10,0.000001)))-MAX(0,MIN(1,(((IF(Статистика!$C$4="Параллельный режим (активная мощность)",AE34,AP34)+Статистика!$J$4))-Статистика!$C$10)/MAX(Статистика!$G$10-Статистика!$C$10,0.000001)))))</f>
        <v>0.12244983277777766</v>
      </c>
      <c r="BZ34" s="12">
        <f>IF(Y34="","",MAX(0,MAX(0,MIN(1,(((IF(Статистика!$C$4="Параллельный режим (активная мощность)",AH34,AS34)+Статистика!$J$4))-Статистика!$C$10)/MAX(Статистика!$G$10-Статистика!$C$10,0.000001)))-MAX(0,MIN(1,(((IF(Статистика!$C$4="Параллельный режим (активная мощность)",AF34,AQ34)+Статистика!$J$4))-Статистика!$C$10)/MAX(Статистика!$G$10-Статистика!$C$10,0.000001)))))</f>
        <v>1.5191417999999679E-2</v>
      </c>
      <c r="CA34" s="12">
        <f>IF(Y34="","",MAX(0,1-MAX(0,MIN(1,(((IF(Статистика!$C$4="Параллельный режим (активная мощность)",AH34,AS34)+Статистика!$J$4))-Статистика!$C$10)/MAX(Статистика!$G$10-Статистика!$C$10,0.000001)))))</f>
        <v>0.16963660200000052</v>
      </c>
      <c r="CB34" s="12">
        <f>IF(Y34="",NA(),IF(Статистика!$B$8="Вкл",(((IF(Статистика!$C$4="Параллельный режим (активная мощность)",AD34,AO34)+Статистика!$J$4))-Статистика!$C$10)/MAX(Статистика!$G$10-Статистика!$C$10,0.000001),NA()))</f>
        <v>0.67168193333333326</v>
      </c>
      <c r="CC34" s="12">
        <f>IF(Y34="",NA(),IF(Статистика!$D$8="Вкл",(((IF(Статистика!$C$4="Параллельный режим (активная мощность)",AC34,AN34)+Статистика!$J$4))-Статистика!$C$10)/MAX(Статистика!$G$10-Статистика!$C$10,0.000001),NA()))</f>
        <v>0.58556927222222199</v>
      </c>
      <c r="CD34" s="12">
        <f>IF(Y34="",NA(),IF(Статистика!$D$8="Вкл",(((IF(Статистика!$C$4="Параллельный режим (активная мощность)",AE34,AP34)+Статистика!$J$4))-Статистика!$C$10)/MAX(Статистика!$G$10-Статистика!$C$10,0.000001),NA()))</f>
        <v>0.69272214722222214</v>
      </c>
      <c r="CE34" s="12">
        <f>IF(Y34="",NA(),IF(Статистика!$F$8="Вкл",(((IF(Статистика!$C$4="Параллельный режим (активная мощность)",AB34,AM34)+Статистика!$J$4))-Статистика!$C$10)/MAX(Статистика!$G$10-Статистика!$C$10,0.000001),NA()))</f>
        <v>0.50991246277777769</v>
      </c>
      <c r="CF34" s="12">
        <f>IF(Y34="",NA(),IF(Статистика!$F$8="Вкл",(((IF(Статистика!$C$4="Параллельный режим (активная мощность)",AF34,AQ34)+Статистика!$J$4))-Статистика!$C$10)/MAX(Статистика!$G$10-Статистика!$C$10,0.000001),NA()))</f>
        <v>0.8151719799999998</v>
      </c>
      <c r="CG34" s="12">
        <f>IF(Y34="",NA(),IF(Статистика!$H$8="Вкл",(((IF(Статистика!$C$4="Параллельный режим (активная мощность)",Z34,AK34)+Статистика!$J$4))-Статистика!$C$10)/MAX(Статистика!$G$10-Статистика!$C$10,0.000001),NA()))</f>
        <v>0.49998307627777799</v>
      </c>
      <c r="CH34" s="12">
        <f>IF(Y34="",NA(),IF(Статистика!$H$8="Вкл",(((IF(Статистика!$C$4="Параллельный режим (активная мощность)",AH34,AS34)+Статистика!$J$4))-Статистика!$C$10)/MAX(Статистика!$G$10-Статистика!$C$10,0.000001),NA()))</f>
        <v>0.83036339799999948</v>
      </c>
      <c r="CI34" s="12" t="e">
        <f>IF(Y34="",NA(),IF(Статистика!$J$8="Вкл",(((IF(Статистика!$C$4="Параллельный режим (активная мощность)",AI34,AT34)+Статистика!$J$4))-Статистика!$C$10)/MAX(Статистика!$G$10-Статистика!$C$10,0.000001),NA()))</f>
        <v>#N/A</v>
      </c>
      <c r="CJ34" s="12" t="e">
        <f>IF(AND(Y34&lt;&gt;"",Статистика!$C$6="Вкл",Статистика!$B$6&gt;0),(Статистика!$B$6-Статистика!$C$10)/MAX(Статистика!$G$10-Статистика!$C$10,0.000001),NA())</f>
        <v>#N/A</v>
      </c>
      <c r="CK34" s="12" t="e">
        <f>IF(AND(Y34&lt;&gt;"",Статистика!$F$6="Вкл",Статистика!$E$6&gt;0),(Статистика!$E$6-Статистика!$C$10)/MAX(Статистика!$G$10-Статистика!$C$10,0.000001),NA())</f>
        <v>#N/A</v>
      </c>
      <c r="CL34" s="12" t="e">
        <f>IF(AND(Y34&lt;&gt;"",Статистика!$I$6="Вкл",Статистика!$H$6&gt;0),(Статистика!$H$6-Статистика!$C$10)/MAX(Статистика!$G$10-Статистика!$C$10,0.000001),NA())</f>
        <v>#N/A</v>
      </c>
      <c r="CM34" s="12" t="e">
        <f>IF(AND(Y34&lt;&gt;"",Статистика!$L$6="Вкл",Статистика!$K$6&gt;0),(Статистика!$K$6-Статистика!$C$10)/MAX(Статистика!$G$10-Статистика!$C$10,0.000001),NA())</f>
        <v>#N/A</v>
      </c>
      <c r="CN34" s="12" t="e">
        <f>IF(AND(Y34&lt;&gt;"",Статистика!$M$6="Вкл",Статистика!$O$6&gt;0),(Статистика!$O$6-Статистика!$C$10)/MAX(Статистика!$G$10-Статистика!$C$10,0.000001),NA())</f>
        <v>#N/A</v>
      </c>
      <c r="CO34" s="12">
        <f t="shared" si="1"/>
        <v>1</v>
      </c>
    </row>
    <row r="35" spans="1:93" ht="15" customHeight="1">
      <c r="A35" s="12" t="s">
        <v>191</v>
      </c>
      <c r="B35" s="12">
        <v>2322.3114184999999</v>
      </c>
      <c r="C35" s="12">
        <v>5746.8606925000004</v>
      </c>
      <c r="D35" s="12">
        <v>7380.9118849999995</v>
      </c>
      <c r="E35" s="12">
        <v>7705.1501500000004</v>
      </c>
      <c r="F35" s="12">
        <v>7857.5061166666665</v>
      </c>
      <c r="G35" s="12">
        <v>7992.2697916666666</v>
      </c>
      <c r="H35" s="12">
        <v>8387.4828783333323</v>
      </c>
      <c r="I35" s="12">
        <v>8445.1218900000003</v>
      </c>
      <c r="J35" s="12">
        <v>8494.6613913333331</v>
      </c>
      <c r="K35" s="12">
        <v>8808.9500000000007</v>
      </c>
      <c r="L35" s="12" t="s">
        <v>192</v>
      </c>
      <c r="M35" s="12">
        <v>2886.0937881666669</v>
      </c>
      <c r="N35" s="12">
        <v>6674.3618741666678</v>
      </c>
      <c r="O35" s="12">
        <v>8472.2057316666669</v>
      </c>
      <c r="P35" s="12">
        <v>8863.3216499999999</v>
      </c>
      <c r="Q35" s="12">
        <v>8981.5475000000006</v>
      </c>
      <c r="R35" s="12">
        <v>9141.8416250000009</v>
      </c>
      <c r="S35" s="12">
        <v>9484.9778650000007</v>
      </c>
      <c r="T35" s="12">
        <v>9499.1212516666674</v>
      </c>
      <c r="U35" s="12">
        <v>9513.5045170000012</v>
      </c>
      <c r="V35" s="12">
        <v>9936.83</v>
      </c>
      <c r="W35" s="12" t="s">
        <v>192</v>
      </c>
      <c r="Y35" s="12" t="s">
        <v>191</v>
      </c>
      <c r="Z35" s="12">
        <v>7478.1944833333328</v>
      </c>
      <c r="AA35" s="12">
        <v>7512.612016666666</v>
      </c>
      <c r="AB35" s="12">
        <v>7555.6339333333335</v>
      </c>
      <c r="AC35" s="12">
        <v>7798.172050000001</v>
      </c>
      <c r="AD35" s="12">
        <v>7972.0058166666677</v>
      </c>
      <c r="AE35" s="12">
        <v>8103.0611500000014</v>
      </c>
      <c r="AF35" s="12">
        <v>8392.6344099999988</v>
      </c>
      <c r="AG35" s="12">
        <v>8444.740988333333</v>
      </c>
      <c r="AH35" s="12">
        <v>8486.4262510000008</v>
      </c>
      <c r="AI35" s="12">
        <v>8604.1200000000008</v>
      </c>
      <c r="AJ35" s="12" t="s">
        <v>193</v>
      </c>
      <c r="AK35" s="12">
        <v>8539.4027583333336</v>
      </c>
      <c r="AL35" s="12">
        <v>8587.0463249999993</v>
      </c>
      <c r="AM35" s="12">
        <v>8646.6007833333333</v>
      </c>
      <c r="AN35" s="12">
        <v>8898.6859083333329</v>
      </c>
      <c r="AO35" s="12">
        <v>9021.9607333333333</v>
      </c>
      <c r="AP35" s="12">
        <v>9295.5983416666677</v>
      </c>
      <c r="AQ35" s="12">
        <v>9538.7781566666672</v>
      </c>
      <c r="AR35" s="12">
        <v>9594.2435116666675</v>
      </c>
      <c r="AS35" s="12">
        <v>9638.6157956666684</v>
      </c>
      <c r="AT35" s="12">
        <v>9755.85</v>
      </c>
      <c r="AU35" s="12" t="s">
        <v>194</v>
      </c>
      <c r="AW35" s="12">
        <f>IF(A35="","",MAX(0,MIN(1,(((IF(Статистика!$C$4="Параллельный режим (активная мощность)",B35,M35)+Статистика!$J$4))-Статистика!$C$10)/MAX(Статистика!$G$10-Статистика!$C$10,0.000001))))</f>
        <v>0</v>
      </c>
      <c r="AX35" s="12">
        <f>IF(A35="","",MAX(0,MAX(0,MIN(1,(((IF(Статистика!$C$4="Параллельный режим (активная мощность)",D35,O35)+Статистика!$J$4))-Статистика!$C$10)/MAX(Статистика!$G$10-Статистика!$C$10,0.000001)))-MAX(0,MIN(1,(((IF(Статистика!$C$4="Параллельный режим (активная мощность)",B35,M35)+Статистика!$J$4))-Статистика!$C$10)/MAX(Статистика!$G$10-Статистика!$C$10,0.000001)))))</f>
        <v>0.46030396166666648</v>
      </c>
      <c r="AY35" s="12">
        <f>IF(A35="","",MAX(0,MAX(0,MIN(1,(((IF(Статистика!$C$4="Параллельный режим (активная мощность)",E35,P35)+Статистика!$J$4))-Статистика!$C$10)/MAX(Статистика!$G$10-Статистика!$C$10,0.000001)))-MAX(0,MIN(1,(((IF(Статистика!$C$4="Параллельный режим (активная мощность)",D35,O35)+Статистика!$J$4))-Статистика!$C$10)/MAX(Статистика!$G$10-Статистика!$C$10,0.000001)))))</f>
        <v>0.10807942166666701</v>
      </c>
      <c r="AZ35" s="12">
        <f>IF(A35="","",MAX(0,MAX(0,MIN(1,(((IF(Статистика!$C$4="Параллельный режим (активная мощность)",F35,Q35)+Статистика!$J$4))-Статистика!$C$10)/MAX(Статистика!$G$10-Статистика!$C$10,0.000001)))-MAX(0,MIN(1,(((IF(Статистика!$C$4="Параллельный режим (активная мощность)",E35,P35)+Статистика!$J$4))-Статистика!$C$10)/MAX(Статистика!$G$10-Статистика!$C$10,0.000001)))))</f>
        <v>5.0785322222221985E-2</v>
      </c>
      <c r="BA35" s="12">
        <f>IF(A35="","",MAX(0,MAX(0,MIN(1,(((IF(Статистика!$C$4="Параллельный режим (активная мощность)",G35,R35)+Статистика!$J$4))-Статистика!$C$10)/MAX(Статистика!$G$10-Статистика!$C$10,0.000001)))-MAX(0,MIN(1,(((IF(Статистика!$C$4="Параллельный режим (активная мощность)",F35,Q35)+Статистика!$J$4))-Статистика!$C$10)/MAX(Статистика!$G$10-Статистика!$C$10,0.000001)))))</f>
        <v>4.4921225000000065E-2</v>
      </c>
      <c r="BB35" s="12">
        <f>IF(A35="","",MAX(0,MAX(0,MIN(1,(((IF(Статистика!$C$4="Параллельный режим (активная мощность)",H35,S35)+Статистика!$J$4))-Статистика!$C$10)/MAX(Статистика!$G$10-Статистика!$C$10,0.000001)))-MAX(0,MIN(1,(((IF(Статистика!$C$4="Параллельный режим (активная мощность)",G35,R35)+Статистика!$J$4))-Статистика!$C$10)/MAX(Статистика!$G$10-Статистика!$C$10,0.000001)))))</f>
        <v>0.13173769555555526</v>
      </c>
      <c r="BC35" s="12">
        <f>IF(A35="","",MAX(0,MAX(0,MIN(1,(((IF(Статистика!$C$4="Параллельный режим (активная мощность)",J35,U35)+Статистика!$J$4))-Статистика!$C$10)/MAX(Статистика!$G$10-Статистика!$C$10,0.000001)))-MAX(0,MIN(1,(((IF(Статистика!$C$4="Параллельный режим (активная мощность)",H35,S35)+Статистика!$J$4))-Статистика!$C$10)/MAX(Статистика!$G$10-Статистика!$C$10,0.000001)))))</f>
        <v>3.5726171000000195E-2</v>
      </c>
      <c r="BD35" s="12">
        <f>IF(A35="","",MAX(0,1-MAX(0,MIN(1,(((IF(Статистика!$C$4="Параллельный режим (активная мощность)",J35,U35)+Статистика!$J$4))-Статистика!$C$10)/MAX(Статистика!$G$10-Статистика!$C$10,0.000001)))))</f>
        <v>0.16844620288888901</v>
      </c>
      <c r="BE35" s="12">
        <f>IF(A35="",NA(),IF(Статистика!$B$8="Вкл",(((IF(Статистика!$C$4="Параллельный режим (активная мощность)",F35,Q35)+Статистика!$J$4))-Статистика!$C$10)/MAX(Статистика!$G$10-Статистика!$C$10,0.000001),NA()))</f>
        <v>0.61916870555555548</v>
      </c>
      <c r="BF35" s="12">
        <f>IF(A35="",NA(),IF(Статистика!$D$8="Вкл",(((IF(Статистика!$C$4="Параллельный режим (активная мощность)",E35,P35)+Статистика!$J$4))-Статистика!$C$10)/MAX(Статистика!$G$10-Статистика!$C$10,0.000001),NA()))</f>
        <v>0.56838338333333349</v>
      </c>
      <c r="BG35" s="12">
        <f>IF(A35="",NA(),IF(Статистика!$D$8="Вкл",(((IF(Статистика!$C$4="Параллельный режим (активная мощность)",G35,R35)+Статистика!$J$4))-Статистика!$C$10)/MAX(Статистика!$G$10-Статистика!$C$10,0.000001),NA()))</f>
        <v>0.66408993055555554</v>
      </c>
      <c r="BH35" s="12">
        <f>IF(A35="",NA(),IF(Статистика!$F$8="Вкл",(((IF(Статистика!$C$4="Параллельный режим (активная мощность)",D35,O35)+Статистика!$J$4))-Статистика!$C$10)/MAX(Статистика!$G$10-Статистика!$C$10,0.000001),NA()))</f>
        <v>0.46030396166666648</v>
      </c>
      <c r="BI35" s="12">
        <f>IF(A35="",NA(),IF(Статистика!$F$8="Вкл",(((IF(Статистика!$C$4="Параллельный режим (активная мощность)",H35,S35)+Статистика!$J$4))-Статистика!$C$10)/MAX(Статистика!$G$10-Статистика!$C$10,0.000001),NA()))</f>
        <v>0.7958276261111108</v>
      </c>
      <c r="BJ35" s="12">
        <f>IF(A35="",NA(),IF(Статистика!$H$8="Вкл",(((IF(Статистика!$C$4="Параллельный режим (активная мощность)",B35,M35)+Статистика!$J$4))-Статистика!$C$10)/MAX(Статистика!$G$10-Статистика!$C$10,0.000001),NA()))</f>
        <v>-1.2258961938333333</v>
      </c>
      <c r="BK35" s="12">
        <f>IF(A35="",NA(),IF(Статистика!$H$8="Вкл",(((IF(Статистика!$C$4="Параллельный режим (активная мощность)",J35,U35)+Статистика!$J$4))-Статистика!$C$10)/MAX(Статистика!$G$10-Статистика!$C$10,0.000001),NA()))</f>
        <v>0.83155379711111099</v>
      </c>
      <c r="BL35" s="12" t="e">
        <f>IF(A35="",NA(),IF(Статистика!$J$8="Вкл",(((IF(Статистика!$C$4="Параллельный режим (активная мощность)",K35,V35)+Статистика!$J$4))-Статистика!$C$10)/MAX(Статистика!$G$10-Статистика!$C$10,0.000001),NA()))</f>
        <v>#N/A</v>
      </c>
      <c r="BM35" s="12" t="e">
        <f>IF(AND(A35&lt;&gt;"",Статистика!$C$6="Вкл",Статистика!$B$6&gt;0),(Статистика!$B$6-Статистика!$C$10)/MAX(Статистика!$G$10-Статистика!$C$10,0.000001),NA())</f>
        <v>#N/A</v>
      </c>
      <c r="BN35" s="12" t="e">
        <f>IF(AND(A35&lt;&gt;"",Статистика!$F$6="Вкл",Статистика!$E$6&gt;0),(Статистика!$E$6-Статистика!$C$10)/MAX(Статистика!$G$10-Статистика!$C$10,0.000001),NA())</f>
        <v>#N/A</v>
      </c>
      <c r="BO35" s="12" t="e">
        <f>IF(AND(A35&lt;&gt;"",Статистика!$I$6="Вкл",Статистика!$H$6&gt;0),(Статистика!$H$6-Статистика!$C$10)/MAX(Статистика!$G$10-Статистика!$C$10,0.000001),NA())</f>
        <v>#N/A</v>
      </c>
      <c r="BP35" s="12" t="e">
        <f>IF(AND(A35&lt;&gt;"",Статистика!$L$6="Вкл",Статистика!$K$6&gt;0),(Статистика!$K$6-Статистика!$C$10)/MAX(Статистика!$G$10-Статистика!$C$10,0.000001),NA())</f>
        <v>#N/A</v>
      </c>
      <c r="BQ35" s="12" t="e">
        <f>IF(AND(A35&lt;&gt;"",Статистика!$M$6="Вкл",Статистика!$O$6&gt;0),(Статистика!$O$6-Статистика!$C$10)/MAX(Статистика!$G$10-Статистика!$C$10,0.000001),NA())</f>
        <v>#N/A</v>
      </c>
      <c r="BR35" s="12">
        <f t="shared" si="0"/>
        <v>1</v>
      </c>
      <c r="BT35" s="12">
        <f>IF(Y35="","",MAX(0,MIN(1,(((IF(Статистика!$C$4="Параллельный режим (активная мощность)",Z35,AK35)+Статистика!$J$4))-Статистика!$C$10)/MAX(Статистика!$G$10-Статистика!$C$10,0.000001))))</f>
        <v>0.49273149444444425</v>
      </c>
      <c r="BU35" s="12">
        <f>IF(Y35="","",MAX(0,MAX(0,MIN(1,(((IF(Статистика!$C$4="Параллельный режим (активная мощность)",AB35,AM35)+Статистика!$J$4))-Статистика!$C$10)/MAX(Статистика!$G$10-Статистика!$C$10,0.000001)))-MAX(0,MIN(1,(((IF(Статистика!$C$4="Параллельный режим (активная мощность)",Z35,AK35)+Статистика!$J$4))-Статистика!$C$10)/MAX(Статистика!$G$10-Статистика!$C$10,0.000001)))))</f>
        <v>2.5813150000000229E-2</v>
      </c>
      <c r="BV35" s="12">
        <f>IF(Y35="","",MAX(0,MAX(0,MIN(1,(((IF(Статистика!$C$4="Параллельный режим (активная мощность)",AC35,AN35)+Статистика!$J$4))-Статистика!$C$10)/MAX(Статистика!$G$10-Статистика!$C$10,0.000001)))-MAX(0,MIN(1,(((IF(Статистика!$C$4="Параллельный режим (активная мощность)",AB35,AM35)+Статистика!$J$4))-Статистика!$C$10)/MAX(Статистика!$G$10-Статистика!$C$10,0.000001)))))</f>
        <v>8.0846038888889193E-2</v>
      </c>
      <c r="BW35" s="12">
        <f>IF(Y35="","",MAX(0,MAX(0,MIN(1,(((IF(Статистика!$C$4="Параллельный режим (активная мощность)",AD35,AO35)+Статистика!$J$4))-Статистика!$C$10)/MAX(Статистика!$G$10-Статистика!$C$10,0.000001)))-MAX(0,MIN(1,(((IF(Статистика!$C$4="Параллельный режим (активная мощность)",AC35,AN35)+Статистика!$J$4))-Статистика!$C$10)/MAX(Статистика!$G$10-Статистика!$C$10,0.000001)))))</f>
        <v>5.794458888888887E-2</v>
      </c>
      <c r="BX35" s="12">
        <f>IF(Y35="","",MAX(0,MAX(0,MIN(1,(((IF(Статистика!$C$4="Параллельный режим (активная мощность)",AE35,AP35)+Статистика!$J$4))-Статистика!$C$10)/MAX(Статистика!$G$10-Статистика!$C$10,0.000001)))-MAX(0,MIN(1,(((IF(Статистика!$C$4="Параллельный режим (активная мощность)",AD35,AO35)+Статистика!$J$4))-Статистика!$C$10)/MAX(Статистика!$G$10-Статистика!$C$10,0.000001)))))</f>
        <v>4.3685111111111286E-2</v>
      </c>
      <c r="BY35" s="12">
        <f>IF(Y35="","",MAX(0,MAX(0,MIN(1,(((IF(Статистика!$C$4="Параллельный режим (активная мощность)",AF35,AQ35)+Статистика!$J$4))-Статистика!$C$10)/MAX(Статистика!$G$10-Статистика!$C$10,0.000001)))-MAX(0,MIN(1,(((IF(Статистика!$C$4="Параллельный режим (активная мощность)",AE35,AP35)+Статистика!$J$4))-Статистика!$C$10)/MAX(Статистика!$G$10-Статистика!$C$10,0.000001)))))</f>
        <v>9.6524419999999056E-2</v>
      </c>
      <c r="BZ35" s="12">
        <f>IF(Y35="","",MAX(0,MAX(0,MIN(1,(((IF(Статистика!$C$4="Параллельный режим (активная мощность)",AH35,AS35)+Статистика!$J$4))-Статистика!$C$10)/MAX(Статистика!$G$10-Статистика!$C$10,0.000001)))-MAX(0,MIN(1,(((IF(Статистика!$C$4="Параллельный режим (активная мощность)",AF35,AQ35)+Статистика!$J$4))-Статистика!$C$10)/MAX(Статистика!$G$10-Статистика!$C$10,0.000001)))))</f>
        <v>3.126394700000068E-2</v>
      </c>
      <c r="CA35" s="12">
        <f>IF(Y35="","",MAX(0,1-MAX(0,MIN(1,(((IF(Статистика!$C$4="Параллельный режим (активная мощность)",AH35,AS35)+Статистика!$J$4))-Статистика!$C$10)/MAX(Статистика!$G$10-Статистика!$C$10,0.000001)))))</f>
        <v>0.17119124966666643</v>
      </c>
      <c r="CB35" s="12">
        <f>IF(Y35="",NA(),IF(Статистика!$B$8="Вкл",(((IF(Статистика!$C$4="Параллельный режим (активная мощность)",AD35,AO35)+Статистика!$J$4))-Статистика!$C$10)/MAX(Статистика!$G$10-Статистика!$C$10,0.000001),NA()))</f>
        <v>0.65733527222222254</v>
      </c>
      <c r="CC35" s="12">
        <f>IF(Y35="",NA(),IF(Статистика!$D$8="Вкл",(((IF(Статистика!$C$4="Параллельный режим (активная мощность)",AC35,AN35)+Статистика!$J$4))-Статистика!$C$10)/MAX(Статистика!$G$10-Статистика!$C$10,0.000001),NA()))</f>
        <v>0.59939068333333367</v>
      </c>
      <c r="CD35" s="12">
        <f>IF(Y35="",NA(),IF(Статистика!$D$8="Вкл",(((IF(Статистика!$C$4="Параллельный режим (активная мощность)",AE35,AP35)+Статистика!$J$4))-Статистика!$C$10)/MAX(Статистика!$G$10-Статистика!$C$10,0.000001),NA()))</f>
        <v>0.70102038333333383</v>
      </c>
      <c r="CE35" s="12">
        <f>IF(Y35="",NA(),IF(Статистика!$F$8="Вкл",(((IF(Статистика!$C$4="Параллельный режим (активная мощность)",AB35,AM35)+Статистика!$J$4))-Статистика!$C$10)/MAX(Статистика!$G$10-Статистика!$C$10,0.000001),NA()))</f>
        <v>0.51854464444444448</v>
      </c>
      <c r="CF35" s="12">
        <f>IF(Y35="",NA(),IF(Статистика!$F$8="Вкл",(((IF(Статистика!$C$4="Параллельный режим (активная мощность)",AF35,AQ35)+Статистика!$J$4))-Статистика!$C$10)/MAX(Статистика!$G$10-Статистика!$C$10,0.000001),NA()))</f>
        <v>0.79754480333333289</v>
      </c>
      <c r="CG35" s="12">
        <f>IF(Y35="",NA(),IF(Статистика!$H$8="Вкл",(((IF(Статистика!$C$4="Параллельный режим (активная мощность)",Z35,AK35)+Статистика!$J$4))-Статистика!$C$10)/MAX(Статистика!$G$10-Статистика!$C$10,0.000001),NA()))</f>
        <v>0.49273149444444425</v>
      </c>
      <c r="CH35" s="12">
        <f>IF(Y35="",NA(),IF(Статистика!$H$8="Вкл",(((IF(Статистика!$C$4="Параллельный режим (активная мощность)",AH35,AS35)+Статистика!$J$4))-Статистика!$C$10)/MAX(Статистика!$G$10-Статистика!$C$10,0.000001),NA()))</f>
        <v>0.82880875033333357</v>
      </c>
      <c r="CI35" s="12" t="e">
        <f>IF(Y35="",NA(),IF(Статистика!$J$8="Вкл",(((IF(Статистика!$C$4="Параллельный режим (активная мощность)",AI35,AT35)+Статистика!$J$4))-Статистика!$C$10)/MAX(Статистика!$G$10-Статистика!$C$10,0.000001),NA()))</f>
        <v>#N/A</v>
      </c>
      <c r="CJ35" s="12" t="e">
        <f>IF(AND(Y35&lt;&gt;"",Статистика!$C$6="Вкл",Статистика!$B$6&gt;0),(Статистика!$B$6-Статистика!$C$10)/MAX(Статистика!$G$10-Статистика!$C$10,0.000001),NA())</f>
        <v>#N/A</v>
      </c>
      <c r="CK35" s="12" t="e">
        <f>IF(AND(Y35&lt;&gt;"",Статистика!$F$6="Вкл",Статистика!$E$6&gt;0),(Статистика!$E$6-Статистика!$C$10)/MAX(Статистика!$G$10-Статистика!$C$10,0.000001),NA())</f>
        <v>#N/A</v>
      </c>
      <c r="CL35" s="12" t="e">
        <f>IF(AND(Y35&lt;&gt;"",Статистика!$I$6="Вкл",Статистика!$H$6&gt;0),(Статистика!$H$6-Статистика!$C$10)/MAX(Статистика!$G$10-Статистика!$C$10,0.000001),NA())</f>
        <v>#N/A</v>
      </c>
      <c r="CM35" s="12" t="e">
        <f>IF(AND(Y35&lt;&gt;"",Статистика!$L$6="Вкл",Статистика!$K$6&gt;0),(Статистика!$K$6-Статистика!$C$10)/MAX(Статистика!$G$10-Статистика!$C$10,0.000001),NA())</f>
        <v>#N/A</v>
      </c>
      <c r="CN35" s="12" t="e">
        <f>IF(AND(Y35&lt;&gt;"",Статистика!$M$6="Вкл",Статистика!$O$6&gt;0),(Статистика!$O$6-Статистика!$C$10)/MAX(Статистика!$G$10-Статистика!$C$10,0.000001),NA())</f>
        <v>#N/A</v>
      </c>
      <c r="CO35" s="12">
        <f t="shared" si="1"/>
        <v>1</v>
      </c>
    </row>
    <row r="36" spans="1:93" ht="15" customHeight="1">
      <c r="A36" s="12" t="s">
        <v>195</v>
      </c>
      <c r="B36" s="12">
        <v>2330.7296133333334</v>
      </c>
      <c r="C36" s="12">
        <v>5756.3936666666677</v>
      </c>
      <c r="D36" s="12">
        <v>7414.6721283333336</v>
      </c>
      <c r="E36" s="12">
        <v>7708.6675416666676</v>
      </c>
      <c r="F36" s="12">
        <v>7858.4833833333341</v>
      </c>
      <c r="G36" s="12">
        <v>8022.6728916666661</v>
      </c>
      <c r="H36" s="12">
        <v>8356.3510983333326</v>
      </c>
      <c r="I36" s="12">
        <v>8430.8851033333322</v>
      </c>
      <c r="J36" s="12">
        <v>8509.4326473333331</v>
      </c>
      <c r="K36" s="12">
        <v>8657.36</v>
      </c>
      <c r="L36" s="12" t="s">
        <v>196</v>
      </c>
      <c r="M36" s="12">
        <v>2900.3949153333333</v>
      </c>
      <c r="N36" s="12">
        <v>6725.04151</v>
      </c>
      <c r="O36" s="12">
        <v>8551.1940933333335</v>
      </c>
      <c r="P36" s="12">
        <v>8869.2847166666652</v>
      </c>
      <c r="Q36" s="12">
        <v>8967.2814500000004</v>
      </c>
      <c r="R36" s="12">
        <v>9153.0125416666669</v>
      </c>
      <c r="S36" s="12">
        <v>9431.5222166666663</v>
      </c>
      <c r="T36" s="12">
        <v>9482.2029999999977</v>
      </c>
      <c r="U36" s="12">
        <v>9533.9939066666648</v>
      </c>
      <c r="V36" s="12">
        <v>9673.4500000000007</v>
      </c>
      <c r="W36" s="12" t="s">
        <v>197</v>
      </c>
      <c r="Y36" s="12" t="s">
        <v>195</v>
      </c>
      <c r="Z36" s="12">
        <v>7486.8514586666661</v>
      </c>
      <c r="AA36" s="12">
        <v>7532.7392933333331</v>
      </c>
      <c r="AB36" s="12">
        <v>7590.0990866666662</v>
      </c>
      <c r="AC36" s="12">
        <v>7829.6339166666658</v>
      </c>
      <c r="AD36" s="12">
        <v>7998.8125333333337</v>
      </c>
      <c r="AE36" s="12">
        <v>8095.0968666666649</v>
      </c>
      <c r="AF36" s="12">
        <v>8439.806101666667</v>
      </c>
      <c r="AG36" s="12">
        <v>8465.4745008333339</v>
      </c>
      <c r="AH36" s="12">
        <v>8486.0092201666666</v>
      </c>
      <c r="AI36" s="12">
        <v>8627.9599999999991</v>
      </c>
      <c r="AJ36" s="12" t="s">
        <v>198</v>
      </c>
      <c r="AK36" s="12">
        <v>8568.9698896666669</v>
      </c>
      <c r="AL36" s="12">
        <v>8626.9997149999999</v>
      </c>
      <c r="AM36" s="12">
        <v>8699.5369966666658</v>
      </c>
      <c r="AN36" s="12">
        <v>8937.1011416666661</v>
      </c>
      <c r="AO36" s="12">
        <v>9080.7458166666656</v>
      </c>
      <c r="AP36" s="12">
        <v>9282.4688750000023</v>
      </c>
      <c r="AQ36" s="12">
        <v>9584.3168766666658</v>
      </c>
      <c r="AR36" s="12">
        <v>9614.3123549999982</v>
      </c>
      <c r="AS36" s="12">
        <v>9638.3087376666663</v>
      </c>
      <c r="AT36" s="12">
        <v>9775.16</v>
      </c>
      <c r="AU36" s="12" t="s">
        <v>199</v>
      </c>
      <c r="AW36" s="12">
        <f>IF(A36="","",MAX(0,MIN(1,(((IF(Статистика!$C$4="Параллельный режим (активная мощность)",B36,M36)+Статистика!$J$4))-Статистика!$C$10)/MAX(Статистика!$G$10-Статистика!$C$10,0.000001))))</f>
        <v>0</v>
      </c>
      <c r="AX36" s="12">
        <f>IF(A36="","",MAX(0,MAX(0,MIN(1,(((IF(Статистика!$C$4="Параллельный режим (активная мощность)",D36,O36)+Статистика!$J$4))-Статистика!$C$10)/MAX(Статистика!$G$10-Статистика!$C$10,0.000001)))-MAX(0,MIN(1,(((IF(Статистика!$C$4="Параллельный режим (активная мощность)",B36,M36)+Статистика!$J$4))-Статистика!$C$10)/MAX(Статистика!$G$10-Статистика!$C$10,0.000001)))))</f>
        <v>0.4715573761111112</v>
      </c>
      <c r="AY36" s="12">
        <f>IF(A36="","",MAX(0,MAX(0,MIN(1,(((IF(Статистика!$C$4="Параллельный режим (активная мощность)",E36,P36)+Статистика!$J$4))-Статистика!$C$10)/MAX(Статистика!$G$10-Статистика!$C$10,0.000001)))-MAX(0,MIN(1,(((IF(Статистика!$C$4="Параллельный режим (активная мощность)",D36,O36)+Статистика!$J$4))-Статистика!$C$10)/MAX(Статистика!$G$10-Статистика!$C$10,0.000001)))))</f>
        <v>9.7998471111111318E-2</v>
      </c>
      <c r="AZ36" s="12">
        <f>IF(A36="","",MAX(0,MAX(0,MIN(1,(((IF(Статистика!$C$4="Параллельный режим (активная мощность)",F36,Q36)+Статистика!$J$4))-Статистика!$C$10)/MAX(Статистика!$G$10-Статистика!$C$10,0.000001)))-MAX(0,MIN(1,(((IF(Статистика!$C$4="Параллельный режим (активная мощность)",E36,P36)+Статистика!$J$4))-Статистика!$C$10)/MAX(Статистика!$G$10-Статистика!$C$10,0.000001)))))</f>
        <v>4.9938613888888872E-2</v>
      </c>
      <c r="BA36" s="12">
        <f>IF(A36="","",MAX(0,MAX(0,MIN(1,(((IF(Статистика!$C$4="Параллельный режим (активная мощность)",G36,R36)+Статистика!$J$4))-Статистика!$C$10)/MAX(Статистика!$G$10-Статистика!$C$10,0.000001)))-MAX(0,MIN(1,(((IF(Статистика!$C$4="Параллельный режим (активная мощность)",F36,Q36)+Статистика!$J$4))-Статистика!$C$10)/MAX(Статистика!$G$10-Статистика!$C$10,0.000001)))))</f>
        <v>5.4729836111110708E-2</v>
      </c>
      <c r="BB36" s="12">
        <f>IF(A36="","",MAX(0,MAX(0,MIN(1,(((IF(Статистика!$C$4="Параллельный режим (активная мощность)",H36,S36)+Статистика!$J$4))-Статистика!$C$10)/MAX(Статистика!$G$10-Статистика!$C$10,0.000001)))-MAX(0,MIN(1,(((IF(Статистика!$C$4="Параллельный режим (активная мощность)",G36,R36)+Статистика!$J$4))-Статистика!$C$10)/MAX(Статистика!$G$10-Статистика!$C$10,0.000001)))))</f>
        <v>0.11122606888888875</v>
      </c>
      <c r="BC36" s="12">
        <f>IF(A36="","",MAX(0,MAX(0,MIN(1,(((IF(Статистика!$C$4="Параллельный режим (активная мощность)",J36,U36)+Статистика!$J$4))-Статистика!$C$10)/MAX(Статистика!$G$10-Статистика!$C$10,0.000001)))-MAX(0,MIN(1,(((IF(Статистика!$C$4="Параллельный режим (активная мощность)",H36,S36)+Статистика!$J$4))-Статистика!$C$10)/MAX(Статистика!$G$10-Статистика!$C$10,0.000001)))))</f>
        <v>5.1027183000000198E-2</v>
      </c>
      <c r="BD36" s="12">
        <f>IF(A36="","",MAX(0,1-MAX(0,MIN(1,(((IF(Статистика!$C$4="Параллельный режим (активная мощность)",J36,U36)+Статистика!$J$4))-Статистика!$C$10)/MAX(Статистика!$G$10-Статистика!$C$10,0.000001)))))</f>
        <v>0.16352245088888895</v>
      </c>
      <c r="BE36" s="12">
        <f>IF(A36="",NA(),IF(Статистика!$B$8="Вкл",(((IF(Статистика!$C$4="Параллельный режим (активная мощность)",F36,Q36)+Статистика!$J$4))-Статистика!$C$10)/MAX(Статистика!$G$10-Статистика!$C$10,0.000001),NA()))</f>
        <v>0.61949446111111139</v>
      </c>
      <c r="BF36" s="12">
        <f>IF(A36="",NA(),IF(Статистика!$D$8="Вкл",(((IF(Статистика!$C$4="Параллельный режим (активная мощность)",E36,P36)+Статистика!$J$4))-Статистика!$C$10)/MAX(Статистика!$G$10-Статистика!$C$10,0.000001),NA()))</f>
        <v>0.56955584722222252</v>
      </c>
      <c r="BG36" s="12">
        <f>IF(A36="",NA(),IF(Статистика!$D$8="Вкл",(((IF(Статистика!$C$4="Параллельный режим (активная мощность)",G36,R36)+Статистика!$J$4))-Статистика!$C$10)/MAX(Статистика!$G$10-Статистика!$C$10,0.000001),NA()))</f>
        <v>0.6742242972222221</v>
      </c>
      <c r="BH36" s="12">
        <f>IF(A36="",NA(),IF(Статистика!$F$8="Вкл",(((IF(Статистика!$C$4="Параллельный режим (активная мощность)",D36,O36)+Статистика!$J$4))-Статистика!$C$10)/MAX(Статистика!$G$10-Статистика!$C$10,0.000001),NA()))</f>
        <v>0.4715573761111112</v>
      </c>
      <c r="BI36" s="12">
        <f>IF(A36="",NA(),IF(Статистика!$F$8="Вкл",(((IF(Статистика!$C$4="Параллельный режим (активная мощность)",H36,S36)+Статистика!$J$4))-Статистика!$C$10)/MAX(Статистика!$G$10-Статистика!$C$10,0.000001),NA()))</f>
        <v>0.78545036611111085</v>
      </c>
      <c r="BJ36" s="12">
        <f>IF(A36="",NA(),IF(Статистика!$H$8="Вкл",(((IF(Статистика!$C$4="Параллельный режим (активная мощность)",B36,M36)+Статистика!$J$4))-Статистика!$C$10)/MAX(Статистика!$G$10-Статистика!$C$10,0.000001),NA()))</f>
        <v>-1.2230901288888889</v>
      </c>
      <c r="BK36" s="12">
        <f>IF(A36="",NA(),IF(Статистика!$H$8="Вкл",(((IF(Статистика!$C$4="Параллельный режим (активная мощность)",J36,U36)+Статистика!$J$4))-Статистика!$C$10)/MAX(Статистика!$G$10-Статистика!$C$10,0.000001),NA()))</f>
        <v>0.83647754911111105</v>
      </c>
      <c r="BL36" s="12" t="e">
        <f>IF(A36="",NA(),IF(Статистика!$J$8="Вкл",(((IF(Статистика!$C$4="Параллельный режим (активная мощность)",K36,V36)+Статистика!$J$4))-Статистика!$C$10)/MAX(Статистика!$G$10-Статистика!$C$10,0.000001),NA()))</f>
        <v>#N/A</v>
      </c>
      <c r="BM36" s="12" t="e">
        <f>IF(AND(A36&lt;&gt;"",Статистика!$C$6="Вкл",Статистика!$B$6&gt;0),(Статистика!$B$6-Статистика!$C$10)/MAX(Статистика!$G$10-Статистика!$C$10,0.000001),NA())</f>
        <v>#N/A</v>
      </c>
      <c r="BN36" s="12" t="e">
        <f>IF(AND(A36&lt;&gt;"",Статистика!$F$6="Вкл",Статистика!$E$6&gt;0),(Статистика!$E$6-Статистика!$C$10)/MAX(Статистика!$G$10-Статистика!$C$10,0.000001),NA())</f>
        <v>#N/A</v>
      </c>
      <c r="BO36" s="12" t="e">
        <f>IF(AND(A36&lt;&gt;"",Статистика!$I$6="Вкл",Статистика!$H$6&gt;0),(Статистика!$H$6-Статистика!$C$10)/MAX(Статистика!$G$10-Статистика!$C$10,0.000001),NA())</f>
        <v>#N/A</v>
      </c>
      <c r="BP36" s="12" t="e">
        <f>IF(AND(A36&lt;&gt;"",Статистика!$L$6="Вкл",Статистика!$K$6&gt;0),(Статистика!$K$6-Статистика!$C$10)/MAX(Статистика!$G$10-Статистика!$C$10,0.000001),NA())</f>
        <v>#N/A</v>
      </c>
      <c r="BQ36" s="12" t="e">
        <f>IF(AND(A36&lt;&gt;"",Статистика!$M$6="Вкл",Статистика!$O$6&gt;0),(Статистика!$O$6-Статистика!$C$10)/MAX(Статистика!$G$10-Статистика!$C$10,0.000001),NA())</f>
        <v>#N/A</v>
      </c>
      <c r="BR36" s="12">
        <f t="shared" si="0"/>
        <v>1</v>
      </c>
      <c r="BT36" s="12">
        <f>IF(Y36="","",MAX(0,MIN(1,(((IF(Статистика!$C$4="Параллельный режим (активная мощность)",Z36,AK36)+Статистика!$J$4))-Статистика!$C$10)/MAX(Статистика!$G$10-Статистика!$C$10,0.000001))))</f>
        <v>0.49561715288888869</v>
      </c>
      <c r="BU36" s="12">
        <f>IF(Y36="","",MAX(0,MAX(0,MIN(1,(((IF(Статистика!$C$4="Параллельный режим (активная мощность)",AB36,AM36)+Статистика!$J$4))-Статистика!$C$10)/MAX(Статистика!$G$10-Статистика!$C$10,0.000001)))-MAX(0,MIN(1,(((IF(Статистика!$C$4="Параллельный режим (активная мощность)",Z36,AK36)+Статистика!$J$4))-Статистика!$C$10)/MAX(Статистика!$G$10-Статистика!$C$10,0.000001)))))</f>
        <v>3.4415876000000012E-2</v>
      </c>
      <c r="BV36" s="12">
        <f>IF(Y36="","",MAX(0,MAX(0,MIN(1,(((IF(Статистика!$C$4="Параллельный режим (активная мощность)",AC36,AN36)+Статистика!$J$4))-Статистика!$C$10)/MAX(Статистика!$G$10-Статистика!$C$10,0.000001)))-MAX(0,MIN(1,(((IF(Статистика!$C$4="Параллельный режим (активная мощность)",AB36,AM36)+Статистика!$J$4))-Статистика!$C$10)/MAX(Статистика!$G$10-Статистика!$C$10,0.000001)))))</f>
        <v>7.9844943333333251E-2</v>
      </c>
      <c r="BW36" s="12">
        <f>IF(Y36="","",MAX(0,MAX(0,MIN(1,(((IF(Статистика!$C$4="Параллельный режим (активная мощность)",AD36,AO36)+Статистика!$J$4))-Статистика!$C$10)/MAX(Статистика!$G$10-Статистика!$C$10,0.000001)))-MAX(0,MIN(1,(((IF(Статистика!$C$4="Параллельный режим (активная мощность)",AC36,AN36)+Статистика!$J$4))-Статистика!$C$10)/MAX(Статистика!$G$10-Статистика!$C$10,0.000001)))))</f>
        <v>5.6392872222222667E-2</v>
      </c>
      <c r="BX36" s="12">
        <f>IF(Y36="","",MAX(0,MAX(0,MIN(1,(((IF(Статистика!$C$4="Параллельный режим (активная мощность)",AE36,AP36)+Статистика!$J$4))-Статистика!$C$10)/MAX(Статистика!$G$10-Статистика!$C$10,0.000001)))-MAX(0,MIN(1,(((IF(Статистика!$C$4="Параллельный режим (активная мощность)",AD36,AO36)+Статистика!$J$4))-Статистика!$C$10)/MAX(Статистика!$G$10-Статистика!$C$10,0.000001)))))</f>
        <v>3.2094777777777028E-2</v>
      </c>
      <c r="BY36" s="12">
        <f>IF(Y36="","",MAX(0,MAX(0,MIN(1,(((IF(Статистика!$C$4="Параллельный режим (активная мощность)",AF36,AQ36)+Статистика!$J$4))-Статистика!$C$10)/MAX(Статистика!$G$10-Статистика!$C$10,0.000001)))-MAX(0,MIN(1,(((IF(Статистика!$C$4="Параллельный режим (активная мощность)",AE36,AP36)+Статистика!$J$4))-Статистика!$C$10)/MAX(Статистика!$G$10-Статистика!$C$10,0.000001)))))</f>
        <v>0.11490307833333402</v>
      </c>
      <c r="BZ36" s="12">
        <f>IF(Y36="","",MAX(0,MAX(0,MIN(1,(((IF(Статистика!$C$4="Параллельный режим (активная мощность)",AH36,AS36)+Статистика!$J$4))-Статистика!$C$10)/MAX(Статистика!$G$10-Статистика!$C$10,0.000001)))-MAX(0,MIN(1,(((IF(Статистика!$C$4="Параллельный режим (активная мощность)",AF36,AQ36)+Статистика!$J$4))-Статистика!$C$10)/MAX(Статистика!$G$10-Статистика!$C$10,0.000001)))))</f>
        <v>1.5401039499999825E-2</v>
      </c>
      <c r="CA36" s="12">
        <f>IF(Y36="","",MAX(0,1-MAX(0,MIN(1,(((IF(Статистика!$C$4="Параллельный режим (активная мощность)",AH36,AS36)+Статистика!$J$4))-Статистика!$C$10)/MAX(Статистика!$G$10-Статистика!$C$10,0.000001)))))</f>
        <v>0.17133025994444451</v>
      </c>
      <c r="CB36" s="12">
        <f>IF(Y36="",NA(),IF(Статистика!$B$8="Вкл",(((IF(Статистика!$C$4="Параллельный режим (активная мощность)",AD36,AO36)+Статистика!$J$4))-Статистика!$C$10)/MAX(Статистика!$G$10-Статистика!$C$10,0.000001),NA()))</f>
        <v>0.66627084444444462</v>
      </c>
      <c r="CC36" s="12">
        <f>IF(Y36="",NA(),IF(Статистика!$D$8="Вкл",(((IF(Статистика!$C$4="Параллельный режим (активная мощность)",AC36,AN36)+Статистика!$J$4))-Статистика!$C$10)/MAX(Статистика!$G$10-Статистика!$C$10,0.000001),NA()))</f>
        <v>0.60987797222222195</v>
      </c>
      <c r="CD36" s="12">
        <f>IF(Y36="",NA(),IF(Статистика!$D$8="Вкл",(((IF(Статистика!$C$4="Параллельный режим (активная мощность)",AE36,AP36)+Статистика!$J$4))-Статистика!$C$10)/MAX(Статистика!$G$10-Статистика!$C$10,0.000001),NA()))</f>
        <v>0.69836562222222165</v>
      </c>
      <c r="CE36" s="12">
        <f>IF(Y36="",NA(),IF(Статистика!$F$8="Вкл",(((IF(Статистика!$C$4="Параллельный режим (активная мощность)",AB36,AM36)+Статистика!$J$4))-Статистика!$C$10)/MAX(Статистика!$G$10-Статистика!$C$10,0.000001),NA()))</f>
        <v>0.5300330288888887</v>
      </c>
      <c r="CF36" s="12">
        <f>IF(Y36="",NA(),IF(Статистика!$F$8="Вкл",(((IF(Статистика!$C$4="Параллельный режим (активная мощность)",AF36,AQ36)+Статистика!$J$4))-Статистика!$C$10)/MAX(Статистика!$G$10-Статистика!$C$10,0.000001),NA()))</f>
        <v>0.81326870055555567</v>
      </c>
      <c r="CG36" s="12">
        <f>IF(Y36="",NA(),IF(Статистика!$H$8="Вкл",(((IF(Статистика!$C$4="Параллельный режим (активная мощность)",Z36,AK36)+Статистика!$J$4))-Статистика!$C$10)/MAX(Статистика!$G$10-Статистика!$C$10,0.000001),NA()))</f>
        <v>0.49561715288888869</v>
      </c>
      <c r="CH36" s="12">
        <f>IF(Y36="",NA(),IF(Статистика!$H$8="Вкл",(((IF(Статистика!$C$4="Параллельный режим (активная мощность)",AH36,AS36)+Статистика!$J$4))-Статистика!$C$10)/MAX(Статистика!$G$10-Статистика!$C$10,0.000001),NA()))</f>
        <v>0.82866974005555549</v>
      </c>
      <c r="CI36" s="12" t="e">
        <f>IF(Y36="",NA(),IF(Статистика!$J$8="Вкл",(((IF(Статистика!$C$4="Параллельный режим (активная мощность)",AI36,AT36)+Статистика!$J$4))-Статистика!$C$10)/MAX(Статистика!$G$10-Статистика!$C$10,0.000001),NA()))</f>
        <v>#N/A</v>
      </c>
      <c r="CJ36" s="12" t="e">
        <f>IF(AND(Y36&lt;&gt;"",Статистика!$C$6="Вкл",Статистика!$B$6&gt;0),(Статистика!$B$6-Статистика!$C$10)/MAX(Статистика!$G$10-Статистика!$C$10,0.000001),NA())</f>
        <v>#N/A</v>
      </c>
      <c r="CK36" s="12" t="e">
        <f>IF(AND(Y36&lt;&gt;"",Статистика!$F$6="Вкл",Статистика!$E$6&gt;0),(Статистика!$E$6-Статистика!$C$10)/MAX(Статистика!$G$10-Статистика!$C$10,0.000001),NA())</f>
        <v>#N/A</v>
      </c>
      <c r="CL36" s="12" t="e">
        <f>IF(AND(Y36&lt;&gt;"",Статистика!$I$6="Вкл",Статистика!$H$6&gt;0),(Статистика!$H$6-Статистика!$C$10)/MAX(Статистика!$G$10-Статистика!$C$10,0.000001),NA())</f>
        <v>#N/A</v>
      </c>
      <c r="CM36" s="12" t="e">
        <f>IF(AND(Y36&lt;&gt;"",Статистика!$L$6="Вкл",Статистика!$K$6&gt;0),(Статистика!$K$6-Статистика!$C$10)/MAX(Статистика!$G$10-Статистика!$C$10,0.000001),NA())</f>
        <v>#N/A</v>
      </c>
      <c r="CN36" s="12" t="e">
        <f>IF(AND(Y36&lt;&gt;"",Статистика!$M$6="Вкл",Статистика!$O$6&gt;0),(Статистика!$O$6-Статистика!$C$10)/MAX(Статистика!$G$10-Статистика!$C$10,0.000001),NA())</f>
        <v>#N/A</v>
      </c>
      <c r="CO36" s="12">
        <f t="shared" si="1"/>
        <v>1</v>
      </c>
    </row>
    <row r="37" spans="1:93" ht="15" customHeight="1">
      <c r="A37" s="12" t="s">
        <v>200</v>
      </c>
      <c r="B37" s="12">
        <v>2322.0259470000001</v>
      </c>
      <c r="C37" s="12">
        <v>5775.6564016666671</v>
      </c>
      <c r="D37" s="12">
        <v>7433.361315000001</v>
      </c>
      <c r="E37" s="12">
        <v>7710.3100083333338</v>
      </c>
      <c r="F37" s="12">
        <v>7880.1263999999992</v>
      </c>
      <c r="G37" s="12">
        <v>7988.2083749999993</v>
      </c>
      <c r="H37" s="12">
        <v>8363.1444300000003</v>
      </c>
      <c r="I37" s="12">
        <v>8428.8063975000005</v>
      </c>
      <c r="J37" s="12">
        <v>8482.3327995</v>
      </c>
      <c r="K37" s="12">
        <v>8646.66</v>
      </c>
      <c r="L37" s="12" t="s">
        <v>201</v>
      </c>
      <c r="M37" s="12">
        <v>2888.8215850000001</v>
      </c>
      <c r="N37" s="12">
        <v>6732.5355250000011</v>
      </c>
      <c r="O37" s="12">
        <v>8578.2795249999999</v>
      </c>
      <c r="P37" s="12">
        <v>8881.4993083333356</v>
      </c>
      <c r="Q37" s="12">
        <v>8958.652916666666</v>
      </c>
      <c r="R37" s="12">
        <v>9161.9645583333331</v>
      </c>
      <c r="S37" s="12">
        <v>9435.3546433333322</v>
      </c>
      <c r="T37" s="12">
        <v>9479.6289908333329</v>
      </c>
      <c r="U37" s="12">
        <v>9500.5329448333323</v>
      </c>
      <c r="V37" s="12">
        <v>9646.1299999999992</v>
      </c>
      <c r="W37" s="12" t="s">
        <v>202</v>
      </c>
      <c r="Y37" s="12" t="s">
        <v>200</v>
      </c>
      <c r="Z37" s="12">
        <v>7449.1839686666663</v>
      </c>
      <c r="AA37" s="12">
        <v>7528.1969099999997</v>
      </c>
      <c r="AB37" s="12">
        <v>7626.9630866666666</v>
      </c>
      <c r="AC37" s="12">
        <v>7850.1926416666674</v>
      </c>
      <c r="AD37" s="12">
        <v>8000.1574000000001</v>
      </c>
      <c r="AE37" s="12">
        <v>8086.9148583333335</v>
      </c>
      <c r="AF37" s="12">
        <v>8478.3704516666676</v>
      </c>
      <c r="AG37" s="12">
        <v>8484.8853758333335</v>
      </c>
      <c r="AH37" s="12">
        <v>8490.0973151666658</v>
      </c>
      <c r="AI37" s="12">
        <v>8642.1299999999992</v>
      </c>
      <c r="AJ37" s="12" t="s">
        <v>203</v>
      </c>
      <c r="AK37" s="12">
        <v>8513.0384474999992</v>
      </c>
      <c r="AL37" s="12">
        <v>8579.0159708333322</v>
      </c>
      <c r="AM37" s="12">
        <v>8661.4878750000007</v>
      </c>
      <c r="AN37" s="12">
        <v>9003.8859083333336</v>
      </c>
      <c r="AO37" s="12">
        <v>9085.6047500000004</v>
      </c>
      <c r="AP37" s="12">
        <v>9262.659758333335</v>
      </c>
      <c r="AQ37" s="12">
        <v>9626.21587</v>
      </c>
      <c r="AR37" s="12">
        <v>9641.0836350000009</v>
      </c>
      <c r="AS37" s="12">
        <v>9652.9778470000001</v>
      </c>
      <c r="AT37" s="12">
        <v>9787.7000000000007</v>
      </c>
      <c r="AU37" s="12" t="s">
        <v>203</v>
      </c>
      <c r="AW37" s="12">
        <f>IF(A37="","",MAX(0,MIN(1,(((IF(Статистика!$C$4="Параллельный режим (активная мощность)",B37,M37)+Статистика!$J$4))-Статистика!$C$10)/MAX(Статистика!$G$10-Статистика!$C$10,0.000001))))</f>
        <v>0</v>
      </c>
      <c r="AX37" s="12">
        <f>IF(A37="","",MAX(0,MAX(0,MIN(1,(((IF(Статистика!$C$4="Параллельный режим (активная мощность)",D37,O37)+Статистика!$J$4))-Статистика!$C$10)/MAX(Статистика!$G$10-Статистика!$C$10,0.000001)))-MAX(0,MIN(1,(((IF(Статистика!$C$4="Параллельный режим (активная мощность)",B37,M37)+Статистика!$J$4))-Статистика!$C$10)/MAX(Статистика!$G$10-Статистика!$C$10,0.000001)))))</f>
        <v>0.47778710500000032</v>
      </c>
      <c r="AY37" s="12">
        <f>IF(A37="","",MAX(0,MAX(0,MIN(1,(((IF(Статистика!$C$4="Параллельный режим (активная мощность)",E37,P37)+Статистика!$J$4))-Статистика!$C$10)/MAX(Статистика!$G$10-Статистика!$C$10,0.000001)))-MAX(0,MIN(1,(((IF(Статистика!$C$4="Параллельный режим (активная мощность)",D37,O37)+Статистика!$J$4))-Статистика!$C$10)/MAX(Статистика!$G$10-Статистика!$C$10,0.000001)))))</f>
        <v>9.231623111111098E-2</v>
      </c>
      <c r="AZ37" s="12">
        <f>IF(A37="","",MAX(0,MAX(0,MIN(1,(((IF(Статистика!$C$4="Параллельный режим (активная мощность)",F37,Q37)+Статистика!$J$4))-Статистика!$C$10)/MAX(Статистика!$G$10-Статистика!$C$10,0.000001)))-MAX(0,MIN(1,(((IF(Статистика!$C$4="Параллельный режим (активная мощность)",E37,P37)+Статистика!$J$4))-Статистика!$C$10)/MAX(Статистика!$G$10-Статистика!$C$10,0.000001)))))</f>
        <v>5.660546388888843E-2</v>
      </c>
      <c r="BA37" s="12">
        <f>IF(A37="","",MAX(0,MAX(0,MIN(1,(((IF(Статистика!$C$4="Параллельный режим (активная мощность)",G37,R37)+Статистика!$J$4))-Статистика!$C$10)/MAX(Статистика!$G$10-Статистика!$C$10,0.000001)))-MAX(0,MIN(1,(((IF(Статистика!$C$4="Параллельный режим (активная мощность)",F37,Q37)+Статистика!$J$4))-Статистика!$C$10)/MAX(Статистика!$G$10-Статистика!$C$10,0.000001)))))</f>
        <v>3.6027325000000054E-2</v>
      </c>
      <c r="BB37" s="12">
        <f>IF(A37="","",MAX(0,MAX(0,MIN(1,(((IF(Статистика!$C$4="Параллельный режим (активная мощность)",H37,S37)+Статистика!$J$4))-Статистика!$C$10)/MAX(Статистика!$G$10-Статистика!$C$10,0.000001)))-MAX(0,MIN(1,(((IF(Статистика!$C$4="Параллельный режим (активная мощность)",G37,R37)+Статистика!$J$4))-Статистика!$C$10)/MAX(Статистика!$G$10-Статистика!$C$10,0.000001)))))</f>
        <v>0.12497868500000031</v>
      </c>
      <c r="BC37" s="12">
        <f>IF(A37="","",MAX(0,MAX(0,MIN(1,(((IF(Статистика!$C$4="Параллельный режим (активная мощность)",J37,U37)+Статистика!$J$4))-Статистика!$C$10)/MAX(Статистика!$G$10-Статистика!$C$10,0.000001)))-MAX(0,MIN(1,(((IF(Статистика!$C$4="Параллельный режим (активная мощность)",H37,S37)+Статистика!$J$4))-Статистика!$C$10)/MAX(Статистика!$G$10-Статистика!$C$10,0.000001)))))</f>
        <v>3.9729456499999927E-2</v>
      </c>
      <c r="BD37" s="12">
        <f>IF(A37="","",MAX(0,1-MAX(0,MIN(1,(((IF(Статистика!$C$4="Параллельный режим (активная мощность)",J37,U37)+Статистика!$J$4))-Статистика!$C$10)/MAX(Статистика!$G$10-Статистика!$C$10,0.000001)))))</f>
        <v>0.17255573349999997</v>
      </c>
      <c r="BE37" s="12">
        <f>IF(A37="",NA(),IF(Статистика!$B$8="Вкл",(((IF(Статистика!$C$4="Параллельный режим (активная мощность)",F37,Q37)+Статистика!$J$4))-Статистика!$C$10)/MAX(Статистика!$G$10-Статистика!$C$10,0.000001),NA()))</f>
        <v>0.62670879999999973</v>
      </c>
      <c r="BF37" s="12">
        <f>IF(A37="",NA(),IF(Статистика!$D$8="Вкл",(((IF(Статистика!$C$4="Параллельный режим (активная мощность)",E37,P37)+Статистика!$J$4))-Статистика!$C$10)/MAX(Статистика!$G$10-Статистика!$C$10,0.000001),NA()))</f>
        <v>0.5701033361111113</v>
      </c>
      <c r="BG37" s="12">
        <f>IF(A37="",NA(),IF(Статистика!$D$8="Вкл",(((IF(Статистика!$C$4="Параллельный режим (активная мощность)",G37,R37)+Статистика!$J$4))-Статистика!$C$10)/MAX(Статистика!$G$10-Статистика!$C$10,0.000001),NA()))</f>
        <v>0.66273612499999979</v>
      </c>
      <c r="BH37" s="12">
        <f>IF(A37="",NA(),IF(Статистика!$F$8="Вкл",(((IF(Статистика!$C$4="Параллельный режим (активная мощность)",D37,O37)+Статистика!$J$4))-Статистика!$C$10)/MAX(Статистика!$G$10-Статистика!$C$10,0.000001),NA()))</f>
        <v>0.47778710500000032</v>
      </c>
      <c r="BI37" s="12">
        <f>IF(A37="",NA(),IF(Статистика!$F$8="Вкл",(((IF(Статистика!$C$4="Параллельный режим (активная мощность)",H37,S37)+Статистика!$J$4))-Статистика!$C$10)/MAX(Статистика!$G$10-Статистика!$C$10,0.000001),NA()))</f>
        <v>0.7877148100000001</v>
      </c>
      <c r="BJ37" s="12">
        <f>IF(A37="",NA(),IF(Статистика!$H$8="Вкл",(((IF(Статистика!$C$4="Параллельный режим (активная мощность)",B37,M37)+Статистика!$J$4))-Статистика!$C$10)/MAX(Статистика!$G$10-Статистика!$C$10,0.000001),NA()))</f>
        <v>-1.225991351</v>
      </c>
      <c r="BK37" s="12">
        <f>IF(A37="",NA(),IF(Статистика!$H$8="Вкл",(((IF(Статистика!$C$4="Параллельный режим (активная мощность)",J37,U37)+Статистика!$J$4))-Статистика!$C$10)/MAX(Статистика!$G$10-Статистика!$C$10,0.000001),NA()))</f>
        <v>0.82744426650000003</v>
      </c>
      <c r="BL37" s="12" t="e">
        <f>IF(A37="",NA(),IF(Статистика!$J$8="Вкл",(((IF(Статистика!$C$4="Параллельный режим (активная мощность)",K37,V37)+Статистика!$J$4))-Статистика!$C$10)/MAX(Статистика!$G$10-Статистика!$C$10,0.000001),NA()))</f>
        <v>#N/A</v>
      </c>
      <c r="BM37" s="12" t="e">
        <f>IF(AND(A37&lt;&gt;"",Статистика!$C$6="Вкл",Статистика!$B$6&gt;0),(Статистика!$B$6-Статистика!$C$10)/MAX(Статистика!$G$10-Статистика!$C$10,0.000001),NA())</f>
        <v>#N/A</v>
      </c>
      <c r="BN37" s="12" t="e">
        <f>IF(AND(A37&lt;&gt;"",Статистика!$F$6="Вкл",Статистика!$E$6&gt;0),(Статистика!$E$6-Статистика!$C$10)/MAX(Статистика!$G$10-Статистика!$C$10,0.000001),NA())</f>
        <v>#N/A</v>
      </c>
      <c r="BO37" s="12" t="e">
        <f>IF(AND(A37&lt;&gt;"",Статистика!$I$6="Вкл",Статистика!$H$6&gt;0),(Статистика!$H$6-Статистика!$C$10)/MAX(Статистика!$G$10-Статистика!$C$10,0.000001),NA())</f>
        <v>#N/A</v>
      </c>
      <c r="BP37" s="12" t="e">
        <f>IF(AND(A37&lt;&gt;"",Статистика!$L$6="Вкл",Статистика!$K$6&gt;0),(Статистика!$K$6-Статистика!$C$10)/MAX(Статистика!$G$10-Статистика!$C$10,0.000001),NA())</f>
        <v>#N/A</v>
      </c>
      <c r="BQ37" s="12" t="e">
        <f>IF(AND(A37&lt;&gt;"",Статистика!$M$6="Вкл",Статистика!$O$6&gt;0),(Статистика!$O$6-Статистика!$C$10)/MAX(Статистика!$G$10-Статистика!$C$10,0.000001),NA())</f>
        <v>#N/A</v>
      </c>
      <c r="BR37" s="12">
        <f t="shared" si="0"/>
        <v>1</v>
      </c>
      <c r="BT37" s="12">
        <f>IF(Y37="","",MAX(0,MIN(1,(((IF(Статистика!$C$4="Параллельный режим (активная мощность)",Z37,AK37)+Статистика!$J$4))-Статистика!$C$10)/MAX(Статистика!$G$10-Статистика!$C$10,0.000001))))</f>
        <v>0.48306132288888876</v>
      </c>
      <c r="BU37" s="12">
        <f>IF(Y37="","",MAX(0,MAX(0,MIN(1,(((IF(Статистика!$C$4="Параллельный режим (активная мощность)",AB37,AM37)+Статистика!$J$4))-Статистика!$C$10)/MAX(Статистика!$G$10-Статистика!$C$10,0.000001)))-MAX(0,MIN(1,(((IF(Статистика!$C$4="Параллельный режим (активная мощность)",Z37,AK37)+Статистика!$J$4))-Статистика!$C$10)/MAX(Статистика!$G$10-Статистика!$C$10,0.000001)))))</f>
        <v>5.9259706000000134E-2</v>
      </c>
      <c r="BV37" s="12">
        <f>IF(Y37="","",MAX(0,MAX(0,MIN(1,(((IF(Статистика!$C$4="Параллельный режим (активная мощность)",AC37,AN37)+Статистика!$J$4))-Статистика!$C$10)/MAX(Статистика!$G$10-Статистика!$C$10,0.000001)))-MAX(0,MIN(1,(((IF(Статистика!$C$4="Параллельный режим (активная мощность)",AB37,AM37)+Статистика!$J$4))-Статистика!$C$10)/MAX(Статистика!$G$10-Статистика!$C$10,0.000001)))))</f>
        <v>7.4409851666666915E-2</v>
      </c>
      <c r="BW37" s="12">
        <f>IF(Y37="","",MAX(0,MAX(0,MIN(1,(((IF(Статистика!$C$4="Параллельный режим (активная мощность)",AD37,AO37)+Статистика!$J$4))-Статистика!$C$10)/MAX(Статистика!$G$10-Статистика!$C$10,0.000001)))-MAX(0,MIN(1,(((IF(Статистика!$C$4="Параллельный режим (активная мощность)",AC37,AN37)+Статистика!$J$4))-Статистика!$C$10)/MAX(Статистика!$G$10-Статистика!$C$10,0.000001)))))</f>
        <v>4.998825277777752E-2</v>
      </c>
      <c r="BX37" s="12">
        <f>IF(Y37="","",MAX(0,MAX(0,MIN(1,(((IF(Статистика!$C$4="Параллельный режим (активная мощность)",AE37,AP37)+Статистика!$J$4))-Статистика!$C$10)/MAX(Статистика!$G$10-Статистика!$C$10,0.000001)))-MAX(0,MIN(1,(((IF(Статистика!$C$4="Параллельный режим (активная мощность)",AD37,AO37)+Статистика!$J$4))-Статистика!$C$10)/MAX(Статистика!$G$10-Статистика!$C$10,0.000001)))))</f>
        <v>2.8919152777777901E-2</v>
      </c>
      <c r="BY37" s="12">
        <f>IF(Y37="","",MAX(0,MAX(0,MIN(1,(((IF(Статистика!$C$4="Параллельный режим (активная мощность)",AF37,AQ37)+Статистика!$J$4))-Статистика!$C$10)/MAX(Статистика!$G$10-Статистика!$C$10,0.000001)))-MAX(0,MIN(1,(((IF(Статистика!$C$4="Параллельный режим (активная мощность)",AE37,AP37)+Статистика!$J$4))-Статистика!$C$10)/MAX(Статистика!$G$10-Статистика!$C$10,0.000001)))))</f>
        <v>0.13048519777777801</v>
      </c>
      <c r="BZ37" s="12">
        <f>IF(Y37="","",MAX(0,MAX(0,MIN(1,(((IF(Статистика!$C$4="Параллельный режим (активная мощность)",AH37,AS37)+Статистика!$J$4))-Статистика!$C$10)/MAX(Статистика!$G$10-Статистика!$C$10,0.000001)))-MAX(0,MIN(1,(((IF(Статистика!$C$4="Параллельный режим (активная мощность)",AF37,AQ37)+Статистика!$J$4))-Статистика!$C$10)/MAX(Статистика!$G$10-Статистика!$C$10,0.000001)))))</f>
        <v>3.9089544999993953E-3</v>
      </c>
      <c r="CA37" s="12">
        <f>IF(Y37="","",MAX(0,1-MAX(0,MIN(1,(((IF(Статистика!$C$4="Параллельный режим (активная мощность)",AH37,AS37)+Статистика!$J$4))-Статистика!$C$10)/MAX(Статистика!$G$10-Статистика!$C$10,0.000001)))))</f>
        <v>0.16996756161111137</v>
      </c>
      <c r="CB37" s="12">
        <f>IF(Y37="",NA(),IF(Статистика!$B$8="Вкл",(((IF(Статистика!$C$4="Параллельный режим (активная мощность)",AD37,AO37)+Статистика!$J$4))-Статистика!$C$10)/MAX(Статистика!$G$10-Статистика!$C$10,0.000001),NA()))</f>
        <v>0.66671913333333332</v>
      </c>
      <c r="CC37" s="12">
        <f>IF(Y37="",NA(),IF(Статистика!$D$8="Вкл",(((IF(Статистика!$C$4="Параллельный режим (активная мощность)",AC37,AN37)+Статистика!$J$4))-Статистика!$C$10)/MAX(Статистика!$G$10-Статистика!$C$10,0.000001),NA()))</f>
        <v>0.6167308805555558</v>
      </c>
      <c r="CD37" s="12">
        <f>IF(Y37="",NA(),IF(Статистика!$D$8="Вкл",(((IF(Статистика!$C$4="Параллельный режим (активная мощность)",AE37,AP37)+Статистика!$J$4))-Статистика!$C$10)/MAX(Статистика!$G$10-Статистика!$C$10,0.000001),NA()))</f>
        <v>0.69563828611111123</v>
      </c>
      <c r="CE37" s="12">
        <f>IF(Y37="",NA(),IF(Статистика!$F$8="Вкл",(((IF(Статистика!$C$4="Параллельный режим (активная мощность)",AB37,AM37)+Статистика!$J$4))-Статистика!$C$10)/MAX(Статистика!$G$10-Статистика!$C$10,0.000001),NA()))</f>
        <v>0.54232102888888889</v>
      </c>
      <c r="CF37" s="12">
        <f>IF(Y37="",NA(),IF(Статистика!$F$8="Вкл",(((IF(Статистика!$C$4="Параллельный режим (активная мощность)",AF37,AQ37)+Статистика!$J$4))-Статистика!$C$10)/MAX(Статистика!$G$10-Статистика!$C$10,0.000001),NA()))</f>
        <v>0.82612348388888923</v>
      </c>
      <c r="CG37" s="12">
        <f>IF(Y37="",NA(),IF(Статистика!$H$8="Вкл",(((IF(Статистика!$C$4="Параллельный режим (активная мощность)",Z37,AK37)+Статистика!$J$4))-Статистика!$C$10)/MAX(Статистика!$G$10-Статистика!$C$10,0.000001),NA()))</f>
        <v>0.48306132288888876</v>
      </c>
      <c r="CH37" s="12">
        <f>IF(Y37="",NA(),IF(Статистика!$H$8="Вкл",(((IF(Статистика!$C$4="Параллельный режим (активная мощность)",AH37,AS37)+Статистика!$J$4))-Статистика!$C$10)/MAX(Статистика!$G$10-Статистика!$C$10,0.000001),NA()))</f>
        <v>0.83003243838888863</v>
      </c>
      <c r="CI37" s="12" t="e">
        <f>IF(Y37="",NA(),IF(Статистика!$J$8="Вкл",(((IF(Статистика!$C$4="Параллельный режим (активная мощность)",AI37,AT37)+Статистика!$J$4))-Статистика!$C$10)/MAX(Статистика!$G$10-Статистика!$C$10,0.000001),NA()))</f>
        <v>#N/A</v>
      </c>
      <c r="CJ37" s="12" t="e">
        <f>IF(AND(Y37&lt;&gt;"",Статистика!$C$6="Вкл",Статистика!$B$6&gt;0),(Статистика!$B$6-Статистика!$C$10)/MAX(Статистика!$G$10-Статистика!$C$10,0.000001),NA())</f>
        <v>#N/A</v>
      </c>
      <c r="CK37" s="12" t="e">
        <f>IF(AND(Y37&lt;&gt;"",Статистика!$F$6="Вкл",Статистика!$E$6&gt;0),(Статистика!$E$6-Статистика!$C$10)/MAX(Статистика!$G$10-Статистика!$C$10,0.000001),NA())</f>
        <v>#N/A</v>
      </c>
      <c r="CL37" s="12" t="e">
        <f>IF(AND(Y37&lt;&gt;"",Статистика!$I$6="Вкл",Статистика!$H$6&gt;0),(Статистика!$H$6-Статистика!$C$10)/MAX(Статистика!$G$10-Статистика!$C$10,0.000001),NA())</f>
        <v>#N/A</v>
      </c>
      <c r="CM37" s="12" t="e">
        <f>IF(AND(Y37&lt;&gt;"",Статистика!$L$6="Вкл",Статистика!$K$6&gt;0),(Статистика!$K$6-Статистика!$C$10)/MAX(Статистика!$G$10-Статистика!$C$10,0.000001),NA())</f>
        <v>#N/A</v>
      </c>
      <c r="CN37" s="12" t="e">
        <f>IF(AND(Y37&lt;&gt;"",Статистика!$M$6="Вкл",Статистика!$O$6&gt;0),(Статистика!$O$6-Статистика!$C$10)/MAX(Статистика!$G$10-Статистика!$C$10,0.000001),NA())</f>
        <v>#N/A</v>
      </c>
      <c r="CO37" s="12">
        <f t="shared" si="1"/>
        <v>1</v>
      </c>
    </row>
    <row r="38" spans="1:93" ht="15" customHeight="1">
      <c r="A38" s="12" t="s">
        <v>204</v>
      </c>
      <c r="B38" s="12">
        <v>2339.2907598333331</v>
      </c>
      <c r="C38" s="12">
        <v>5804.9680658333327</v>
      </c>
      <c r="D38" s="12">
        <v>7474.4125833333328</v>
      </c>
      <c r="E38" s="12">
        <v>7695.8811249999999</v>
      </c>
      <c r="F38" s="12">
        <v>7858.1967166666673</v>
      </c>
      <c r="G38" s="12">
        <v>7994.1194083333339</v>
      </c>
      <c r="H38" s="12">
        <v>8350.1724933333335</v>
      </c>
      <c r="I38" s="12">
        <v>8419.2180249999983</v>
      </c>
      <c r="J38" s="12">
        <v>8496.1563783333331</v>
      </c>
      <c r="K38" s="12">
        <v>8654.7000000000007</v>
      </c>
      <c r="L38" s="12" t="s">
        <v>205</v>
      </c>
      <c r="M38" s="12">
        <v>2911.8719379999993</v>
      </c>
      <c r="N38" s="12">
        <v>6777.234223333332</v>
      </c>
      <c r="O38" s="12">
        <v>8625.1522750000004</v>
      </c>
      <c r="P38" s="12">
        <v>8821.7247166666675</v>
      </c>
      <c r="Q38" s="12">
        <v>8971.6861166666677</v>
      </c>
      <c r="R38" s="12">
        <v>9160.4849833333337</v>
      </c>
      <c r="S38" s="12">
        <v>9432.7927483333333</v>
      </c>
      <c r="T38" s="12">
        <v>9471.2904600000002</v>
      </c>
      <c r="U38" s="12">
        <v>9526.4900653333316</v>
      </c>
      <c r="V38" s="12">
        <v>9906.06</v>
      </c>
      <c r="W38" s="12" t="s">
        <v>206</v>
      </c>
      <c r="Y38" s="12" t="s">
        <v>204</v>
      </c>
      <c r="Z38" s="12">
        <v>7383.2983726666671</v>
      </c>
      <c r="AA38" s="12">
        <v>7484.4505300000001</v>
      </c>
      <c r="AB38" s="12">
        <v>7610.8907266666674</v>
      </c>
      <c r="AC38" s="12">
        <v>7885.8525916666667</v>
      </c>
      <c r="AD38" s="12">
        <v>8022.4945666666672</v>
      </c>
      <c r="AE38" s="12">
        <v>8121.9118083333324</v>
      </c>
      <c r="AF38" s="12">
        <v>8500.5387833333352</v>
      </c>
      <c r="AG38" s="12">
        <v>8512.9714416666684</v>
      </c>
      <c r="AH38" s="12">
        <v>8522.9175683333342</v>
      </c>
      <c r="AI38" s="12">
        <v>8644.18</v>
      </c>
      <c r="AJ38" s="12" t="s">
        <v>207</v>
      </c>
      <c r="AK38" s="12">
        <v>8460.3947313333319</v>
      </c>
      <c r="AL38" s="12">
        <v>8547.0080566666657</v>
      </c>
      <c r="AM38" s="12">
        <v>8655.2747133333323</v>
      </c>
      <c r="AN38" s="12">
        <v>9022.5071833333332</v>
      </c>
      <c r="AO38" s="12">
        <v>9095.9752166666658</v>
      </c>
      <c r="AP38" s="12">
        <v>9266.8892916666664</v>
      </c>
      <c r="AQ38" s="12">
        <v>9639.0070766666668</v>
      </c>
      <c r="AR38" s="12">
        <v>9644.5381883333339</v>
      </c>
      <c r="AS38" s="12">
        <v>9648.9630776666672</v>
      </c>
      <c r="AT38" s="12">
        <v>9773.56</v>
      </c>
      <c r="AU38" s="12" t="s">
        <v>208</v>
      </c>
      <c r="AW38" s="12">
        <f>IF(A38="","",MAX(0,MIN(1,(((IF(Статистика!$C$4="Параллельный режим (активная мощность)",B38,M38)+Статистика!$J$4))-Статистика!$C$10)/MAX(Статистика!$G$10-Статистика!$C$10,0.000001))))</f>
        <v>0</v>
      </c>
      <c r="AX38" s="12">
        <f>IF(A38="","",MAX(0,MAX(0,MIN(1,(((IF(Статистика!$C$4="Параллельный режим (активная мощность)",D38,O38)+Статистика!$J$4))-Статистика!$C$10)/MAX(Статистика!$G$10-Статистика!$C$10,0.000001)))-MAX(0,MIN(1,(((IF(Статистика!$C$4="Параллельный режим (активная мощность)",B38,M38)+Статистика!$J$4))-Статистика!$C$10)/MAX(Статистика!$G$10-Статистика!$C$10,0.000001)))))</f>
        <v>0.49147086111111093</v>
      </c>
      <c r="AY38" s="12">
        <f>IF(A38="","",MAX(0,MAX(0,MIN(1,(((IF(Статистика!$C$4="Параллельный режим (активная мощность)",E38,P38)+Статистика!$J$4))-Статистика!$C$10)/MAX(Статистика!$G$10-Статистика!$C$10,0.000001)))-MAX(0,MIN(1,(((IF(Статистика!$C$4="Параллельный режим (активная мощность)",D38,O38)+Статистика!$J$4))-Статистика!$C$10)/MAX(Статистика!$G$10-Статистика!$C$10,0.000001)))))</f>
        <v>7.3822847222222321E-2</v>
      </c>
      <c r="AZ38" s="12">
        <f>IF(A38="","",MAX(0,MAX(0,MIN(1,(((IF(Статистика!$C$4="Параллельный режим (активная мощность)",F38,Q38)+Статистика!$J$4))-Статистика!$C$10)/MAX(Статистика!$G$10-Статистика!$C$10,0.000001)))-MAX(0,MIN(1,(((IF(Статистика!$C$4="Параллельный режим (активная мощность)",E38,P38)+Статистика!$J$4))-Статистика!$C$10)/MAX(Статистика!$G$10-Статистика!$C$10,0.000001)))))</f>
        <v>5.4105197222222512E-2</v>
      </c>
      <c r="BA38" s="12">
        <f>IF(A38="","",MAX(0,MAX(0,MIN(1,(((IF(Статистика!$C$4="Параллельный режим (активная мощность)",G38,R38)+Статистика!$J$4))-Статистика!$C$10)/MAX(Статистика!$G$10-Статистика!$C$10,0.000001)))-MAX(0,MIN(1,(((IF(Статистика!$C$4="Параллельный режим (активная мощность)",F38,Q38)+Статистика!$J$4))-Статистика!$C$10)/MAX(Статистика!$G$10-Статистика!$C$10,0.000001)))))</f>
        <v>4.5307563888888902E-2</v>
      </c>
      <c r="BB38" s="12">
        <f>IF(A38="","",MAX(0,MAX(0,MIN(1,(((IF(Статистика!$C$4="Параллельный режим (активная мощность)",H38,S38)+Статистика!$J$4))-Статистика!$C$10)/MAX(Статистика!$G$10-Статистика!$C$10,0.000001)))-MAX(0,MIN(1,(((IF(Статистика!$C$4="Параллельный режим (активная мощность)",G38,R38)+Статистика!$J$4))-Статистика!$C$10)/MAX(Статистика!$G$10-Статистика!$C$10,0.000001)))))</f>
        <v>0.11868436166666652</v>
      </c>
      <c r="BC38" s="12">
        <f>IF(A38="","",MAX(0,MAX(0,MIN(1,(((IF(Статистика!$C$4="Параллельный режим (активная мощность)",J38,U38)+Статистика!$J$4))-Статистика!$C$10)/MAX(Статистика!$G$10-Статистика!$C$10,0.000001)))-MAX(0,MIN(1,(((IF(Статистика!$C$4="Параллельный режим (активная мощность)",H38,S38)+Статистика!$J$4))-Статистика!$C$10)/MAX(Статистика!$G$10-Статистика!$C$10,0.000001)))))</f>
        <v>4.8661294999999827E-2</v>
      </c>
      <c r="BD38" s="12">
        <f>IF(A38="","",MAX(0,1-MAX(0,MIN(1,(((IF(Статистика!$C$4="Параллельный режим (активная мощность)",J38,U38)+Статистика!$J$4))-Статистика!$C$10)/MAX(Статистика!$G$10-Статистика!$C$10,0.000001)))))</f>
        <v>0.16794787388888899</v>
      </c>
      <c r="BE38" s="12">
        <f>IF(A38="",NA(),IF(Статистика!$B$8="Вкл",(((IF(Статистика!$C$4="Параллельный режим (активная мощность)",F38,Q38)+Статистика!$J$4))-Статистика!$C$10)/MAX(Статистика!$G$10-Статистика!$C$10,0.000001),NA()))</f>
        <v>0.61939890555555577</v>
      </c>
      <c r="BF38" s="12">
        <f>IF(A38="",NA(),IF(Статистика!$D$8="Вкл",(((IF(Статистика!$C$4="Параллельный режим (активная мощность)",E38,P38)+Статистика!$J$4))-Статистика!$C$10)/MAX(Статистика!$G$10-Статистика!$C$10,0.000001),NA()))</f>
        <v>0.56529370833333326</v>
      </c>
      <c r="BG38" s="12">
        <f>IF(A38="",NA(),IF(Статистика!$D$8="Вкл",(((IF(Статистика!$C$4="Параллельный режим (активная мощность)",G38,R38)+Статистика!$J$4))-Статистика!$C$10)/MAX(Статистика!$G$10-Статистика!$C$10,0.000001),NA()))</f>
        <v>0.66470646944444467</v>
      </c>
      <c r="BH38" s="12">
        <f>IF(A38="",NA(),IF(Статистика!$F$8="Вкл",(((IF(Статистика!$C$4="Параллельный режим (активная мощность)",D38,O38)+Статистика!$J$4))-Статистика!$C$10)/MAX(Статистика!$G$10-Статистика!$C$10,0.000001),NA()))</f>
        <v>0.49147086111111093</v>
      </c>
      <c r="BI38" s="12">
        <f>IF(A38="",NA(),IF(Статистика!$F$8="Вкл",(((IF(Статистика!$C$4="Параллельный режим (активная мощность)",H38,S38)+Статистика!$J$4))-Статистика!$C$10)/MAX(Статистика!$G$10-Статистика!$C$10,0.000001),NA()))</f>
        <v>0.78339083111111119</v>
      </c>
      <c r="BJ38" s="12">
        <f>IF(A38="",NA(),IF(Статистика!$H$8="Вкл",(((IF(Статистика!$C$4="Параллельный режим (активная мощность)",B38,M38)+Статистика!$J$4))-Статистика!$C$10)/MAX(Статистика!$G$10-Статистика!$C$10,0.000001),NA()))</f>
        <v>-1.220236413388889</v>
      </c>
      <c r="BK38" s="12">
        <f>IF(A38="",NA(),IF(Статистика!$H$8="Вкл",(((IF(Статистика!$C$4="Параллельный режим (активная мощность)",J38,U38)+Статистика!$J$4))-Статистика!$C$10)/MAX(Статистика!$G$10-Статистика!$C$10,0.000001),NA()))</f>
        <v>0.83205212611111101</v>
      </c>
      <c r="BL38" s="12" t="e">
        <f>IF(A38="",NA(),IF(Статистика!$J$8="Вкл",(((IF(Статистика!$C$4="Параллельный режим (активная мощность)",K38,V38)+Статистика!$J$4))-Статистика!$C$10)/MAX(Статистика!$G$10-Статистика!$C$10,0.000001),NA()))</f>
        <v>#N/A</v>
      </c>
      <c r="BM38" s="12" t="e">
        <f>IF(AND(A38&lt;&gt;"",Статистика!$C$6="Вкл",Статистика!$B$6&gt;0),(Статистика!$B$6-Статистика!$C$10)/MAX(Статистика!$G$10-Статистика!$C$10,0.000001),NA())</f>
        <v>#N/A</v>
      </c>
      <c r="BN38" s="12" t="e">
        <f>IF(AND(A38&lt;&gt;"",Статистика!$F$6="Вкл",Статистика!$E$6&gt;0),(Статистика!$E$6-Статистика!$C$10)/MAX(Статистика!$G$10-Статистика!$C$10,0.000001),NA())</f>
        <v>#N/A</v>
      </c>
      <c r="BO38" s="12" t="e">
        <f>IF(AND(A38&lt;&gt;"",Статистика!$I$6="Вкл",Статистика!$H$6&gt;0),(Статистика!$H$6-Статистика!$C$10)/MAX(Статистика!$G$10-Статистика!$C$10,0.000001),NA())</f>
        <v>#N/A</v>
      </c>
      <c r="BP38" s="12" t="e">
        <f>IF(AND(A38&lt;&gt;"",Статистика!$L$6="Вкл",Статистика!$K$6&gt;0),(Статистика!$K$6-Статистика!$C$10)/MAX(Статистика!$G$10-Статистика!$C$10,0.000001),NA())</f>
        <v>#N/A</v>
      </c>
      <c r="BQ38" s="12" t="e">
        <f>IF(AND(A38&lt;&gt;"",Статистика!$M$6="Вкл",Статистика!$O$6&gt;0),(Статистика!$O$6-Статистика!$C$10)/MAX(Статистика!$G$10-Статистика!$C$10,0.000001),NA())</f>
        <v>#N/A</v>
      </c>
      <c r="BR38" s="12">
        <f t="shared" si="0"/>
        <v>1</v>
      </c>
      <c r="BT38" s="12">
        <f>IF(Y38="","",MAX(0,MIN(1,(((IF(Статистика!$C$4="Параллельный режим (активная мощность)",Z38,AK38)+Статистика!$J$4))-Статистика!$C$10)/MAX(Статистика!$G$10-Статистика!$C$10,0.000001))))</f>
        <v>0.4610994575555557</v>
      </c>
      <c r="BU38" s="12">
        <f>IF(Y38="","",MAX(0,MAX(0,MIN(1,(((IF(Статистика!$C$4="Параллельный режим (активная мощность)",AB38,AM38)+Статистика!$J$4))-Статистика!$C$10)/MAX(Статистика!$G$10-Статистика!$C$10,0.000001)))-MAX(0,MIN(1,(((IF(Статистика!$C$4="Параллельный режим (активная мощность)",Z38,AK38)+Статистика!$J$4))-Статистика!$C$10)/MAX(Статистика!$G$10-Статистика!$C$10,0.000001)))))</f>
        <v>7.5864118000000147E-2</v>
      </c>
      <c r="BV38" s="12">
        <f>IF(Y38="","",MAX(0,MAX(0,MIN(1,(((IF(Статистика!$C$4="Параллельный режим (активная мощность)",AC38,AN38)+Статистика!$J$4))-Статистика!$C$10)/MAX(Статистика!$G$10-Статистика!$C$10,0.000001)))-MAX(0,MIN(1,(((IF(Статистика!$C$4="Параллельный режим (активная мощность)",AB38,AM38)+Статистика!$J$4))-Статистика!$C$10)/MAX(Статистика!$G$10-Статистика!$C$10,0.000001)))))</f>
        <v>9.1653954999999732E-2</v>
      </c>
      <c r="BW38" s="12">
        <f>IF(Y38="","",MAX(0,MAX(0,MIN(1,(((IF(Статистика!$C$4="Параллельный режим (активная мощность)",AD38,AO38)+Статистика!$J$4))-Статистика!$C$10)/MAX(Статистика!$G$10-Статистика!$C$10,0.000001)))-MAX(0,MIN(1,(((IF(Статистика!$C$4="Параллельный режим (активная мощность)",AC38,AN38)+Статистика!$J$4))-Статистика!$C$10)/MAX(Статистика!$G$10-Статистика!$C$10,0.000001)))))</f>
        <v>4.5547325000000138E-2</v>
      </c>
      <c r="BX38" s="12">
        <f>IF(Y38="","",MAX(0,MAX(0,MIN(1,(((IF(Статистика!$C$4="Параллельный режим (активная мощность)",AE38,AP38)+Статистика!$J$4))-Статистика!$C$10)/MAX(Статистика!$G$10-Статистика!$C$10,0.000001)))-MAX(0,MIN(1,(((IF(Статистика!$C$4="Параллельный режим (активная мощность)",AD38,AO38)+Статистика!$J$4))-Статистика!$C$10)/MAX(Статистика!$G$10-Статистика!$C$10,0.000001)))))</f>
        <v>3.3139080555555034E-2</v>
      </c>
      <c r="BY38" s="12">
        <f>IF(Y38="","",MAX(0,MAX(0,MIN(1,(((IF(Статистика!$C$4="Параллельный режим (активная мощность)",AF38,AQ38)+Статистика!$J$4))-Статистика!$C$10)/MAX(Статистика!$G$10-Статистика!$C$10,0.000001)))-MAX(0,MIN(1,(((IF(Статистика!$C$4="Параллельный режим (активная мощность)",AE38,AP38)+Статистика!$J$4))-Статистика!$C$10)/MAX(Статистика!$G$10-Статистика!$C$10,0.000001)))))</f>
        <v>0.12620899166666766</v>
      </c>
      <c r="BZ38" s="12">
        <f>IF(Y38="","",MAX(0,MAX(0,MIN(1,(((IF(Статистика!$C$4="Параллельный режим (активная мощность)",AH38,AS38)+Статистика!$J$4))-Статистика!$C$10)/MAX(Статистика!$G$10-Статистика!$C$10,0.000001)))-MAX(0,MIN(1,(((IF(Статистика!$C$4="Параллельный режим (активная мощность)",AF38,AQ38)+Статистика!$J$4))-Статистика!$C$10)/MAX(Статистика!$G$10-Статистика!$C$10,0.000001)))))</f>
        <v>7.459594999999708E-3</v>
      </c>
      <c r="CA38" s="12">
        <f>IF(Y38="","",MAX(0,1-MAX(0,MIN(1,(((IF(Статистика!$C$4="Параллельный режим (активная мощность)",AH38,AS38)+Статистика!$J$4))-Статистика!$C$10)/MAX(Статистика!$G$10-Статистика!$C$10,0.000001)))))</f>
        <v>0.15902747722222188</v>
      </c>
      <c r="CB38" s="12">
        <f>IF(Y38="",NA(),IF(Статистика!$B$8="Вкл",(((IF(Статистика!$C$4="Параллельный режим (активная мощность)",AD38,AO38)+Статистика!$J$4))-Статистика!$C$10)/MAX(Статистика!$G$10-Статистика!$C$10,0.000001),NA()))</f>
        <v>0.67416485555555572</v>
      </c>
      <c r="CC38" s="12">
        <f>IF(Y38="",NA(),IF(Статистика!$D$8="Вкл",(((IF(Статистика!$C$4="Параллельный режим (активная мощность)",AC38,AN38)+Статистика!$J$4))-Статистика!$C$10)/MAX(Статистика!$G$10-Статистика!$C$10,0.000001),NA()))</f>
        <v>0.62861753055555558</v>
      </c>
      <c r="CD38" s="12">
        <f>IF(Y38="",NA(),IF(Статистика!$D$8="Вкл",(((IF(Статистика!$C$4="Параллельный режим (активная мощность)",AE38,AP38)+Статистика!$J$4))-Статистика!$C$10)/MAX(Статистика!$G$10-Статистика!$C$10,0.000001),NA()))</f>
        <v>0.70730393611111075</v>
      </c>
      <c r="CE38" s="12">
        <f>IF(Y38="",NA(),IF(Статистика!$F$8="Вкл",(((IF(Статистика!$C$4="Параллельный режим (активная мощность)",AB38,AM38)+Статистика!$J$4))-Статистика!$C$10)/MAX(Статистика!$G$10-Статистика!$C$10,0.000001),NA()))</f>
        <v>0.53696357555555585</v>
      </c>
      <c r="CF38" s="12">
        <f>IF(Y38="",NA(),IF(Статистика!$F$8="Вкл",(((IF(Статистика!$C$4="Параллельный режим (активная мощность)",AF38,AQ38)+Статистика!$J$4))-Статистика!$C$10)/MAX(Статистика!$G$10-Статистика!$C$10,0.000001),NA()))</f>
        <v>0.83351292777777841</v>
      </c>
      <c r="CG38" s="12">
        <f>IF(Y38="",NA(),IF(Статистика!$H$8="Вкл",(((IF(Статистика!$C$4="Параллельный режим (активная мощность)",Z38,AK38)+Статистика!$J$4))-Статистика!$C$10)/MAX(Статистика!$G$10-Статистика!$C$10,0.000001),NA()))</f>
        <v>0.4610994575555557</v>
      </c>
      <c r="CH38" s="12">
        <f>IF(Y38="",NA(),IF(Статистика!$H$8="Вкл",(((IF(Статистика!$C$4="Параллельный режим (активная мощность)",AH38,AS38)+Статистика!$J$4))-Статистика!$C$10)/MAX(Статистика!$G$10-Статистика!$C$10,0.000001),NA()))</f>
        <v>0.84097252277777812</v>
      </c>
      <c r="CI38" s="12" t="e">
        <f>IF(Y38="",NA(),IF(Статистика!$J$8="Вкл",(((IF(Статистика!$C$4="Параллельный режим (активная мощность)",AI38,AT38)+Статистика!$J$4))-Статистика!$C$10)/MAX(Статистика!$G$10-Статистика!$C$10,0.000001),NA()))</f>
        <v>#N/A</v>
      </c>
      <c r="CJ38" s="12" t="e">
        <f>IF(AND(Y38&lt;&gt;"",Статистика!$C$6="Вкл",Статистика!$B$6&gt;0),(Статистика!$B$6-Статистика!$C$10)/MAX(Статистика!$G$10-Статистика!$C$10,0.000001),NA())</f>
        <v>#N/A</v>
      </c>
      <c r="CK38" s="12" t="e">
        <f>IF(AND(Y38&lt;&gt;"",Статистика!$F$6="Вкл",Статистика!$E$6&gt;0),(Статистика!$E$6-Статистика!$C$10)/MAX(Статистика!$G$10-Статистика!$C$10,0.000001),NA())</f>
        <v>#N/A</v>
      </c>
      <c r="CL38" s="12" t="e">
        <f>IF(AND(Y38&lt;&gt;"",Статистика!$I$6="Вкл",Статистика!$H$6&gt;0),(Статистика!$H$6-Статистика!$C$10)/MAX(Статистика!$G$10-Статистика!$C$10,0.000001),NA())</f>
        <v>#N/A</v>
      </c>
      <c r="CM38" s="12" t="e">
        <f>IF(AND(Y38&lt;&gt;"",Статистика!$L$6="Вкл",Статистика!$K$6&gt;0),(Статистика!$K$6-Статистика!$C$10)/MAX(Статистика!$G$10-Статистика!$C$10,0.000001),NA())</f>
        <v>#N/A</v>
      </c>
      <c r="CN38" s="12" t="e">
        <f>IF(AND(Y38&lt;&gt;"",Статистика!$M$6="Вкл",Статистика!$O$6&gt;0),(Статистика!$O$6-Статистика!$C$10)/MAX(Статистика!$G$10-Статистика!$C$10,0.000001),NA())</f>
        <v>#N/A</v>
      </c>
      <c r="CO38" s="12">
        <f t="shared" si="1"/>
        <v>1</v>
      </c>
    </row>
    <row r="39" spans="1:93" ht="15" customHeight="1">
      <c r="A39" s="12" t="s">
        <v>209</v>
      </c>
      <c r="B39" s="12">
        <v>2338.2524208333334</v>
      </c>
      <c r="C39" s="12">
        <v>5815.6699708333344</v>
      </c>
      <c r="D39" s="12">
        <v>7497.0055083333336</v>
      </c>
      <c r="E39" s="12">
        <v>7706.1339500000004</v>
      </c>
      <c r="F39" s="12">
        <v>7846.3178833333341</v>
      </c>
      <c r="G39" s="12">
        <v>8008.9345750000002</v>
      </c>
      <c r="H39" s="12">
        <v>8400.4338150000003</v>
      </c>
      <c r="I39" s="12">
        <v>8463.4873716666661</v>
      </c>
      <c r="J39" s="12">
        <v>8556.2499810000008</v>
      </c>
      <c r="K39" s="12">
        <v>8694.35</v>
      </c>
      <c r="L39" s="12" t="s">
        <v>210</v>
      </c>
      <c r="M39" s="12">
        <v>2909.1290338333329</v>
      </c>
      <c r="N39" s="12">
        <v>6781.0699691666669</v>
      </c>
      <c r="O39" s="12">
        <v>8629.187593333334</v>
      </c>
      <c r="P39" s="12">
        <v>8860.7199166666669</v>
      </c>
      <c r="Q39" s="12">
        <v>8952.7214000000004</v>
      </c>
      <c r="R39" s="12">
        <v>9114.5972833333326</v>
      </c>
      <c r="S39" s="12">
        <v>9535.5053816666659</v>
      </c>
      <c r="T39" s="12">
        <v>9561.7244083333335</v>
      </c>
      <c r="U39" s="12">
        <v>9591.3220016666673</v>
      </c>
      <c r="V39" s="12">
        <v>9707.77</v>
      </c>
      <c r="W39" s="12" t="s">
        <v>210</v>
      </c>
      <c r="Y39" s="12" t="s">
        <v>209</v>
      </c>
      <c r="Z39" s="12">
        <v>7393.5347073333332</v>
      </c>
      <c r="AA39" s="12">
        <v>7494.3622033333331</v>
      </c>
      <c r="AB39" s="12">
        <v>7620.3965733333325</v>
      </c>
      <c r="AC39" s="12">
        <v>7872.2131416666671</v>
      </c>
      <c r="AD39" s="12">
        <v>7990.9763666666659</v>
      </c>
      <c r="AE39" s="12">
        <v>8088.6222666666663</v>
      </c>
      <c r="AF39" s="12">
        <v>8478.7927749999999</v>
      </c>
      <c r="AG39" s="12">
        <v>8483.7763708333332</v>
      </c>
      <c r="AH39" s="12">
        <v>8487.7632474999991</v>
      </c>
      <c r="AI39" s="12">
        <v>8679.23</v>
      </c>
      <c r="AJ39" s="12" t="s">
        <v>211</v>
      </c>
      <c r="AK39" s="12">
        <v>8470.3273969999991</v>
      </c>
      <c r="AL39" s="12">
        <v>8557.6744516666658</v>
      </c>
      <c r="AM39" s="12">
        <v>8666.8582699999988</v>
      </c>
      <c r="AN39" s="12">
        <v>8988.2821333333341</v>
      </c>
      <c r="AO39" s="12">
        <v>9077.9616333333324</v>
      </c>
      <c r="AP39" s="12">
        <v>9208.9136833333341</v>
      </c>
      <c r="AQ39" s="12">
        <v>9604.8019616666661</v>
      </c>
      <c r="AR39" s="12">
        <v>9615.2254974999996</v>
      </c>
      <c r="AS39" s="12">
        <v>9623.5643261666664</v>
      </c>
      <c r="AT39" s="12">
        <v>9881.51</v>
      </c>
      <c r="AU39" s="12" t="s">
        <v>211</v>
      </c>
      <c r="AW39" s="12">
        <f>IF(A39="","",MAX(0,MIN(1,(((IF(Статистика!$C$4="Параллельный режим (активная мощность)",B39,M39)+Статистика!$J$4))-Статистика!$C$10)/MAX(Статистика!$G$10-Статистика!$C$10,0.000001))))</f>
        <v>0</v>
      </c>
      <c r="AX39" s="12">
        <f>IF(A39="","",MAX(0,MAX(0,MIN(1,(((IF(Статистика!$C$4="Параллельный режим (активная мощность)",D39,O39)+Статистика!$J$4))-Статистика!$C$10)/MAX(Статистика!$G$10-Статистика!$C$10,0.000001)))-MAX(0,MIN(1,(((IF(Статистика!$C$4="Параллельный режим (активная мощность)",B39,M39)+Статистика!$J$4))-Статистика!$C$10)/MAX(Статистика!$G$10-Статистика!$C$10,0.000001)))))</f>
        <v>0.49900183611111121</v>
      </c>
      <c r="AY39" s="12">
        <f>IF(A39="","",MAX(0,MAX(0,MIN(1,(((IF(Статистика!$C$4="Параллельный режим (активная мощность)",E39,P39)+Статистика!$J$4))-Статистика!$C$10)/MAX(Статистика!$G$10-Статистика!$C$10,0.000001)))-MAX(0,MIN(1,(((IF(Статистика!$C$4="Параллельный режим (активная мощность)",D39,O39)+Статистика!$J$4))-Статистика!$C$10)/MAX(Статистика!$G$10-Статистика!$C$10,0.000001)))))</f>
        <v>6.9709480555555536E-2</v>
      </c>
      <c r="AZ39" s="12">
        <f>IF(A39="","",MAX(0,MAX(0,MIN(1,(((IF(Статистика!$C$4="Параллельный режим (активная мощность)",F39,Q39)+Статистика!$J$4))-Статистика!$C$10)/MAX(Статистика!$G$10-Статистика!$C$10,0.000001)))-MAX(0,MIN(1,(((IF(Статистика!$C$4="Параллельный режим (активная мощность)",E39,P39)+Статистика!$J$4))-Статистика!$C$10)/MAX(Статистика!$G$10-Статистика!$C$10,0.000001)))))</f>
        <v>4.6727977777777929E-2</v>
      </c>
      <c r="BA39" s="12">
        <f>IF(A39="","",MAX(0,MAX(0,MIN(1,(((IF(Статистика!$C$4="Параллельный режим (активная мощность)",G39,R39)+Статистика!$J$4))-Статистика!$C$10)/MAX(Статистика!$G$10-Статистика!$C$10,0.000001)))-MAX(0,MIN(1,(((IF(Статистика!$C$4="Параллельный режим (активная мощность)",F39,Q39)+Статистика!$J$4))-Статистика!$C$10)/MAX(Статистика!$G$10-Статистика!$C$10,0.000001)))))</f>
        <v>5.4205563888888753E-2</v>
      </c>
      <c r="BB39" s="12">
        <f>IF(A39="","",MAX(0,MAX(0,MIN(1,(((IF(Статистика!$C$4="Параллельный режим (активная мощность)",H39,S39)+Статистика!$J$4))-Статистика!$C$10)/MAX(Статистика!$G$10-Статистика!$C$10,0.000001)))-MAX(0,MIN(1,(((IF(Статистика!$C$4="Параллельный режим (активная мощность)",G39,R39)+Статистика!$J$4))-Статистика!$C$10)/MAX(Статистика!$G$10-Статистика!$C$10,0.000001)))))</f>
        <v>0.13049974666666664</v>
      </c>
      <c r="BC39" s="12">
        <f>IF(A39="","",MAX(0,MAX(0,MIN(1,(((IF(Статистика!$C$4="Параллельный режим (активная мощность)",J39,U39)+Статистика!$J$4))-Статистика!$C$10)/MAX(Статистика!$G$10-Статистика!$C$10,0.000001)))-MAX(0,MIN(1,(((IF(Статистика!$C$4="Параллельный режим (активная мощность)",H39,S39)+Статистика!$J$4))-Статистика!$C$10)/MAX(Статистика!$G$10-Статистика!$C$10,0.000001)))))</f>
        <v>5.193872200000027E-2</v>
      </c>
      <c r="BD39" s="12">
        <f>IF(A39="","",MAX(0,1-MAX(0,MIN(1,(((IF(Статистика!$C$4="Параллельный режим (активная мощность)",J39,U39)+Статистика!$J$4))-Статистика!$C$10)/MAX(Статистика!$G$10-Статистика!$C$10,0.000001)))))</f>
        <v>0.14791667299999967</v>
      </c>
      <c r="BE39" s="12">
        <f>IF(A39="",NA(),IF(Статистика!$B$8="Вкл",(((IF(Статистика!$C$4="Параллельный режим (активная мощность)",F39,Q39)+Статистика!$J$4))-Статистика!$C$10)/MAX(Статистика!$G$10-Статистика!$C$10,0.000001),NA()))</f>
        <v>0.61543929444444467</v>
      </c>
      <c r="BF39" s="12">
        <f>IF(A39="",NA(),IF(Статистика!$D$8="Вкл",(((IF(Статистика!$C$4="Параллельный режим (активная мощность)",E39,P39)+Статистика!$J$4))-Статистика!$C$10)/MAX(Статистика!$G$10-Статистика!$C$10,0.000001),NA()))</f>
        <v>0.56871131666666674</v>
      </c>
      <c r="BG39" s="12">
        <f>IF(A39="",NA(),IF(Статистика!$D$8="Вкл",(((IF(Статистика!$C$4="Параллельный режим (активная мощность)",G39,R39)+Статистика!$J$4))-Статистика!$C$10)/MAX(Статистика!$G$10-Статистика!$C$10,0.000001),NA()))</f>
        <v>0.66964485833333343</v>
      </c>
      <c r="BH39" s="12">
        <f>IF(A39="",NA(),IF(Статистика!$F$8="Вкл",(((IF(Статистика!$C$4="Параллельный режим (активная мощность)",D39,O39)+Статистика!$J$4))-Статистика!$C$10)/MAX(Статистика!$G$10-Статистика!$C$10,0.000001),NA()))</f>
        <v>0.49900183611111121</v>
      </c>
      <c r="BI39" s="12">
        <f>IF(A39="",NA(),IF(Статистика!$F$8="Вкл",(((IF(Статистика!$C$4="Параллельный режим (активная мощность)",H39,S39)+Статистика!$J$4))-Статистика!$C$10)/MAX(Статистика!$G$10-Статистика!$C$10,0.000001),NA()))</f>
        <v>0.80014460500000006</v>
      </c>
      <c r="BJ39" s="12">
        <f>IF(A39="",NA(),IF(Статистика!$H$8="Вкл",(((IF(Статистика!$C$4="Параллельный режим (активная мощность)",B39,M39)+Статистика!$J$4))-Статистика!$C$10)/MAX(Статистика!$G$10-Статистика!$C$10,0.000001),NA()))</f>
        <v>-1.2205825263888888</v>
      </c>
      <c r="BK39" s="12">
        <f>IF(A39="",NA(),IF(Статистика!$H$8="Вкл",(((IF(Статистика!$C$4="Параллельный режим (активная мощность)",J39,U39)+Статистика!$J$4))-Статистика!$C$10)/MAX(Статистика!$G$10-Статистика!$C$10,0.000001),NA()))</f>
        <v>0.85208332700000033</v>
      </c>
      <c r="BL39" s="12" t="e">
        <f>IF(A39="",NA(),IF(Статистика!$J$8="Вкл",(((IF(Статистика!$C$4="Параллельный режим (активная мощность)",K39,V39)+Статистика!$J$4))-Статистика!$C$10)/MAX(Статистика!$G$10-Статистика!$C$10,0.000001),NA()))</f>
        <v>#N/A</v>
      </c>
      <c r="BM39" s="12" t="e">
        <f>IF(AND(A39&lt;&gt;"",Статистика!$C$6="Вкл",Статистика!$B$6&gt;0),(Статистика!$B$6-Статистика!$C$10)/MAX(Статистика!$G$10-Статистика!$C$10,0.000001),NA())</f>
        <v>#N/A</v>
      </c>
      <c r="BN39" s="12" t="e">
        <f>IF(AND(A39&lt;&gt;"",Статистика!$F$6="Вкл",Статистика!$E$6&gt;0),(Статистика!$E$6-Статистика!$C$10)/MAX(Статистика!$G$10-Статистика!$C$10,0.000001),NA())</f>
        <v>#N/A</v>
      </c>
      <c r="BO39" s="12" t="e">
        <f>IF(AND(A39&lt;&gt;"",Статистика!$I$6="Вкл",Статистика!$H$6&gt;0),(Статистика!$H$6-Статистика!$C$10)/MAX(Статистика!$G$10-Статистика!$C$10,0.000001),NA())</f>
        <v>#N/A</v>
      </c>
      <c r="BP39" s="12" t="e">
        <f>IF(AND(A39&lt;&gt;"",Статистика!$L$6="Вкл",Статистика!$K$6&gt;0),(Статистика!$K$6-Статистика!$C$10)/MAX(Статистика!$G$10-Статистика!$C$10,0.000001),NA())</f>
        <v>#N/A</v>
      </c>
      <c r="BQ39" s="12" t="e">
        <f>IF(AND(A39&lt;&gt;"",Статистика!$M$6="Вкл",Статистика!$O$6&gt;0),(Статистика!$O$6-Статистика!$C$10)/MAX(Статистика!$G$10-Статистика!$C$10,0.000001),NA())</f>
        <v>#N/A</v>
      </c>
      <c r="BR39" s="12">
        <f t="shared" si="0"/>
        <v>1</v>
      </c>
      <c r="BT39" s="12">
        <f>IF(Y39="","",MAX(0,MIN(1,(((IF(Статистика!$C$4="Параллельный режим (активная мощность)",Z39,AK39)+Статистика!$J$4))-Статистика!$C$10)/MAX(Статистика!$G$10-Статистика!$C$10,0.000001))))</f>
        <v>0.46451156911111108</v>
      </c>
      <c r="BU39" s="12">
        <f>IF(Y39="","",MAX(0,MAX(0,MIN(1,(((IF(Статистика!$C$4="Параллельный режим (активная мощность)",AB39,AM39)+Статистика!$J$4))-Статистика!$C$10)/MAX(Статистика!$G$10-Статистика!$C$10,0.000001)))-MAX(0,MIN(1,(((IF(Статистика!$C$4="Параллельный режим (активная мощность)",Z39,AK39)+Статистика!$J$4))-Статистика!$C$10)/MAX(Статистика!$G$10-Статистика!$C$10,0.000001)))))</f>
        <v>7.5620621999999804E-2</v>
      </c>
      <c r="BV39" s="12">
        <f>IF(Y39="","",MAX(0,MAX(0,MIN(1,(((IF(Статистика!$C$4="Параллельный режим (активная мощность)",AC39,AN39)+Статистика!$J$4))-Статистика!$C$10)/MAX(Статистика!$G$10-Статистика!$C$10,0.000001)))-MAX(0,MIN(1,(((IF(Статистика!$C$4="Параллельный режим (активная мощность)",AB39,AM39)+Статистика!$J$4))-Статистика!$C$10)/MAX(Статистика!$G$10-Статистика!$C$10,0.000001)))))</f>
        <v>8.3938856111111515E-2</v>
      </c>
      <c r="BW39" s="12">
        <f>IF(Y39="","",MAX(0,MAX(0,MIN(1,(((IF(Статистика!$C$4="Параллельный режим (активная мощность)",AD39,AO39)+Статистика!$J$4))-Статистика!$C$10)/MAX(Статистика!$G$10-Статистика!$C$10,0.000001)))-MAX(0,MIN(1,(((IF(Статистика!$C$4="Параллельный режим (активная мощность)",AC39,AN39)+Статистика!$J$4))-Статистика!$C$10)/MAX(Статистика!$G$10-Статистика!$C$10,0.000001)))))</f>
        <v>3.9587741666666232E-2</v>
      </c>
      <c r="BX39" s="12">
        <f>IF(Y39="","",MAX(0,MAX(0,MIN(1,(((IF(Статистика!$C$4="Параллельный режим (активная мощность)",AE39,AP39)+Статистика!$J$4))-Статистика!$C$10)/MAX(Статистика!$G$10-Статистика!$C$10,0.000001)))-MAX(0,MIN(1,(((IF(Статистика!$C$4="Параллельный режим (активная мощность)",AD39,AO39)+Статистика!$J$4))-Статистика!$C$10)/MAX(Статистика!$G$10-Статистика!$C$10,0.000001)))))</f>
        <v>3.2548633333333465E-2</v>
      </c>
      <c r="BY39" s="12">
        <f>IF(Y39="","",MAX(0,MAX(0,MIN(1,(((IF(Статистика!$C$4="Параллельный режим (активная мощность)",AF39,AQ39)+Статистика!$J$4))-Статистика!$C$10)/MAX(Статистика!$G$10-Статистика!$C$10,0.000001)))-MAX(0,MIN(1,(((IF(Статистика!$C$4="Параллельный режим (активная мощность)",AE39,AP39)+Статистика!$J$4))-Статистика!$C$10)/MAX(Статистика!$G$10-Статистика!$C$10,0.000001)))))</f>
        <v>0.13005683611111118</v>
      </c>
      <c r="BZ39" s="12">
        <f>IF(Y39="","",MAX(0,MAX(0,MIN(1,(((IF(Статистика!$C$4="Параллельный режим (активная мощность)",AH39,AS39)+Статистика!$J$4))-Статистика!$C$10)/MAX(Статистика!$G$10-Статистика!$C$10,0.000001)))-MAX(0,MIN(1,(((IF(Статистика!$C$4="Параллельный режим (активная мощность)",AF39,AQ39)+Статистика!$J$4))-Статистика!$C$10)/MAX(Статистика!$G$10-Статистика!$C$10,0.000001)))))</f>
        <v>2.9901574999997571E-3</v>
      </c>
      <c r="CA39" s="12">
        <f>IF(Y39="","",MAX(0,1-MAX(0,MIN(1,(((IF(Статистика!$C$4="Параллельный режим (активная мощность)",AH39,AS39)+Статистика!$J$4))-Статистика!$C$10)/MAX(Статистика!$G$10-Статистика!$C$10,0.000001)))))</f>
        <v>0.17074558416666696</v>
      </c>
      <c r="CB39" s="12">
        <f>IF(Y39="",NA(),IF(Статистика!$B$8="Вкл",(((IF(Статистика!$C$4="Параллельный режим (активная мощность)",AD39,AO39)+Статистика!$J$4))-Статистика!$C$10)/MAX(Статистика!$G$10-Статистика!$C$10,0.000001),NA()))</f>
        <v>0.66365878888888863</v>
      </c>
      <c r="CC39" s="12">
        <f>IF(Y39="",NA(),IF(Статистика!$D$8="Вкл",(((IF(Статистика!$C$4="Параллельный режим (активная мощность)",AC39,AN39)+Статистика!$J$4))-Статистика!$C$10)/MAX(Статистика!$G$10-Статистика!$C$10,0.000001),NA()))</f>
        <v>0.6240710472222224</v>
      </c>
      <c r="CD39" s="12">
        <f>IF(Y39="",NA(),IF(Статистика!$D$8="Вкл",(((IF(Статистика!$C$4="Параллельный режим (активная мощность)",AE39,AP39)+Статистика!$J$4))-Статистика!$C$10)/MAX(Статистика!$G$10-Статистика!$C$10,0.000001),NA()))</f>
        <v>0.69620742222222209</v>
      </c>
      <c r="CE39" s="12">
        <f>IF(Y39="",NA(),IF(Статистика!$F$8="Вкл",(((IF(Статистика!$C$4="Параллельный режим (активная мощность)",AB39,AM39)+Статистика!$J$4))-Статистика!$C$10)/MAX(Статистика!$G$10-Статистика!$C$10,0.000001),NA()))</f>
        <v>0.54013219111111088</v>
      </c>
      <c r="CF39" s="12">
        <f>IF(Y39="",NA(),IF(Статистика!$F$8="Вкл",(((IF(Статистика!$C$4="Параллельный режим (активная мощность)",AF39,AQ39)+Статистика!$J$4))-Статистика!$C$10)/MAX(Статистика!$G$10-Статистика!$C$10,0.000001),NA()))</f>
        <v>0.82626425833333328</v>
      </c>
      <c r="CG39" s="12">
        <f>IF(Y39="",NA(),IF(Статистика!$H$8="Вкл",(((IF(Статистика!$C$4="Параллельный режим (активная мощность)",Z39,AK39)+Статистика!$J$4))-Статистика!$C$10)/MAX(Статистика!$G$10-Статистика!$C$10,0.000001),NA()))</f>
        <v>0.46451156911111108</v>
      </c>
      <c r="CH39" s="12">
        <f>IF(Y39="",NA(),IF(Статистика!$H$8="Вкл",(((IF(Статистика!$C$4="Параллельный режим (активная мощность)",AH39,AS39)+Статистика!$J$4))-Статистика!$C$10)/MAX(Статистика!$G$10-Статистика!$C$10,0.000001),NA()))</f>
        <v>0.82925441583333304</v>
      </c>
      <c r="CI39" s="12" t="e">
        <f>IF(Y39="",NA(),IF(Статистика!$J$8="Вкл",(((IF(Статистика!$C$4="Параллельный режим (активная мощность)",AI39,AT39)+Статистика!$J$4))-Статистика!$C$10)/MAX(Статистика!$G$10-Статистика!$C$10,0.000001),NA()))</f>
        <v>#N/A</v>
      </c>
      <c r="CJ39" s="12" t="e">
        <f>IF(AND(Y39&lt;&gt;"",Статистика!$C$6="Вкл",Статистика!$B$6&gt;0),(Статистика!$B$6-Статистика!$C$10)/MAX(Статистика!$G$10-Статистика!$C$10,0.000001),NA())</f>
        <v>#N/A</v>
      </c>
      <c r="CK39" s="12" t="e">
        <f>IF(AND(Y39&lt;&gt;"",Статистика!$F$6="Вкл",Статистика!$E$6&gt;0),(Статистика!$E$6-Статистика!$C$10)/MAX(Статистика!$G$10-Статистика!$C$10,0.000001),NA())</f>
        <v>#N/A</v>
      </c>
      <c r="CL39" s="12" t="e">
        <f>IF(AND(Y39&lt;&gt;"",Статистика!$I$6="Вкл",Статистика!$H$6&gt;0),(Статистика!$H$6-Статистика!$C$10)/MAX(Статистика!$G$10-Статистика!$C$10,0.000001),NA())</f>
        <v>#N/A</v>
      </c>
      <c r="CM39" s="12" t="e">
        <f>IF(AND(Y39&lt;&gt;"",Статистика!$L$6="Вкл",Статистика!$K$6&gt;0),(Статистика!$K$6-Статистика!$C$10)/MAX(Статистика!$G$10-Статистика!$C$10,0.000001),NA())</f>
        <v>#N/A</v>
      </c>
      <c r="CN39" s="12" t="e">
        <f>IF(AND(Y39&lt;&gt;"",Статистика!$M$6="Вкл",Статистика!$O$6&gt;0),(Статистика!$O$6-Статистика!$C$10)/MAX(Статистика!$G$10-Статистика!$C$10,0.000001),NA())</f>
        <v>#N/A</v>
      </c>
      <c r="CO39" s="12">
        <f t="shared" si="1"/>
        <v>1</v>
      </c>
    </row>
    <row r="40" spans="1:93" ht="15" customHeight="1">
      <c r="A40" s="12" t="s">
        <v>212</v>
      </c>
      <c r="B40" s="12">
        <v>2323.739521</v>
      </c>
      <c r="C40" s="12">
        <v>5781.2876050000004</v>
      </c>
      <c r="D40" s="12">
        <v>7444.113985</v>
      </c>
      <c r="E40" s="12">
        <v>7675.3148833333335</v>
      </c>
      <c r="F40" s="12">
        <v>7832.7546500000008</v>
      </c>
      <c r="G40" s="12">
        <v>8002.2896666666666</v>
      </c>
      <c r="H40" s="12">
        <v>8400.3823433333346</v>
      </c>
      <c r="I40" s="12">
        <v>8458.8110108333331</v>
      </c>
      <c r="J40" s="12">
        <v>8576.4292688333317</v>
      </c>
      <c r="K40" s="12">
        <v>8748.51</v>
      </c>
      <c r="L40" s="12" t="s">
        <v>213</v>
      </c>
      <c r="M40" s="12">
        <v>2892.1357591666665</v>
      </c>
      <c r="N40" s="12">
        <v>6754.2029291666677</v>
      </c>
      <c r="O40" s="12">
        <v>8620.095631666667</v>
      </c>
      <c r="P40" s="12">
        <v>8818.9150916666658</v>
      </c>
      <c r="Q40" s="12">
        <v>8939.0583333333343</v>
      </c>
      <c r="R40" s="12">
        <v>9112.6797416666668</v>
      </c>
      <c r="S40" s="12">
        <v>9521.6160199999995</v>
      </c>
      <c r="T40" s="12">
        <v>9564.2007208333325</v>
      </c>
      <c r="U40" s="12">
        <v>9622.3846775000002</v>
      </c>
      <c r="V40" s="12">
        <v>9796.0400000000009</v>
      </c>
      <c r="W40" s="12" t="s">
        <v>214</v>
      </c>
      <c r="Y40" s="12" t="s">
        <v>212</v>
      </c>
      <c r="Z40" s="12">
        <v>7393.5405130000008</v>
      </c>
      <c r="AA40" s="12">
        <v>7492.1393650000009</v>
      </c>
      <c r="AB40" s="12">
        <v>7615.3879300000008</v>
      </c>
      <c r="AC40" s="12">
        <v>7884.2935666666654</v>
      </c>
      <c r="AD40" s="12">
        <v>7997.2308833333336</v>
      </c>
      <c r="AE40" s="12">
        <v>8068.4300499999999</v>
      </c>
      <c r="AF40" s="12">
        <v>8451.7697283333346</v>
      </c>
      <c r="AG40" s="12">
        <v>8461.8291641666674</v>
      </c>
      <c r="AH40" s="12">
        <v>8469.8767128333329</v>
      </c>
      <c r="AI40" s="12">
        <v>8633.4699999999993</v>
      </c>
      <c r="AJ40" s="12" t="s">
        <v>215</v>
      </c>
      <c r="AK40" s="12">
        <v>8474.395212166668</v>
      </c>
      <c r="AL40" s="12">
        <v>8557.2489941666681</v>
      </c>
      <c r="AM40" s="12">
        <v>8660.8162216666678</v>
      </c>
      <c r="AN40" s="12">
        <v>8992.79385</v>
      </c>
      <c r="AO40" s="12">
        <v>9090.3513333333321</v>
      </c>
      <c r="AP40" s="12">
        <v>9211.6632416666653</v>
      </c>
      <c r="AQ40" s="12">
        <v>9583.6389483333332</v>
      </c>
      <c r="AR40" s="12">
        <v>9607.2808908333318</v>
      </c>
      <c r="AS40" s="12">
        <v>9626.1944448333325</v>
      </c>
      <c r="AT40" s="12">
        <v>9755.52</v>
      </c>
      <c r="AU40" s="12" t="s">
        <v>216</v>
      </c>
      <c r="AW40" s="12">
        <f>IF(A40="","",MAX(0,MIN(1,(((IF(Статистика!$C$4="Параллельный режим (активная мощность)",B40,M40)+Статистика!$J$4))-Статистика!$C$10)/MAX(Статистика!$G$10-Статистика!$C$10,0.000001))))</f>
        <v>0</v>
      </c>
      <c r="AX40" s="12">
        <f>IF(A40="","",MAX(0,MAX(0,MIN(1,(((IF(Статистика!$C$4="Параллельный режим (активная мощность)",D40,O40)+Статистика!$J$4))-Статистика!$C$10)/MAX(Статистика!$G$10-Статистика!$C$10,0.000001)))-MAX(0,MIN(1,(((IF(Статистика!$C$4="Параллельный режим (активная мощность)",B40,M40)+Статистика!$J$4))-Статистика!$C$10)/MAX(Статистика!$G$10-Статистика!$C$10,0.000001)))))</f>
        <v>0.48137132833333329</v>
      </c>
      <c r="AY40" s="12">
        <f>IF(A40="","",MAX(0,MAX(0,MIN(1,(((IF(Статистика!$C$4="Параллельный режим (активная мощность)",E40,P40)+Статистика!$J$4))-Статистика!$C$10)/MAX(Статистика!$G$10-Статистика!$C$10,0.000001)))-MAX(0,MIN(1,(((IF(Статистика!$C$4="Параллельный режим (активная мощность)",D40,O40)+Статистика!$J$4))-Статистика!$C$10)/MAX(Статистика!$G$10-Статистика!$C$10,0.000001)))))</f>
        <v>7.706696611111119E-2</v>
      </c>
      <c r="AZ40" s="12">
        <f>IF(A40="","",MAX(0,MAX(0,MIN(1,(((IF(Статистика!$C$4="Параллельный режим (активная мощность)",F40,Q40)+Статистика!$J$4))-Статистика!$C$10)/MAX(Статистика!$G$10-Статистика!$C$10,0.000001)))-MAX(0,MIN(1,(((IF(Статистика!$C$4="Параллельный режим (активная мощность)",E40,P40)+Статистика!$J$4))-Статистика!$C$10)/MAX(Статистика!$G$10-Статистика!$C$10,0.000001)))))</f>
        <v>5.2479922222222419E-2</v>
      </c>
      <c r="BA40" s="12">
        <f>IF(A40="","",MAX(0,MAX(0,MIN(1,(((IF(Статистика!$C$4="Параллельный режим (активная мощность)",G40,R40)+Статистика!$J$4))-Статистика!$C$10)/MAX(Статистика!$G$10-Статистика!$C$10,0.000001)))-MAX(0,MIN(1,(((IF(Статистика!$C$4="Параллельный режим (активная мощность)",F40,Q40)+Статистика!$J$4))-Статистика!$C$10)/MAX(Статистика!$G$10-Статистика!$C$10,0.000001)))))</f>
        <v>5.6511672222221976E-2</v>
      </c>
      <c r="BB40" s="12">
        <f>IF(A40="","",MAX(0,MAX(0,MIN(1,(((IF(Статистика!$C$4="Параллельный режим (активная мощность)",H40,S40)+Статистика!$J$4))-Статистика!$C$10)/MAX(Статистика!$G$10-Статистика!$C$10,0.000001)))-MAX(0,MIN(1,(((IF(Статистика!$C$4="Параллельный режим (активная мощность)",G40,R40)+Статистика!$J$4))-Статистика!$C$10)/MAX(Статистика!$G$10-Статистика!$C$10,0.000001)))))</f>
        <v>0.13269755888888934</v>
      </c>
      <c r="BC40" s="12">
        <f>IF(A40="","",MAX(0,MAX(0,MIN(1,(((IF(Статистика!$C$4="Параллельный режим (активная мощность)",J40,U40)+Статистика!$J$4))-Статистика!$C$10)/MAX(Статистика!$G$10-Статистика!$C$10,0.000001)))-MAX(0,MIN(1,(((IF(Статистика!$C$4="Параллельный режим (активная мощность)",H40,S40)+Статистика!$J$4))-Статистика!$C$10)/MAX(Статистика!$G$10-Статистика!$C$10,0.000001)))))</f>
        <v>5.8682308499999003E-2</v>
      </c>
      <c r="BD40" s="12">
        <f>IF(A40="","",MAX(0,1-MAX(0,MIN(1,(((IF(Статистика!$C$4="Параллельный режим (активная мощность)",J40,U40)+Статистика!$J$4))-Статистика!$C$10)/MAX(Статистика!$G$10-Статистика!$C$10,0.000001)))))</f>
        <v>0.14119024372222277</v>
      </c>
      <c r="BE40" s="12">
        <f>IF(A40="",NA(),IF(Статистика!$B$8="Вкл",(((IF(Статистика!$C$4="Параллельный режим (активная мощность)",F40,Q40)+Статистика!$J$4))-Статистика!$C$10)/MAX(Статистика!$G$10-Статистика!$C$10,0.000001),NA()))</f>
        <v>0.6109182166666669</v>
      </c>
      <c r="BF40" s="12">
        <f>IF(A40="",NA(),IF(Статистика!$D$8="Вкл",(((IF(Статистика!$C$4="Параллельный режим (активная мощность)",E40,P40)+Статистика!$J$4))-Статистика!$C$10)/MAX(Статистика!$G$10-Статистика!$C$10,0.000001),NA()))</f>
        <v>0.55843829444444448</v>
      </c>
      <c r="BG40" s="12">
        <f>IF(A40="",NA(),IF(Статистика!$D$8="Вкл",(((IF(Статистика!$C$4="Параллельный режим (активная мощность)",G40,R40)+Статистика!$J$4))-Статистика!$C$10)/MAX(Статистика!$G$10-Статистика!$C$10,0.000001),NA()))</f>
        <v>0.66742988888888888</v>
      </c>
      <c r="BH40" s="12">
        <f>IF(A40="",NA(),IF(Статистика!$F$8="Вкл",(((IF(Статистика!$C$4="Параллельный режим (активная мощность)",D40,O40)+Статистика!$J$4))-Статистика!$C$10)/MAX(Статистика!$G$10-Статистика!$C$10,0.000001),NA()))</f>
        <v>0.48137132833333329</v>
      </c>
      <c r="BI40" s="12">
        <f>IF(A40="",NA(),IF(Статистика!$F$8="Вкл",(((IF(Статистика!$C$4="Параллельный режим (активная мощность)",H40,S40)+Статистика!$J$4))-Статистика!$C$10)/MAX(Статистика!$G$10-Статистика!$C$10,0.000001),NA()))</f>
        <v>0.80012744777777822</v>
      </c>
      <c r="BJ40" s="12">
        <f>IF(A40="",NA(),IF(Статистика!$H$8="Вкл",(((IF(Статистика!$C$4="Параллельный режим (активная мощность)",B40,M40)+Статистика!$J$4))-Статистика!$C$10)/MAX(Статистика!$G$10-Статистика!$C$10,0.000001),NA()))</f>
        <v>-1.2254201596666667</v>
      </c>
      <c r="BK40" s="12">
        <f>IF(A40="",NA(),IF(Статистика!$H$8="Вкл",(((IF(Статистика!$C$4="Параллельный режим (активная мощность)",J40,U40)+Статистика!$J$4))-Статистика!$C$10)/MAX(Статистика!$G$10-Статистика!$C$10,0.000001),NA()))</f>
        <v>0.85880975627777723</v>
      </c>
      <c r="BL40" s="12" t="e">
        <f>IF(A40="",NA(),IF(Статистика!$J$8="Вкл",(((IF(Статистика!$C$4="Параллельный режим (активная мощность)",K40,V40)+Статистика!$J$4))-Статистика!$C$10)/MAX(Статистика!$G$10-Статистика!$C$10,0.000001),NA()))</f>
        <v>#N/A</v>
      </c>
      <c r="BM40" s="12" t="e">
        <f>IF(AND(A40&lt;&gt;"",Статистика!$C$6="Вкл",Статистика!$B$6&gt;0),(Статистика!$B$6-Статистика!$C$10)/MAX(Статистика!$G$10-Статистика!$C$10,0.000001),NA())</f>
        <v>#N/A</v>
      </c>
      <c r="BN40" s="12" t="e">
        <f>IF(AND(A40&lt;&gt;"",Статистика!$F$6="Вкл",Статистика!$E$6&gt;0),(Статистика!$E$6-Статистика!$C$10)/MAX(Статистика!$G$10-Статистика!$C$10,0.000001),NA())</f>
        <v>#N/A</v>
      </c>
      <c r="BO40" s="12" t="e">
        <f>IF(AND(A40&lt;&gt;"",Статистика!$I$6="Вкл",Статистика!$H$6&gt;0),(Статистика!$H$6-Статистика!$C$10)/MAX(Статистика!$G$10-Статистика!$C$10,0.000001),NA())</f>
        <v>#N/A</v>
      </c>
      <c r="BP40" s="12" t="e">
        <f>IF(AND(A40&lt;&gt;"",Статистика!$L$6="Вкл",Статистика!$K$6&gt;0),(Статистика!$K$6-Статистика!$C$10)/MAX(Статистика!$G$10-Статистика!$C$10,0.000001),NA())</f>
        <v>#N/A</v>
      </c>
      <c r="BQ40" s="12" t="e">
        <f>IF(AND(A40&lt;&gt;"",Статистика!$M$6="Вкл",Статистика!$O$6&gt;0),(Статистика!$O$6-Статистика!$C$10)/MAX(Статистика!$G$10-Статистика!$C$10,0.000001),NA())</f>
        <v>#N/A</v>
      </c>
      <c r="BR40" s="12">
        <f t="shared" si="0"/>
        <v>1</v>
      </c>
      <c r="BT40" s="12">
        <f>IF(Y40="","",MAX(0,MIN(1,(((IF(Статистика!$C$4="Параллельный режим (активная мощность)",Z40,AK40)+Статистика!$J$4))-Статистика!$C$10)/MAX(Статистика!$G$10-Статистика!$C$10,0.000001))))</f>
        <v>0.4645135043333336</v>
      </c>
      <c r="BU40" s="12">
        <f>IF(Y40="","",MAX(0,MAX(0,MIN(1,(((IF(Статистика!$C$4="Параллельный режим (активная мощность)",AB40,AM40)+Статистика!$J$4))-Статистика!$C$10)/MAX(Статистика!$G$10-Статистика!$C$10,0.000001)))-MAX(0,MIN(1,(((IF(Статистика!$C$4="Параллельный режим (активная мощность)",Z40,AK40)+Статистика!$J$4))-Статистика!$C$10)/MAX(Статистика!$G$10-Статистика!$C$10,0.000001)))))</f>
        <v>7.3949138999999997E-2</v>
      </c>
      <c r="BV40" s="12">
        <f>IF(Y40="","",MAX(0,MAX(0,MIN(1,(((IF(Статистика!$C$4="Параллельный режим (активная мощность)",AC40,AN40)+Статистика!$J$4))-Статистика!$C$10)/MAX(Статистика!$G$10-Статистика!$C$10,0.000001)))-MAX(0,MIN(1,(((IF(Статистика!$C$4="Параллельный режим (активная мощность)",AB40,AM40)+Статистика!$J$4))-Статистика!$C$10)/MAX(Статистика!$G$10-Статистика!$C$10,0.000001)))))</f>
        <v>8.9635212222221483E-2</v>
      </c>
      <c r="BW40" s="12">
        <f>IF(Y40="","",MAX(0,MAX(0,MIN(1,(((IF(Статистика!$C$4="Параллельный режим (активная мощность)",AD40,AO40)+Статистика!$J$4))-Статистика!$C$10)/MAX(Статистика!$G$10-Статистика!$C$10,0.000001)))-MAX(0,MIN(1,(((IF(Статистика!$C$4="Параллельный режим (активная мощность)",AC40,AN40)+Статистика!$J$4))-Статистика!$C$10)/MAX(Статистика!$G$10-Статистика!$C$10,0.000001)))))</f>
        <v>3.7645772222222762E-2</v>
      </c>
      <c r="BX40" s="12">
        <f>IF(Y40="","",MAX(0,MAX(0,MIN(1,(((IF(Статистика!$C$4="Параллельный режим (активная мощность)",AE40,AP40)+Статистика!$J$4))-Статистика!$C$10)/MAX(Статистика!$G$10-Статистика!$C$10,0.000001)))-MAX(0,MIN(1,(((IF(Статистика!$C$4="Параллельный режим (активная мощность)",AD40,AO40)+Статистика!$J$4))-Статистика!$C$10)/MAX(Статистика!$G$10-Статистика!$C$10,0.000001)))))</f>
        <v>2.3733055555555493E-2</v>
      </c>
      <c r="BY40" s="12">
        <f>IF(Y40="","",MAX(0,MAX(0,MIN(1,(((IF(Статистика!$C$4="Параллельный режим (активная мощность)",AF40,AQ40)+Статистика!$J$4))-Статистика!$C$10)/MAX(Статистика!$G$10-Статистика!$C$10,0.000001)))-MAX(0,MIN(1,(((IF(Статистика!$C$4="Параллельный режим (активная мощность)",AE40,AP40)+Статистика!$J$4))-Статистика!$C$10)/MAX(Статистика!$G$10-Статистика!$C$10,0.000001)))))</f>
        <v>0.12777989277777824</v>
      </c>
      <c r="BZ40" s="12">
        <f>IF(Y40="","",MAX(0,MAX(0,MIN(1,(((IF(Статистика!$C$4="Параллельный режим (активная мощность)",AH40,AS40)+Статистика!$J$4))-Статистика!$C$10)/MAX(Статистика!$G$10-Статистика!$C$10,0.000001)))-MAX(0,MIN(1,(((IF(Статистика!$C$4="Параллельный режим (активная мощность)",AF40,AQ40)+Статистика!$J$4))-Статистика!$C$10)/MAX(Статистика!$G$10-Статистика!$C$10,0.000001)))))</f>
        <v>6.0356614999993452E-3</v>
      </c>
      <c r="CA40" s="12">
        <f>IF(Y40="","",MAX(0,1-MAX(0,MIN(1,(((IF(Статистика!$C$4="Параллельный режим (активная мощность)",AH40,AS40)+Статистика!$J$4))-Статистика!$C$10)/MAX(Статистика!$G$10-Статистика!$C$10,0.000001)))))</f>
        <v>0.17670776238888908</v>
      </c>
      <c r="CB40" s="12">
        <f>IF(Y40="",NA(),IF(Статистика!$B$8="Вкл",(((IF(Статистика!$C$4="Параллельный режим (активная мощность)",AD40,AO40)+Статистика!$J$4))-Статистика!$C$10)/MAX(Статистика!$G$10-Статистика!$C$10,0.000001),NA()))</f>
        <v>0.66574362777777785</v>
      </c>
      <c r="CC40" s="12">
        <f>IF(Y40="",NA(),IF(Статистика!$D$8="Вкл",(((IF(Статистика!$C$4="Параллельный режим (активная мощность)",AC40,AN40)+Статистика!$J$4))-Статистика!$C$10)/MAX(Статистика!$G$10-Статистика!$C$10,0.000001),NA()))</f>
        <v>0.62809785555555508</v>
      </c>
      <c r="CD40" s="12">
        <f>IF(Y40="",NA(),IF(Статистика!$D$8="Вкл",(((IF(Статистика!$C$4="Параллельный режим (активная мощность)",AE40,AP40)+Статистика!$J$4))-Статистика!$C$10)/MAX(Статистика!$G$10-Статистика!$C$10,0.000001),NA()))</f>
        <v>0.68947668333333334</v>
      </c>
      <c r="CE40" s="12">
        <f>IF(Y40="",NA(),IF(Статистика!$F$8="Вкл",(((IF(Статистика!$C$4="Параллельный режим (активная мощность)",AB40,AM40)+Статистика!$J$4))-Статистика!$C$10)/MAX(Статистика!$G$10-Статистика!$C$10,0.000001),NA()))</f>
        <v>0.5384626433333336</v>
      </c>
      <c r="CF40" s="12">
        <f>IF(Y40="",NA(),IF(Статистика!$F$8="Вкл",(((IF(Статистика!$C$4="Параллельный режим (активная мощность)",AF40,AQ40)+Статистика!$J$4))-Статистика!$C$10)/MAX(Статистика!$G$10-Статистика!$C$10,0.000001),NA()))</f>
        <v>0.81725657611111158</v>
      </c>
      <c r="CG40" s="12">
        <f>IF(Y40="",NA(),IF(Статистика!$H$8="Вкл",(((IF(Статистика!$C$4="Параллельный режим (активная мощность)",Z40,AK40)+Статистика!$J$4))-Статистика!$C$10)/MAX(Статистика!$G$10-Статистика!$C$10,0.000001),NA()))</f>
        <v>0.4645135043333336</v>
      </c>
      <c r="CH40" s="12">
        <f>IF(Y40="",NA(),IF(Статистика!$H$8="Вкл",(((IF(Статистика!$C$4="Параллельный режим (активная мощность)",AH40,AS40)+Статистика!$J$4))-Статистика!$C$10)/MAX(Статистика!$G$10-Статистика!$C$10,0.000001),NA()))</f>
        <v>0.82329223761111092</v>
      </c>
      <c r="CI40" s="12" t="e">
        <f>IF(Y40="",NA(),IF(Статистика!$J$8="Вкл",(((IF(Статистика!$C$4="Параллельный режим (активная мощность)",AI40,AT40)+Статистика!$J$4))-Статистика!$C$10)/MAX(Статистика!$G$10-Статистика!$C$10,0.000001),NA()))</f>
        <v>#N/A</v>
      </c>
      <c r="CJ40" s="12" t="e">
        <f>IF(AND(Y40&lt;&gt;"",Статистика!$C$6="Вкл",Статистика!$B$6&gt;0),(Статистика!$B$6-Статистика!$C$10)/MAX(Статистика!$G$10-Статистика!$C$10,0.000001),NA())</f>
        <v>#N/A</v>
      </c>
      <c r="CK40" s="12" t="e">
        <f>IF(AND(Y40&lt;&gt;"",Статистика!$F$6="Вкл",Статистика!$E$6&gt;0),(Статистика!$E$6-Статистика!$C$10)/MAX(Статистика!$G$10-Статистика!$C$10,0.000001),NA())</f>
        <v>#N/A</v>
      </c>
      <c r="CL40" s="12" t="e">
        <f>IF(AND(Y40&lt;&gt;"",Статистика!$I$6="Вкл",Статистика!$H$6&gt;0),(Статистика!$H$6-Статистика!$C$10)/MAX(Статистика!$G$10-Статистика!$C$10,0.000001),NA())</f>
        <v>#N/A</v>
      </c>
      <c r="CM40" s="12" t="e">
        <f>IF(AND(Y40&lt;&gt;"",Статистика!$L$6="Вкл",Статистика!$K$6&gt;0),(Статистика!$K$6-Статистика!$C$10)/MAX(Статистика!$G$10-Статистика!$C$10,0.000001),NA())</f>
        <v>#N/A</v>
      </c>
      <c r="CN40" s="12" t="e">
        <f>IF(AND(Y40&lt;&gt;"",Статистика!$M$6="Вкл",Статистика!$O$6&gt;0),(Статистика!$O$6-Статистика!$C$10)/MAX(Статистика!$G$10-Статистика!$C$10,0.000001),NA())</f>
        <v>#N/A</v>
      </c>
      <c r="CO40" s="12">
        <f t="shared" si="1"/>
        <v>1</v>
      </c>
    </row>
    <row r="41" spans="1:93" ht="15" customHeight="1">
      <c r="A41" s="12" t="s">
        <v>217</v>
      </c>
      <c r="B41" s="12">
        <v>2330.3825790000001</v>
      </c>
      <c r="C41" s="12">
        <v>5763.0720950000004</v>
      </c>
      <c r="D41" s="12">
        <v>7420.9304700000002</v>
      </c>
      <c r="E41" s="12">
        <v>7680.7716499999997</v>
      </c>
      <c r="F41" s="12">
        <v>7797.9092999999993</v>
      </c>
      <c r="G41" s="12">
        <v>7936.5689333333339</v>
      </c>
      <c r="H41" s="12">
        <v>8381.1480833333317</v>
      </c>
      <c r="I41" s="12">
        <v>8445.3006141666647</v>
      </c>
      <c r="J41" s="12">
        <v>8548.2132428333334</v>
      </c>
      <c r="K41" s="12">
        <v>8711.3799999999992</v>
      </c>
      <c r="L41" s="12" t="s">
        <v>218</v>
      </c>
      <c r="M41" s="12">
        <v>2905.8414988333334</v>
      </c>
      <c r="N41" s="12">
        <v>6736.852027500001</v>
      </c>
      <c r="O41" s="12">
        <v>8607.0191683333342</v>
      </c>
      <c r="P41" s="12">
        <v>8800.3874500000002</v>
      </c>
      <c r="Q41" s="12">
        <v>8934.2183999999979</v>
      </c>
      <c r="R41" s="12">
        <v>9065.7379916666687</v>
      </c>
      <c r="S41" s="12">
        <v>9516.8591233333318</v>
      </c>
      <c r="T41" s="12">
        <v>9553.1260774999992</v>
      </c>
      <c r="U41" s="12">
        <v>9598.6534288333332</v>
      </c>
      <c r="V41" s="12">
        <v>9741.4500000000007</v>
      </c>
      <c r="W41" s="12" t="s">
        <v>219</v>
      </c>
      <c r="Y41" s="12" t="s">
        <v>217</v>
      </c>
      <c r="Z41" s="12">
        <v>7416.8295674999999</v>
      </c>
      <c r="AA41" s="12">
        <v>7484.6369041666667</v>
      </c>
      <c r="AB41" s="12">
        <v>7569.3960749999997</v>
      </c>
      <c r="AC41" s="12">
        <v>7812.2143583333336</v>
      </c>
      <c r="AD41" s="12">
        <v>7892.5248833333317</v>
      </c>
      <c r="AE41" s="12">
        <v>8079.4382416666667</v>
      </c>
      <c r="AF41" s="12">
        <v>8449.1279950000007</v>
      </c>
      <c r="AG41" s="12">
        <v>8464.2545808333325</v>
      </c>
      <c r="AH41" s="12">
        <v>8476.3558494999997</v>
      </c>
      <c r="AI41" s="12">
        <v>8610.7800000000007</v>
      </c>
      <c r="AJ41" s="12" t="s">
        <v>220</v>
      </c>
      <c r="AK41" s="12">
        <v>8506.7291198333351</v>
      </c>
      <c r="AL41" s="12">
        <v>8557.0829325000013</v>
      </c>
      <c r="AM41" s="12">
        <v>8620.0251983333346</v>
      </c>
      <c r="AN41" s="12">
        <v>8915.6864499999992</v>
      </c>
      <c r="AO41" s="12">
        <v>9000.5112333333327</v>
      </c>
      <c r="AP41" s="12">
        <v>9226.2582083333327</v>
      </c>
      <c r="AQ41" s="12">
        <v>9582.9648133333321</v>
      </c>
      <c r="AR41" s="12">
        <v>9605.751056666666</v>
      </c>
      <c r="AS41" s="12">
        <v>9623.9800513333339</v>
      </c>
      <c r="AT41" s="12">
        <v>9747.59</v>
      </c>
      <c r="AU41" s="12" t="s">
        <v>221</v>
      </c>
      <c r="AW41" s="12">
        <f>IF(A41="","",MAX(0,MIN(1,(((IF(Статистика!$C$4="Параллельный режим (активная мощность)",B41,M41)+Статистика!$J$4))-Статистика!$C$10)/MAX(Статистика!$G$10-Статистика!$C$10,0.000001))))</f>
        <v>0</v>
      </c>
      <c r="AX41" s="12">
        <f>IF(A41="","",MAX(0,MAX(0,MIN(1,(((IF(Статистика!$C$4="Параллельный режим (активная мощность)",D41,O41)+Статистика!$J$4))-Статистика!$C$10)/MAX(Статистика!$G$10-Статистика!$C$10,0.000001)))-MAX(0,MIN(1,(((IF(Статистика!$C$4="Параллельный режим (активная мощность)",B41,M41)+Статистика!$J$4))-Статистика!$C$10)/MAX(Статистика!$G$10-Статистика!$C$10,0.000001)))))</f>
        <v>0.47364349000000006</v>
      </c>
      <c r="AY41" s="12">
        <f>IF(A41="","",MAX(0,MAX(0,MIN(1,(((IF(Статистика!$C$4="Параллельный режим (активная мощность)",E41,P41)+Статистика!$J$4))-Статистика!$C$10)/MAX(Статистика!$G$10-Статистика!$C$10,0.000001)))-MAX(0,MIN(1,(((IF(Статистика!$C$4="Параллельный режим (активная мощность)",D41,O41)+Статистика!$J$4))-Статистика!$C$10)/MAX(Статистика!$G$10-Статистика!$C$10,0.000001)))))</f>
        <v>8.6613726666666557E-2</v>
      </c>
      <c r="AZ41" s="12">
        <f>IF(A41="","",MAX(0,MAX(0,MIN(1,(((IF(Статистика!$C$4="Параллельный режим (активная мощность)",F41,Q41)+Статистика!$J$4))-Статистика!$C$10)/MAX(Статистика!$G$10-Статистика!$C$10,0.000001)))-MAX(0,MIN(1,(((IF(Статистика!$C$4="Параллельный режим (активная мощность)",E41,P41)+Статистика!$J$4))-Статистика!$C$10)/MAX(Статистика!$G$10-Статистика!$C$10,0.000001)))))</f>
        <v>3.9045883333333142E-2</v>
      </c>
      <c r="BA41" s="12">
        <f>IF(A41="","",MAX(0,MAX(0,MIN(1,(((IF(Статистика!$C$4="Параллельный режим (активная мощность)",G41,R41)+Статистика!$J$4))-Статистика!$C$10)/MAX(Статистика!$G$10-Статистика!$C$10,0.000001)))-MAX(0,MIN(1,(((IF(Статистика!$C$4="Параллельный режим (активная мощность)",F41,Q41)+Статистика!$J$4))-Статистика!$C$10)/MAX(Статистика!$G$10-Статистика!$C$10,0.000001)))))</f>
        <v>4.6219877777778251E-2</v>
      </c>
      <c r="BB41" s="12">
        <f>IF(A41="","",MAX(0,MAX(0,MIN(1,(((IF(Статистика!$C$4="Параллельный режим (активная мощность)",H41,S41)+Статистика!$J$4))-Статистика!$C$10)/MAX(Статистика!$G$10-Статистика!$C$10,0.000001)))-MAX(0,MIN(1,(((IF(Статистика!$C$4="Параллельный режим (активная мощность)",G41,R41)+Статистика!$J$4))-Статистика!$C$10)/MAX(Статистика!$G$10-Статистика!$C$10,0.000001)))))</f>
        <v>0.14819304999999927</v>
      </c>
      <c r="BC41" s="12">
        <f>IF(A41="","",MAX(0,MAX(0,MIN(1,(((IF(Статистика!$C$4="Параллельный режим (активная мощность)",J41,U41)+Статистика!$J$4))-Статистика!$C$10)/MAX(Статистика!$G$10-Статистика!$C$10,0.000001)))-MAX(0,MIN(1,(((IF(Статистика!$C$4="Параллельный режим (активная мощность)",H41,S41)+Статистика!$J$4))-Статистика!$C$10)/MAX(Статистика!$G$10-Статистика!$C$10,0.000001)))))</f>
        <v>5.568838650000052E-2</v>
      </c>
      <c r="BD41" s="12">
        <f>IF(A41="","",MAX(0,1-MAX(0,MIN(1,(((IF(Статистика!$C$4="Параллельный режим (активная мощность)",J41,U41)+Статистика!$J$4))-Статистика!$C$10)/MAX(Статистика!$G$10-Статистика!$C$10,0.000001)))))</f>
        <v>0.1505955857222222</v>
      </c>
      <c r="BE41" s="12">
        <f>IF(A41="",NA(),IF(Статистика!$B$8="Вкл",(((IF(Статистика!$C$4="Параллельный режим (активная мощность)",F41,Q41)+Статистика!$J$4))-Статистика!$C$10)/MAX(Статистика!$G$10-Статистика!$C$10,0.000001),NA()))</f>
        <v>0.59930309999999976</v>
      </c>
      <c r="BF41" s="12">
        <f>IF(A41="",NA(),IF(Статистика!$D$8="Вкл",(((IF(Статистика!$C$4="Параллельный режим (активная мощность)",E41,P41)+Статистика!$J$4))-Статистика!$C$10)/MAX(Статистика!$G$10-Статистика!$C$10,0.000001),NA()))</f>
        <v>0.56025721666666661</v>
      </c>
      <c r="BG41" s="12">
        <f>IF(A41="",NA(),IF(Статистика!$D$8="Вкл",(((IF(Статистика!$C$4="Параллельный режим (активная мощность)",G41,R41)+Статистика!$J$4))-Статистика!$C$10)/MAX(Статистика!$G$10-Статистика!$C$10,0.000001),NA()))</f>
        <v>0.64552297777777801</v>
      </c>
      <c r="BH41" s="12">
        <f>IF(A41="",NA(),IF(Статистика!$F$8="Вкл",(((IF(Статистика!$C$4="Параллельный режим (активная мощность)",D41,O41)+Статистика!$J$4))-Статистика!$C$10)/MAX(Статистика!$G$10-Статистика!$C$10,0.000001),NA()))</f>
        <v>0.47364349000000006</v>
      </c>
      <c r="BI41" s="12">
        <f>IF(A41="",NA(),IF(Статистика!$F$8="Вкл",(((IF(Статистика!$C$4="Параллельный режим (активная мощность)",H41,S41)+Статистика!$J$4))-Статистика!$C$10)/MAX(Статистика!$G$10-Статистика!$C$10,0.000001),NA()))</f>
        <v>0.79371602777777728</v>
      </c>
      <c r="BJ41" s="12">
        <f>IF(A41="",NA(),IF(Статистика!$H$8="Вкл",(((IF(Статистика!$C$4="Параллельный режим (активная мощность)",B41,M41)+Статистика!$J$4))-Статистика!$C$10)/MAX(Статистика!$G$10-Статистика!$C$10,0.000001),NA()))</f>
        <v>-1.223205807</v>
      </c>
      <c r="BK41" s="12">
        <f>IF(A41="",NA(),IF(Статистика!$H$8="Вкл",(((IF(Статистика!$C$4="Параллельный режим (активная мощность)",J41,U41)+Статистика!$J$4))-Статистика!$C$10)/MAX(Статистика!$G$10-Статистика!$C$10,0.000001),NA()))</f>
        <v>0.8494044142777778</v>
      </c>
      <c r="BL41" s="12" t="e">
        <f>IF(A41="",NA(),IF(Статистика!$J$8="Вкл",(((IF(Статистика!$C$4="Параллельный режим (активная мощность)",K41,V41)+Статистика!$J$4))-Статистика!$C$10)/MAX(Статистика!$G$10-Статистика!$C$10,0.000001),NA()))</f>
        <v>#N/A</v>
      </c>
      <c r="BM41" s="12" t="e">
        <f>IF(AND(A41&lt;&gt;"",Статистика!$C$6="Вкл",Статистика!$B$6&gt;0),(Статистика!$B$6-Статистика!$C$10)/MAX(Статистика!$G$10-Статистика!$C$10,0.000001),NA())</f>
        <v>#N/A</v>
      </c>
      <c r="BN41" s="12" t="e">
        <f>IF(AND(A41&lt;&gt;"",Статистика!$F$6="Вкл",Статистика!$E$6&gt;0),(Статистика!$E$6-Статистика!$C$10)/MAX(Статистика!$G$10-Статистика!$C$10,0.000001),NA())</f>
        <v>#N/A</v>
      </c>
      <c r="BO41" s="12" t="e">
        <f>IF(AND(A41&lt;&gt;"",Статистика!$I$6="Вкл",Статистика!$H$6&gt;0),(Статистика!$H$6-Статистика!$C$10)/MAX(Статистика!$G$10-Статистика!$C$10,0.000001),NA())</f>
        <v>#N/A</v>
      </c>
      <c r="BP41" s="12" t="e">
        <f>IF(AND(A41&lt;&gt;"",Статистика!$L$6="Вкл",Статистика!$K$6&gt;0),(Статистика!$K$6-Статистика!$C$10)/MAX(Статистика!$G$10-Статистика!$C$10,0.000001),NA())</f>
        <v>#N/A</v>
      </c>
      <c r="BQ41" s="12" t="e">
        <f>IF(AND(A41&lt;&gt;"",Статистика!$M$6="Вкл",Статистика!$O$6&gt;0),(Статистика!$O$6-Статистика!$C$10)/MAX(Статистика!$G$10-Статистика!$C$10,0.000001),NA())</f>
        <v>#N/A</v>
      </c>
      <c r="BR41" s="12">
        <f t="shared" si="0"/>
        <v>1</v>
      </c>
      <c r="BT41" s="12">
        <f>IF(Y41="","",MAX(0,MIN(1,(((IF(Статистика!$C$4="Параллельный режим (активная мощность)",Z41,AK41)+Статистика!$J$4))-Статистика!$C$10)/MAX(Статистика!$G$10-Статистика!$C$10,0.000001))))</f>
        <v>0.47227652249999996</v>
      </c>
      <c r="BU41" s="12">
        <f>IF(Y41="","",MAX(0,MAX(0,MIN(1,(((IF(Статистика!$C$4="Параллельный режим (активная мощность)",AB41,AM41)+Статистика!$J$4))-Статистика!$C$10)/MAX(Статистика!$G$10-Статистика!$C$10,0.000001)))-MAX(0,MIN(1,(((IF(Статистика!$C$4="Параллельный режим (активная мощность)",Z41,AK41)+Статистика!$J$4))-Статистика!$C$10)/MAX(Статистика!$G$10-Статистика!$C$10,0.000001)))))</f>
        <v>5.0855502499999927E-2</v>
      </c>
      <c r="BV41" s="12">
        <f>IF(Y41="","",MAX(0,MAX(0,MIN(1,(((IF(Статистика!$C$4="Параллельный режим (активная мощность)",AC41,AN41)+Статистика!$J$4))-Статистика!$C$10)/MAX(Статистика!$G$10-Статистика!$C$10,0.000001)))-MAX(0,MIN(1,(((IF(Статистика!$C$4="Параллельный режим (активная мощность)",AB41,AM41)+Статистика!$J$4))-Статистика!$C$10)/MAX(Статистика!$G$10-Статистика!$C$10,0.000001)))))</f>
        <v>8.0939427777777961E-2</v>
      </c>
      <c r="BW41" s="12">
        <f>IF(Y41="","",MAX(0,MAX(0,MIN(1,(((IF(Статистика!$C$4="Параллельный режим (активная мощность)",AD41,AO41)+Статистика!$J$4))-Статистика!$C$10)/MAX(Статистика!$G$10-Статистика!$C$10,0.000001)))-MAX(0,MIN(1,(((IF(Статистика!$C$4="Параллельный режим (активная мощность)",AC41,AN41)+Статистика!$J$4))-Статистика!$C$10)/MAX(Статистика!$G$10-Статистика!$C$10,0.000001)))))</f>
        <v>2.6770174999999341E-2</v>
      </c>
      <c r="BX41" s="12">
        <f>IF(Y41="","",MAX(0,MAX(0,MIN(1,(((IF(Статистика!$C$4="Параллельный режим (активная мощность)",AE41,AP41)+Статистика!$J$4))-Статистика!$C$10)/MAX(Статистика!$G$10-Статистика!$C$10,0.000001)))-MAX(0,MIN(1,(((IF(Статистика!$C$4="Параллельный режим (активная мощность)",AD41,AO41)+Статистика!$J$4))-Статистика!$C$10)/MAX(Статистика!$G$10-Статистика!$C$10,0.000001)))))</f>
        <v>6.2304452777778407E-2</v>
      </c>
      <c r="BY41" s="12">
        <f>IF(Y41="","",MAX(0,MAX(0,MIN(1,(((IF(Статистика!$C$4="Параллельный режим (активная мощность)",AF41,AQ41)+Статистика!$J$4))-Статистика!$C$10)/MAX(Статистика!$G$10-Статистика!$C$10,0.000001)))-MAX(0,MIN(1,(((IF(Статистика!$C$4="Параллельный режим (активная мощность)",AE41,AP41)+Статистика!$J$4))-Статистика!$C$10)/MAX(Статистика!$G$10-Статистика!$C$10,0.000001)))))</f>
        <v>0.12322991777777803</v>
      </c>
      <c r="BZ41" s="12">
        <f>IF(Y41="","",MAX(0,MAX(0,MIN(1,(((IF(Статистика!$C$4="Параллельный режим (активная мощность)",AH41,AS41)+Статистика!$J$4))-Статистика!$C$10)/MAX(Статистика!$G$10-Статистика!$C$10,0.000001)))-MAX(0,MIN(1,(((IF(Статистика!$C$4="Параллельный режим (активная мощность)",AF41,AQ41)+Статистика!$J$4))-Статистика!$C$10)/MAX(Статистика!$G$10-Статистика!$C$10,0.000001)))))</f>
        <v>9.0759514999996238E-3</v>
      </c>
      <c r="CA41" s="12">
        <f>IF(Y41="","",MAX(0,1-MAX(0,MIN(1,(((IF(Статистика!$C$4="Параллельный режим (активная мощность)",AH41,AS41)+Статистика!$J$4))-Статистика!$C$10)/MAX(Статистика!$G$10-Статистика!$C$10,0.000001)))))</f>
        <v>0.17454805016666675</v>
      </c>
      <c r="CB41" s="12">
        <f>IF(Y41="",NA(),IF(Статистика!$B$8="Вкл",(((IF(Статистика!$C$4="Параллельный режим (активная мощность)",AD41,AO41)+Статистика!$J$4))-Статистика!$C$10)/MAX(Статистика!$G$10-Статистика!$C$10,0.000001),NA()))</f>
        <v>0.63084162777777719</v>
      </c>
      <c r="CC41" s="12">
        <f>IF(Y41="",NA(),IF(Статистика!$D$8="Вкл",(((IF(Статистика!$C$4="Параллельный режим (активная мощность)",AC41,AN41)+Статистика!$J$4))-Статистика!$C$10)/MAX(Статистика!$G$10-Статистика!$C$10,0.000001),NA()))</f>
        <v>0.60407145277777785</v>
      </c>
      <c r="CD41" s="12">
        <f>IF(Y41="",NA(),IF(Статистика!$D$8="Вкл",(((IF(Статистика!$C$4="Параллельный режим (активная мощность)",AE41,AP41)+Статистика!$J$4))-Статистика!$C$10)/MAX(Статистика!$G$10-Статистика!$C$10,0.000001),NA()))</f>
        <v>0.6931460805555556</v>
      </c>
      <c r="CE41" s="12">
        <f>IF(Y41="",NA(),IF(Статистика!$F$8="Вкл",(((IF(Статистика!$C$4="Параллельный режим (активная мощность)",AB41,AM41)+Статистика!$J$4))-Статистика!$C$10)/MAX(Статистика!$G$10-Статистика!$C$10,0.000001),NA()))</f>
        <v>0.52313202499999989</v>
      </c>
      <c r="CF41" s="12">
        <f>IF(Y41="",NA(),IF(Статистика!$F$8="Вкл",(((IF(Статистика!$C$4="Параллельный режим (активная мощность)",AF41,AQ41)+Статистика!$J$4))-Статистика!$C$10)/MAX(Статистика!$G$10-Статистика!$C$10,0.000001),NA()))</f>
        <v>0.81637599833333363</v>
      </c>
      <c r="CG41" s="12">
        <f>IF(Y41="",NA(),IF(Статистика!$H$8="Вкл",(((IF(Статистика!$C$4="Параллельный режим (активная мощность)",Z41,AK41)+Статистика!$J$4))-Статистика!$C$10)/MAX(Статистика!$G$10-Статистика!$C$10,0.000001),NA()))</f>
        <v>0.47227652249999996</v>
      </c>
      <c r="CH41" s="12">
        <f>IF(Y41="",NA(),IF(Статистика!$H$8="Вкл",(((IF(Статистика!$C$4="Параллельный режим (активная мощность)",AH41,AS41)+Статистика!$J$4))-Статистика!$C$10)/MAX(Статистика!$G$10-Статистика!$C$10,0.000001),NA()))</f>
        <v>0.82545194983333325</v>
      </c>
      <c r="CI41" s="12" t="e">
        <f>IF(Y41="",NA(),IF(Статистика!$J$8="Вкл",(((IF(Статистика!$C$4="Параллельный режим (активная мощность)",AI41,AT41)+Статистика!$J$4))-Статистика!$C$10)/MAX(Статистика!$G$10-Статистика!$C$10,0.000001),NA()))</f>
        <v>#N/A</v>
      </c>
      <c r="CJ41" s="12" t="e">
        <f>IF(AND(Y41&lt;&gt;"",Статистика!$C$6="Вкл",Статистика!$B$6&gt;0),(Статистика!$B$6-Статистика!$C$10)/MAX(Статистика!$G$10-Статистика!$C$10,0.000001),NA())</f>
        <v>#N/A</v>
      </c>
      <c r="CK41" s="12" t="e">
        <f>IF(AND(Y41&lt;&gt;"",Статистика!$F$6="Вкл",Статистика!$E$6&gt;0),(Статистика!$E$6-Статистика!$C$10)/MAX(Статистика!$G$10-Статистика!$C$10,0.000001),NA())</f>
        <v>#N/A</v>
      </c>
      <c r="CL41" s="12" t="e">
        <f>IF(AND(Y41&lt;&gt;"",Статистика!$I$6="Вкл",Статистика!$H$6&gt;0),(Статистика!$H$6-Статистика!$C$10)/MAX(Статистика!$G$10-Статистика!$C$10,0.000001),NA())</f>
        <v>#N/A</v>
      </c>
      <c r="CM41" s="12" t="e">
        <f>IF(AND(Y41&lt;&gt;"",Статистика!$L$6="Вкл",Статистика!$K$6&gt;0),(Статистика!$K$6-Статистика!$C$10)/MAX(Статистика!$G$10-Статистика!$C$10,0.000001),NA())</f>
        <v>#N/A</v>
      </c>
      <c r="CN41" s="12" t="e">
        <f>IF(AND(Y41&lt;&gt;"",Статистика!$M$6="Вкл",Статистика!$O$6&gt;0),(Статистика!$O$6-Статистика!$C$10)/MAX(Статистика!$G$10-Статистика!$C$10,0.000001),NA())</f>
        <v>#N/A</v>
      </c>
      <c r="CO41" s="12">
        <f t="shared" si="1"/>
        <v>1</v>
      </c>
    </row>
    <row r="42" spans="1:93" ht="15" customHeight="1">
      <c r="A42" s="12" t="s">
        <v>222</v>
      </c>
      <c r="B42" s="12">
        <v>2339.3583454999998</v>
      </c>
      <c r="C42" s="12">
        <v>5797.2339941666669</v>
      </c>
      <c r="D42" s="12">
        <v>7440.2480749999995</v>
      </c>
      <c r="E42" s="12">
        <v>7595.9932333333336</v>
      </c>
      <c r="F42" s="12">
        <v>7781.0620333333336</v>
      </c>
      <c r="G42" s="12">
        <v>7940.2417500000001</v>
      </c>
      <c r="H42" s="12">
        <v>8279.1058766666647</v>
      </c>
      <c r="I42" s="12">
        <v>8381.6978566666639</v>
      </c>
      <c r="J42" s="12">
        <v>8558.0825846666667</v>
      </c>
      <c r="K42" s="12">
        <v>8732.16</v>
      </c>
      <c r="L42" s="12" t="s">
        <v>223</v>
      </c>
      <c r="M42" s="12">
        <v>2912.9505116666669</v>
      </c>
      <c r="N42" s="12">
        <v>6765.848558333334</v>
      </c>
      <c r="O42" s="12">
        <v>8614.958681666667</v>
      </c>
      <c r="P42" s="12">
        <v>8755.648383333335</v>
      </c>
      <c r="Q42" s="12">
        <v>8876.3322000000007</v>
      </c>
      <c r="R42" s="12">
        <v>9067.8635416666657</v>
      </c>
      <c r="S42" s="12">
        <v>9414.465886666665</v>
      </c>
      <c r="T42" s="12">
        <v>9500.6540041666649</v>
      </c>
      <c r="U42" s="12">
        <v>9599.7739741666664</v>
      </c>
      <c r="V42" s="12">
        <v>9745.4500000000007</v>
      </c>
      <c r="W42" s="12" t="s">
        <v>223</v>
      </c>
      <c r="Y42" s="12" t="s">
        <v>222</v>
      </c>
      <c r="Z42" s="12">
        <v>7405.1452513333325</v>
      </c>
      <c r="AA42" s="12">
        <v>7474.0039900000002</v>
      </c>
      <c r="AB42" s="12">
        <v>7560.0774133333334</v>
      </c>
      <c r="AC42" s="12">
        <v>7774.4206416666675</v>
      </c>
      <c r="AD42" s="12">
        <v>7829.7652333333335</v>
      </c>
      <c r="AE42" s="12">
        <v>8113.2870749999993</v>
      </c>
      <c r="AF42" s="12">
        <v>8490.4771533333333</v>
      </c>
      <c r="AG42" s="12">
        <v>8511.0367766666677</v>
      </c>
      <c r="AH42" s="12">
        <v>8527.4844753333346</v>
      </c>
      <c r="AI42" s="12">
        <v>8671.2800000000007</v>
      </c>
      <c r="AJ42" s="12" t="s">
        <v>224</v>
      </c>
      <c r="AK42" s="12">
        <v>8506.2787845000003</v>
      </c>
      <c r="AL42" s="12">
        <v>8552.5736558333338</v>
      </c>
      <c r="AM42" s="12">
        <v>8610.4422450000002</v>
      </c>
      <c r="AN42" s="12">
        <v>8859.6377749999992</v>
      </c>
      <c r="AO42" s="12">
        <v>8959.688633333335</v>
      </c>
      <c r="AP42" s="12">
        <v>9253.6461416666662</v>
      </c>
      <c r="AQ42" s="12">
        <v>9634.1498866666661</v>
      </c>
      <c r="AR42" s="12">
        <v>9659.5933266666671</v>
      </c>
      <c r="AS42" s="12">
        <v>9679.9480786666682</v>
      </c>
      <c r="AT42" s="12">
        <v>9814.2800000000007</v>
      </c>
      <c r="AU42" s="12" t="s">
        <v>225</v>
      </c>
      <c r="AW42" s="12">
        <f>IF(A42="","",MAX(0,MIN(1,(((IF(Статистика!$C$4="Параллельный режим (активная мощность)",B42,M42)+Статистика!$J$4))-Статистика!$C$10)/MAX(Статистика!$G$10-Статистика!$C$10,0.000001))))</f>
        <v>0</v>
      </c>
      <c r="AX42" s="12">
        <f>IF(A42="","",MAX(0,MAX(0,MIN(1,(((IF(Статистика!$C$4="Параллельный режим (активная мощность)",D42,O42)+Статистика!$J$4))-Статистика!$C$10)/MAX(Статистика!$G$10-Статистика!$C$10,0.000001)))-MAX(0,MIN(1,(((IF(Статистика!$C$4="Параллельный режим (активная мощность)",B42,M42)+Статистика!$J$4))-Статистика!$C$10)/MAX(Статистика!$G$10-Статистика!$C$10,0.000001)))))</f>
        <v>0.48008269166666651</v>
      </c>
      <c r="AY42" s="12">
        <f>IF(A42="","",MAX(0,MAX(0,MIN(1,(((IF(Статистика!$C$4="Параллельный режим (активная мощность)",E42,P42)+Статистика!$J$4))-Статистика!$C$10)/MAX(Статистика!$G$10-Статистика!$C$10,0.000001)))-MAX(0,MIN(1,(((IF(Статистика!$C$4="Параллельный режим (активная мощность)",D42,O42)+Статистика!$J$4))-Статистика!$C$10)/MAX(Статистика!$G$10-Статистика!$C$10,0.000001)))))</f>
        <v>5.191505277777797E-2</v>
      </c>
      <c r="AZ42" s="12">
        <f>IF(A42="","",MAX(0,MAX(0,MIN(1,(((IF(Статистика!$C$4="Параллельный режим (активная мощность)",F42,Q42)+Статистика!$J$4))-Статистика!$C$10)/MAX(Статистика!$G$10-Статистика!$C$10,0.000001)))-MAX(0,MIN(1,(((IF(Статистика!$C$4="Параллельный режим (активная мощность)",E42,P42)+Статистика!$J$4))-Статистика!$C$10)/MAX(Статистика!$G$10-Статистика!$C$10,0.000001)))))</f>
        <v>6.1689600000000011E-2</v>
      </c>
      <c r="BA42" s="12">
        <f>IF(A42="","",MAX(0,MAX(0,MIN(1,(((IF(Статистика!$C$4="Параллельный режим (активная мощность)",G42,R42)+Статистика!$J$4))-Статистика!$C$10)/MAX(Статистика!$G$10-Статистика!$C$10,0.000001)))-MAX(0,MIN(1,(((IF(Статистика!$C$4="Параллельный режим (активная мощность)",F42,Q42)+Статистика!$J$4))-Статистика!$C$10)/MAX(Статистика!$G$10-Статистика!$C$10,0.000001)))))</f>
        <v>5.3059905555555509E-2</v>
      </c>
      <c r="BB42" s="12">
        <f>IF(A42="","",MAX(0,MAX(0,MIN(1,(((IF(Статистика!$C$4="Параллельный режим (активная мощность)",H42,S42)+Статистика!$J$4))-Статистика!$C$10)/MAX(Статистика!$G$10-Статистика!$C$10,0.000001)))-MAX(0,MIN(1,(((IF(Статистика!$C$4="Параллельный режим (активная мощность)",G42,R42)+Статистика!$J$4))-Статистика!$C$10)/MAX(Статистика!$G$10-Статистика!$C$10,0.000001)))))</f>
        <v>0.11295470888888826</v>
      </c>
      <c r="BC42" s="12">
        <f>IF(A42="","",MAX(0,MAX(0,MIN(1,(((IF(Статистика!$C$4="Параллельный режим (активная мощность)",J42,U42)+Статистика!$J$4))-Статистика!$C$10)/MAX(Статистика!$G$10-Статистика!$C$10,0.000001)))-MAX(0,MIN(1,(((IF(Статистика!$C$4="Параллельный режим (активная мощность)",H42,S42)+Статистика!$J$4))-Статистика!$C$10)/MAX(Статистика!$G$10-Статистика!$C$10,0.000001)))))</f>
        <v>9.2992236000000617E-2</v>
      </c>
      <c r="BD42" s="12">
        <f>IF(A42="","",MAX(0,1-MAX(0,MIN(1,(((IF(Статистика!$C$4="Параллельный режим (активная мощность)",J42,U42)+Статистика!$J$4))-Статистика!$C$10)/MAX(Статистика!$G$10-Статистика!$C$10,0.000001)))))</f>
        <v>0.14730580511111113</v>
      </c>
      <c r="BE42" s="12">
        <f>IF(A42="",NA(),IF(Статистика!$B$8="Вкл",(((IF(Статистика!$C$4="Параллельный режим (активная мощность)",F42,Q42)+Статистика!$J$4))-Статистика!$C$10)/MAX(Статистика!$G$10-Статистика!$C$10,0.000001),NA()))</f>
        <v>0.59368734444444449</v>
      </c>
      <c r="BF42" s="12">
        <f>IF(A42="",NA(),IF(Статистика!$D$8="Вкл",(((IF(Статистика!$C$4="Параллельный режим (активная мощность)",E42,P42)+Статистика!$J$4))-Статистика!$C$10)/MAX(Статистика!$G$10-Статистика!$C$10,0.000001),NA()))</f>
        <v>0.53199774444444448</v>
      </c>
      <c r="BG42" s="12">
        <f>IF(A42="",NA(),IF(Статистика!$D$8="Вкл",(((IF(Статистика!$C$4="Параллельный режим (активная мощность)",G42,R42)+Статистика!$J$4))-Статистика!$C$10)/MAX(Статистика!$G$10-Статистика!$C$10,0.000001),NA()))</f>
        <v>0.64674725</v>
      </c>
      <c r="BH42" s="12">
        <f>IF(A42="",NA(),IF(Статистика!$F$8="Вкл",(((IF(Статистика!$C$4="Параллельный режим (активная мощность)",D42,O42)+Статистика!$J$4))-Статистика!$C$10)/MAX(Статистика!$G$10-Статистика!$C$10,0.000001),NA()))</f>
        <v>0.48008269166666651</v>
      </c>
      <c r="BI42" s="12">
        <f>IF(A42="",NA(),IF(Статистика!$F$8="Вкл",(((IF(Статистика!$C$4="Параллельный режим (активная мощность)",H42,S42)+Статистика!$J$4))-Статистика!$C$10)/MAX(Статистика!$G$10-Статистика!$C$10,0.000001),NA()))</f>
        <v>0.75970195888888825</v>
      </c>
      <c r="BJ42" s="12">
        <f>IF(A42="",NA(),IF(Статистика!$H$8="Вкл",(((IF(Статистика!$C$4="Параллельный режим (активная мощность)",B42,M42)+Статистика!$J$4))-Статистика!$C$10)/MAX(Статистика!$G$10-Статистика!$C$10,0.000001),NA()))</f>
        <v>-1.2202138848333335</v>
      </c>
      <c r="BK42" s="12">
        <f>IF(A42="",NA(),IF(Статистика!$H$8="Вкл",(((IF(Статистика!$C$4="Параллельный режим (активная мощность)",J42,U42)+Статистика!$J$4))-Статистика!$C$10)/MAX(Статистика!$G$10-Статистика!$C$10,0.000001),NA()))</f>
        <v>0.85269419488888887</v>
      </c>
      <c r="BL42" s="12" t="e">
        <f>IF(A42="",NA(),IF(Статистика!$J$8="Вкл",(((IF(Статистика!$C$4="Параллельный режим (активная мощность)",K42,V42)+Статистика!$J$4))-Статистика!$C$10)/MAX(Статистика!$G$10-Статистика!$C$10,0.000001),NA()))</f>
        <v>#N/A</v>
      </c>
      <c r="BM42" s="12" t="e">
        <f>IF(AND(A42&lt;&gt;"",Статистика!$C$6="Вкл",Статистика!$B$6&gt;0),(Статистика!$B$6-Статистика!$C$10)/MAX(Статистика!$G$10-Статистика!$C$10,0.000001),NA())</f>
        <v>#N/A</v>
      </c>
      <c r="BN42" s="12" t="e">
        <f>IF(AND(A42&lt;&gt;"",Статистика!$F$6="Вкл",Статистика!$E$6&gt;0),(Статистика!$E$6-Статистика!$C$10)/MAX(Статистика!$G$10-Статистика!$C$10,0.000001),NA())</f>
        <v>#N/A</v>
      </c>
      <c r="BO42" s="12" t="e">
        <f>IF(AND(A42&lt;&gt;"",Статистика!$I$6="Вкл",Статистика!$H$6&gt;0),(Статистика!$H$6-Статистика!$C$10)/MAX(Статистика!$G$10-Статистика!$C$10,0.000001),NA())</f>
        <v>#N/A</v>
      </c>
      <c r="BP42" s="12" t="e">
        <f>IF(AND(A42&lt;&gt;"",Статистика!$L$6="Вкл",Статистика!$K$6&gt;0),(Статистика!$K$6-Статистика!$C$10)/MAX(Статистика!$G$10-Статистика!$C$10,0.000001),NA())</f>
        <v>#N/A</v>
      </c>
      <c r="BQ42" s="12" t="e">
        <f>IF(AND(A42&lt;&gt;"",Статистика!$M$6="Вкл",Статистика!$O$6&gt;0),(Статистика!$O$6-Статистика!$C$10)/MAX(Статистика!$G$10-Статистика!$C$10,0.000001),NA())</f>
        <v>#N/A</v>
      </c>
      <c r="BR42" s="12">
        <f t="shared" si="0"/>
        <v>1</v>
      </c>
      <c r="BT42" s="12">
        <f>IF(Y42="","",MAX(0,MIN(1,(((IF(Статистика!$C$4="Параллельный режим (активная мощность)",Z42,AK42)+Статистика!$J$4))-Статистика!$C$10)/MAX(Статистика!$G$10-Статистика!$C$10,0.000001))))</f>
        <v>0.46838175044444413</v>
      </c>
      <c r="BU42" s="12">
        <f>IF(Y42="","",MAX(0,MAX(0,MIN(1,(((IF(Статистика!$C$4="Параллельный режим (активная мощность)",AB42,AM42)+Статистика!$J$4))-Статистика!$C$10)/MAX(Статистика!$G$10-Статистика!$C$10,0.000001)))-MAX(0,MIN(1,(((IF(Статистика!$C$4="Параллельный режим (активная мощность)",Z42,AK42)+Статистика!$J$4))-Статистика!$C$10)/MAX(Статистика!$G$10-Статистика!$C$10,0.000001)))))</f>
        <v>5.1644054000000328E-2</v>
      </c>
      <c r="BV42" s="12">
        <f>IF(Y42="","",MAX(0,MAX(0,MIN(1,(((IF(Статистика!$C$4="Параллельный режим (активная мощность)",AC42,AN42)+Статистика!$J$4))-Статистика!$C$10)/MAX(Статистика!$G$10-Статистика!$C$10,0.000001)))-MAX(0,MIN(1,(((IF(Статистика!$C$4="Параллельный режим (активная мощность)",AB42,AM42)+Статистика!$J$4))-Статистика!$C$10)/MAX(Статистика!$G$10-Статистика!$C$10,0.000001)))))</f>
        <v>7.1447742777777989E-2</v>
      </c>
      <c r="BW42" s="12">
        <f>IF(Y42="","",MAX(0,MAX(0,MIN(1,(((IF(Статистика!$C$4="Параллельный режим (активная мощность)",AD42,AO42)+Статистика!$J$4))-Статистика!$C$10)/MAX(Статистика!$G$10-Статистика!$C$10,0.000001)))-MAX(0,MIN(1,(((IF(Статистика!$C$4="Параллельный режим (активная мощность)",AC42,AN42)+Статистика!$J$4))-Статистика!$C$10)/MAX(Статистика!$G$10-Статистика!$C$10,0.000001)))))</f>
        <v>1.8448197222222018E-2</v>
      </c>
      <c r="BX42" s="12">
        <f>IF(Y42="","",MAX(0,MAX(0,MIN(1,(((IF(Статистика!$C$4="Параллельный режим (активная мощность)",AE42,AP42)+Статистика!$J$4))-Статистика!$C$10)/MAX(Статистика!$G$10-Статистика!$C$10,0.000001)))-MAX(0,MIN(1,(((IF(Статистика!$C$4="Параллельный режим (активная мощность)",AD42,AO42)+Статистика!$J$4))-Статистика!$C$10)/MAX(Статистика!$G$10-Статистика!$C$10,0.000001)))))</f>
        <v>9.450728055555524E-2</v>
      </c>
      <c r="BY42" s="12">
        <f>IF(Y42="","",MAX(0,MAX(0,MIN(1,(((IF(Статистика!$C$4="Параллельный режим (активная мощность)",AF42,AQ42)+Статистика!$J$4))-Статистика!$C$10)/MAX(Статистика!$G$10-Статистика!$C$10,0.000001)))-MAX(0,MIN(1,(((IF(Статистика!$C$4="Параллельный режим (активная мощность)",AE42,AP42)+Статистика!$J$4))-Статистика!$C$10)/MAX(Статистика!$G$10-Статистика!$C$10,0.000001)))))</f>
        <v>0.12573002611111139</v>
      </c>
      <c r="BZ42" s="12">
        <f>IF(Y42="","",MAX(0,MAX(0,MIN(1,(((IF(Статистика!$C$4="Параллельный режим (активная мощность)",AH42,AS42)+Статистика!$J$4))-Статистика!$C$10)/MAX(Статистика!$G$10-Статистика!$C$10,0.000001)))-MAX(0,MIN(1,(((IF(Статистика!$C$4="Параллельный режим (активная мощность)",AF42,AQ42)+Статистика!$J$4))-Статистика!$C$10)/MAX(Статистика!$G$10-Статистика!$C$10,0.000001)))))</f>
        <v>1.233577400000041E-2</v>
      </c>
      <c r="CA42" s="12">
        <f>IF(Y42="","",MAX(0,1-MAX(0,MIN(1,(((IF(Статистика!$C$4="Параллельный режим (активная мощность)",AH42,AS42)+Статистика!$J$4))-Статистика!$C$10)/MAX(Статистика!$G$10-Статистика!$C$10,0.000001)))))</f>
        <v>0.15750517488888849</v>
      </c>
      <c r="CB42" s="12">
        <f>IF(Y42="",NA(),IF(Статистика!$B$8="Вкл",(((IF(Статистика!$C$4="Параллельный режим (активная мощность)",AD42,AO42)+Статистика!$J$4))-Статистика!$C$10)/MAX(Статистика!$G$10-Статистика!$C$10,0.000001),NA()))</f>
        <v>0.60992174444444447</v>
      </c>
      <c r="CC42" s="12">
        <f>IF(Y42="",NA(),IF(Статистика!$D$8="Вкл",(((IF(Статистика!$C$4="Параллельный режим (активная мощность)",AC42,AN42)+Статистика!$J$4))-Статистика!$C$10)/MAX(Статистика!$G$10-Статистика!$C$10,0.000001),NA()))</f>
        <v>0.59147354722222245</v>
      </c>
      <c r="CD42" s="12">
        <f>IF(Y42="",NA(),IF(Статистика!$D$8="Вкл",(((IF(Статистика!$C$4="Параллельный режим (активная мощность)",AE42,AP42)+Статистика!$J$4))-Статистика!$C$10)/MAX(Статистика!$G$10-Статистика!$C$10,0.000001),NA()))</f>
        <v>0.70442902499999971</v>
      </c>
      <c r="CE42" s="12">
        <f>IF(Y42="",NA(),IF(Статистика!$F$8="Вкл",(((IF(Статистика!$C$4="Параллельный режим (активная мощность)",AB42,AM42)+Статистика!$J$4))-Статистика!$C$10)/MAX(Статистика!$G$10-Статистика!$C$10,0.000001),NA()))</f>
        <v>0.52002580444444446</v>
      </c>
      <c r="CF42" s="12">
        <f>IF(Y42="",NA(),IF(Статистика!$F$8="Вкл",(((IF(Статистика!$C$4="Параллельный режим (активная мощность)",AF42,AQ42)+Статистика!$J$4))-Статистика!$C$10)/MAX(Статистика!$G$10-Статистика!$C$10,0.000001),NA()))</f>
        <v>0.8301590511111111</v>
      </c>
      <c r="CG42" s="12">
        <f>IF(Y42="",NA(),IF(Статистика!$H$8="Вкл",(((IF(Статистика!$C$4="Параллельный режим (активная мощность)",Z42,AK42)+Статистика!$J$4))-Статистика!$C$10)/MAX(Статистика!$G$10-Статистика!$C$10,0.000001),NA()))</f>
        <v>0.46838175044444413</v>
      </c>
      <c r="CH42" s="12">
        <f>IF(Y42="",NA(),IF(Статистика!$H$8="Вкл",(((IF(Статистика!$C$4="Параллельный режим (активная мощность)",AH42,AS42)+Статистика!$J$4))-Статистика!$C$10)/MAX(Статистика!$G$10-Статистика!$C$10,0.000001),NA()))</f>
        <v>0.84249482511111151</v>
      </c>
      <c r="CI42" s="12" t="e">
        <f>IF(Y42="",NA(),IF(Статистика!$J$8="Вкл",(((IF(Статистика!$C$4="Параллельный режим (активная мощность)",AI42,AT42)+Статистика!$J$4))-Статистика!$C$10)/MAX(Статистика!$G$10-Статистика!$C$10,0.000001),NA()))</f>
        <v>#N/A</v>
      </c>
      <c r="CJ42" s="12" t="e">
        <f>IF(AND(Y42&lt;&gt;"",Статистика!$C$6="Вкл",Статистика!$B$6&gt;0),(Статистика!$B$6-Статистика!$C$10)/MAX(Статистика!$G$10-Статистика!$C$10,0.000001),NA())</f>
        <v>#N/A</v>
      </c>
      <c r="CK42" s="12" t="e">
        <f>IF(AND(Y42&lt;&gt;"",Статистика!$F$6="Вкл",Статистика!$E$6&gt;0),(Статистика!$E$6-Статистика!$C$10)/MAX(Статистика!$G$10-Статистика!$C$10,0.000001),NA())</f>
        <v>#N/A</v>
      </c>
      <c r="CL42" s="12" t="e">
        <f>IF(AND(Y42&lt;&gt;"",Статистика!$I$6="Вкл",Статистика!$H$6&gt;0),(Статистика!$H$6-Статистика!$C$10)/MAX(Статистика!$G$10-Статистика!$C$10,0.000001),NA())</f>
        <v>#N/A</v>
      </c>
      <c r="CM42" s="12" t="e">
        <f>IF(AND(Y42&lt;&gt;"",Статистика!$L$6="Вкл",Статистика!$K$6&gt;0),(Статистика!$K$6-Статистика!$C$10)/MAX(Статистика!$G$10-Статистика!$C$10,0.000001),NA())</f>
        <v>#N/A</v>
      </c>
      <c r="CN42" s="12" t="e">
        <f>IF(AND(Y42&lt;&gt;"",Статистика!$M$6="Вкл",Статистика!$O$6&gt;0),(Статистика!$O$6-Статистика!$C$10)/MAX(Статистика!$G$10-Статистика!$C$10,0.000001),NA())</f>
        <v>#N/A</v>
      </c>
      <c r="CO42" s="12">
        <f t="shared" si="1"/>
        <v>1</v>
      </c>
    </row>
    <row r="43" spans="1:93" ht="15" customHeight="1">
      <c r="A43" s="12" t="s">
        <v>226</v>
      </c>
      <c r="B43" s="12">
        <v>2330.1772991666667</v>
      </c>
      <c r="C43" s="12">
        <v>5745.3420958333336</v>
      </c>
      <c r="D43" s="12">
        <v>7411.5754466666667</v>
      </c>
      <c r="E43" s="12">
        <v>7585.9954833333341</v>
      </c>
      <c r="F43" s="12">
        <v>7750.7926666666663</v>
      </c>
      <c r="G43" s="12">
        <v>7952.9416500000007</v>
      </c>
      <c r="H43" s="12">
        <v>8282.3940816666654</v>
      </c>
      <c r="I43" s="12">
        <v>8372.6927491666665</v>
      </c>
      <c r="J43" s="12">
        <v>8554.7572431666667</v>
      </c>
      <c r="K43" s="12">
        <v>8748.25</v>
      </c>
      <c r="L43" s="12" t="s">
        <v>227</v>
      </c>
      <c r="M43" s="12">
        <v>2914.510701666667</v>
      </c>
      <c r="N43" s="12">
        <v>6724.3777750000008</v>
      </c>
      <c r="O43" s="12">
        <v>8553.6502566666677</v>
      </c>
      <c r="P43" s="12">
        <v>8735.4293583333347</v>
      </c>
      <c r="Q43" s="12">
        <v>8912.5207666666684</v>
      </c>
      <c r="R43" s="12">
        <v>9050.8827333333338</v>
      </c>
      <c r="S43" s="12">
        <v>9414.3347216666662</v>
      </c>
      <c r="T43" s="12">
        <v>9482.7731816666656</v>
      </c>
      <c r="U43" s="12">
        <v>9598.4174096666666</v>
      </c>
      <c r="V43" s="12">
        <v>9768.94</v>
      </c>
      <c r="W43" s="12" t="s">
        <v>227</v>
      </c>
      <c r="Y43" s="12" t="s">
        <v>226</v>
      </c>
      <c r="Z43" s="12">
        <v>7333.4912916666672</v>
      </c>
      <c r="AA43" s="12">
        <v>7402.4176583333337</v>
      </c>
      <c r="AB43" s="12">
        <v>7488.575616666667</v>
      </c>
      <c r="AC43" s="12">
        <v>7745.9487250000002</v>
      </c>
      <c r="AD43" s="12">
        <v>7821.8528666666662</v>
      </c>
      <c r="AE43" s="12">
        <v>8061.745691666667</v>
      </c>
      <c r="AF43" s="12">
        <v>8472.7770766666672</v>
      </c>
      <c r="AG43" s="12">
        <v>8496.4715716666688</v>
      </c>
      <c r="AH43" s="12">
        <v>8515.4271676666685</v>
      </c>
      <c r="AI43" s="12">
        <v>8654.16</v>
      </c>
      <c r="AJ43" s="12" t="s">
        <v>228</v>
      </c>
      <c r="AK43" s="12">
        <v>8436.6759870000005</v>
      </c>
      <c r="AL43" s="12">
        <v>8494.4956683333348</v>
      </c>
      <c r="AM43" s="12">
        <v>8566.7702700000009</v>
      </c>
      <c r="AN43" s="12">
        <v>8824.977175</v>
      </c>
      <c r="AO43" s="12">
        <v>8979.9426833333309</v>
      </c>
      <c r="AP43" s="12">
        <v>9216.0093500000003</v>
      </c>
      <c r="AQ43" s="12">
        <v>9606.2268566666662</v>
      </c>
      <c r="AR43" s="12">
        <v>9636.991895000001</v>
      </c>
      <c r="AS43" s="12">
        <v>9661.6039256666681</v>
      </c>
      <c r="AT43" s="12">
        <v>9800.77</v>
      </c>
      <c r="AU43" s="12" t="s">
        <v>228</v>
      </c>
      <c r="AW43" s="12">
        <f>IF(A43="","",MAX(0,MIN(1,(((IF(Статистика!$C$4="Параллельный режим (активная мощность)",B43,M43)+Статистика!$J$4))-Статистика!$C$10)/MAX(Статистика!$G$10-Статистика!$C$10,0.000001))))</f>
        <v>0</v>
      </c>
      <c r="AX43" s="12">
        <f>IF(A43="","",MAX(0,MAX(0,MIN(1,(((IF(Статистика!$C$4="Параллельный режим (активная мощность)",D43,O43)+Статистика!$J$4))-Статистика!$C$10)/MAX(Статистика!$G$10-Статистика!$C$10,0.000001)))-MAX(0,MIN(1,(((IF(Статистика!$C$4="Параллельный режим (активная мощность)",B43,M43)+Статистика!$J$4))-Статистика!$C$10)/MAX(Статистика!$G$10-Статистика!$C$10,0.000001)))))</f>
        <v>0.47052514888888891</v>
      </c>
      <c r="AY43" s="12">
        <f>IF(A43="","",MAX(0,MAX(0,MIN(1,(((IF(Статистика!$C$4="Параллельный режим (активная мощность)",E43,P43)+Статистика!$J$4))-Статистика!$C$10)/MAX(Статистика!$G$10-Статистика!$C$10,0.000001)))-MAX(0,MIN(1,(((IF(Статистика!$C$4="Параллельный режим (активная мощность)",D43,O43)+Статистика!$J$4))-Статистика!$C$10)/MAX(Статистика!$G$10-Статистика!$C$10,0.000001)))))</f>
        <v>5.8140012222222481E-2</v>
      </c>
      <c r="AZ43" s="12">
        <f>IF(A43="","",MAX(0,MAX(0,MIN(1,(((IF(Статистика!$C$4="Параллельный режим (активная мощность)",F43,Q43)+Статистика!$J$4))-Статистика!$C$10)/MAX(Статистика!$G$10-Статистика!$C$10,0.000001)))-MAX(0,MIN(1,(((IF(Статистика!$C$4="Параллельный режим (активная мощность)",E43,P43)+Статистика!$J$4))-Статистика!$C$10)/MAX(Статистика!$G$10-Статистика!$C$10,0.000001)))))</f>
        <v>5.4932394444443977E-2</v>
      </c>
      <c r="BA43" s="12">
        <f>IF(A43="","",MAX(0,MAX(0,MIN(1,(((IF(Статистика!$C$4="Параллельный режим (активная мощность)",G43,R43)+Статистика!$J$4))-Статистика!$C$10)/MAX(Статистика!$G$10-Статистика!$C$10,0.000001)))-MAX(0,MIN(1,(((IF(Статистика!$C$4="Параллельный режим (активная мощность)",F43,Q43)+Статистика!$J$4))-Статистика!$C$10)/MAX(Статистика!$G$10-Статистика!$C$10,0.000001)))))</f>
        <v>6.7382994444444844E-2</v>
      </c>
      <c r="BB43" s="12">
        <f>IF(A43="","",MAX(0,MAX(0,MIN(1,(((IF(Статистика!$C$4="Параллельный режим (активная мощность)",H43,S43)+Статистика!$J$4))-Статистика!$C$10)/MAX(Статистика!$G$10-Статистика!$C$10,0.000001)))-MAX(0,MIN(1,(((IF(Статистика!$C$4="Параллельный режим (активная мощность)",G43,R43)+Статистика!$J$4))-Статистика!$C$10)/MAX(Статистика!$G$10-Статистика!$C$10,0.000001)))))</f>
        <v>0.10981747722222157</v>
      </c>
      <c r="BC43" s="12">
        <f>IF(A43="","",MAX(0,MAX(0,MIN(1,(((IF(Статистика!$C$4="Параллельный режим (активная мощность)",J43,U43)+Статистика!$J$4))-Статистика!$C$10)/MAX(Статистика!$G$10-Статистика!$C$10,0.000001)))-MAX(0,MIN(1,(((IF(Статистика!$C$4="Параллельный режим (активная мощность)",H43,S43)+Статистика!$J$4))-Статистика!$C$10)/MAX(Статистика!$G$10-Статистика!$C$10,0.000001)))))</f>
        <v>9.0787720500000502E-2</v>
      </c>
      <c r="BD43" s="12">
        <f>IF(A43="","",MAX(0,1-MAX(0,MIN(1,(((IF(Статистика!$C$4="Параллельный режим (активная мощность)",J43,U43)+Статистика!$J$4))-Статистика!$C$10)/MAX(Статистика!$G$10-Статистика!$C$10,0.000001)))))</f>
        <v>0.14841425227777771</v>
      </c>
      <c r="BE43" s="12">
        <f>IF(A43="",NA(),IF(Статистика!$B$8="Вкл",(((IF(Статистика!$C$4="Параллельный режим (активная мощность)",F43,Q43)+Статистика!$J$4))-Статистика!$C$10)/MAX(Статистика!$G$10-Статистика!$C$10,0.000001),NA()))</f>
        <v>0.58359755555555537</v>
      </c>
      <c r="BF43" s="12">
        <f>IF(A43="",NA(),IF(Статистика!$D$8="Вкл",(((IF(Статистика!$C$4="Параллельный режим (активная мощность)",E43,P43)+Статистика!$J$4))-Статистика!$C$10)/MAX(Статистика!$G$10-Статистика!$C$10,0.000001),NA()))</f>
        <v>0.52866516111111139</v>
      </c>
      <c r="BG43" s="12">
        <f>IF(A43="",NA(),IF(Статистика!$D$8="Вкл",(((IF(Статистика!$C$4="Параллельный режим (активная мощность)",G43,R43)+Статистика!$J$4))-Статистика!$C$10)/MAX(Статистика!$G$10-Статистика!$C$10,0.000001),NA()))</f>
        <v>0.65098055000000021</v>
      </c>
      <c r="BH43" s="12">
        <f>IF(A43="",NA(),IF(Статистика!$F$8="Вкл",(((IF(Статистика!$C$4="Параллельный режим (активная мощность)",D43,O43)+Статистика!$J$4))-Статистика!$C$10)/MAX(Статистика!$G$10-Статистика!$C$10,0.000001),NA()))</f>
        <v>0.47052514888888891</v>
      </c>
      <c r="BI43" s="12">
        <f>IF(A43="",NA(),IF(Статистика!$F$8="Вкл",(((IF(Статистика!$C$4="Параллельный режим (активная мощность)",H43,S43)+Статистика!$J$4))-Статистика!$C$10)/MAX(Статистика!$G$10-Статистика!$C$10,0.000001),NA()))</f>
        <v>0.76079802722222178</v>
      </c>
      <c r="BJ43" s="12">
        <f>IF(A43="",NA(),IF(Статистика!$H$8="Вкл",(((IF(Статистика!$C$4="Параллельный режим (активная мощность)",B43,M43)+Статистика!$J$4))-Статистика!$C$10)/MAX(Статистика!$G$10-Статистика!$C$10,0.000001),NA()))</f>
        <v>-1.2232742336111111</v>
      </c>
      <c r="BK43" s="12">
        <f>IF(A43="",NA(),IF(Статистика!$H$8="Вкл",(((IF(Статистика!$C$4="Параллельный режим (активная мощность)",J43,U43)+Статистика!$J$4))-Статистика!$C$10)/MAX(Статистика!$G$10-Статистика!$C$10,0.000001),NA()))</f>
        <v>0.85158574772222229</v>
      </c>
      <c r="BL43" s="12" t="e">
        <f>IF(A43="",NA(),IF(Статистика!$J$8="Вкл",(((IF(Статистика!$C$4="Параллельный режим (активная мощность)",K43,V43)+Статистика!$J$4))-Статистика!$C$10)/MAX(Статистика!$G$10-Статистика!$C$10,0.000001),NA()))</f>
        <v>#N/A</v>
      </c>
      <c r="BM43" s="12" t="e">
        <f>IF(AND(A43&lt;&gt;"",Статистика!$C$6="Вкл",Статистика!$B$6&gt;0),(Статистика!$B$6-Статистика!$C$10)/MAX(Статистика!$G$10-Статистика!$C$10,0.000001),NA())</f>
        <v>#N/A</v>
      </c>
      <c r="BN43" s="12" t="e">
        <f>IF(AND(A43&lt;&gt;"",Статистика!$F$6="Вкл",Статистика!$E$6&gt;0),(Статистика!$E$6-Статистика!$C$10)/MAX(Статистика!$G$10-Статистика!$C$10,0.000001),NA())</f>
        <v>#N/A</v>
      </c>
      <c r="BO43" s="12" t="e">
        <f>IF(AND(A43&lt;&gt;"",Статистика!$I$6="Вкл",Статистика!$H$6&gt;0),(Статистика!$H$6-Статистика!$C$10)/MAX(Статистика!$G$10-Статистика!$C$10,0.000001),NA())</f>
        <v>#N/A</v>
      </c>
      <c r="BP43" s="12" t="e">
        <f>IF(AND(A43&lt;&gt;"",Статистика!$L$6="Вкл",Статистика!$K$6&gt;0),(Статистика!$K$6-Статистика!$C$10)/MAX(Статистика!$G$10-Статистика!$C$10,0.000001),NA())</f>
        <v>#N/A</v>
      </c>
      <c r="BQ43" s="12" t="e">
        <f>IF(AND(A43&lt;&gt;"",Статистика!$M$6="Вкл",Статистика!$O$6&gt;0),(Статистика!$O$6-Статистика!$C$10)/MAX(Статистика!$G$10-Статистика!$C$10,0.000001),NA())</f>
        <v>#N/A</v>
      </c>
      <c r="BR43" s="12">
        <f t="shared" si="0"/>
        <v>1</v>
      </c>
      <c r="BT43" s="12">
        <f>IF(Y43="","",MAX(0,MIN(1,(((IF(Статистика!$C$4="Параллельный режим (активная мощность)",Z43,AK43)+Статистика!$J$4))-Статистика!$C$10)/MAX(Статистика!$G$10-Статистика!$C$10,0.000001))))</f>
        <v>0.44449709722222241</v>
      </c>
      <c r="BU43" s="12">
        <f>IF(Y43="","",MAX(0,MAX(0,MIN(1,(((IF(Статистика!$C$4="Параллельный режим (активная мощность)",AB43,AM43)+Статистика!$J$4))-Статистика!$C$10)/MAX(Статистика!$G$10-Статистика!$C$10,0.000001)))-MAX(0,MIN(1,(((IF(Статистика!$C$4="Параллельный режим (активная мощность)",Z43,AK43)+Статистика!$J$4))-Статистика!$C$10)/MAX(Статистика!$G$10-Статистика!$C$10,0.000001)))))</f>
        <v>5.1694774999999915E-2</v>
      </c>
      <c r="BV43" s="12">
        <f>IF(Y43="","",MAX(0,MAX(0,MIN(1,(((IF(Статистика!$C$4="Параллельный режим (активная мощность)",AC43,AN43)+Статистика!$J$4))-Статистика!$C$10)/MAX(Статистика!$G$10-Статистика!$C$10,0.000001)))-MAX(0,MIN(1,(((IF(Статистика!$C$4="Параллельный режим (активная мощность)",AB43,AM43)+Статистика!$J$4))-Статистика!$C$10)/MAX(Статистика!$G$10-Статистика!$C$10,0.000001)))))</f>
        <v>8.5791036111111107E-2</v>
      </c>
      <c r="BW43" s="12">
        <f>IF(Y43="","",MAX(0,MAX(0,MIN(1,(((IF(Статистика!$C$4="Параллельный режим (активная мощность)",AD43,AO43)+Статистика!$J$4))-Статистика!$C$10)/MAX(Статистика!$G$10-Статистика!$C$10,0.000001)))-MAX(0,MIN(1,(((IF(Статистика!$C$4="Параллельный режим (активная мощность)",AC43,AN43)+Статистика!$J$4))-Статистика!$C$10)/MAX(Статистика!$G$10-Статистика!$C$10,0.000001)))))</f>
        <v>2.5301380555555308E-2</v>
      </c>
      <c r="BX43" s="12">
        <f>IF(Y43="","",MAX(0,MAX(0,MIN(1,(((IF(Статистика!$C$4="Параллельный режим (активная мощность)",AE43,AP43)+Статистика!$J$4))-Статистика!$C$10)/MAX(Статистика!$G$10-Статистика!$C$10,0.000001)))-MAX(0,MIN(1,(((IF(Статистика!$C$4="Параллельный режим (активная мощность)",AD43,AO43)+Статистика!$J$4))-Статистика!$C$10)/MAX(Статистика!$G$10-Статистика!$C$10,0.000001)))))</f>
        <v>7.9964275000000251E-2</v>
      </c>
      <c r="BY43" s="12">
        <f>IF(Y43="","",MAX(0,MAX(0,MIN(1,(((IF(Статистика!$C$4="Параллельный режим (активная мощность)",AF43,AQ43)+Статистика!$J$4))-Статистика!$C$10)/MAX(Статистика!$G$10-Статистика!$C$10,0.000001)))-MAX(0,MIN(1,(((IF(Статистика!$C$4="Параллельный режим (активная мощность)",AE43,AP43)+Статистика!$J$4))-Статистика!$C$10)/MAX(Статистика!$G$10-Статистика!$C$10,0.000001)))))</f>
        <v>0.13701046166666675</v>
      </c>
      <c r="BZ43" s="12">
        <f>IF(Y43="","",MAX(0,MAX(0,MIN(1,(((IF(Статистика!$C$4="Параллельный режим (активная мощность)",AH43,AS43)+Статистика!$J$4))-Статистика!$C$10)/MAX(Статистика!$G$10-Статистика!$C$10,0.000001)))-MAX(0,MIN(1,(((IF(Статистика!$C$4="Параллельный режим (активная мощность)",AF43,AQ43)+Статистика!$J$4))-Статистика!$C$10)/MAX(Статистика!$G$10-Статистика!$C$10,0.000001)))))</f>
        <v>1.4216697000000389E-2</v>
      </c>
      <c r="CA43" s="12">
        <f>IF(Y43="","",MAX(0,1-MAX(0,MIN(1,(((IF(Статистика!$C$4="Параллельный режим (активная мощность)",AH43,AS43)+Статистика!$J$4))-Статистика!$C$10)/MAX(Статистика!$G$10-Статистика!$C$10,0.000001)))))</f>
        <v>0.16152427744444386</v>
      </c>
      <c r="CB43" s="12">
        <f>IF(Y43="",NA(),IF(Статистика!$B$8="Вкл",(((IF(Статистика!$C$4="Параллельный режим (активная мощность)",AD43,AO43)+Статистика!$J$4))-Статистика!$C$10)/MAX(Статистика!$G$10-Статистика!$C$10,0.000001),NA()))</f>
        <v>0.60728428888888875</v>
      </c>
      <c r="CC43" s="12">
        <f>IF(Y43="",NA(),IF(Статистика!$D$8="Вкл",(((IF(Статистика!$C$4="Параллельный режим (активная мощность)",AC43,AN43)+Статистика!$J$4))-Статистика!$C$10)/MAX(Статистика!$G$10-Статистика!$C$10,0.000001),NA()))</f>
        <v>0.58198290833333344</v>
      </c>
      <c r="CD43" s="12">
        <f>IF(Y43="",NA(),IF(Статистика!$D$8="Вкл",(((IF(Статистика!$C$4="Параллельный режим (активная мощность)",AE43,AP43)+Статистика!$J$4))-Статистика!$C$10)/MAX(Статистика!$G$10-Статистика!$C$10,0.000001),NA()))</f>
        <v>0.687248563888889</v>
      </c>
      <c r="CE43" s="12">
        <f>IF(Y43="",NA(),IF(Статистика!$F$8="Вкл",(((IF(Статистика!$C$4="Параллельный режим (активная мощность)",AB43,AM43)+Статистика!$J$4))-Статистика!$C$10)/MAX(Статистика!$G$10-Статистика!$C$10,0.000001),NA()))</f>
        <v>0.49619187222222233</v>
      </c>
      <c r="CF43" s="12">
        <f>IF(Y43="",NA(),IF(Статистика!$F$8="Вкл",(((IF(Статистика!$C$4="Параллельный режим (активная мощность)",AF43,AQ43)+Статистика!$J$4))-Статистика!$C$10)/MAX(Статистика!$G$10-Статистика!$C$10,0.000001),NA()))</f>
        <v>0.82425902555555575</v>
      </c>
      <c r="CG43" s="12">
        <f>IF(Y43="",NA(),IF(Статистика!$H$8="Вкл",(((IF(Статистика!$C$4="Параллельный режим (активная мощность)",Z43,AK43)+Статистика!$J$4))-Статистика!$C$10)/MAX(Статистика!$G$10-Статистика!$C$10,0.000001),NA()))</f>
        <v>0.44449709722222241</v>
      </c>
      <c r="CH43" s="12">
        <f>IF(Y43="",NA(),IF(Статистика!$H$8="Вкл",(((IF(Статистика!$C$4="Параллельный режим (активная мощность)",AH43,AS43)+Статистика!$J$4))-Статистика!$C$10)/MAX(Статистика!$G$10-Статистика!$C$10,0.000001),NA()))</f>
        <v>0.83847572255555614</v>
      </c>
      <c r="CI43" s="12" t="e">
        <f>IF(Y43="",NA(),IF(Статистика!$J$8="Вкл",(((IF(Статистика!$C$4="Параллельный режим (активная мощность)",AI43,AT43)+Статистика!$J$4))-Статистика!$C$10)/MAX(Статистика!$G$10-Статистика!$C$10,0.000001),NA()))</f>
        <v>#N/A</v>
      </c>
      <c r="CJ43" s="12" t="e">
        <f>IF(AND(Y43&lt;&gt;"",Статистика!$C$6="Вкл",Статистика!$B$6&gt;0),(Статистика!$B$6-Статистика!$C$10)/MAX(Статистика!$G$10-Статистика!$C$10,0.000001),NA())</f>
        <v>#N/A</v>
      </c>
      <c r="CK43" s="12" t="e">
        <f>IF(AND(Y43&lt;&gt;"",Статистика!$F$6="Вкл",Статистика!$E$6&gt;0),(Статистика!$E$6-Статистика!$C$10)/MAX(Статистика!$G$10-Статистика!$C$10,0.000001),NA())</f>
        <v>#N/A</v>
      </c>
      <c r="CL43" s="12" t="e">
        <f>IF(AND(Y43&lt;&gt;"",Статистика!$I$6="Вкл",Статистика!$H$6&gt;0),(Статистика!$H$6-Статистика!$C$10)/MAX(Статистика!$G$10-Статистика!$C$10,0.000001),NA())</f>
        <v>#N/A</v>
      </c>
      <c r="CM43" s="12" t="e">
        <f>IF(AND(Y43&lt;&gt;"",Статистика!$L$6="Вкл",Статистика!$K$6&gt;0),(Статистика!$K$6-Статистика!$C$10)/MAX(Статистика!$G$10-Статистика!$C$10,0.000001),NA())</f>
        <v>#N/A</v>
      </c>
      <c r="CN43" s="12" t="e">
        <f>IF(AND(Y43&lt;&gt;"",Статистика!$M$6="Вкл",Статистика!$O$6&gt;0),(Статистика!$O$6-Статистика!$C$10)/MAX(Статистика!$G$10-Статистика!$C$10,0.000001),NA())</f>
        <v>#N/A</v>
      </c>
      <c r="CO43" s="12">
        <f t="shared" si="1"/>
        <v>1</v>
      </c>
    </row>
    <row r="44" spans="1:93" ht="15" customHeight="1">
      <c r="A44" s="12" t="s">
        <v>229</v>
      </c>
      <c r="B44" s="12">
        <v>2348.0738428333334</v>
      </c>
      <c r="C44" s="12">
        <v>5825.5746808333342</v>
      </c>
      <c r="D44" s="12">
        <v>7483.8252583333342</v>
      </c>
      <c r="E44" s="12">
        <v>7620.6914333333343</v>
      </c>
      <c r="F44" s="12">
        <v>7738.1185833333329</v>
      </c>
      <c r="G44" s="12">
        <v>7964.2477250000002</v>
      </c>
      <c r="H44" s="12">
        <v>8279.667421666667</v>
      </c>
      <c r="I44" s="12">
        <v>8359.7199391666654</v>
      </c>
      <c r="J44" s="12">
        <v>8475.5853211666654</v>
      </c>
      <c r="K44" s="12">
        <v>8657.0300000000007</v>
      </c>
      <c r="L44" s="12" t="s">
        <v>230</v>
      </c>
      <c r="M44" s="12">
        <v>2920.9826896666668</v>
      </c>
      <c r="N44" s="12">
        <v>6727.6333150000019</v>
      </c>
      <c r="O44" s="12">
        <v>8580.363376666668</v>
      </c>
      <c r="P44" s="12">
        <v>8751.6610666666656</v>
      </c>
      <c r="Q44" s="12">
        <v>8883.4649833333315</v>
      </c>
      <c r="R44" s="12">
        <v>9060.5056083333329</v>
      </c>
      <c r="S44" s="12">
        <v>9428.5710716666672</v>
      </c>
      <c r="T44" s="12">
        <v>9469.6146216666675</v>
      </c>
      <c r="U44" s="12">
        <v>9507.2056976666681</v>
      </c>
      <c r="V44" s="12">
        <v>9911.23</v>
      </c>
      <c r="W44" s="12" t="s">
        <v>230</v>
      </c>
      <c r="Y44" s="12" t="s">
        <v>229</v>
      </c>
      <c r="Z44" s="12">
        <v>7295.1349188333343</v>
      </c>
      <c r="AA44" s="12">
        <v>7389.0447275000006</v>
      </c>
      <c r="AB44" s="12">
        <v>7506.4319883333346</v>
      </c>
      <c r="AC44" s="12">
        <v>7751.6668250000002</v>
      </c>
      <c r="AD44" s="12">
        <v>7791.1494833333327</v>
      </c>
      <c r="AE44" s="12">
        <v>8050.7700750000004</v>
      </c>
      <c r="AF44" s="12">
        <v>8444.0911866666665</v>
      </c>
      <c r="AG44" s="12">
        <v>8455.3206100000007</v>
      </c>
      <c r="AH44" s="12">
        <v>8464.304148666668</v>
      </c>
      <c r="AI44" s="12">
        <v>8639.32</v>
      </c>
      <c r="AJ44" s="12" t="s">
        <v>231</v>
      </c>
      <c r="AK44" s="12">
        <v>8374.2236279999979</v>
      </c>
      <c r="AL44" s="12">
        <v>8449.7854733333315</v>
      </c>
      <c r="AM44" s="12">
        <v>8544.2377799999995</v>
      </c>
      <c r="AN44" s="12">
        <v>8822.4056083333344</v>
      </c>
      <c r="AO44" s="12">
        <v>8958.4354833333346</v>
      </c>
      <c r="AP44" s="12">
        <v>9189.1743083333313</v>
      </c>
      <c r="AQ44" s="12">
        <v>9586.9833550000003</v>
      </c>
      <c r="AR44" s="12">
        <v>9609.0009274999993</v>
      </c>
      <c r="AS44" s="12">
        <v>9626.6149855000003</v>
      </c>
      <c r="AT44" s="12">
        <v>9783.2900000000009</v>
      </c>
      <c r="AU44" s="12" t="s">
        <v>231</v>
      </c>
      <c r="AW44" s="12">
        <f>IF(A44="","",MAX(0,MIN(1,(((IF(Статистика!$C$4="Параллельный режим (активная мощность)",B44,M44)+Статистика!$J$4))-Статистика!$C$10)/MAX(Статистика!$G$10-Статистика!$C$10,0.000001))))</f>
        <v>0</v>
      </c>
      <c r="AX44" s="12">
        <f>IF(A44="","",MAX(0,MAX(0,MIN(1,(((IF(Статистика!$C$4="Параллельный режим (активная мощность)",D44,O44)+Статистика!$J$4))-Статистика!$C$10)/MAX(Статистика!$G$10-Статистика!$C$10,0.000001)))-MAX(0,MIN(1,(((IF(Статистика!$C$4="Параллельный режим (активная мощность)",B44,M44)+Статистика!$J$4))-Статистика!$C$10)/MAX(Статистика!$G$10-Статистика!$C$10,0.000001)))))</f>
        <v>0.49460841944444472</v>
      </c>
      <c r="AY44" s="12">
        <f>IF(A44="","",MAX(0,MAX(0,MIN(1,(((IF(Статистика!$C$4="Параллельный режим (активная мощность)",E44,P44)+Статистика!$J$4))-Статистика!$C$10)/MAX(Статистика!$G$10-Статистика!$C$10,0.000001)))-MAX(0,MIN(1,(((IF(Статистика!$C$4="Параллельный режим (активная мощность)",D44,O44)+Статистика!$J$4))-Статистика!$C$10)/MAX(Статистика!$G$10-Статистика!$C$10,0.000001)))))</f>
        <v>4.5622058333333382E-2</v>
      </c>
      <c r="AZ44" s="12">
        <f>IF(A44="","",MAX(0,MAX(0,MIN(1,(((IF(Статистика!$C$4="Параллельный режим (активная мощность)",F44,Q44)+Статистика!$J$4))-Статистика!$C$10)/MAX(Статистика!$G$10-Статистика!$C$10,0.000001)))-MAX(0,MIN(1,(((IF(Статистика!$C$4="Параллельный режим (активная мощность)",E44,P44)+Статистика!$J$4))-Статистика!$C$10)/MAX(Статистика!$G$10-Статистика!$C$10,0.000001)))))</f>
        <v>3.9142383333332864E-2</v>
      </c>
      <c r="BA44" s="12">
        <f>IF(A44="","",MAX(0,MAX(0,MIN(1,(((IF(Статистика!$C$4="Параллельный режим (активная мощность)",G44,R44)+Статистика!$J$4))-Статистика!$C$10)/MAX(Статистика!$G$10-Статистика!$C$10,0.000001)))-MAX(0,MIN(1,(((IF(Статистика!$C$4="Параллельный режим (активная мощность)",F44,Q44)+Статистика!$J$4))-Статистика!$C$10)/MAX(Статистика!$G$10-Статистика!$C$10,0.000001)))))</f>
        <v>7.5376380555555733E-2</v>
      </c>
      <c r="BB44" s="12">
        <f>IF(A44="","",MAX(0,MAX(0,MIN(1,(((IF(Статистика!$C$4="Параллельный режим (активная мощность)",H44,S44)+Статистика!$J$4))-Статистика!$C$10)/MAX(Статистика!$G$10-Статистика!$C$10,0.000001)))-MAX(0,MIN(1,(((IF(Статистика!$C$4="Параллельный режим (активная мощность)",G44,R44)+Статистика!$J$4))-Статистика!$C$10)/MAX(Статистика!$G$10-Статистика!$C$10,0.000001)))))</f>
        <v>0.10513989888888897</v>
      </c>
      <c r="BC44" s="12">
        <f>IF(A44="","",MAX(0,MAX(0,MIN(1,(((IF(Статистика!$C$4="Параллельный режим (активная мощность)",J44,U44)+Статистика!$J$4))-Статистика!$C$10)/MAX(Статистика!$G$10-Статистика!$C$10,0.000001)))-MAX(0,MIN(1,(((IF(Статистика!$C$4="Параллельный режим (активная мощность)",H44,S44)+Статистика!$J$4))-Статистика!$C$10)/MAX(Статистика!$G$10-Статистика!$C$10,0.000001)))))</f>
        <v>6.5305966499999424E-2</v>
      </c>
      <c r="BD44" s="12">
        <f>IF(A44="","",MAX(0,1-MAX(0,MIN(1,(((IF(Статистика!$C$4="Параллельный режим (активная мощность)",J44,U44)+Статистика!$J$4))-Статистика!$C$10)/MAX(Статистика!$G$10-Статистика!$C$10,0.000001)))))</f>
        <v>0.1748048929444449</v>
      </c>
      <c r="BE44" s="12">
        <f>IF(A44="",NA(),IF(Статистика!$B$8="Вкл",(((IF(Статистика!$C$4="Параллельный режим (активная мощность)",F44,Q44)+Статистика!$J$4))-Статистика!$C$10)/MAX(Статистика!$G$10-Статистика!$C$10,0.000001),NA()))</f>
        <v>0.57937286111111097</v>
      </c>
      <c r="BF44" s="12">
        <f>IF(A44="",NA(),IF(Статистика!$D$8="Вкл",(((IF(Статистика!$C$4="Параллельный режим (активная мощность)",E44,P44)+Статистика!$J$4))-Статистика!$C$10)/MAX(Статистика!$G$10-Статистика!$C$10,0.000001),NA()))</f>
        <v>0.54023047777777811</v>
      </c>
      <c r="BG44" s="12">
        <f>IF(A44="",NA(),IF(Статистика!$D$8="Вкл",(((IF(Статистика!$C$4="Параллельный режим (активная мощность)",G44,R44)+Статистика!$J$4))-Статистика!$C$10)/MAX(Статистика!$G$10-Статистика!$C$10,0.000001),NA()))</f>
        <v>0.6547492416666667</v>
      </c>
      <c r="BH44" s="12">
        <f>IF(A44="",NA(),IF(Статистика!$F$8="Вкл",(((IF(Статистика!$C$4="Параллельный режим (активная мощность)",D44,O44)+Статистика!$J$4))-Статистика!$C$10)/MAX(Статистика!$G$10-Статистика!$C$10,0.000001),NA()))</f>
        <v>0.49460841944444472</v>
      </c>
      <c r="BI44" s="12">
        <f>IF(A44="",NA(),IF(Статистика!$F$8="Вкл",(((IF(Статистика!$C$4="Параллельный режим (активная мощность)",H44,S44)+Статистика!$J$4))-Статистика!$C$10)/MAX(Статистика!$G$10-Статистика!$C$10,0.000001),NA()))</f>
        <v>0.75988914055555568</v>
      </c>
      <c r="BJ44" s="12">
        <f>IF(A44="",NA(),IF(Статистика!$H$8="Вкл",(((IF(Статистика!$C$4="Параллельный режим (активная мощность)",B44,M44)+Статистика!$J$4))-Статистика!$C$10)/MAX(Статистика!$G$10-Статистика!$C$10,0.000001),NA()))</f>
        <v>-1.2173087190555556</v>
      </c>
      <c r="BK44" s="12">
        <f>IF(A44="",NA(),IF(Статистика!$H$8="Вкл",(((IF(Статистика!$C$4="Параллельный режим (активная мощность)",J44,U44)+Статистика!$J$4))-Статистика!$C$10)/MAX(Статистика!$G$10-Статистика!$C$10,0.000001),NA()))</f>
        <v>0.8251951070555551</v>
      </c>
      <c r="BL44" s="12" t="e">
        <f>IF(A44="",NA(),IF(Статистика!$J$8="Вкл",(((IF(Статистика!$C$4="Параллельный режим (активная мощность)",K44,V44)+Статистика!$J$4))-Статистика!$C$10)/MAX(Статистика!$G$10-Статистика!$C$10,0.000001),NA()))</f>
        <v>#N/A</v>
      </c>
      <c r="BM44" s="12" t="e">
        <f>IF(AND(A44&lt;&gt;"",Статистика!$C$6="Вкл",Статистика!$B$6&gt;0),(Статистика!$B$6-Статистика!$C$10)/MAX(Статистика!$G$10-Статистика!$C$10,0.000001),NA())</f>
        <v>#N/A</v>
      </c>
      <c r="BN44" s="12" t="e">
        <f>IF(AND(A44&lt;&gt;"",Статистика!$F$6="Вкл",Статистика!$E$6&gt;0),(Статистика!$E$6-Статистика!$C$10)/MAX(Статистика!$G$10-Статистика!$C$10,0.000001),NA())</f>
        <v>#N/A</v>
      </c>
      <c r="BO44" s="12" t="e">
        <f>IF(AND(A44&lt;&gt;"",Статистика!$I$6="Вкл",Статистика!$H$6&gt;0),(Статистика!$H$6-Статистика!$C$10)/MAX(Статистика!$G$10-Статистика!$C$10,0.000001),NA())</f>
        <v>#N/A</v>
      </c>
      <c r="BP44" s="12" t="e">
        <f>IF(AND(A44&lt;&gt;"",Статистика!$L$6="Вкл",Статистика!$K$6&gt;0),(Статистика!$K$6-Статистика!$C$10)/MAX(Статистика!$G$10-Статистика!$C$10,0.000001),NA())</f>
        <v>#N/A</v>
      </c>
      <c r="BQ44" s="12" t="e">
        <f>IF(AND(A44&lt;&gt;"",Статистика!$M$6="Вкл",Статистика!$O$6&gt;0),(Статистика!$O$6-Статистика!$C$10)/MAX(Статистика!$G$10-Статистика!$C$10,0.000001),NA())</f>
        <v>#N/A</v>
      </c>
      <c r="BR44" s="12">
        <f t="shared" si="0"/>
        <v>1</v>
      </c>
      <c r="BT44" s="12">
        <f>IF(Y44="","",MAX(0,MIN(1,(((IF(Статистика!$C$4="Параллельный режим (активная мощность)",Z44,AK44)+Статистика!$J$4))-Статистика!$C$10)/MAX(Статистика!$G$10-Статистика!$C$10,0.000001))))</f>
        <v>0.43171163961111142</v>
      </c>
      <c r="BU44" s="12">
        <f>IF(Y44="","",MAX(0,MAX(0,MIN(1,(((IF(Статистика!$C$4="Параллельный режим (активная мощность)",AB44,AM44)+Статистика!$J$4))-Статистика!$C$10)/MAX(Статистика!$G$10-Статистика!$C$10,0.000001)))-MAX(0,MIN(1,(((IF(Статистика!$C$4="Параллельный режим (активная мощность)",Z44,AK44)+Статистика!$J$4))-Статистика!$C$10)/MAX(Статистика!$G$10-Статистика!$C$10,0.000001)))))</f>
        <v>7.0432356500000071E-2</v>
      </c>
      <c r="BV44" s="12">
        <f>IF(Y44="","",MAX(0,MAX(0,MIN(1,(((IF(Статистика!$C$4="Параллельный режим (активная мощность)",AC44,AN44)+Статистика!$J$4))-Статистика!$C$10)/MAX(Статистика!$G$10-Статистика!$C$10,0.000001)))-MAX(0,MIN(1,(((IF(Статистика!$C$4="Параллельный режим (активная мощность)",AB44,AM44)+Статистика!$J$4))-Статистика!$C$10)/MAX(Статистика!$G$10-Статистика!$C$10,0.000001)))))</f>
        <v>8.1744945555555226E-2</v>
      </c>
      <c r="BW44" s="12">
        <f>IF(Y44="","",MAX(0,MAX(0,MIN(1,(((IF(Статистика!$C$4="Параллельный режим (активная мощность)",AD44,AO44)+Статистика!$J$4))-Статистика!$C$10)/MAX(Статистика!$G$10-Статистика!$C$10,0.000001)))-MAX(0,MIN(1,(((IF(Статистика!$C$4="Параллельный режим (активная мощность)",AC44,AN44)+Статистика!$J$4))-Статистика!$C$10)/MAX(Статистика!$G$10-Статистика!$C$10,0.000001)))))</f>
        <v>1.3160886111110881E-2</v>
      </c>
      <c r="BX44" s="12">
        <f>IF(Y44="","",MAX(0,MAX(0,MIN(1,(((IF(Статистика!$C$4="Параллельный режим (активная мощность)",AE44,AP44)+Статистика!$J$4))-Статистика!$C$10)/MAX(Статистика!$G$10-Статистика!$C$10,0.000001)))-MAX(0,MIN(1,(((IF(Статистика!$C$4="Параллельный режим (активная мощность)",AD44,AO44)+Статистика!$J$4))-Статистика!$C$10)/MAX(Статистика!$G$10-Статистика!$C$10,0.000001)))))</f>
        <v>8.6540197222222504E-2</v>
      </c>
      <c r="BY44" s="12">
        <f>IF(Y44="","",MAX(0,MAX(0,MIN(1,(((IF(Статистика!$C$4="Параллельный режим (активная мощность)",AF44,AQ44)+Статистика!$J$4))-Статистика!$C$10)/MAX(Статистика!$G$10-Статистика!$C$10,0.000001)))-MAX(0,MIN(1,(((IF(Статистика!$C$4="Параллельный режим (активная мощность)",AE44,AP44)+Статистика!$J$4))-Статистика!$C$10)/MAX(Статистика!$G$10-Статистика!$C$10,0.000001)))))</f>
        <v>0.13110703722222206</v>
      </c>
      <c r="BZ44" s="12">
        <f>IF(Y44="","",MAX(0,MAX(0,MIN(1,(((IF(Статистика!$C$4="Параллельный режим (активная мощность)",AH44,AS44)+Статистика!$J$4))-Статистика!$C$10)/MAX(Статистика!$G$10-Статистика!$C$10,0.000001)))-MAX(0,MIN(1,(((IF(Статистика!$C$4="Параллельный режим (активная мощность)",AF44,AQ44)+Статистика!$J$4))-Статистика!$C$10)/MAX(Статистика!$G$10-Статистика!$C$10,0.000001)))))</f>
        <v>6.7376540000004814E-3</v>
      </c>
      <c r="CA44" s="12">
        <f>IF(Y44="","",MAX(0,1-MAX(0,MIN(1,(((IF(Статистика!$C$4="Параллельный режим (активная мощность)",AH44,AS44)+Статистика!$J$4))-Статистика!$C$10)/MAX(Статистика!$G$10-Статистика!$C$10,0.000001)))))</f>
        <v>0.17856528377777736</v>
      </c>
      <c r="CB44" s="12">
        <f>IF(Y44="",NA(),IF(Статистика!$B$8="Вкл",(((IF(Статистика!$C$4="Параллельный режим (активная мощность)",AD44,AO44)+Статистика!$J$4))-Статистика!$C$10)/MAX(Статистика!$G$10-Статистика!$C$10,0.000001),NA()))</f>
        <v>0.5970498277777776</v>
      </c>
      <c r="CC44" s="12">
        <f>IF(Y44="",NA(),IF(Статистика!$D$8="Вкл",(((IF(Статистика!$C$4="Параллельный режим (активная мощность)",AC44,AN44)+Статистика!$J$4))-Статистика!$C$10)/MAX(Статистика!$G$10-Статистика!$C$10,0.000001),NA()))</f>
        <v>0.58388894166666672</v>
      </c>
      <c r="CD44" s="12">
        <f>IF(Y44="",NA(),IF(Статистика!$D$8="Вкл",(((IF(Статистика!$C$4="Параллельный режим (активная мощность)",AE44,AP44)+Статистика!$J$4))-Статистика!$C$10)/MAX(Статистика!$G$10-Статистика!$C$10,0.000001),NA()))</f>
        <v>0.6835900250000001</v>
      </c>
      <c r="CE44" s="12">
        <f>IF(Y44="",NA(),IF(Статистика!$F$8="Вкл",(((IF(Статистика!$C$4="Параллельный режим (активная мощность)",AB44,AM44)+Статистика!$J$4))-Статистика!$C$10)/MAX(Статистика!$G$10-Статистика!$C$10,0.000001),NA()))</f>
        <v>0.50214399611111149</v>
      </c>
      <c r="CF44" s="12">
        <f>IF(Y44="",NA(),IF(Статистика!$F$8="Вкл",(((IF(Статистика!$C$4="Параллельный режим (активная мощность)",AF44,AQ44)+Статистика!$J$4))-Статистика!$C$10)/MAX(Статистика!$G$10-Статистика!$C$10,0.000001),NA()))</f>
        <v>0.81469706222222216</v>
      </c>
      <c r="CG44" s="12">
        <f>IF(Y44="",NA(),IF(Статистика!$H$8="Вкл",(((IF(Статистика!$C$4="Параллельный режим (активная мощность)",Z44,AK44)+Статистика!$J$4))-Статистика!$C$10)/MAX(Статистика!$G$10-Статистика!$C$10,0.000001),NA()))</f>
        <v>0.43171163961111142</v>
      </c>
      <c r="CH44" s="12">
        <f>IF(Y44="",NA(),IF(Статистика!$H$8="Вкл",(((IF(Статистика!$C$4="Параллельный режим (активная мощность)",AH44,AS44)+Статистика!$J$4))-Статистика!$C$10)/MAX(Статистика!$G$10-Статистика!$C$10,0.000001),NA()))</f>
        <v>0.82143471622222264</v>
      </c>
      <c r="CI44" s="12" t="e">
        <f>IF(Y44="",NA(),IF(Статистика!$J$8="Вкл",(((IF(Статистика!$C$4="Параллельный режим (активная мощность)",AI44,AT44)+Статистика!$J$4))-Статистика!$C$10)/MAX(Статистика!$G$10-Статистика!$C$10,0.000001),NA()))</f>
        <v>#N/A</v>
      </c>
      <c r="CJ44" s="12" t="e">
        <f>IF(AND(Y44&lt;&gt;"",Статистика!$C$6="Вкл",Статистика!$B$6&gt;0),(Статистика!$B$6-Статистика!$C$10)/MAX(Статистика!$G$10-Статистика!$C$10,0.000001),NA())</f>
        <v>#N/A</v>
      </c>
      <c r="CK44" s="12" t="e">
        <f>IF(AND(Y44&lt;&gt;"",Статистика!$F$6="Вкл",Статистика!$E$6&gt;0),(Статистика!$E$6-Статистика!$C$10)/MAX(Статистика!$G$10-Статистика!$C$10,0.000001),NA())</f>
        <v>#N/A</v>
      </c>
      <c r="CL44" s="12" t="e">
        <f>IF(AND(Y44&lt;&gt;"",Статистика!$I$6="Вкл",Статистика!$H$6&gt;0),(Статистика!$H$6-Статистика!$C$10)/MAX(Статистика!$G$10-Статистика!$C$10,0.000001),NA())</f>
        <v>#N/A</v>
      </c>
      <c r="CM44" s="12" t="e">
        <f>IF(AND(Y44&lt;&gt;"",Статистика!$L$6="Вкл",Статистика!$K$6&gt;0),(Статистика!$K$6-Статистика!$C$10)/MAX(Статистика!$G$10-Статистика!$C$10,0.000001),NA())</f>
        <v>#N/A</v>
      </c>
      <c r="CN44" s="12" t="e">
        <f>IF(AND(Y44&lt;&gt;"",Статистика!$M$6="Вкл",Статистика!$O$6&gt;0),(Статистика!$O$6-Статистика!$C$10)/MAX(Статистика!$G$10-Статистика!$C$10,0.000001),NA())</f>
        <v>#N/A</v>
      </c>
      <c r="CO44" s="12">
        <f t="shared" si="1"/>
        <v>1</v>
      </c>
    </row>
    <row r="45" spans="1:93" ht="15" customHeight="1">
      <c r="A45" s="12" t="s">
        <v>232</v>
      </c>
      <c r="B45" s="12">
        <v>2339.7639823333329</v>
      </c>
      <c r="C45" s="12">
        <v>5806.3173783333332</v>
      </c>
      <c r="D45" s="12">
        <v>7467.0992983333335</v>
      </c>
      <c r="E45" s="12">
        <v>7618.0661250000003</v>
      </c>
      <c r="F45" s="12">
        <v>7775.5634333333328</v>
      </c>
      <c r="G45" s="12">
        <v>8021.3847416666667</v>
      </c>
      <c r="H45" s="12">
        <v>8294.3166233333322</v>
      </c>
      <c r="I45" s="12">
        <v>8386.7301116666658</v>
      </c>
      <c r="J45" s="12">
        <v>8487.8116223333327</v>
      </c>
      <c r="K45" s="12">
        <v>8571.2000000000007</v>
      </c>
      <c r="L45" s="12" t="s">
        <v>233</v>
      </c>
      <c r="M45" s="12">
        <v>2919.8634306666668</v>
      </c>
      <c r="N45" s="12">
        <v>6749.4467533333336</v>
      </c>
      <c r="O45" s="12">
        <v>8581.5790866666666</v>
      </c>
      <c r="P45" s="12">
        <v>8761.3053916666668</v>
      </c>
      <c r="Q45" s="12">
        <v>8906.024316666666</v>
      </c>
      <c r="R45" s="12">
        <v>9143.4686666666657</v>
      </c>
      <c r="S45" s="12">
        <v>9460.9705683333323</v>
      </c>
      <c r="T45" s="12">
        <v>9530.1997300000003</v>
      </c>
      <c r="U45" s="12">
        <v>9537.4465593333334</v>
      </c>
      <c r="V45" s="12">
        <v>9629.3799999999992</v>
      </c>
      <c r="W45" s="12" t="s">
        <v>234</v>
      </c>
      <c r="Y45" s="12" t="s">
        <v>232</v>
      </c>
      <c r="Z45" s="12">
        <v>7284.2285496666664</v>
      </c>
      <c r="AA45" s="12">
        <v>7389.2471483333329</v>
      </c>
      <c r="AB45" s="12">
        <v>7520.5203966666659</v>
      </c>
      <c r="AC45" s="12">
        <v>7764.3979083333343</v>
      </c>
      <c r="AD45" s="12">
        <v>7816.3348500000011</v>
      </c>
      <c r="AE45" s="12">
        <v>8068.1362166666668</v>
      </c>
      <c r="AF45" s="12">
        <v>8422.8839933333329</v>
      </c>
      <c r="AG45" s="12">
        <v>8430.9374966666655</v>
      </c>
      <c r="AH45" s="12">
        <v>8437.3802993333338</v>
      </c>
      <c r="AI45" s="12">
        <v>8519.35</v>
      </c>
      <c r="AJ45" s="12" t="s">
        <v>235</v>
      </c>
      <c r="AK45" s="12">
        <v>8385.2283040000002</v>
      </c>
      <c r="AL45" s="12">
        <v>8473.1460533333338</v>
      </c>
      <c r="AM45" s="12">
        <v>8583.0432400000009</v>
      </c>
      <c r="AN45" s="12">
        <v>8819.2895749999989</v>
      </c>
      <c r="AO45" s="12">
        <v>8995.2740833333337</v>
      </c>
      <c r="AP45" s="12">
        <v>9218.1181499999984</v>
      </c>
      <c r="AQ45" s="12">
        <v>9560.7452499999999</v>
      </c>
      <c r="AR45" s="12">
        <v>9588.6857083333325</v>
      </c>
      <c r="AS45" s="12">
        <v>9611.0380750000004</v>
      </c>
      <c r="AT45" s="12">
        <v>9700.49</v>
      </c>
      <c r="AU45" s="12" t="s">
        <v>235</v>
      </c>
      <c r="AW45" s="12">
        <f>IF(A45="","",MAX(0,MIN(1,(((IF(Статистика!$C$4="Параллельный режим (активная мощность)",B45,M45)+Статистика!$J$4))-Статистика!$C$10)/MAX(Статистика!$G$10-Статистика!$C$10,0.000001))))</f>
        <v>0</v>
      </c>
      <c r="AX45" s="12">
        <f>IF(A45="","",MAX(0,MAX(0,MIN(1,(((IF(Статистика!$C$4="Параллельный режим (активная мощность)",D45,O45)+Статистика!$J$4))-Статистика!$C$10)/MAX(Статистика!$G$10-Статистика!$C$10,0.000001)))-MAX(0,MIN(1,(((IF(Статистика!$C$4="Параллельный режим (активная мощность)",B45,M45)+Статистика!$J$4))-Статистика!$C$10)/MAX(Статистика!$G$10-Статистика!$C$10,0.000001)))))</f>
        <v>0.48903309944444451</v>
      </c>
      <c r="AY45" s="12">
        <f>IF(A45="","",MAX(0,MAX(0,MIN(1,(((IF(Статистика!$C$4="Параллельный режим (активная мощность)",E45,P45)+Статистика!$J$4))-Статистика!$C$10)/MAX(Статистика!$G$10-Статистика!$C$10,0.000001)))-MAX(0,MIN(1,(((IF(Статистика!$C$4="Параллельный режим (активная мощность)",D45,O45)+Статистика!$J$4))-Статистика!$C$10)/MAX(Статистика!$G$10-Статистика!$C$10,0.000001)))))</f>
        <v>5.0322275555555573E-2</v>
      </c>
      <c r="AZ45" s="12">
        <f>IF(A45="","",MAX(0,MAX(0,MIN(1,(((IF(Статистика!$C$4="Параллельный режим (активная мощность)",F45,Q45)+Статистика!$J$4))-Статистика!$C$10)/MAX(Статистика!$G$10-Статистика!$C$10,0.000001)))-MAX(0,MIN(1,(((IF(Статистика!$C$4="Параллельный режим (активная мощность)",E45,P45)+Статистика!$J$4))-Статистика!$C$10)/MAX(Статистика!$G$10-Статистика!$C$10,0.000001)))))</f>
        <v>5.2499102777777473E-2</v>
      </c>
      <c r="BA45" s="12">
        <f>IF(A45="","",MAX(0,MAX(0,MIN(1,(((IF(Статистика!$C$4="Параллельный режим (активная мощность)",G45,R45)+Статистика!$J$4))-Статистика!$C$10)/MAX(Статистика!$G$10-Статистика!$C$10,0.000001)))-MAX(0,MIN(1,(((IF(Статистика!$C$4="Параллельный режим (активная мощность)",F45,Q45)+Статистика!$J$4))-Статистика!$C$10)/MAX(Статистика!$G$10-Статистика!$C$10,0.000001)))))</f>
        <v>8.1940436111111348E-2</v>
      </c>
      <c r="BB45" s="12">
        <f>IF(A45="","",MAX(0,MAX(0,MIN(1,(((IF(Статистика!$C$4="Параллельный режим (активная мощность)",H45,S45)+Статистика!$J$4))-Статистика!$C$10)/MAX(Статистика!$G$10-Статистика!$C$10,0.000001)))-MAX(0,MIN(1,(((IF(Статистика!$C$4="Параллельный режим (активная мощность)",G45,R45)+Статистика!$J$4))-Статистика!$C$10)/MAX(Статистика!$G$10-Статистика!$C$10,0.000001)))))</f>
        <v>9.0977293888888533E-2</v>
      </c>
      <c r="BC45" s="12">
        <f>IF(A45="","",MAX(0,MAX(0,MIN(1,(((IF(Статистика!$C$4="Параллельный режим (активная мощность)",J45,U45)+Статистика!$J$4))-Статистика!$C$10)/MAX(Статистика!$G$10-Статистика!$C$10,0.000001)))-MAX(0,MIN(1,(((IF(Статистика!$C$4="Параллельный режим (активная мощность)",H45,S45)+Статистика!$J$4))-Статистика!$C$10)/MAX(Статистика!$G$10-Статистика!$C$10,0.000001)))))</f>
        <v>6.4498333000000185E-2</v>
      </c>
      <c r="BD45" s="12">
        <f>IF(A45="","",MAX(0,1-MAX(0,MIN(1,(((IF(Статистика!$C$4="Параллельный режим (активная мощность)",J45,U45)+Статистика!$J$4))-Статистика!$C$10)/MAX(Статистика!$G$10-Статистика!$C$10,0.000001)))))</f>
        <v>0.17072945922222238</v>
      </c>
      <c r="BE45" s="12">
        <f>IF(A45="",NA(),IF(Статистика!$B$8="Вкл",(((IF(Статистика!$C$4="Параллельный режим (активная мощность)",F45,Q45)+Статистика!$J$4))-Статистика!$C$10)/MAX(Статистика!$G$10-Статистика!$C$10,0.000001),NA()))</f>
        <v>0.59185447777777755</v>
      </c>
      <c r="BF45" s="12">
        <f>IF(A45="",NA(),IF(Статистика!$D$8="Вкл",(((IF(Статистика!$C$4="Параллельный режим (активная мощность)",E45,P45)+Статистика!$J$4))-Статистика!$C$10)/MAX(Статистика!$G$10-Статистика!$C$10,0.000001),NA()))</f>
        <v>0.53935537500000008</v>
      </c>
      <c r="BG45" s="12">
        <f>IF(A45="",NA(),IF(Статистика!$D$8="Вкл",(((IF(Статистика!$C$4="Параллельный режим (активная мощность)",G45,R45)+Статистика!$J$4))-Статистика!$C$10)/MAX(Статистика!$G$10-Статистика!$C$10,0.000001),NA()))</f>
        <v>0.6737949138888889</v>
      </c>
      <c r="BH45" s="12">
        <f>IF(A45="",NA(),IF(Статистика!$F$8="Вкл",(((IF(Статистика!$C$4="Параллельный режим (активная мощность)",D45,O45)+Статистика!$J$4))-Статистика!$C$10)/MAX(Статистика!$G$10-Статистика!$C$10,0.000001),NA()))</f>
        <v>0.48903309944444451</v>
      </c>
      <c r="BI45" s="12">
        <f>IF(A45="",NA(),IF(Статистика!$F$8="Вкл",(((IF(Статистика!$C$4="Параллельный режим (активная мощность)",H45,S45)+Статистика!$J$4))-Статистика!$C$10)/MAX(Статистика!$G$10-Статистика!$C$10,0.000001),NA()))</f>
        <v>0.76477220777777744</v>
      </c>
      <c r="BJ45" s="12">
        <f>IF(A45="",NA(),IF(Статистика!$H$8="Вкл",(((IF(Статистика!$C$4="Параллельный режим (активная мощность)",B45,M45)+Статистика!$J$4))-Статистика!$C$10)/MAX(Статистика!$G$10-Статистика!$C$10,0.000001),NA()))</f>
        <v>-1.2200786725555557</v>
      </c>
      <c r="BK45" s="12">
        <f>IF(A45="",NA(),IF(Статистика!$H$8="Вкл",(((IF(Статистика!$C$4="Параллельный режим (активная мощность)",J45,U45)+Статистика!$J$4))-Статистика!$C$10)/MAX(Статистика!$G$10-Статистика!$C$10,0.000001),NA()))</f>
        <v>0.82927054077777762</v>
      </c>
      <c r="BL45" s="12" t="e">
        <f>IF(A45="",NA(),IF(Статистика!$J$8="Вкл",(((IF(Статистика!$C$4="Параллельный режим (активная мощность)",K45,V45)+Статистика!$J$4))-Статистика!$C$10)/MAX(Статистика!$G$10-Статистика!$C$10,0.000001),NA()))</f>
        <v>#N/A</v>
      </c>
      <c r="BM45" s="12" t="e">
        <f>IF(AND(A45&lt;&gt;"",Статистика!$C$6="Вкл",Статистика!$B$6&gt;0),(Статистика!$B$6-Статистика!$C$10)/MAX(Статистика!$G$10-Статистика!$C$10,0.000001),NA())</f>
        <v>#N/A</v>
      </c>
      <c r="BN45" s="12" t="e">
        <f>IF(AND(A45&lt;&gt;"",Статистика!$F$6="Вкл",Статистика!$E$6&gt;0),(Статистика!$E$6-Статистика!$C$10)/MAX(Статистика!$G$10-Статистика!$C$10,0.000001),NA())</f>
        <v>#N/A</v>
      </c>
      <c r="BO45" s="12" t="e">
        <f>IF(AND(A45&lt;&gt;"",Статистика!$I$6="Вкл",Статистика!$H$6&gt;0),(Статистика!$H$6-Статистика!$C$10)/MAX(Статистика!$G$10-Статистика!$C$10,0.000001),NA())</f>
        <v>#N/A</v>
      </c>
      <c r="BP45" s="12" t="e">
        <f>IF(AND(A45&lt;&gt;"",Статистика!$L$6="Вкл",Статистика!$K$6&gt;0),(Статистика!$K$6-Статистика!$C$10)/MAX(Статистика!$G$10-Статистика!$C$10,0.000001),NA())</f>
        <v>#N/A</v>
      </c>
      <c r="BQ45" s="12" t="e">
        <f>IF(AND(A45&lt;&gt;"",Статистика!$M$6="Вкл",Статистика!$O$6&gt;0),(Статистика!$O$6-Статистика!$C$10)/MAX(Статистика!$G$10-Статистика!$C$10,0.000001),NA())</f>
        <v>#N/A</v>
      </c>
      <c r="BR45" s="12">
        <f t="shared" si="0"/>
        <v>1</v>
      </c>
      <c r="BT45" s="12">
        <f>IF(Y45="","",MAX(0,MIN(1,(((IF(Статистика!$C$4="Параллельный режим (активная мощность)",Z45,AK45)+Статистика!$J$4))-Статистика!$C$10)/MAX(Статистика!$G$10-Статистика!$C$10,0.000001))))</f>
        <v>0.42807618322222213</v>
      </c>
      <c r="BU45" s="12">
        <f>IF(Y45="","",MAX(0,MAX(0,MIN(1,(((IF(Статистика!$C$4="Параллельный режим (активная мощность)",AB45,AM45)+Статистика!$J$4))-Статистика!$C$10)/MAX(Статистика!$G$10-Статистика!$C$10,0.000001)))-MAX(0,MIN(1,(((IF(Статистика!$C$4="Параллельный режим (активная мощность)",Z45,AK45)+Статистика!$J$4))-Статистика!$C$10)/MAX(Статистика!$G$10-Статистика!$C$10,0.000001)))))</f>
        <v>7.8763948999999778E-2</v>
      </c>
      <c r="BV45" s="12">
        <f>IF(Y45="","",MAX(0,MAX(0,MIN(1,(((IF(Статистика!$C$4="Параллельный режим (активная мощность)",AC45,AN45)+Статистика!$J$4))-Статистика!$C$10)/MAX(Статистика!$G$10-Статистика!$C$10,0.000001)))-MAX(0,MIN(1,(((IF(Статистика!$C$4="Параллельный режим (активная мощность)",AB45,AM45)+Статистика!$J$4))-Статистика!$C$10)/MAX(Статистика!$G$10-Статистика!$C$10,0.000001)))))</f>
        <v>8.1292503888889533E-2</v>
      </c>
      <c r="BW45" s="12">
        <f>IF(Y45="","",MAX(0,MAX(0,MIN(1,(((IF(Статистика!$C$4="Параллельный режим (активная мощность)",AD45,AO45)+Статистика!$J$4))-Статистика!$C$10)/MAX(Статистика!$G$10-Статистика!$C$10,0.000001)))-MAX(0,MIN(1,(((IF(Статистика!$C$4="Параллельный режим (активная мощность)",AC45,AN45)+Статистика!$J$4))-Статистика!$C$10)/MAX(Статистика!$G$10-Статистика!$C$10,0.000001)))))</f>
        <v>1.7312313888888875E-2</v>
      </c>
      <c r="BX45" s="12">
        <f>IF(Y45="","",MAX(0,MAX(0,MIN(1,(((IF(Статистика!$C$4="Параллельный режим (активная мощность)",AE45,AP45)+Статистика!$J$4))-Статистика!$C$10)/MAX(Статистика!$G$10-Статистика!$C$10,0.000001)))-MAX(0,MIN(1,(((IF(Статистика!$C$4="Параллельный режим (активная мощность)",AD45,AO45)+Статистика!$J$4))-Статистика!$C$10)/MAX(Статистика!$G$10-Статистика!$C$10,0.000001)))))</f>
        <v>8.3933788888888583E-2</v>
      </c>
      <c r="BY45" s="12">
        <f>IF(Y45="","",MAX(0,MAX(0,MIN(1,(((IF(Статистика!$C$4="Параллельный режим (активная мощность)",AF45,AQ45)+Статистика!$J$4))-Статистика!$C$10)/MAX(Статистика!$G$10-Статистика!$C$10,0.000001)))-MAX(0,MIN(1,(((IF(Статистика!$C$4="Параллельный режим (активная мощность)",AE45,AP45)+Статистика!$J$4))-Статистика!$C$10)/MAX(Статистика!$G$10-Статистика!$C$10,0.000001)))))</f>
        <v>0.11824925888888871</v>
      </c>
      <c r="BZ45" s="12">
        <f>IF(Y45="","",MAX(0,MAX(0,MIN(1,(((IF(Статистика!$C$4="Параллельный режим (активная мощность)",AH45,AS45)+Статистика!$J$4))-Статистика!$C$10)/MAX(Статистика!$G$10-Статистика!$C$10,0.000001)))-MAX(0,MIN(1,(((IF(Статистика!$C$4="Параллельный режим (активная мощность)",AF45,AQ45)+Статистика!$J$4))-Статистика!$C$10)/MAX(Статистика!$G$10-Статистика!$C$10,0.000001)))))</f>
        <v>4.8321020000002823E-3</v>
      </c>
      <c r="CA45" s="12">
        <f>IF(Y45="","",MAX(0,1-MAX(0,MIN(1,(((IF(Статистика!$C$4="Параллельный режим (активная мощность)",AH45,AS45)+Статистика!$J$4))-Статистика!$C$10)/MAX(Статистика!$G$10-Статистика!$C$10,0.000001)))))</f>
        <v>0.18753990022222211</v>
      </c>
      <c r="CB45" s="12">
        <f>IF(Y45="",NA(),IF(Статистика!$B$8="Вкл",(((IF(Статистика!$C$4="Параллельный режим (активная мощность)",AD45,AO45)+Статистика!$J$4))-Статистика!$C$10)/MAX(Статистика!$G$10-Статистика!$C$10,0.000001),NA()))</f>
        <v>0.60544495000000031</v>
      </c>
      <c r="CC45" s="12">
        <f>IF(Y45="",NA(),IF(Статистика!$D$8="Вкл",(((IF(Статистика!$C$4="Параллельный режим (активная мощность)",AC45,AN45)+Статистика!$J$4))-Статистика!$C$10)/MAX(Статистика!$G$10-Статистика!$C$10,0.000001),NA()))</f>
        <v>0.58813263611111144</v>
      </c>
      <c r="CD45" s="12">
        <f>IF(Y45="",NA(),IF(Статистика!$D$8="Вкл",(((IF(Статистика!$C$4="Параллельный режим (активная мощность)",AE45,AP45)+Статистика!$J$4))-Статистика!$C$10)/MAX(Статистика!$G$10-Статистика!$C$10,0.000001),NA()))</f>
        <v>0.6893787388888889</v>
      </c>
      <c r="CE45" s="12">
        <f>IF(Y45="",NA(),IF(Статистика!$F$8="Вкл",(((IF(Статистика!$C$4="Параллельный режим (активная мощность)",AB45,AM45)+Статистика!$J$4))-Статистика!$C$10)/MAX(Статистика!$G$10-Статистика!$C$10,0.000001),NA()))</f>
        <v>0.50684013222222191</v>
      </c>
      <c r="CF45" s="12">
        <f>IF(Y45="",NA(),IF(Статистика!$F$8="Вкл",(((IF(Статистика!$C$4="Параллельный режим (активная мощность)",AF45,AQ45)+Статистика!$J$4))-Статистика!$C$10)/MAX(Статистика!$G$10-Статистика!$C$10,0.000001),NA()))</f>
        <v>0.80762799777777761</v>
      </c>
      <c r="CG45" s="12">
        <f>IF(Y45="",NA(),IF(Статистика!$H$8="Вкл",(((IF(Статистика!$C$4="Параллельный режим (активная мощность)",Z45,AK45)+Статистика!$J$4))-Статистика!$C$10)/MAX(Статистика!$G$10-Статистика!$C$10,0.000001),NA()))</f>
        <v>0.42807618322222213</v>
      </c>
      <c r="CH45" s="12">
        <f>IF(Y45="",NA(),IF(Статистика!$H$8="Вкл",(((IF(Статистика!$C$4="Параллельный режим (активная мощность)",AH45,AS45)+Статистика!$J$4))-Статистика!$C$10)/MAX(Статистика!$G$10-Статистика!$C$10,0.000001),NA()))</f>
        <v>0.81246009977777789</v>
      </c>
      <c r="CI45" s="12" t="e">
        <f>IF(Y45="",NA(),IF(Статистика!$J$8="Вкл",(((IF(Статистика!$C$4="Параллельный режим (активная мощность)",AI45,AT45)+Статистика!$J$4))-Статистика!$C$10)/MAX(Статистика!$G$10-Статистика!$C$10,0.000001),NA()))</f>
        <v>#N/A</v>
      </c>
      <c r="CJ45" s="12" t="e">
        <f>IF(AND(Y45&lt;&gt;"",Статистика!$C$6="Вкл",Статистика!$B$6&gt;0),(Статистика!$B$6-Статистика!$C$10)/MAX(Статистика!$G$10-Статистика!$C$10,0.000001),NA())</f>
        <v>#N/A</v>
      </c>
      <c r="CK45" s="12" t="e">
        <f>IF(AND(Y45&lt;&gt;"",Статистика!$F$6="Вкл",Статистика!$E$6&gt;0),(Статистика!$E$6-Статистика!$C$10)/MAX(Статистика!$G$10-Статистика!$C$10,0.000001),NA())</f>
        <v>#N/A</v>
      </c>
      <c r="CL45" s="12" t="e">
        <f>IF(AND(Y45&lt;&gt;"",Статистика!$I$6="Вкл",Статистика!$H$6&gt;0),(Статистика!$H$6-Статистика!$C$10)/MAX(Статистика!$G$10-Статистика!$C$10,0.000001),NA())</f>
        <v>#N/A</v>
      </c>
      <c r="CM45" s="12" t="e">
        <f>IF(AND(Y45&lt;&gt;"",Статистика!$L$6="Вкл",Статистика!$K$6&gt;0),(Статистика!$K$6-Статистика!$C$10)/MAX(Статистика!$G$10-Статистика!$C$10,0.000001),NA())</f>
        <v>#N/A</v>
      </c>
      <c r="CN45" s="12" t="e">
        <f>IF(AND(Y45&lt;&gt;"",Статистика!$M$6="Вкл",Статистика!$O$6&gt;0),(Статистика!$O$6-Статистика!$C$10)/MAX(Статистика!$G$10-Статистика!$C$10,0.000001),NA())</f>
        <v>#N/A</v>
      </c>
      <c r="CO45" s="12">
        <f t="shared" si="1"/>
        <v>1</v>
      </c>
    </row>
    <row r="46" spans="1:93" ht="15" customHeight="1">
      <c r="A46" s="12" t="s">
        <v>236</v>
      </c>
      <c r="B46" s="12">
        <v>2339.2281378333332</v>
      </c>
      <c r="C46" s="12">
        <v>5843.4230891666666</v>
      </c>
      <c r="D46" s="12">
        <v>7509.425718333333</v>
      </c>
      <c r="E46" s="12">
        <v>7622.2432583333339</v>
      </c>
      <c r="F46" s="12">
        <v>7744.1429666666663</v>
      </c>
      <c r="G46" s="12">
        <v>8057.858666666667</v>
      </c>
      <c r="H46" s="12">
        <v>8302.5095966666649</v>
      </c>
      <c r="I46" s="12">
        <v>8390.9484483333326</v>
      </c>
      <c r="J46" s="12">
        <v>8492.8056896666676</v>
      </c>
      <c r="K46" s="12">
        <v>8589.7099999999991</v>
      </c>
      <c r="L46" s="12" t="s">
        <v>237</v>
      </c>
      <c r="M46" s="12">
        <v>2915.1916379999998</v>
      </c>
      <c r="N46" s="12">
        <v>6764.1592566666677</v>
      </c>
      <c r="O46" s="12">
        <v>8596.9669350000004</v>
      </c>
      <c r="P46" s="12">
        <v>8773.5974666666662</v>
      </c>
      <c r="Q46" s="12">
        <v>8898.4224666666669</v>
      </c>
      <c r="R46" s="12">
        <v>9116.5686833333348</v>
      </c>
      <c r="S46" s="12">
        <v>9452.6655650000012</v>
      </c>
      <c r="T46" s="12">
        <v>9540.8844041666671</v>
      </c>
      <c r="U46" s="12">
        <v>9553.116507499999</v>
      </c>
      <c r="V46" s="12">
        <v>9676.44</v>
      </c>
      <c r="W46" s="12" t="s">
        <v>238</v>
      </c>
      <c r="Y46" s="12" t="s">
        <v>236</v>
      </c>
      <c r="Z46" s="12">
        <v>7309.3956669999989</v>
      </c>
      <c r="AA46" s="12">
        <v>7414.6831349999993</v>
      </c>
      <c r="AB46" s="12">
        <v>7546.2924699999994</v>
      </c>
      <c r="AC46" s="12">
        <v>7783.2287000000006</v>
      </c>
      <c r="AD46" s="12">
        <v>7831.7051000000001</v>
      </c>
      <c r="AE46" s="12">
        <v>8081.0900583333332</v>
      </c>
      <c r="AF46" s="12">
        <v>8493.6204700000017</v>
      </c>
      <c r="AG46" s="12">
        <v>8529.4520350000003</v>
      </c>
      <c r="AH46" s="12">
        <v>8558.1172870000009</v>
      </c>
      <c r="AI46" s="12">
        <v>8746.15</v>
      </c>
      <c r="AJ46" s="12" t="s">
        <v>239</v>
      </c>
      <c r="AK46" s="12">
        <v>8403.8697350000002</v>
      </c>
      <c r="AL46" s="12">
        <v>8497.0112083333333</v>
      </c>
      <c r="AM46" s="12">
        <v>8613.4380500000007</v>
      </c>
      <c r="AN46" s="12">
        <v>8841.2608999999993</v>
      </c>
      <c r="AO46" s="12">
        <v>9004.2896000000001</v>
      </c>
      <c r="AP46" s="12">
        <v>9240.1078583333328</v>
      </c>
      <c r="AQ46" s="12">
        <v>9638.3094683333329</v>
      </c>
      <c r="AR46" s="12">
        <v>9656.189500833334</v>
      </c>
      <c r="AS46" s="12">
        <v>9670.4935268333338</v>
      </c>
      <c r="AT46" s="12">
        <v>9908.14</v>
      </c>
      <c r="AU46" s="12" t="s">
        <v>239</v>
      </c>
      <c r="AW46" s="12">
        <f>IF(A46="","",MAX(0,MIN(1,(((IF(Статистика!$C$4="Параллельный режим (активная мощность)",B46,M46)+Статистика!$J$4))-Статистика!$C$10)/MAX(Статистика!$G$10-Статистика!$C$10,0.000001))))</f>
        <v>0</v>
      </c>
      <c r="AX46" s="12">
        <f>IF(A46="","",MAX(0,MAX(0,MIN(1,(((IF(Статистика!$C$4="Параллельный режим (активная мощность)",D46,O46)+Статистика!$J$4))-Статистика!$C$10)/MAX(Статистика!$G$10-Статистика!$C$10,0.000001)))-MAX(0,MIN(1,(((IF(Статистика!$C$4="Параллельный режим (активная мощность)",B46,M46)+Статистика!$J$4))-Статистика!$C$10)/MAX(Статистика!$G$10-Статистика!$C$10,0.000001)))))</f>
        <v>0.50314190611111098</v>
      </c>
      <c r="AY46" s="12">
        <f>IF(A46="","",MAX(0,MAX(0,MIN(1,(((IF(Статистика!$C$4="Параллельный режим (активная мощность)",E46,P46)+Статистика!$J$4))-Статистика!$C$10)/MAX(Статистика!$G$10-Статистика!$C$10,0.000001)))-MAX(0,MIN(1,(((IF(Статистика!$C$4="Параллельный режим (активная мощность)",D46,O46)+Статистика!$J$4))-Статистика!$C$10)/MAX(Статистика!$G$10-Статистика!$C$10,0.000001)))))</f>
        <v>3.7605846666666998E-2</v>
      </c>
      <c r="AZ46" s="12">
        <f>IF(A46="","",MAX(0,MAX(0,MIN(1,(((IF(Статистика!$C$4="Параллельный режим (активная мощность)",F46,Q46)+Статистика!$J$4))-Статистика!$C$10)/MAX(Статистика!$G$10-Статистика!$C$10,0.000001)))-MAX(0,MIN(1,(((IF(Статистика!$C$4="Параллельный режим (активная мощность)",E46,P46)+Статистика!$J$4))-Статистика!$C$10)/MAX(Статистика!$G$10-Статистика!$C$10,0.000001)))))</f>
        <v>4.0633236111110804E-2</v>
      </c>
      <c r="BA46" s="12">
        <f>IF(A46="","",MAX(0,MAX(0,MIN(1,(((IF(Статистика!$C$4="Параллельный режим (активная мощность)",G46,R46)+Статистика!$J$4))-Статистика!$C$10)/MAX(Статистика!$G$10-Статистика!$C$10,0.000001)))-MAX(0,MIN(1,(((IF(Статистика!$C$4="Параллельный режим (активная мощность)",F46,Q46)+Статистика!$J$4))-Статистика!$C$10)/MAX(Статистика!$G$10-Статистика!$C$10,0.000001)))))</f>
        <v>0.10457190000000016</v>
      </c>
      <c r="BB46" s="12">
        <f>IF(A46="","",MAX(0,MAX(0,MIN(1,(((IF(Статистика!$C$4="Параллельный режим (активная мощность)",H46,S46)+Статистика!$J$4))-Статистика!$C$10)/MAX(Статистика!$G$10-Статистика!$C$10,0.000001)))-MAX(0,MIN(1,(((IF(Статистика!$C$4="Параллельный режим (активная мощность)",G46,R46)+Статистика!$J$4))-Статистика!$C$10)/MAX(Статистика!$G$10-Статистика!$C$10,0.000001)))))</f>
        <v>8.1550309999999349E-2</v>
      </c>
      <c r="BC46" s="12">
        <f>IF(A46="","",MAX(0,MAX(0,MIN(1,(((IF(Статистика!$C$4="Параллельный режим (активная мощность)",J46,U46)+Статистика!$J$4))-Статистика!$C$10)/MAX(Статистика!$G$10-Статистика!$C$10,0.000001)))-MAX(0,MIN(1,(((IF(Статистика!$C$4="Параллельный режим (активная мощность)",H46,S46)+Статистика!$J$4))-Статистика!$C$10)/MAX(Статистика!$G$10-Статистика!$C$10,0.000001)))))</f>
        <v>6.3432031000000944E-2</v>
      </c>
      <c r="BD46" s="12">
        <f>IF(A46="","",MAX(0,1-MAX(0,MIN(1,(((IF(Статистика!$C$4="Параллельный режим (активная мощность)",J46,U46)+Статистика!$J$4))-Статистика!$C$10)/MAX(Статистика!$G$10-Статистика!$C$10,0.000001)))))</f>
        <v>0.16906477011111076</v>
      </c>
      <c r="BE46" s="12">
        <f>IF(A46="",NA(),IF(Статистика!$B$8="Вкл",(((IF(Статистика!$C$4="Параллельный режим (активная мощность)",F46,Q46)+Статистика!$J$4))-Статистика!$C$10)/MAX(Статистика!$G$10-Статистика!$C$10,0.000001),NA()))</f>
        <v>0.58138098888888878</v>
      </c>
      <c r="BF46" s="12">
        <f>IF(A46="",NA(),IF(Статистика!$D$8="Вкл",(((IF(Статистика!$C$4="Параллельный режим (активная мощность)",E46,P46)+Статистика!$J$4))-Статистика!$C$10)/MAX(Статистика!$G$10-Статистика!$C$10,0.000001),NA()))</f>
        <v>0.54074775277777798</v>
      </c>
      <c r="BG46" s="12">
        <f>IF(A46="",NA(),IF(Статистика!$D$8="Вкл",(((IF(Статистика!$C$4="Параллельный режим (активная мощность)",G46,R46)+Статистика!$J$4))-Статистика!$C$10)/MAX(Статистика!$G$10-Статистика!$C$10,0.000001),NA()))</f>
        <v>0.68595288888888895</v>
      </c>
      <c r="BH46" s="12">
        <f>IF(A46="",NA(),IF(Статистика!$F$8="Вкл",(((IF(Статистика!$C$4="Параллельный режим (активная мощность)",D46,O46)+Статистика!$J$4))-Статистика!$C$10)/MAX(Статистика!$G$10-Статистика!$C$10,0.000001),NA()))</f>
        <v>0.50314190611111098</v>
      </c>
      <c r="BI46" s="12">
        <f>IF(A46="",NA(),IF(Статистика!$F$8="Вкл",(((IF(Статистика!$C$4="Параллельный режим (активная мощность)",H46,S46)+Статистика!$J$4))-Статистика!$C$10)/MAX(Статистика!$G$10-Статистика!$C$10,0.000001),NA()))</f>
        <v>0.76750319888888829</v>
      </c>
      <c r="BJ46" s="12">
        <f>IF(A46="",NA(),IF(Статистика!$H$8="Вкл",(((IF(Статистика!$C$4="Параллельный режим (активная мощность)",B46,M46)+Статистика!$J$4))-Статистика!$C$10)/MAX(Статистика!$G$10-Статистика!$C$10,0.000001),NA()))</f>
        <v>-1.2202572873888888</v>
      </c>
      <c r="BK46" s="12">
        <f>IF(A46="",NA(),IF(Статистика!$H$8="Вкл",(((IF(Статистика!$C$4="Параллельный режим (активная мощность)",J46,U46)+Статистика!$J$4))-Статистика!$C$10)/MAX(Статистика!$G$10-Статистика!$C$10,0.000001),NA()))</f>
        <v>0.83093522988888924</v>
      </c>
      <c r="BL46" s="12" t="e">
        <f>IF(A46="",NA(),IF(Статистика!$J$8="Вкл",(((IF(Статистика!$C$4="Параллельный режим (активная мощность)",K46,V46)+Статистика!$J$4))-Статистика!$C$10)/MAX(Статистика!$G$10-Статистика!$C$10,0.000001),NA()))</f>
        <v>#N/A</v>
      </c>
      <c r="BM46" s="12" t="e">
        <f>IF(AND(A46&lt;&gt;"",Статистика!$C$6="Вкл",Статистика!$B$6&gt;0),(Статистика!$B$6-Статистика!$C$10)/MAX(Статистика!$G$10-Статистика!$C$10,0.000001),NA())</f>
        <v>#N/A</v>
      </c>
      <c r="BN46" s="12" t="e">
        <f>IF(AND(A46&lt;&gt;"",Статистика!$F$6="Вкл",Статистика!$E$6&gt;0),(Статистика!$E$6-Статистика!$C$10)/MAX(Статистика!$G$10-Статистика!$C$10,0.000001),NA())</f>
        <v>#N/A</v>
      </c>
      <c r="BO46" s="12" t="e">
        <f>IF(AND(A46&lt;&gt;"",Статистика!$I$6="Вкл",Статистика!$H$6&gt;0),(Статистика!$H$6-Статистика!$C$10)/MAX(Статистика!$G$10-Статистика!$C$10,0.000001),NA())</f>
        <v>#N/A</v>
      </c>
      <c r="BP46" s="12" t="e">
        <f>IF(AND(A46&lt;&gt;"",Статистика!$L$6="Вкл",Статистика!$K$6&gt;0),(Статистика!$K$6-Статистика!$C$10)/MAX(Статистика!$G$10-Статистика!$C$10,0.000001),NA())</f>
        <v>#N/A</v>
      </c>
      <c r="BQ46" s="12" t="e">
        <f>IF(AND(A46&lt;&gt;"",Статистика!$M$6="Вкл",Статистика!$O$6&gt;0),(Статистика!$O$6-Статистика!$C$10)/MAX(Статистика!$G$10-Статистика!$C$10,0.000001),NA())</f>
        <v>#N/A</v>
      </c>
      <c r="BR46" s="12">
        <f t="shared" si="0"/>
        <v>1</v>
      </c>
      <c r="BT46" s="12">
        <f>IF(Y46="","",MAX(0,MIN(1,(((IF(Статистика!$C$4="Параллельный режим (активная мощность)",Z46,AK46)+Статистика!$J$4))-Статистика!$C$10)/MAX(Статистика!$G$10-Статистика!$C$10,0.000001))))</f>
        <v>0.43646522233333296</v>
      </c>
      <c r="BU46" s="12">
        <f>IF(Y46="","",MAX(0,MAX(0,MIN(1,(((IF(Статистика!$C$4="Параллельный режим (активная мощность)",AB46,AM46)+Статистика!$J$4))-Статистика!$C$10)/MAX(Статистика!$G$10-Статистика!$C$10,0.000001)))-MAX(0,MIN(1,(((IF(Статистика!$C$4="Параллельный режим (активная мощность)",Z46,AK46)+Статистика!$J$4))-Статистика!$C$10)/MAX(Статистика!$G$10-Статистика!$C$10,0.000001)))))</f>
        <v>7.8965601000000163E-2</v>
      </c>
      <c r="BV46" s="12">
        <f>IF(Y46="","",MAX(0,MAX(0,MIN(1,(((IF(Статистика!$C$4="Параллельный режим (активная мощность)",AC46,AN46)+Статистика!$J$4))-Статистика!$C$10)/MAX(Статистика!$G$10-Статистика!$C$10,0.000001)))-MAX(0,MIN(1,(((IF(Статистика!$C$4="Параллельный режим (активная мощность)",AB46,AM46)+Статистика!$J$4))-Статистика!$C$10)/MAX(Статистика!$G$10-Статистика!$C$10,0.000001)))))</f>
        <v>7.8978743333333767E-2</v>
      </c>
      <c r="BW46" s="12">
        <f>IF(Y46="","",MAX(0,MAX(0,MIN(1,(((IF(Статистика!$C$4="Параллельный режим (активная мощность)",AD46,AO46)+Статистика!$J$4))-Статистика!$C$10)/MAX(Статистика!$G$10-Статистика!$C$10,0.000001)))-MAX(0,MIN(1,(((IF(Статистика!$C$4="Параллельный режим (активная мощность)",AC46,AN46)+Статистика!$J$4))-Статистика!$C$10)/MAX(Статистика!$G$10-Статистика!$C$10,0.000001)))))</f>
        <v>1.6158799999999807E-2</v>
      </c>
      <c r="BX46" s="12">
        <f>IF(Y46="","",MAX(0,MAX(0,MIN(1,(((IF(Статистика!$C$4="Параллельный режим (активная мощность)",AE46,AP46)+Статистика!$J$4))-Статистика!$C$10)/MAX(Статистика!$G$10-Статистика!$C$10,0.000001)))-MAX(0,MIN(1,(((IF(Статистика!$C$4="Параллельный режим (активная мощность)",AD46,AO46)+Статистика!$J$4))-Статистика!$C$10)/MAX(Статистика!$G$10-Статистика!$C$10,0.000001)))))</f>
        <v>8.3128319444444432E-2</v>
      </c>
      <c r="BY46" s="12">
        <f>IF(Y46="","",MAX(0,MAX(0,MIN(1,(((IF(Статистика!$C$4="Параллельный режим (активная мощность)",AF46,AQ46)+Статистика!$J$4))-Статистика!$C$10)/MAX(Статистика!$G$10-Статистика!$C$10,0.000001)))-MAX(0,MIN(1,(((IF(Статистика!$C$4="Параллельный режим (активная мощность)",AE46,AP46)+Статистика!$J$4))-Статистика!$C$10)/MAX(Статистика!$G$10-Статистика!$C$10,0.000001)))))</f>
        <v>0.13751013722222272</v>
      </c>
      <c r="BZ46" s="12">
        <f>IF(Y46="","",MAX(0,MAX(0,MIN(1,(((IF(Статистика!$C$4="Параллельный режим (активная мощность)",AH46,AS46)+Статистика!$J$4))-Статистика!$C$10)/MAX(Статистика!$G$10-Статистика!$C$10,0.000001)))-MAX(0,MIN(1,(((IF(Статистика!$C$4="Параллельный режим (активная мощность)",AF46,AQ46)+Статистика!$J$4))-Статистика!$C$10)/MAX(Статистика!$G$10-Статистика!$C$10,0.000001)))))</f>
        <v>2.1498938999999773E-2</v>
      </c>
      <c r="CA46" s="12">
        <f>IF(Y46="","",MAX(0,1-MAX(0,MIN(1,(((IF(Статистика!$C$4="Параллельный режим (активная мощность)",AH46,AS46)+Статистика!$J$4))-Статистика!$C$10)/MAX(Статистика!$G$10-Статистика!$C$10,0.000001)))))</f>
        <v>0.14729423766666638</v>
      </c>
      <c r="CB46" s="12">
        <f>IF(Y46="",NA(),IF(Статистика!$B$8="Вкл",(((IF(Статистика!$C$4="Параллельный режим (активная мощность)",AD46,AO46)+Статистика!$J$4))-Статистика!$C$10)/MAX(Статистика!$G$10-Статистика!$C$10,0.000001),NA()))</f>
        <v>0.6105683666666667</v>
      </c>
      <c r="CC46" s="12">
        <f>IF(Y46="",NA(),IF(Статистика!$D$8="Вкл",(((IF(Статистика!$C$4="Параллельный режим (активная мощность)",AC46,AN46)+Статистика!$J$4))-Статистика!$C$10)/MAX(Статистика!$G$10-Статистика!$C$10,0.000001),NA()))</f>
        <v>0.59440956666666689</v>
      </c>
      <c r="CD46" s="12">
        <f>IF(Y46="",NA(),IF(Статистика!$D$8="Вкл",(((IF(Статистика!$C$4="Параллельный режим (активная мощность)",AE46,AP46)+Статистика!$J$4))-Статистика!$C$10)/MAX(Статистика!$G$10-Статистика!$C$10,0.000001),NA()))</f>
        <v>0.69369668611111113</v>
      </c>
      <c r="CE46" s="12">
        <f>IF(Y46="",NA(),IF(Статистика!$F$8="Вкл",(((IF(Статистика!$C$4="Параллельный режим (активная мощность)",AB46,AM46)+Статистика!$J$4))-Статистика!$C$10)/MAX(Статистика!$G$10-Статистика!$C$10,0.000001),NA()))</f>
        <v>0.51543082333333312</v>
      </c>
      <c r="CF46" s="12">
        <f>IF(Y46="",NA(),IF(Статистика!$F$8="Вкл",(((IF(Статистика!$C$4="Параллельный режим (активная мощность)",AF46,AQ46)+Статистика!$J$4))-Статистика!$C$10)/MAX(Статистика!$G$10-Статистика!$C$10,0.000001),NA()))</f>
        <v>0.83120682333333384</v>
      </c>
      <c r="CG46" s="12">
        <f>IF(Y46="",NA(),IF(Статистика!$H$8="Вкл",(((IF(Статистика!$C$4="Параллельный режим (активная мощность)",Z46,AK46)+Статистика!$J$4))-Статистика!$C$10)/MAX(Статистика!$G$10-Статистика!$C$10,0.000001),NA()))</f>
        <v>0.43646522233333296</v>
      </c>
      <c r="CH46" s="12">
        <f>IF(Y46="",NA(),IF(Статистика!$H$8="Вкл",(((IF(Статистика!$C$4="Параллельный режим (активная мощность)",AH46,AS46)+Статистика!$J$4))-Статистика!$C$10)/MAX(Статистика!$G$10-Статистика!$C$10,0.000001),NA()))</f>
        <v>0.85270576233333362</v>
      </c>
      <c r="CI46" s="12" t="e">
        <f>IF(Y46="",NA(),IF(Статистика!$J$8="Вкл",(((IF(Статистика!$C$4="Параллельный режим (активная мощность)",AI46,AT46)+Статистика!$J$4))-Статистика!$C$10)/MAX(Статистика!$G$10-Статистика!$C$10,0.000001),NA()))</f>
        <v>#N/A</v>
      </c>
      <c r="CJ46" s="12" t="e">
        <f>IF(AND(Y46&lt;&gt;"",Статистика!$C$6="Вкл",Статистика!$B$6&gt;0),(Статистика!$B$6-Статистика!$C$10)/MAX(Статистика!$G$10-Статистика!$C$10,0.000001),NA())</f>
        <v>#N/A</v>
      </c>
      <c r="CK46" s="12" t="e">
        <f>IF(AND(Y46&lt;&gt;"",Статистика!$F$6="Вкл",Статистика!$E$6&gt;0),(Статистика!$E$6-Статистика!$C$10)/MAX(Статистика!$G$10-Статистика!$C$10,0.000001),NA())</f>
        <v>#N/A</v>
      </c>
      <c r="CL46" s="12" t="e">
        <f>IF(AND(Y46&lt;&gt;"",Статистика!$I$6="Вкл",Статистика!$H$6&gt;0),(Статистика!$H$6-Статистика!$C$10)/MAX(Статистика!$G$10-Статистика!$C$10,0.000001),NA())</f>
        <v>#N/A</v>
      </c>
      <c r="CM46" s="12" t="e">
        <f>IF(AND(Y46&lt;&gt;"",Статистика!$L$6="Вкл",Статистика!$K$6&gt;0),(Статистика!$K$6-Статистика!$C$10)/MAX(Статистика!$G$10-Статистика!$C$10,0.000001),NA())</f>
        <v>#N/A</v>
      </c>
      <c r="CN46" s="12" t="e">
        <f>IF(AND(Y46&lt;&gt;"",Статистика!$M$6="Вкл",Статистика!$O$6&gt;0),(Статистика!$O$6-Статистика!$C$10)/MAX(Статистика!$G$10-Статистика!$C$10,0.000001),NA())</f>
        <v>#N/A</v>
      </c>
      <c r="CO46" s="12">
        <f t="shared" si="1"/>
        <v>1</v>
      </c>
    </row>
    <row r="47" spans="1:93" ht="15" customHeight="1">
      <c r="A47" s="12" t="s">
        <v>240</v>
      </c>
      <c r="B47" s="12">
        <v>2346.7639040000004</v>
      </c>
      <c r="C47" s="12">
        <v>5814.7435200000018</v>
      </c>
      <c r="D47" s="12">
        <v>7480.382915000001</v>
      </c>
      <c r="E47" s="12">
        <v>7653.435833333333</v>
      </c>
      <c r="F47" s="12">
        <v>7797.9996000000001</v>
      </c>
      <c r="G47" s="12">
        <v>8071.2443499999999</v>
      </c>
      <c r="H47" s="12">
        <v>8363.8048149999995</v>
      </c>
      <c r="I47" s="12">
        <v>8445.8374533333335</v>
      </c>
      <c r="J47" s="12">
        <v>8501.2271440000004</v>
      </c>
      <c r="K47" s="12">
        <v>8624.5</v>
      </c>
      <c r="L47" s="12" t="s">
        <v>241</v>
      </c>
      <c r="M47" s="12">
        <v>2928.4851981666661</v>
      </c>
      <c r="N47" s="12">
        <v>6738.7379908333332</v>
      </c>
      <c r="O47" s="12">
        <v>8610.5163666666649</v>
      </c>
      <c r="P47" s="12">
        <v>8811.4934666666668</v>
      </c>
      <c r="Q47" s="12">
        <v>8943.2187333333313</v>
      </c>
      <c r="R47" s="12">
        <v>9160.7720166666659</v>
      </c>
      <c r="S47" s="12">
        <v>9457.6728966666669</v>
      </c>
      <c r="T47" s="12">
        <v>9551.2390483333329</v>
      </c>
      <c r="U47" s="12">
        <v>9611.9905296666675</v>
      </c>
      <c r="V47" s="12">
        <v>9743.4599999999991</v>
      </c>
      <c r="W47" s="12" t="s">
        <v>242</v>
      </c>
      <c r="Y47" s="12" t="s">
        <v>240</v>
      </c>
      <c r="Z47" s="12">
        <v>7321.0318436666666</v>
      </c>
      <c r="AA47" s="12">
        <v>7416.6969516666659</v>
      </c>
      <c r="AB47" s="12">
        <v>7536.2783366666663</v>
      </c>
      <c r="AC47" s="12">
        <v>7783.4862750000011</v>
      </c>
      <c r="AD47" s="12">
        <v>7840.3165333333327</v>
      </c>
      <c r="AE47" s="12">
        <v>8008.9176583333328</v>
      </c>
      <c r="AF47" s="12">
        <v>8495.7761050000008</v>
      </c>
      <c r="AG47" s="12">
        <v>8526.4630524999993</v>
      </c>
      <c r="AH47" s="12">
        <v>8551.0126104999999</v>
      </c>
      <c r="AI47" s="12">
        <v>8723.5400000000009</v>
      </c>
      <c r="AJ47" s="12" t="s">
        <v>243</v>
      </c>
      <c r="AK47" s="12">
        <v>8403.0749163333348</v>
      </c>
      <c r="AL47" s="12">
        <v>8477.7027150000013</v>
      </c>
      <c r="AM47" s="12">
        <v>8570.9874633333329</v>
      </c>
      <c r="AN47" s="12">
        <v>8847.3832333333339</v>
      </c>
      <c r="AO47" s="12">
        <v>9025.7322000000022</v>
      </c>
      <c r="AP47" s="12">
        <v>9169.3386666666665</v>
      </c>
      <c r="AQ47" s="12">
        <v>9654.0171083333335</v>
      </c>
      <c r="AR47" s="12">
        <v>9664.7005375000008</v>
      </c>
      <c r="AS47" s="12">
        <v>9673.247280833335</v>
      </c>
      <c r="AT47" s="12">
        <v>9873.89</v>
      </c>
      <c r="AU47" s="12" t="s">
        <v>244</v>
      </c>
      <c r="AW47" s="12">
        <f>IF(A47="","",MAX(0,MIN(1,(((IF(Статистика!$C$4="Параллельный режим (активная мощность)",B47,M47)+Статистика!$J$4))-Статистика!$C$10)/MAX(Статистика!$G$10-Статистика!$C$10,0.000001))))</f>
        <v>0</v>
      </c>
      <c r="AX47" s="12">
        <f>IF(A47="","",MAX(0,MAX(0,MIN(1,(((IF(Статистика!$C$4="Параллельный режим (активная мощность)",D47,O47)+Статистика!$J$4))-Статистика!$C$10)/MAX(Статистика!$G$10-Статистика!$C$10,0.000001)))-MAX(0,MIN(1,(((IF(Статистика!$C$4="Параллельный режим (активная мощность)",B47,M47)+Статистика!$J$4))-Статистика!$C$10)/MAX(Статистика!$G$10-Статистика!$C$10,0.000001)))))</f>
        <v>0.49346097166666703</v>
      </c>
      <c r="AY47" s="12">
        <f>IF(A47="","",MAX(0,MAX(0,MIN(1,(((IF(Статистика!$C$4="Параллельный режим (активная мощность)",E47,P47)+Статистика!$J$4))-Статистика!$C$10)/MAX(Статистика!$G$10-Статистика!$C$10,0.000001)))-MAX(0,MIN(1,(((IF(Статистика!$C$4="Параллельный режим (активная мощность)",D47,O47)+Статистика!$J$4))-Статистика!$C$10)/MAX(Статистика!$G$10-Статистика!$C$10,0.000001)))))</f>
        <v>5.7684306111110639E-2</v>
      </c>
      <c r="AZ47" s="12">
        <f>IF(A47="","",MAX(0,MAX(0,MIN(1,(((IF(Статистика!$C$4="Параллельный режим (активная мощность)",F47,Q47)+Статистика!$J$4))-Статистика!$C$10)/MAX(Статистика!$G$10-Статистика!$C$10,0.000001)))-MAX(0,MIN(1,(((IF(Статистика!$C$4="Параллельный режим (активная мощность)",E47,P47)+Статистика!$J$4))-Статистика!$C$10)/MAX(Статистика!$G$10-Статистика!$C$10,0.000001)))))</f>
        <v>4.8187922222222346E-2</v>
      </c>
      <c r="BA47" s="12">
        <f>IF(A47="","",MAX(0,MAX(0,MIN(1,(((IF(Статистика!$C$4="Параллельный режим (активная мощность)",G47,R47)+Статистика!$J$4))-Статистика!$C$10)/MAX(Статистика!$G$10-Статистика!$C$10,0.000001)))-MAX(0,MIN(1,(((IF(Статистика!$C$4="Параллельный режим (активная мощность)",F47,Q47)+Статистика!$J$4))-Статистика!$C$10)/MAX(Статистика!$G$10-Статистика!$C$10,0.000001)))))</f>
        <v>9.1081583333333271E-2</v>
      </c>
      <c r="BB47" s="12">
        <f>IF(A47="","",MAX(0,MAX(0,MIN(1,(((IF(Статистика!$C$4="Параллельный режим (активная мощность)",H47,S47)+Статистика!$J$4))-Статистика!$C$10)/MAX(Статистика!$G$10-Статистика!$C$10,0.000001)))-MAX(0,MIN(1,(((IF(Статистика!$C$4="Параллельный режим (активная мощность)",G47,R47)+Статистика!$J$4))-Статистика!$C$10)/MAX(Статистика!$G$10-Статистика!$C$10,0.000001)))))</f>
        <v>9.7520154999999886E-2</v>
      </c>
      <c r="BC47" s="12">
        <f>IF(A47="","",MAX(0,MAX(0,MIN(1,(((IF(Статистика!$C$4="Параллельный режим (активная мощность)",J47,U47)+Статистика!$J$4))-Статистика!$C$10)/MAX(Статистика!$G$10-Статистика!$C$10,0.000001)))-MAX(0,MIN(1,(((IF(Статистика!$C$4="Параллельный режим (активная мощность)",H47,S47)+Статистика!$J$4))-Статистика!$C$10)/MAX(Статистика!$G$10-Статистика!$C$10,0.000001)))))</f>
        <v>4.5807443000000281E-2</v>
      </c>
      <c r="BD47" s="12">
        <f>IF(A47="","",MAX(0,1-MAX(0,MIN(1,(((IF(Статистика!$C$4="Параллельный режим (активная мощность)",J47,U47)+Статистика!$J$4))-Статистика!$C$10)/MAX(Статистика!$G$10-Статистика!$C$10,0.000001)))))</f>
        <v>0.16625761866666655</v>
      </c>
      <c r="BE47" s="12">
        <f>IF(A47="",NA(),IF(Статистика!$B$8="Вкл",(((IF(Статистика!$C$4="Параллельный режим (активная мощность)",F47,Q47)+Статистика!$J$4))-Статистика!$C$10)/MAX(Статистика!$G$10-Статистика!$C$10,0.000001),NA()))</f>
        <v>0.59933320000000001</v>
      </c>
      <c r="BF47" s="12">
        <f>IF(A47="",NA(),IF(Статистика!$D$8="Вкл",(((IF(Статистика!$C$4="Параллельный режим (активная мощность)",E47,P47)+Статистика!$J$4))-Статистика!$C$10)/MAX(Статистика!$G$10-Статистика!$C$10,0.000001),NA()))</f>
        <v>0.55114527777777766</v>
      </c>
      <c r="BG47" s="12">
        <f>IF(A47="",NA(),IF(Статистика!$D$8="Вкл",(((IF(Статистика!$C$4="Параллельный режим (активная мощность)",G47,R47)+Статистика!$J$4))-Статистика!$C$10)/MAX(Статистика!$G$10-Статистика!$C$10,0.000001),NA()))</f>
        <v>0.69041478333333328</v>
      </c>
      <c r="BH47" s="12">
        <f>IF(A47="",NA(),IF(Статистика!$F$8="Вкл",(((IF(Статистика!$C$4="Параллельный режим (активная мощность)",D47,O47)+Статистика!$J$4))-Статистика!$C$10)/MAX(Статистика!$G$10-Статистика!$C$10,0.000001),NA()))</f>
        <v>0.49346097166666703</v>
      </c>
      <c r="BI47" s="12">
        <f>IF(A47="",NA(),IF(Статистика!$F$8="Вкл",(((IF(Статистика!$C$4="Параллельный режим (активная мощность)",H47,S47)+Статистика!$J$4))-Статистика!$C$10)/MAX(Статистика!$G$10-Статистика!$C$10,0.000001),NA()))</f>
        <v>0.78793493833333317</v>
      </c>
      <c r="BJ47" s="12">
        <f>IF(A47="",NA(),IF(Статистика!$H$8="Вкл",(((IF(Статистика!$C$4="Параллельный режим (активная мощность)",B47,M47)+Статистика!$J$4))-Статистика!$C$10)/MAX(Статистика!$G$10-Статистика!$C$10,0.000001),NA()))</f>
        <v>-1.2177453653333332</v>
      </c>
      <c r="BK47" s="12">
        <f>IF(A47="",NA(),IF(Статистика!$H$8="Вкл",(((IF(Статистика!$C$4="Параллельный режим (активная мощность)",J47,U47)+Статистика!$J$4))-Статистика!$C$10)/MAX(Статистика!$G$10-Статистика!$C$10,0.000001),NA()))</f>
        <v>0.83374238133333345</v>
      </c>
      <c r="BL47" s="12" t="e">
        <f>IF(A47="",NA(),IF(Статистика!$J$8="Вкл",(((IF(Статистика!$C$4="Параллельный режим (активная мощность)",K47,V47)+Статистика!$J$4))-Статистика!$C$10)/MAX(Статистика!$G$10-Статистика!$C$10,0.000001),NA()))</f>
        <v>#N/A</v>
      </c>
      <c r="BM47" s="12" t="e">
        <f>IF(AND(A47&lt;&gt;"",Статистика!$C$6="Вкл",Статистика!$B$6&gt;0),(Статистика!$B$6-Статистика!$C$10)/MAX(Статистика!$G$10-Статистика!$C$10,0.000001),NA())</f>
        <v>#N/A</v>
      </c>
      <c r="BN47" s="12" t="e">
        <f>IF(AND(A47&lt;&gt;"",Статистика!$F$6="Вкл",Статистика!$E$6&gt;0),(Статистика!$E$6-Статистика!$C$10)/MAX(Статистика!$G$10-Статистика!$C$10,0.000001),NA())</f>
        <v>#N/A</v>
      </c>
      <c r="BO47" s="12" t="e">
        <f>IF(AND(A47&lt;&gt;"",Статистика!$I$6="Вкл",Статистика!$H$6&gt;0),(Статистика!$H$6-Статистика!$C$10)/MAX(Статистика!$G$10-Статистика!$C$10,0.000001),NA())</f>
        <v>#N/A</v>
      </c>
      <c r="BP47" s="12" t="e">
        <f>IF(AND(A47&lt;&gt;"",Статистика!$L$6="Вкл",Статистика!$K$6&gt;0),(Статистика!$K$6-Статистика!$C$10)/MAX(Статистика!$G$10-Статистика!$C$10,0.000001),NA())</f>
        <v>#N/A</v>
      </c>
      <c r="BQ47" s="12" t="e">
        <f>IF(AND(A47&lt;&gt;"",Статистика!$M$6="Вкл",Статистика!$O$6&gt;0),(Статистика!$O$6-Статистика!$C$10)/MAX(Статистика!$G$10-Статистика!$C$10,0.000001),NA())</f>
        <v>#N/A</v>
      </c>
      <c r="BR47" s="12">
        <f t="shared" si="0"/>
        <v>1</v>
      </c>
      <c r="BT47" s="12">
        <f>IF(Y47="","",MAX(0,MIN(1,(((IF(Статистика!$C$4="Параллельный режим (активная мощность)",Z47,AK47)+Статистика!$J$4))-Статистика!$C$10)/MAX(Статистика!$G$10-Статистика!$C$10,0.000001))))</f>
        <v>0.44034394788888886</v>
      </c>
      <c r="BU47" s="12">
        <f>IF(Y47="","",MAX(0,MAX(0,MIN(1,(((IF(Статистика!$C$4="Параллельный режим (активная мощность)",AB47,AM47)+Статистика!$J$4))-Статистика!$C$10)/MAX(Статистика!$G$10-Статистика!$C$10,0.000001)))-MAX(0,MIN(1,(((IF(Статистика!$C$4="Параллельный режим (активная мощность)",Z47,AK47)+Статистика!$J$4))-Статистика!$C$10)/MAX(Статистика!$G$10-Статистика!$C$10,0.000001)))))</f>
        <v>7.1748830999999846E-2</v>
      </c>
      <c r="BV47" s="12">
        <f>IF(Y47="","",MAX(0,MAX(0,MIN(1,(((IF(Статистика!$C$4="Параллельный режим (активная мощность)",AC47,AN47)+Статистика!$J$4))-Статистика!$C$10)/MAX(Статистика!$G$10-Статистика!$C$10,0.000001)))-MAX(0,MIN(1,(((IF(Статистика!$C$4="Параллельный режим (активная мощность)",AB47,AM47)+Статистика!$J$4))-Статистика!$C$10)/MAX(Статистика!$G$10-Статистика!$C$10,0.000001)))))</f>
        <v>8.2402646111111699E-2</v>
      </c>
      <c r="BW47" s="12">
        <f>IF(Y47="","",MAX(0,MAX(0,MIN(1,(((IF(Статистика!$C$4="Параллельный режим (активная мощность)",AD47,AO47)+Статистика!$J$4))-Статистика!$C$10)/MAX(Статистика!$G$10-Статистика!$C$10,0.000001)))-MAX(0,MIN(1,(((IF(Статистика!$C$4="Параллельный режим (активная мощность)",AC47,AN47)+Статистика!$J$4))-Статистика!$C$10)/MAX(Статистика!$G$10-Статистика!$C$10,0.000001)))))</f>
        <v>1.8943419444443776E-2</v>
      </c>
      <c r="BX47" s="12">
        <f>IF(Y47="","",MAX(0,MAX(0,MIN(1,(((IF(Статистика!$C$4="Параллельный режим (активная мощность)",AE47,AP47)+Статистика!$J$4))-Статистика!$C$10)/MAX(Статистика!$G$10-Статистика!$C$10,0.000001)))-MAX(0,MIN(1,(((IF(Статистика!$C$4="Параллельный режим (активная мощность)",AD47,AO47)+Статистика!$J$4))-Статистика!$C$10)/MAX(Статистика!$G$10-Статистика!$C$10,0.000001)))))</f>
        <v>5.620037500000008E-2</v>
      </c>
      <c r="BY47" s="12">
        <f>IF(Y47="","",MAX(0,MAX(0,MIN(1,(((IF(Статистика!$C$4="Параллельный режим (активная мощность)",AF47,AQ47)+Статистика!$J$4))-Статистика!$C$10)/MAX(Статистика!$G$10-Статистика!$C$10,0.000001)))-MAX(0,MIN(1,(((IF(Статистика!$C$4="Параллельный режим (активная мощность)",AE47,AP47)+Статистика!$J$4))-Статистика!$C$10)/MAX(Статистика!$G$10-Статистика!$C$10,0.000001)))))</f>
        <v>0.16228614888888937</v>
      </c>
      <c r="BZ47" s="12">
        <f>IF(Y47="","",MAX(0,MAX(0,MIN(1,(((IF(Статистика!$C$4="Параллельный режим (активная мощность)",AH47,AS47)+Статистика!$J$4))-Статистика!$C$10)/MAX(Статистика!$G$10-Статистика!$C$10,0.000001)))-MAX(0,MIN(1,(((IF(Статистика!$C$4="Параллельный режим (активная мощность)",AF47,AQ47)+Статистика!$J$4))-Статистика!$C$10)/MAX(Статистика!$G$10-Статистика!$C$10,0.000001)))))</f>
        <v>1.8412168499999715E-2</v>
      </c>
      <c r="CA47" s="12">
        <f>IF(Y47="","",MAX(0,1-MAX(0,MIN(1,(((IF(Статистика!$C$4="Параллельный режим (активная мощность)",AH47,AS47)+Статистика!$J$4))-Статистика!$C$10)/MAX(Статистика!$G$10-Статистика!$C$10,0.000001)))))</f>
        <v>0.14966246316666665</v>
      </c>
      <c r="CB47" s="12">
        <f>IF(Y47="",NA(),IF(Статистика!$B$8="Вкл",(((IF(Статистика!$C$4="Параллельный режим (активная мощность)",AD47,AO47)+Статистика!$J$4))-Статистика!$C$10)/MAX(Статистика!$G$10-Статистика!$C$10,0.000001),NA()))</f>
        <v>0.61343884444444419</v>
      </c>
      <c r="CC47" s="12">
        <f>IF(Y47="",NA(),IF(Статистика!$D$8="Вкл",(((IF(Статистика!$C$4="Параллельный режим (активная мощность)",AC47,AN47)+Статистика!$J$4))-Статистика!$C$10)/MAX(Статистика!$G$10-Статистика!$C$10,0.000001),NA()))</f>
        <v>0.59449542500000041</v>
      </c>
      <c r="CD47" s="12">
        <f>IF(Y47="",NA(),IF(Статистика!$D$8="Вкл",(((IF(Статистика!$C$4="Параллельный режим (активная мощность)",AE47,AP47)+Статистика!$J$4))-Статистика!$C$10)/MAX(Статистика!$G$10-Статистика!$C$10,0.000001),NA()))</f>
        <v>0.66963921944444427</v>
      </c>
      <c r="CE47" s="12">
        <f>IF(Y47="",NA(),IF(Статистика!$F$8="Вкл",(((IF(Статистика!$C$4="Параллельный режим (активная мощность)",AB47,AM47)+Статистика!$J$4))-Статистика!$C$10)/MAX(Статистика!$G$10-Статистика!$C$10,0.000001),NA()))</f>
        <v>0.51209277888888871</v>
      </c>
      <c r="CF47" s="12">
        <f>IF(Y47="",NA(),IF(Статистика!$F$8="Вкл",(((IF(Статистика!$C$4="Параллельный режим (активная мощность)",AF47,AQ47)+Статистика!$J$4))-Статистика!$C$10)/MAX(Статистика!$G$10-Статистика!$C$10,0.000001),NA()))</f>
        <v>0.83192536833333364</v>
      </c>
      <c r="CG47" s="12">
        <f>IF(Y47="",NA(),IF(Статистика!$H$8="Вкл",(((IF(Статистика!$C$4="Параллельный режим (активная мощность)",Z47,AK47)+Статистика!$J$4))-Статистика!$C$10)/MAX(Статистика!$G$10-Статистика!$C$10,0.000001),NA()))</f>
        <v>0.44034394788888886</v>
      </c>
      <c r="CH47" s="12">
        <f>IF(Y47="",NA(),IF(Статистика!$H$8="Вкл",(((IF(Статистика!$C$4="Параллельный режим (активная мощность)",AH47,AS47)+Статистика!$J$4))-Статистика!$C$10)/MAX(Статистика!$G$10-Статистика!$C$10,0.000001),NA()))</f>
        <v>0.85033753683333335</v>
      </c>
      <c r="CI47" s="12" t="e">
        <f>IF(Y47="",NA(),IF(Статистика!$J$8="Вкл",(((IF(Статистика!$C$4="Параллельный режим (активная мощность)",AI47,AT47)+Статистика!$J$4))-Статистика!$C$10)/MAX(Статистика!$G$10-Статистика!$C$10,0.000001),NA()))</f>
        <v>#N/A</v>
      </c>
      <c r="CJ47" s="12" t="e">
        <f>IF(AND(Y47&lt;&gt;"",Статистика!$C$6="Вкл",Статистика!$B$6&gt;0),(Статистика!$B$6-Статистика!$C$10)/MAX(Статистика!$G$10-Статистика!$C$10,0.000001),NA())</f>
        <v>#N/A</v>
      </c>
      <c r="CK47" s="12" t="e">
        <f>IF(AND(Y47&lt;&gt;"",Статистика!$F$6="Вкл",Статистика!$E$6&gt;0),(Статистика!$E$6-Статистика!$C$10)/MAX(Статистика!$G$10-Статистика!$C$10,0.000001),NA())</f>
        <v>#N/A</v>
      </c>
      <c r="CL47" s="12" t="e">
        <f>IF(AND(Y47&lt;&gt;"",Статистика!$I$6="Вкл",Статистика!$H$6&gt;0),(Статистика!$H$6-Статистика!$C$10)/MAX(Статистика!$G$10-Статистика!$C$10,0.000001),NA())</f>
        <v>#N/A</v>
      </c>
      <c r="CM47" s="12" t="e">
        <f>IF(AND(Y47&lt;&gt;"",Статистика!$L$6="Вкл",Статистика!$K$6&gt;0),(Статистика!$K$6-Статистика!$C$10)/MAX(Статистика!$G$10-Статистика!$C$10,0.000001),NA())</f>
        <v>#N/A</v>
      </c>
      <c r="CN47" s="12" t="e">
        <f>IF(AND(Y47&lt;&gt;"",Статистика!$M$6="Вкл",Статистика!$O$6&gt;0),(Статистика!$O$6-Статистика!$C$10)/MAX(Статистика!$G$10-Статистика!$C$10,0.000001),NA())</f>
        <v>#N/A</v>
      </c>
      <c r="CO47" s="12">
        <f t="shared" si="1"/>
        <v>1</v>
      </c>
    </row>
    <row r="48" spans="1:93" ht="15" customHeight="1">
      <c r="A48" s="12" t="s">
        <v>245</v>
      </c>
      <c r="B48" s="12">
        <v>2328.8804840000003</v>
      </c>
      <c r="C48" s="12">
        <v>5819.1653533333338</v>
      </c>
      <c r="D48" s="12">
        <v>7508.9706500000011</v>
      </c>
      <c r="E48" s="12">
        <v>7670.6641083333325</v>
      </c>
      <c r="F48" s="12">
        <v>7844.5526499999996</v>
      </c>
      <c r="G48" s="12">
        <v>8069.2775416666664</v>
      </c>
      <c r="H48" s="12">
        <v>8380.8967549999979</v>
      </c>
      <c r="I48" s="12">
        <v>8454.9187191666661</v>
      </c>
      <c r="J48" s="12">
        <v>8476.9520104999992</v>
      </c>
      <c r="K48" s="12">
        <v>8657.67</v>
      </c>
      <c r="L48" s="12" t="s">
        <v>246</v>
      </c>
      <c r="M48" s="12">
        <v>2894.7630888333333</v>
      </c>
      <c r="N48" s="12">
        <v>6737.5719775000007</v>
      </c>
      <c r="O48" s="12">
        <v>8642.1326883333331</v>
      </c>
      <c r="P48" s="12">
        <v>8813.1121916666671</v>
      </c>
      <c r="Q48" s="12">
        <v>8992.4803833333317</v>
      </c>
      <c r="R48" s="12">
        <v>9197.7098499999993</v>
      </c>
      <c r="S48" s="12">
        <v>9441.72228</v>
      </c>
      <c r="T48" s="12">
        <v>9525.8191800000022</v>
      </c>
      <c r="U48" s="12">
        <v>9630.0423960000007</v>
      </c>
      <c r="V48" s="12">
        <v>9756.61</v>
      </c>
      <c r="W48" s="12" t="s">
        <v>247</v>
      </c>
      <c r="Y48" s="12" t="s">
        <v>245</v>
      </c>
      <c r="Z48" s="12">
        <v>7321.7398674999995</v>
      </c>
      <c r="AA48" s="12">
        <v>7402.801470833333</v>
      </c>
      <c r="AB48" s="12">
        <v>7504.1284749999995</v>
      </c>
      <c r="AC48" s="12">
        <v>7771.7765666666664</v>
      </c>
      <c r="AD48" s="12">
        <v>7896.8361999999997</v>
      </c>
      <c r="AE48" s="12">
        <v>8003.7715250000001</v>
      </c>
      <c r="AF48" s="12">
        <v>8537.2405666666655</v>
      </c>
      <c r="AG48" s="12">
        <v>8598.0725833333327</v>
      </c>
      <c r="AH48" s="12">
        <v>8646.7381966666671</v>
      </c>
      <c r="AI48" s="12">
        <v>8770.8799999999992</v>
      </c>
      <c r="AJ48" s="12" t="s">
        <v>248</v>
      </c>
      <c r="AK48" s="12">
        <v>8424.9373350000005</v>
      </c>
      <c r="AL48" s="12">
        <v>8521.8158750000002</v>
      </c>
      <c r="AM48" s="12">
        <v>8642.9140499999994</v>
      </c>
      <c r="AN48" s="12">
        <v>8851.8097333333317</v>
      </c>
      <c r="AO48" s="12">
        <v>8994.7178499999991</v>
      </c>
      <c r="AP48" s="12">
        <v>9162.4366666666683</v>
      </c>
      <c r="AQ48" s="12">
        <v>9716.5920683333316</v>
      </c>
      <c r="AR48" s="12">
        <v>9760.7808008333304</v>
      </c>
      <c r="AS48" s="12">
        <v>9796.1317868333317</v>
      </c>
      <c r="AT48" s="12">
        <v>9917.08</v>
      </c>
      <c r="AU48" s="12" t="s">
        <v>248</v>
      </c>
      <c r="AW48" s="12">
        <f>IF(A48="","",MAX(0,MIN(1,(((IF(Статистика!$C$4="Параллельный режим (активная мощность)",B48,M48)+Статистика!$J$4))-Статистика!$C$10)/MAX(Статистика!$G$10-Статистика!$C$10,0.000001))))</f>
        <v>0</v>
      </c>
      <c r="AX48" s="12">
        <f>IF(A48="","",MAX(0,MAX(0,MIN(1,(((IF(Статистика!$C$4="Параллельный режим (активная мощность)",D48,O48)+Статистика!$J$4))-Статистика!$C$10)/MAX(Статистика!$G$10-Статистика!$C$10,0.000001)))-MAX(0,MIN(1,(((IF(Статистика!$C$4="Параллельный режим (активная мощность)",B48,M48)+Статистика!$J$4))-Статистика!$C$10)/MAX(Статистика!$G$10-Статистика!$C$10,0.000001)))))</f>
        <v>0.50299021666666699</v>
      </c>
      <c r="AY48" s="12">
        <f>IF(A48="","",MAX(0,MAX(0,MIN(1,(((IF(Статистика!$C$4="Параллельный режим (активная мощность)",E48,P48)+Статистика!$J$4))-Статистика!$C$10)/MAX(Статистика!$G$10-Статистика!$C$10,0.000001)))-MAX(0,MIN(1,(((IF(Статистика!$C$4="Параллельный режим (активная мощность)",D48,O48)+Статистика!$J$4))-Статистика!$C$10)/MAX(Статистика!$G$10-Статистика!$C$10,0.000001)))))</f>
        <v>5.3897819444443829E-2</v>
      </c>
      <c r="AZ48" s="12">
        <f>IF(A48="","",MAX(0,MAX(0,MIN(1,(((IF(Статистика!$C$4="Параллельный режим (активная мощность)",F48,Q48)+Статистика!$J$4))-Статистика!$C$10)/MAX(Статистика!$G$10-Статистика!$C$10,0.000001)))-MAX(0,MIN(1,(((IF(Статистика!$C$4="Параллельный режим (активная мощность)",E48,P48)+Статистика!$J$4))-Статистика!$C$10)/MAX(Статистика!$G$10-Статистика!$C$10,0.000001)))))</f>
        <v>5.7962847222222447E-2</v>
      </c>
      <c r="BA48" s="12">
        <f>IF(A48="","",MAX(0,MAX(0,MIN(1,(((IF(Статистика!$C$4="Параллельный режим (активная мощность)",G48,R48)+Статистика!$J$4))-Статистика!$C$10)/MAX(Статистика!$G$10-Статистика!$C$10,0.000001)))-MAX(0,MIN(1,(((IF(Статистика!$C$4="Параллельный режим (активная мощность)",F48,Q48)+Статистика!$J$4))-Статистика!$C$10)/MAX(Статистика!$G$10-Статистика!$C$10,0.000001)))))</f>
        <v>7.4908297222222142E-2</v>
      </c>
      <c r="BB48" s="12">
        <f>IF(A48="","",MAX(0,MAX(0,MIN(1,(((IF(Статистика!$C$4="Параллельный режим (активная мощность)",H48,S48)+Статистика!$J$4))-Статистика!$C$10)/MAX(Статистика!$G$10-Статистика!$C$10,0.000001)))-MAX(0,MIN(1,(((IF(Статистика!$C$4="Параллельный режим (активная мощность)",G48,R48)+Статистика!$J$4))-Статистика!$C$10)/MAX(Статистика!$G$10-Статистика!$C$10,0.000001)))))</f>
        <v>0.10387307111111055</v>
      </c>
      <c r="BC48" s="12">
        <f>IF(A48="","",MAX(0,MAX(0,MIN(1,(((IF(Статистика!$C$4="Параллельный режим (активная мощность)",J48,U48)+Статистика!$J$4))-Статистика!$C$10)/MAX(Статистика!$G$10-Статистика!$C$10,0.000001)))-MAX(0,MIN(1,(((IF(Статистика!$C$4="Параллельный режим (активная мощность)",H48,S48)+Статистика!$J$4))-Статистика!$C$10)/MAX(Статистика!$G$10-Статистика!$C$10,0.000001)))))</f>
        <v>3.2018418500000423E-2</v>
      </c>
      <c r="BD48" s="12">
        <f>IF(A48="","",MAX(0,1-MAX(0,MIN(1,(((IF(Статистика!$C$4="Параллельный режим (активная мощность)",J48,U48)+Статистика!$J$4))-Статистика!$C$10)/MAX(Статистика!$G$10-Статистика!$C$10,0.000001)))))</f>
        <v>0.17434932983333362</v>
      </c>
      <c r="BE48" s="12">
        <f>IF(A48="",NA(),IF(Статистика!$B$8="Вкл",(((IF(Статистика!$C$4="Параллельный режим (активная мощность)",F48,Q48)+Статистика!$J$4))-Статистика!$C$10)/MAX(Статистика!$G$10-Статистика!$C$10,0.000001),NA()))</f>
        <v>0.61485088333333326</v>
      </c>
      <c r="BF48" s="12">
        <f>IF(A48="",NA(),IF(Статистика!$D$8="Вкл",(((IF(Статистика!$C$4="Параллельный режим (активная мощность)",E48,P48)+Статистика!$J$4))-Статистика!$C$10)/MAX(Статистика!$G$10-Статистика!$C$10,0.000001),NA()))</f>
        <v>0.55688803611111082</v>
      </c>
      <c r="BG48" s="12">
        <f>IF(A48="",NA(),IF(Статистика!$D$8="Вкл",(((IF(Статистика!$C$4="Параллельный режим (активная мощность)",G48,R48)+Статистика!$J$4))-Статистика!$C$10)/MAX(Статистика!$G$10-Статистика!$C$10,0.000001),NA()))</f>
        <v>0.68975918055555541</v>
      </c>
      <c r="BH48" s="12">
        <f>IF(A48="",NA(),IF(Статистика!$F$8="Вкл",(((IF(Статистика!$C$4="Параллельный режим (активная мощность)",D48,O48)+Статистика!$J$4))-Статистика!$C$10)/MAX(Статистика!$G$10-Статистика!$C$10,0.000001),NA()))</f>
        <v>0.50299021666666699</v>
      </c>
      <c r="BI48" s="12">
        <f>IF(A48="",NA(),IF(Статистика!$F$8="Вкл",(((IF(Статистика!$C$4="Параллельный режим (активная мощность)",H48,S48)+Статистика!$J$4))-Статистика!$C$10)/MAX(Статистика!$G$10-Статистика!$C$10,0.000001),NA()))</f>
        <v>0.79363225166666596</v>
      </c>
      <c r="BJ48" s="12">
        <f>IF(A48="",NA(),IF(Статистика!$H$8="Вкл",(((IF(Статистика!$C$4="Параллельный режим (активная мощность)",B48,M48)+Статистика!$J$4))-Статистика!$C$10)/MAX(Статистика!$G$10-Статистика!$C$10,0.000001),NA()))</f>
        <v>-1.2237065053333331</v>
      </c>
      <c r="BK48" s="12">
        <f>IF(A48="",NA(),IF(Статистика!$H$8="Вкл",(((IF(Статистика!$C$4="Параллельный режим (активная мощность)",J48,U48)+Статистика!$J$4))-Статистика!$C$10)/MAX(Статистика!$G$10-Статистика!$C$10,0.000001),NA()))</f>
        <v>0.82565067016666638</v>
      </c>
      <c r="BL48" s="12" t="e">
        <f>IF(A48="",NA(),IF(Статистика!$J$8="Вкл",(((IF(Статистика!$C$4="Параллельный режим (активная мощность)",K48,V48)+Статистика!$J$4))-Статистика!$C$10)/MAX(Статистика!$G$10-Статистика!$C$10,0.000001),NA()))</f>
        <v>#N/A</v>
      </c>
      <c r="BM48" s="12" t="e">
        <f>IF(AND(A48&lt;&gt;"",Статистика!$C$6="Вкл",Статистика!$B$6&gt;0),(Статистика!$B$6-Статистика!$C$10)/MAX(Статистика!$G$10-Статистика!$C$10,0.000001),NA())</f>
        <v>#N/A</v>
      </c>
      <c r="BN48" s="12" t="e">
        <f>IF(AND(A48&lt;&gt;"",Статистика!$F$6="Вкл",Статистика!$E$6&gt;0),(Статистика!$E$6-Статистика!$C$10)/MAX(Статистика!$G$10-Статистика!$C$10,0.000001),NA())</f>
        <v>#N/A</v>
      </c>
      <c r="BO48" s="12" t="e">
        <f>IF(AND(A48&lt;&gt;"",Статистика!$I$6="Вкл",Статистика!$H$6&gt;0),(Статистика!$H$6-Статистика!$C$10)/MAX(Статистика!$G$10-Статистика!$C$10,0.000001),NA())</f>
        <v>#N/A</v>
      </c>
      <c r="BP48" s="12" t="e">
        <f>IF(AND(A48&lt;&gt;"",Статистика!$L$6="Вкл",Статистика!$K$6&gt;0),(Статистика!$K$6-Статистика!$C$10)/MAX(Статистика!$G$10-Статистика!$C$10,0.000001),NA())</f>
        <v>#N/A</v>
      </c>
      <c r="BQ48" s="12" t="e">
        <f>IF(AND(A48&lt;&gt;"",Статистика!$M$6="Вкл",Статистика!$O$6&gt;0),(Статистика!$O$6-Статистика!$C$10)/MAX(Статистика!$G$10-Статистика!$C$10,0.000001),NA())</f>
        <v>#N/A</v>
      </c>
      <c r="BR48" s="12">
        <f t="shared" si="0"/>
        <v>1</v>
      </c>
      <c r="BT48" s="12">
        <f>IF(Y48="","",MAX(0,MIN(1,(((IF(Статистика!$C$4="Параллельный режим (активная мощность)",Z48,AK48)+Статистика!$J$4))-Статистика!$C$10)/MAX(Статистика!$G$10-Статистика!$C$10,0.000001))))</f>
        <v>0.44057995583333315</v>
      </c>
      <c r="BU48" s="12">
        <f>IF(Y48="","",MAX(0,MAX(0,MIN(1,(((IF(Статистика!$C$4="Параллельный режим (активная мощность)",AB48,AM48)+Статистика!$J$4))-Статистика!$C$10)/MAX(Статистика!$G$10-Статистика!$C$10,0.000001)))-MAX(0,MIN(1,(((IF(Статистика!$C$4="Параллельный режим (активная мощность)",Z48,AK48)+Статистика!$J$4))-Статистика!$C$10)/MAX(Статистика!$G$10-Статистика!$C$10,0.000001)))))</f>
        <v>6.0796202500000007E-2</v>
      </c>
      <c r="BV48" s="12">
        <f>IF(Y48="","",MAX(0,MAX(0,MIN(1,(((IF(Статистика!$C$4="Параллельный режим (активная мощность)",AC48,AN48)+Статистика!$J$4))-Статистика!$C$10)/MAX(Статистика!$G$10-Статистика!$C$10,0.000001)))-MAX(0,MIN(1,(((IF(Статистика!$C$4="Параллельный режим (активная мощность)",AB48,AM48)+Статистика!$J$4))-Статистика!$C$10)/MAX(Статистика!$G$10-Статистика!$C$10,0.000001)))))</f>
        <v>8.9216030555555603E-2</v>
      </c>
      <c r="BW48" s="12">
        <f>IF(Y48="","",MAX(0,MAX(0,MIN(1,(((IF(Статистика!$C$4="Параллельный режим (активная мощность)",AD48,AO48)+Статистика!$J$4))-Статистика!$C$10)/MAX(Статистика!$G$10-Статистика!$C$10,0.000001)))-MAX(0,MIN(1,(((IF(Статистика!$C$4="Параллельный режим (активная мощность)",AC48,AN48)+Статистика!$J$4))-Статистика!$C$10)/MAX(Статистика!$G$10-Статистика!$C$10,0.000001)))))</f>
        <v>4.1686544444444529E-2</v>
      </c>
      <c r="BX48" s="12">
        <f>IF(Y48="","",MAX(0,MAX(0,MIN(1,(((IF(Статистика!$C$4="Параллельный режим (активная мощность)",AE48,AP48)+Статистика!$J$4))-Статистика!$C$10)/MAX(Статистика!$G$10-Статистика!$C$10,0.000001)))-MAX(0,MIN(1,(((IF(Статистика!$C$4="Параллельный режим (активная мощность)",AD48,AO48)+Статистика!$J$4))-Статистика!$C$10)/MAX(Статистика!$G$10-Статистика!$C$10,0.000001)))))</f>
        <v>3.5645108333333453E-2</v>
      </c>
      <c r="BY48" s="12">
        <f>IF(Y48="","",MAX(0,MAX(0,MIN(1,(((IF(Статистика!$C$4="Параллельный режим (активная мощность)",AF48,AQ48)+Статистика!$J$4))-Статистика!$C$10)/MAX(Статистика!$G$10-Статистика!$C$10,0.000001)))-MAX(0,MIN(1,(((IF(Статистика!$C$4="Параллельный режим (активная мощность)",AE48,AP48)+Статистика!$J$4))-Статистика!$C$10)/MAX(Статистика!$G$10-Статистика!$C$10,0.000001)))))</f>
        <v>0.17782301388888844</v>
      </c>
      <c r="BZ48" s="12">
        <f>IF(Y48="","",MAX(0,MAX(0,MIN(1,(((IF(Статистика!$C$4="Параллельный режим (активная мощность)",AH48,AS48)+Статистика!$J$4))-Статистика!$C$10)/MAX(Статистика!$G$10-Статистика!$C$10,0.000001)))-MAX(0,MIN(1,(((IF(Статистика!$C$4="Параллельный режим (активная мощность)",AF48,AQ48)+Статистика!$J$4))-Статистика!$C$10)/MAX(Статистика!$G$10-Статистика!$C$10,0.000001)))))</f>
        <v>3.6499210000000559E-2</v>
      </c>
      <c r="CA48" s="12">
        <f>IF(Y48="","",MAX(0,1-MAX(0,MIN(1,(((IF(Статистика!$C$4="Параллельный режим (активная мощность)",AH48,AS48)+Статистика!$J$4))-Статистика!$C$10)/MAX(Статистика!$G$10-Статистика!$C$10,0.000001)))))</f>
        <v>0.11775393444444426</v>
      </c>
      <c r="CB48" s="12">
        <f>IF(Y48="",NA(),IF(Статистика!$B$8="Вкл",(((IF(Статистика!$C$4="Параллельный режим (активная мощность)",AD48,AO48)+Статистика!$J$4))-Статистика!$C$10)/MAX(Статистика!$G$10-Статистика!$C$10,0.000001),NA()))</f>
        <v>0.63227873333333329</v>
      </c>
      <c r="CC48" s="12">
        <f>IF(Y48="",NA(),IF(Статистика!$D$8="Вкл",(((IF(Статистика!$C$4="Параллельный режим (активная мощность)",AC48,AN48)+Статистика!$J$4))-Статистика!$C$10)/MAX(Статистика!$G$10-Статистика!$C$10,0.000001),NA()))</f>
        <v>0.59059218888888876</v>
      </c>
      <c r="CD48" s="12">
        <f>IF(Y48="",NA(),IF(Статистика!$D$8="Вкл",(((IF(Статистика!$C$4="Параллельный режим (активная мощность)",AE48,AP48)+Статистика!$J$4))-Статистика!$C$10)/MAX(Статистика!$G$10-Статистика!$C$10,0.000001),NA()))</f>
        <v>0.66792384166666674</v>
      </c>
      <c r="CE48" s="12">
        <f>IF(Y48="",NA(),IF(Статистика!$F$8="Вкл",(((IF(Статистика!$C$4="Параллельный режим (активная мощность)",AB48,AM48)+Статистика!$J$4))-Статистика!$C$10)/MAX(Статистика!$G$10-Статистика!$C$10,0.000001),NA()))</f>
        <v>0.50137615833333316</v>
      </c>
      <c r="CF48" s="12">
        <f>IF(Y48="",NA(),IF(Статистика!$F$8="Вкл",(((IF(Статистика!$C$4="Параллельный режим (активная мощность)",AF48,AQ48)+Статистика!$J$4))-Статистика!$C$10)/MAX(Статистика!$G$10-Статистика!$C$10,0.000001),NA()))</f>
        <v>0.84574685555555518</v>
      </c>
      <c r="CG48" s="12">
        <f>IF(Y48="",NA(),IF(Статистика!$H$8="Вкл",(((IF(Статистика!$C$4="Параллельный режим (активная мощность)",Z48,AK48)+Статистика!$J$4))-Статистика!$C$10)/MAX(Статистика!$G$10-Статистика!$C$10,0.000001),NA()))</f>
        <v>0.44057995583333315</v>
      </c>
      <c r="CH48" s="12">
        <f>IF(Y48="",NA(),IF(Статистика!$H$8="Вкл",(((IF(Статистика!$C$4="Параллельный режим (активная мощность)",AH48,AS48)+Статистика!$J$4))-Статистика!$C$10)/MAX(Статистика!$G$10-Статистика!$C$10,0.000001),NA()))</f>
        <v>0.88224606555555574</v>
      </c>
      <c r="CI48" s="12" t="e">
        <f>IF(Y48="",NA(),IF(Статистика!$J$8="Вкл",(((IF(Статистика!$C$4="Параллельный режим (активная мощность)",AI48,AT48)+Статистика!$J$4))-Статистика!$C$10)/MAX(Статистика!$G$10-Статистика!$C$10,0.000001),NA()))</f>
        <v>#N/A</v>
      </c>
      <c r="CJ48" s="12" t="e">
        <f>IF(AND(Y48&lt;&gt;"",Статистика!$C$6="Вкл",Статистика!$B$6&gt;0),(Статистика!$B$6-Статистика!$C$10)/MAX(Статистика!$G$10-Статистика!$C$10,0.000001),NA())</f>
        <v>#N/A</v>
      </c>
      <c r="CK48" s="12" t="e">
        <f>IF(AND(Y48&lt;&gt;"",Статистика!$F$6="Вкл",Статистика!$E$6&gt;0),(Статистика!$E$6-Статистика!$C$10)/MAX(Статистика!$G$10-Статистика!$C$10,0.000001),NA())</f>
        <v>#N/A</v>
      </c>
      <c r="CL48" s="12" t="e">
        <f>IF(AND(Y48&lt;&gt;"",Статистика!$I$6="Вкл",Статистика!$H$6&gt;0),(Статистика!$H$6-Статистика!$C$10)/MAX(Статистика!$G$10-Статистика!$C$10,0.000001),NA())</f>
        <v>#N/A</v>
      </c>
      <c r="CM48" s="12" t="e">
        <f>IF(AND(Y48&lt;&gt;"",Статистика!$L$6="Вкл",Статистика!$K$6&gt;0),(Статистика!$K$6-Статистика!$C$10)/MAX(Статистика!$G$10-Статистика!$C$10,0.000001),NA())</f>
        <v>#N/A</v>
      </c>
      <c r="CN48" s="12" t="e">
        <f>IF(AND(Y48&lt;&gt;"",Статистика!$M$6="Вкл",Статистика!$O$6&gt;0),(Статистика!$O$6-Статистика!$C$10)/MAX(Статистика!$G$10-Статистика!$C$10,0.000001),NA())</f>
        <v>#N/A</v>
      </c>
      <c r="CO48" s="12">
        <f t="shared" si="1"/>
        <v>1</v>
      </c>
    </row>
    <row r="49" spans="1:93" ht="15" customHeight="1">
      <c r="A49" s="12" t="s">
        <v>249</v>
      </c>
      <c r="B49" s="12">
        <v>2319.3060431666668</v>
      </c>
      <c r="C49" s="12">
        <v>5775.7168824999999</v>
      </c>
      <c r="D49" s="12">
        <v>7451.8708916666665</v>
      </c>
      <c r="E49" s="12">
        <v>7675.6435750000001</v>
      </c>
      <c r="F49" s="12">
        <v>7855.16165</v>
      </c>
      <c r="G49" s="12">
        <v>8051.2355083333341</v>
      </c>
      <c r="H49" s="12">
        <v>8363.7707333333328</v>
      </c>
      <c r="I49" s="12">
        <v>8427.0462958333319</v>
      </c>
      <c r="J49" s="12">
        <v>8454.3083258333336</v>
      </c>
      <c r="K49" s="12">
        <v>8545.98</v>
      </c>
      <c r="L49" s="12" t="s">
        <v>250</v>
      </c>
      <c r="M49" s="12">
        <v>2879.7523619999997</v>
      </c>
      <c r="N49" s="12">
        <v>6688.2966100000012</v>
      </c>
      <c r="O49" s="12">
        <v>8575.259610000001</v>
      </c>
      <c r="P49" s="12">
        <v>8824.6960333333336</v>
      </c>
      <c r="Q49" s="12">
        <v>8988.2165833333329</v>
      </c>
      <c r="R49" s="12">
        <v>9195.7844750000004</v>
      </c>
      <c r="S49" s="12">
        <v>9440.4050516666666</v>
      </c>
      <c r="T49" s="12">
        <v>9509.7031674999998</v>
      </c>
      <c r="U49" s="12">
        <v>9614.3098601666661</v>
      </c>
      <c r="V49" s="12">
        <v>9759.4500000000007</v>
      </c>
      <c r="W49" s="12" t="s">
        <v>251</v>
      </c>
      <c r="Y49" s="12" t="s">
        <v>249</v>
      </c>
      <c r="Z49" s="12">
        <v>7315.4804660000009</v>
      </c>
      <c r="AA49" s="12">
        <v>7384.0591300000006</v>
      </c>
      <c r="AB49" s="12">
        <v>7469.7824599999994</v>
      </c>
      <c r="AC49" s="12">
        <v>7749.4678833333346</v>
      </c>
      <c r="AD49" s="12">
        <v>7868.4058333333342</v>
      </c>
      <c r="AE49" s="12">
        <v>8006.2929750000003</v>
      </c>
      <c r="AF49" s="12">
        <v>8523.2674866666657</v>
      </c>
      <c r="AG49" s="12">
        <v>8580.2244599999995</v>
      </c>
      <c r="AH49" s="12">
        <v>8625.7900386666661</v>
      </c>
      <c r="AI49" s="12">
        <v>8711.5400000000009</v>
      </c>
      <c r="AJ49" s="12" t="s">
        <v>252</v>
      </c>
      <c r="AK49" s="12">
        <v>8429.2583496666666</v>
      </c>
      <c r="AL49" s="12">
        <v>8516.0800149999995</v>
      </c>
      <c r="AM49" s="12">
        <v>8624.6070966666648</v>
      </c>
      <c r="AN49" s="12">
        <v>8822.7406666666666</v>
      </c>
      <c r="AO49" s="12">
        <v>8979.9661333333315</v>
      </c>
      <c r="AP49" s="12">
        <v>9165.5246083333332</v>
      </c>
      <c r="AQ49" s="12">
        <v>9701.253611666667</v>
      </c>
      <c r="AR49" s="12">
        <v>9735.4900391666688</v>
      </c>
      <c r="AS49" s="12">
        <v>9762.8791811666688</v>
      </c>
      <c r="AT49" s="12">
        <v>9841.61</v>
      </c>
      <c r="AU49" s="12" t="s">
        <v>253</v>
      </c>
      <c r="AW49" s="12">
        <f>IF(A49="","",MAX(0,MIN(1,(((IF(Статистика!$C$4="Параллельный режим (активная мощность)",B49,M49)+Статистика!$J$4))-Статистика!$C$10)/MAX(Статистика!$G$10-Статистика!$C$10,0.000001))))</f>
        <v>0</v>
      </c>
      <c r="AX49" s="12">
        <f>IF(A49="","",MAX(0,MAX(0,MIN(1,(((IF(Статистика!$C$4="Параллельный режим (активная мощность)",D49,O49)+Статистика!$J$4))-Статистика!$C$10)/MAX(Статистика!$G$10-Статистика!$C$10,0.000001)))-MAX(0,MIN(1,(((IF(Статистика!$C$4="Параллельный режим (активная мощность)",B49,M49)+Статистика!$J$4))-Статистика!$C$10)/MAX(Статистика!$G$10-Статистика!$C$10,0.000001)))))</f>
        <v>0.48395696388888881</v>
      </c>
      <c r="AY49" s="12">
        <f>IF(A49="","",MAX(0,MAX(0,MIN(1,(((IF(Статистика!$C$4="Параллельный режим (активная мощность)",E49,P49)+Статистика!$J$4))-Статистика!$C$10)/MAX(Статистика!$G$10-Статистика!$C$10,0.000001)))-MAX(0,MIN(1,(((IF(Статистика!$C$4="Параллельный режим (активная мощность)",D49,O49)+Статистика!$J$4))-Статистика!$C$10)/MAX(Статистика!$G$10-Статистика!$C$10,0.000001)))))</f>
        <v>7.45908944444445E-2</v>
      </c>
      <c r="AZ49" s="12">
        <f>IF(A49="","",MAX(0,MAX(0,MIN(1,(((IF(Статистика!$C$4="Параллельный режим (активная мощность)",F49,Q49)+Статистика!$J$4))-Статистика!$C$10)/MAX(Статистика!$G$10-Статистика!$C$10,0.000001)))-MAX(0,MIN(1,(((IF(Статистика!$C$4="Параллельный режим (активная мощность)",E49,P49)+Статистика!$J$4))-Статистика!$C$10)/MAX(Статистика!$G$10-Статистика!$C$10,0.000001)))))</f>
        <v>5.9839358333333315E-2</v>
      </c>
      <c r="BA49" s="12">
        <f>IF(A49="","",MAX(0,MAX(0,MIN(1,(((IF(Статистика!$C$4="Параллельный режим (активная мощность)",G49,R49)+Статистика!$J$4))-Статистика!$C$10)/MAX(Статистика!$G$10-Статистика!$C$10,0.000001)))-MAX(0,MIN(1,(((IF(Статистика!$C$4="Параллельный режим (активная мощность)",F49,Q49)+Статистика!$J$4))-Статистика!$C$10)/MAX(Статистика!$G$10-Статистика!$C$10,0.000001)))))</f>
        <v>6.5357952777778117E-2</v>
      </c>
      <c r="BB49" s="12">
        <f>IF(A49="","",MAX(0,MAX(0,MIN(1,(((IF(Статистика!$C$4="Параллельный режим (активная мощность)",H49,S49)+Статистика!$J$4))-Статистика!$C$10)/MAX(Статистика!$G$10-Статистика!$C$10,0.000001)))-MAX(0,MIN(1,(((IF(Статистика!$C$4="Параллельный режим (активная мощность)",G49,R49)+Статистика!$J$4))-Статистика!$C$10)/MAX(Статистика!$G$10-Статистика!$C$10,0.000001)))))</f>
        <v>0.10417840833333292</v>
      </c>
      <c r="BC49" s="12">
        <f>IF(A49="","",MAX(0,MAX(0,MIN(1,(((IF(Статистика!$C$4="Параллельный режим (активная мощность)",J49,U49)+Статистика!$J$4))-Статистика!$C$10)/MAX(Статистика!$G$10-Статистика!$C$10,0.000001)))-MAX(0,MIN(1,(((IF(Статистика!$C$4="Параллельный режим (активная мощность)",H49,S49)+Статистика!$J$4))-Статистика!$C$10)/MAX(Статистика!$G$10-Статистика!$C$10,0.000001)))))</f>
        <v>3.0179197500000199E-2</v>
      </c>
      <c r="BD49" s="12">
        <f>IF(A49="","",MAX(0,1-MAX(0,MIN(1,(((IF(Статистика!$C$4="Параллельный режим (активная мощность)",J49,U49)+Статистика!$J$4))-Статистика!$C$10)/MAX(Статистика!$G$10-Статистика!$C$10,0.000001)))))</f>
        <v>0.18189722472222214</v>
      </c>
      <c r="BE49" s="12">
        <f>IF(A49="",NA(),IF(Статистика!$B$8="Вкл",(((IF(Статистика!$C$4="Параллельный режим (активная мощность)",F49,Q49)+Статистика!$J$4))-Статистика!$C$10)/MAX(Статистика!$G$10-Статистика!$C$10,0.000001),NA()))</f>
        <v>0.61838721666666663</v>
      </c>
      <c r="BF49" s="12">
        <f>IF(A49="",NA(),IF(Статистика!$D$8="Вкл",(((IF(Статистика!$C$4="Параллельный режим (активная мощность)",E49,P49)+Статистика!$J$4))-Статистика!$C$10)/MAX(Статистика!$G$10-Статистика!$C$10,0.000001),NA()))</f>
        <v>0.55854785833333331</v>
      </c>
      <c r="BG49" s="12">
        <f>IF(A49="",NA(),IF(Статистика!$D$8="Вкл",(((IF(Статистика!$C$4="Параллельный режим (активная мощность)",G49,R49)+Статистика!$J$4))-Статистика!$C$10)/MAX(Статистика!$G$10-Статистика!$C$10,0.000001),NA()))</f>
        <v>0.68374516944444474</v>
      </c>
      <c r="BH49" s="12">
        <f>IF(A49="",NA(),IF(Статистика!$F$8="Вкл",(((IF(Статистика!$C$4="Параллельный режим (активная мощность)",D49,O49)+Статистика!$J$4))-Статистика!$C$10)/MAX(Статистика!$G$10-Статистика!$C$10,0.000001),NA()))</f>
        <v>0.48395696388888881</v>
      </c>
      <c r="BI49" s="12">
        <f>IF(A49="",NA(),IF(Статистика!$F$8="Вкл",(((IF(Статистика!$C$4="Параллельный режим (активная мощность)",H49,S49)+Статистика!$J$4))-Статистика!$C$10)/MAX(Статистика!$G$10-Статистика!$C$10,0.000001),NA()))</f>
        <v>0.78792357777777766</v>
      </c>
      <c r="BJ49" s="12">
        <f>IF(A49="",NA(),IF(Статистика!$H$8="Вкл",(((IF(Статистика!$C$4="Параллельный режим (активная мощность)",B49,M49)+Статистика!$J$4))-Статистика!$C$10)/MAX(Статистика!$G$10-Статистика!$C$10,0.000001),NA()))</f>
        <v>-1.2268979856111111</v>
      </c>
      <c r="BK49" s="12">
        <f>IF(A49="",NA(),IF(Статистика!$H$8="Вкл",(((IF(Статистика!$C$4="Параллельный режим (активная мощность)",J49,U49)+Статистика!$J$4))-Статистика!$C$10)/MAX(Статистика!$G$10-Статистика!$C$10,0.000001),NA()))</f>
        <v>0.81810277527777786</v>
      </c>
      <c r="BL49" s="12" t="e">
        <f>IF(A49="",NA(),IF(Статистика!$J$8="Вкл",(((IF(Статистика!$C$4="Параллельный режим (активная мощность)",K49,V49)+Статистика!$J$4))-Статистика!$C$10)/MAX(Статистика!$G$10-Статистика!$C$10,0.000001),NA()))</f>
        <v>#N/A</v>
      </c>
      <c r="BM49" s="12" t="e">
        <f>IF(AND(A49&lt;&gt;"",Статистика!$C$6="Вкл",Статистика!$B$6&gt;0),(Статистика!$B$6-Статистика!$C$10)/MAX(Статистика!$G$10-Статистика!$C$10,0.000001),NA())</f>
        <v>#N/A</v>
      </c>
      <c r="BN49" s="12" t="e">
        <f>IF(AND(A49&lt;&gt;"",Статистика!$F$6="Вкл",Статистика!$E$6&gt;0),(Статистика!$E$6-Статистика!$C$10)/MAX(Статистика!$G$10-Статистика!$C$10,0.000001),NA())</f>
        <v>#N/A</v>
      </c>
      <c r="BO49" s="12" t="e">
        <f>IF(AND(A49&lt;&gt;"",Статистика!$I$6="Вкл",Статистика!$H$6&gt;0),(Статистика!$H$6-Статистика!$C$10)/MAX(Статистика!$G$10-Статистика!$C$10,0.000001),NA())</f>
        <v>#N/A</v>
      </c>
      <c r="BP49" s="12" t="e">
        <f>IF(AND(A49&lt;&gt;"",Статистика!$L$6="Вкл",Статистика!$K$6&gt;0),(Статистика!$K$6-Статистика!$C$10)/MAX(Статистика!$G$10-Статистика!$C$10,0.000001),NA())</f>
        <v>#N/A</v>
      </c>
      <c r="BQ49" s="12" t="e">
        <f>IF(AND(A49&lt;&gt;"",Статистика!$M$6="Вкл",Статистика!$O$6&gt;0),(Статистика!$O$6-Статистика!$C$10)/MAX(Статистика!$G$10-Статистика!$C$10,0.000001),NA())</f>
        <v>#N/A</v>
      </c>
      <c r="BR49" s="12">
        <f t="shared" si="0"/>
        <v>1</v>
      </c>
      <c r="BT49" s="12">
        <f>IF(Y49="","",MAX(0,MIN(1,(((IF(Статистика!$C$4="Параллельный режим (активная мощность)",Z49,AK49)+Статистика!$J$4))-Статистика!$C$10)/MAX(Статистика!$G$10-Статистика!$C$10,0.000001))))</f>
        <v>0.43849348866666699</v>
      </c>
      <c r="BU49" s="12">
        <f>IF(Y49="","",MAX(0,MAX(0,MIN(1,(((IF(Статистика!$C$4="Параллельный режим (активная мощность)",AB49,AM49)+Статистика!$J$4))-Статистика!$C$10)/MAX(Статистика!$G$10-Статистика!$C$10,0.000001)))-MAX(0,MIN(1,(((IF(Статистика!$C$4="Параллельный режим (активная мощность)",Z49,AK49)+Статистика!$J$4))-Статистика!$C$10)/MAX(Статистика!$G$10-Статистика!$C$10,0.000001)))))</f>
        <v>5.1433997999999481E-2</v>
      </c>
      <c r="BV49" s="12">
        <f>IF(Y49="","",MAX(0,MAX(0,MIN(1,(((IF(Статистика!$C$4="Параллельный режим (активная мощность)",AC49,AN49)+Статистика!$J$4))-Статистика!$C$10)/MAX(Статистика!$G$10-Статистика!$C$10,0.000001)))-MAX(0,MIN(1,(((IF(Статистика!$C$4="Параллельный режим (активная мощность)",AB49,AM49)+Статистика!$J$4))-Статистика!$C$10)/MAX(Статистика!$G$10-Статистика!$C$10,0.000001)))))</f>
        <v>9.3228474444445097E-2</v>
      </c>
      <c r="BW49" s="12">
        <f>IF(Y49="","",MAX(0,MAX(0,MIN(1,(((IF(Статистика!$C$4="Параллельный режим (активная мощность)",AD49,AO49)+Статистика!$J$4))-Статистика!$C$10)/MAX(Статистика!$G$10-Статистика!$C$10,0.000001)))-MAX(0,MIN(1,(((IF(Статистика!$C$4="Параллельный режим (активная мощность)",AC49,AN49)+Статистика!$J$4))-Статистика!$C$10)/MAX(Статистика!$G$10-Статистика!$C$10,0.000001)))))</f>
        <v>3.9645983333333135E-2</v>
      </c>
      <c r="BX49" s="12">
        <f>IF(Y49="","",MAX(0,MAX(0,MIN(1,(((IF(Статистика!$C$4="Параллельный режим (активная мощность)",AE49,AP49)+Статистика!$J$4))-Статистика!$C$10)/MAX(Статистика!$G$10-Статистика!$C$10,0.000001)))-MAX(0,MIN(1,(((IF(Статистика!$C$4="Параллельный режим (активная мощность)",AD49,AO49)+Статистика!$J$4))-Статистика!$C$10)/MAX(Статистика!$G$10-Статистика!$C$10,0.000001)))))</f>
        <v>4.5962380555555349E-2</v>
      </c>
      <c r="BY49" s="12">
        <f>IF(Y49="","",MAX(0,MAX(0,MIN(1,(((IF(Статистика!$C$4="Параллельный режим (активная мощность)",AF49,AQ49)+Статистика!$J$4))-Статистика!$C$10)/MAX(Статистика!$G$10-Статистика!$C$10,0.000001)))-MAX(0,MIN(1,(((IF(Статистика!$C$4="Параллельный режим (активная мощность)",AE49,AP49)+Статистика!$J$4))-Статистика!$C$10)/MAX(Статистика!$G$10-Статистика!$C$10,0.000001)))))</f>
        <v>0.1723248372222218</v>
      </c>
      <c r="BZ49" s="12">
        <f>IF(Y49="","",MAX(0,MAX(0,MIN(1,(((IF(Статистика!$C$4="Параллельный режим (активная мощность)",AH49,AS49)+Статистика!$J$4))-Статистика!$C$10)/MAX(Статистика!$G$10-Статистика!$C$10,0.000001)))-MAX(0,MIN(1,(((IF(Статистика!$C$4="Параллельный режим (активная мощность)",AF49,AQ49)+Статистика!$J$4))-Статистика!$C$10)/MAX(Статистика!$G$10-Статистика!$C$10,0.000001)))))</f>
        <v>3.4174184000000163E-2</v>
      </c>
      <c r="CA49" s="12">
        <f>IF(Y49="","",MAX(0,1-MAX(0,MIN(1,(((IF(Статистика!$C$4="Параллельный режим (активная мощность)",AH49,AS49)+Статистика!$J$4))-Статистика!$C$10)/MAX(Статистика!$G$10-Статистика!$C$10,0.000001)))))</f>
        <v>0.12473665377777798</v>
      </c>
      <c r="CB49" s="12">
        <f>IF(Y49="",NA(),IF(Статистика!$B$8="Вкл",(((IF(Статистика!$C$4="Параллельный режим (активная мощность)",AD49,AO49)+Статистика!$J$4))-Статистика!$C$10)/MAX(Статистика!$G$10-Статистика!$C$10,0.000001),NA()))</f>
        <v>0.6228019444444447</v>
      </c>
      <c r="CC49" s="12">
        <f>IF(Y49="",NA(),IF(Статистика!$D$8="Вкл",(((IF(Статистика!$C$4="Параллельный режим (активная мощность)",AC49,AN49)+Статистика!$J$4))-Статистика!$C$10)/MAX(Статистика!$G$10-Статистика!$C$10,0.000001),NA()))</f>
        <v>0.58315596111111156</v>
      </c>
      <c r="CD49" s="12">
        <f>IF(Y49="",NA(),IF(Статистика!$D$8="Вкл",(((IF(Статистика!$C$4="Параллельный режим (активная мощность)",AE49,AP49)+Статистика!$J$4))-Статистика!$C$10)/MAX(Статистика!$G$10-Статистика!$C$10,0.000001),NA()))</f>
        <v>0.66876432500000005</v>
      </c>
      <c r="CE49" s="12">
        <f>IF(Y49="",NA(),IF(Статистика!$F$8="Вкл",(((IF(Статистика!$C$4="Параллельный режим (активная мощность)",AB49,AM49)+Статистика!$J$4))-Статистика!$C$10)/MAX(Статистика!$G$10-Статистика!$C$10,0.000001),NA()))</f>
        <v>0.48992748666666647</v>
      </c>
      <c r="CF49" s="12">
        <f>IF(Y49="",NA(),IF(Статистика!$F$8="Вкл",(((IF(Статистика!$C$4="Параллельный режим (активная мощность)",AF49,AQ49)+Статистика!$J$4))-Статистика!$C$10)/MAX(Статистика!$G$10-Статистика!$C$10,0.000001),NA()))</f>
        <v>0.84108916222222185</v>
      </c>
      <c r="CG49" s="12">
        <f>IF(Y49="",NA(),IF(Статистика!$H$8="Вкл",(((IF(Статистика!$C$4="Параллельный режим (активная мощность)",Z49,AK49)+Статистика!$J$4))-Статистика!$C$10)/MAX(Статистика!$G$10-Статистика!$C$10,0.000001),NA()))</f>
        <v>0.43849348866666699</v>
      </c>
      <c r="CH49" s="12">
        <f>IF(Y49="",NA(),IF(Статистика!$H$8="Вкл",(((IF(Статистика!$C$4="Параллельный режим (активная мощность)",AH49,AS49)+Статистика!$J$4))-Статистика!$C$10)/MAX(Статистика!$G$10-Статистика!$C$10,0.000001),NA()))</f>
        <v>0.87526334622222202</v>
      </c>
      <c r="CI49" s="12" t="e">
        <f>IF(Y49="",NA(),IF(Статистика!$J$8="Вкл",(((IF(Статистика!$C$4="Параллельный режим (активная мощность)",AI49,AT49)+Статистика!$J$4))-Статистика!$C$10)/MAX(Статистика!$G$10-Статистика!$C$10,0.000001),NA()))</f>
        <v>#N/A</v>
      </c>
      <c r="CJ49" s="12" t="e">
        <f>IF(AND(Y49&lt;&gt;"",Статистика!$C$6="Вкл",Статистика!$B$6&gt;0),(Статистика!$B$6-Статистика!$C$10)/MAX(Статистика!$G$10-Статистика!$C$10,0.000001),NA())</f>
        <v>#N/A</v>
      </c>
      <c r="CK49" s="12" t="e">
        <f>IF(AND(Y49&lt;&gt;"",Статистика!$F$6="Вкл",Статистика!$E$6&gt;0),(Статистика!$E$6-Статистика!$C$10)/MAX(Статистика!$G$10-Статистика!$C$10,0.000001),NA())</f>
        <v>#N/A</v>
      </c>
      <c r="CL49" s="12" t="e">
        <f>IF(AND(Y49&lt;&gt;"",Статистика!$I$6="Вкл",Статистика!$H$6&gt;0),(Статистика!$H$6-Статистика!$C$10)/MAX(Статистика!$G$10-Статистика!$C$10,0.000001),NA())</f>
        <v>#N/A</v>
      </c>
      <c r="CM49" s="12" t="e">
        <f>IF(AND(Y49&lt;&gt;"",Статистика!$L$6="Вкл",Статистика!$K$6&gt;0),(Статистика!$K$6-Статистика!$C$10)/MAX(Статистика!$G$10-Статистика!$C$10,0.000001),NA())</f>
        <v>#N/A</v>
      </c>
      <c r="CN49" s="12" t="e">
        <f>IF(AND(Y49&lt;&gt;"",Статистика!$M$6="Вкл",Статистика!$O$6&gt;0),(Статистика!$O$6-Статистика!$C$10)/MAX(Статистика!$G$10-Статистика!$C$10,0.000001),NA())</f>
        <v>#N/A</v>
      </c>
      <c r="CO49" s="12">
        <f t="shared" si="1"/>
        <v>1</v>
      </c>
    </row>
    <row r="50" spans="1:93" ht="15" customHeight="1">
      <c r="A50" s="12" t="s">
        <v>254</v>
      </c>
      <c r="B50" s="12">
        <v>2338.3318931666668</v>
      </c>
      <c r="C50" s="12">
        <v>5741.1913325000005</v>
      </c>
      <c r="D50" s="12">
        <v>7376.0355116666678</v>
      </c>
      <c r="E50" s="12">
        <v>7613.329616666666</v>
      </c>
      <c r="F50" s="12">
        <v>7828.5314666666673</v>
      </c>
      <c r="G50" s="12">
        <v>7983.8418416666673</v>
      </c>
      <c r="H50" s="12">
        <v>8337.6296533333334</v>
      </c>
      <c r="I50" s="12">
        <v>8428.1723583333332</v>
      </c>
      <c r="J50" s="12">
        <v>8456.8376983333328</v>
      </c>
      <c r="K50" s="12">
        <v>8550.3799999999992</v>
      </c>
      <c r="L50" s="12" t="s">
        <v>255</v>
      </c>
      <c r="M50" s="12">
        <v>2904.454350333333</v>
      </c>
      <c r="N50" s="12">
        <v>6661.3625516666671</v>
      </c>
      <c r="O50" s="12">
        <v>8460.6441933333335</v>
      </c>
      <c r="P50" s="12">
        <v>8795.2158666666674</v>
      </c>
      <c r="Q50" s="12">
        <v>8971.0788499999999</v>
      </c>
      <c r="R50" s="12">
        <v>9120.3062750000008</v>
      </c>
      <c r="S50" s="12">
        <v>9414.9191733333337</v>
      </c>
      <c r="T50" s="12">
        <v>9510.3820616666671</v>
      </c>
      <c r="U50" s="12">
        <v>9603.5001723333335</v>
      </c>
      <c r="V50" s="12">
        <v>9720.35</v>
      </c>
      <c r="W50" s="12" t="s">
        <v>256</v>
      </c>
      <c r="Y50" s="12" t="s">
        <v>254</v>
      </c>
      <c r="Z50" s="12">
        <v>7305.9602729999997</v>
      </c>
      <c r="AA50" s="12">
        <v>7356.639898333332</v>
      </c>
      <c r="AB50" s="12">
        <v>7419.9894299999987</v>
      </c>
      <c r="AC50" s="12">
        <v>7761.7778166666658</v>
      </c>
      <c r="AD50" s="12">
        <v>7855.7687166666674</v>
      </c>
      <c r="AE50" s="12">
        <v>8026.2959166666669</v>
      </c>
      <c r="AF50" s="12">
        <v>8504.9013099999993</v>
      </c>
      <c r="AG50" s="12">
        <v>8564.238921666667</v>
      </c>
      <c r="AH50" s="12">
        <v>8611.709010999999</v>
      </c>
      <c r="AI50" s="12">
        <v>8744</v>
      </c>
      <c r="AJ50" s="12" t="s">
        <v>257</v>
      </c>
      <c r="AK50" s="12">
        <v>8425.9397764999994</v>
      </c>
      <c r="AL50" s="12">
        <v>8498.6304824999988</v>
      </c>
      <c r="AM50" s="12">
        <v>8589.4938649999986</v>
      </c>
      <c r="AN50" s="12">
        <v>8838.5356166666679</v>
      </c>
      <c r="AO50" s="12">
        <v>8978.5465166666654</v>
      </c>
      <c r="AP50" s="12">
        <v>9174.8491833333337</v>
      </c>
      <c r="AQ50" s="12">
        <v>9678.0607349999991</v>
      </c>
      <c r="AR50" s="12">
        <v>9721.3925674999991</v>
      </c>
      <c r="AS50" s="12">
        <v>9756.0580334999995</v>
      </c>
      <c r="AT50" s="12">
        <v>9891.74</v>
      </c>
      <c r="AU50" s="12" t="s">
        <v>257</v>
      </c>
      <c r="AW50" s="12">
        <f>IF(A50="","",MAX(0,MIN(1,(((IF(Статистика!$C$4="Параллельный режим (активная мощность)",B50,M50)+Статистика!$J$4))-Статистика!$C$10)/MAX(Статистика!$G$10-Статистика!$C$10,0.000001))))</f>
        <v>0</v>
      </c>
      <c r="AX50" s="12">
        <f>IF(A50="","",MAX(0,MAX(0,MIN(1,(((IF(Статистика!$C$4="Параллельный режим (активная мощность)",D50,O50)+Статистика!$J$4))-Статистика!$C$10)/MAX(Статистика!$G$10-Статистика!$C$10,0.000001)))-MAX(0,MIN(1,(((IF(Статистика!$C$4="Параллельный режим (активная мощность)",B50,M50)+Статистика!$J$4))-Статистика!$C$10)/MAX(Статистика!$G$10-Статистика!$C$10,0.000001)))))</f>
        <v>0.45867850388888926</v>
      </c>
      <c r="AY50" s="12">
        <f>IF(A50="","",MAX(0,MAX(0,MIN(1,(((IF(Статистика!$C$4="Параллельный режим (активная мощность)",E50,P50)+Статистика!$J$4))-Статистика!$C$10)/MAX(Статистика!$G$10-Статистика!$C$10,0.000001)))-MAX(0,MIN(1,(((IF(Статистика!$C$4="Параллельный режим (активная мощность)",D50,O50)+Статистика!$J$4))-Статистика!$C$10)/MAX(Статистика!$G$10-Статистика!$C$10,0.000001)))))</f>
        <v>7.90980349999994E-2</v>
      </c>
      <c r="AZ50" s="12">
        <f>IF(A50="","",MAX(0,MAX(0,MIN(1,(((IF(Статистика!$C$4="Параллельный режим (активная мощность)",F50,Q50)+Статистика!$J$4))-Статистика!$C$10)/MAX(Статистика!$G$10-Статистика!$C$10,0.000001)))-MAX(0,MIN(1,(((IF(Статистика!$C$4="Параллельный режим (активная мощность)",E50,P50)+Статистика!$J$4))-Статистика!$C$10)/MAX(Статистика!$G$10-Статистика!$C$10,0.000001)))))</f>
        <v>7.1733950000000379E-2</v>
      </c>
      <c r="BA50" s="12">
        <f>IF(A50="","",MAX(0,MAX(0,MIN(1,(((IF(Статистика!$C$4="Параллельный режим (активная мощность)",G50,R50)+Статистика!$J$4))-Статистика!$C$10)/MAX(Статистика!$G$10-Статистика!$C$10,0.000001)))-MAX(0,MIN(1,(((IF(Статистика!$C$4="Параллельный режим (активная мощность)",F50,Q50)+Статистика!$J$4))-Статистика!$C$10)/MAX(Статистика!$G$10-Статистика!$C$10,0.000001)))))</f>
        <v>5.1770125000000111E-2</v>
      </c>
      <c r="BB50" s="12">
        <f>IF(A50="","",MAX(0,MAX(0,MIN(1,(((IF(Статистика!$C$4="Параллельный режим (активная мощность)",H50,S50)+Статистика!$J$4))-Статистика!$C$10)/MAX(Статистика!$G$10-Статистика!$C$10,0.000001)))-MAX(0,MIN(1,(((IF(Статистика!$C$4="Параллельный режим (активная мощность)",G50,R50)+Статистика!$J$4))-Статистика!$C$10)/MAX(Статистика!$G$10-Статистика!$C$10,0.000001)))))</f>
        <v>0.11792927055555535</v>
      </c>
      <c r="BC50" s="12">
        <f>IF(A50="","",MAX(0,MAX(0,MIN(1,(((IF(Статистика!$C$4="Параллельный режим (активная мощность)",J50,U50)+Статистика!$J$4))-Статистика!$C$10)/MAX(Статистика!$G$10-Статистика!$C$10,0.000001)))-MAX(0,MIN(1,(((IF(Статистика!$C$4="Параллельный режим (активная мощность)",H50,S50)+Статистика!$J$4))-Статистика!$C$10)/MAX(Статистика!$G$10-Статистика!$C$10,0.000001)))))</f>
        <v>3.9736014999999791E-2</v>
      </c>
      <c r="BD50" s="12">
        <f>IF(A50="","",MAX(0,1-MAX(0,MIN(1,(((IF(Статистика!$C$4="Параллельный режим (активная мощность)",J50,U50)+Статистика!$J$4))-Статистика!$C$10)/MAX(Статистика!$G$10-Статистика!$C$10,0.000001)))))</f>
        <v>0.18105410055555571</v>
      </c>
      <c r="BE50" s="12">
        <f>IF(A50="",NA(),IF(Статистика!$B$8="Вкл",(((IF(Статистика!$C$4="Параллельный режим (активная мощность)",F50,Q50)+Статистика!$J$4))-Статистика!$C$10)/MAX(Статистика!$G$10-Статистика!$C$10,0.000001),NA()))</f>
        <v>0.60951048888888903</v>
      </c>
      <c r="BF50" s="12">
        <f>IF(A50="",NA(),IF(Статистика!$D$8="Вкл",(((IF(Статистика!$C$4="Параллельный режим (активная мощность)",E50,P50)+Статистика!$J$4))-Статистика!$C$10)/MAX(Статистика!$G$10-Статистика!$C$10,0.000001),NA()))</f>
        <v>0.53777653888888866</v>
      </c>
      <c r="BG50" s="12">
        <f>IF(A50="",NA(),IF(Статистика!$D$8="Вкл",(((IF(Статистика!$C$4="Параллельный режим (активная мощность)",G50,R50)+Статистика!$J$4))-Статистика!$C$10)/MAX(Статистика!$G$10-Статистика!$C$10,0.000001),NA()))</f>
        <v>0.66128061388888915</v>
      </c>
      <c r="BH50" s="12">
        <f>IF(A50="",NA(),IF(Статистика!$F$8="Вкл",(((IF(Статистика!$C$4="Параллельный режим (активная мощность)",D50,O50)+Статистика!$J$4))-Статистика!$C$10)/MAX(Статистика!$G$10-Статистика!$C$10,0.000001),NA()))</f>
        <v>0.45867850388888926</v>
      </c>
      <c r="BI50" s="12">
        <f>IF(A50="",NA(),IF(Статистика!$F$8="Вкл",(((IF(Статистика!$C$4="Параллельный режим (активная мощность)",H50,S50)+Статистика!$J$4))-Статистика!$C$10)/MAX(Статистика!$G$10-Статистика!$C$10,0.000001),NA()))</f>
        <v>0.7792098844444445</v>
      </c>
      <c r="BJ50" s="12">
        <f>IF(A50="",NA(),IF(Статистика!$H$8="Вкл",(((IF(Статистика!$C$4="Параллельный режим (активная мощность)",B50,M50)+Статистика!$J$4))-Статистика!$C$10)/MAX(Статистика!$G$10-Статистика!$C$10,0.000001),NA()))</f>
        <v>-1.2205560356111111</v>
      </c>
      <c r="BK50" s="12">
        <f>IF(A50="",NA(),IF(Статистика!$H$8="Вкл",(((IF(Статистика!$C$4="Параллельный режим (активная мощность)",J50,U50)+Статистика!$J$4))-Статистика!$C$10)/MAX(Статистика!$G$10-Статистика!$C$10,0.000001),NA()))</f>
        <v>0.81894589944444429</v>
      </c>
      <c r="BL50" s="12" t="e">
        <f>IF(A50="",NA(),IF(Статистика!$J$8="Вкл",(((IF(Статистика!$C$4="Параллельный режим (активная мощность)",K50,V50)+Статистика!$J$4))-Статистика!$C$10)/MAX(Статистика!$G$10-Статистика!$C$10,0.000001),NA()))</f>
        <v>#N/A</v>
      </c>
      <c r="BM50" s="12" t="e">
        <f>IF(AND(A50&lt;&gt;"",Статистика!$C$6="Вкл",Статистика!$B$6&gt;0),(Статистика!$B$6-Статистика!$C$10)/MAX(Статистика!$G$10-Статистика!$C$10,0.000001),NA())</f>
        <v>#N/A</v>
      </c>
      <c r="BN50" s="12" t="e">
        <f>IF(AND(A50&lt;&gt;"",Статистика!$F$6="Вкл",Статистика!$E$6&gt;0),(Статистика!$E$6-Статистика!$C$10)/MAX(Статистика!$G$10-Статистика!$C$10,0.000001),NA())</f>
        <v>#N/A</v>
      </c>
      <c r="BO50" s="12" t="e">
        <f>IF(AND(A50&lt;&gt;"",Статистика!$I$6="Вкл",Статистика!$H$6&gt;0),(Статистика!$H$6-Статистика!$C$10)/MAX(Статистика!$G$10-Статистика!$C$10,0.000001),NA())</f>
        <v>#N/A</v>
      </c>
      <c r="BP50" s="12" t="e">
        <f>IF(AND(A50&lt;&gt;"",Статистика!$L$6="Вкл",Статистика!$K$6&gt;0),(Статистика!$K$6-Статистика!$C$10)/MAX(Статистика!$G$10-Статистика!$C$10,0.000001),NA())</f>
        <v>#N/A</v>
      </c>
      <c r="BQ50" s="12" t="e">
        <f>IF(AND(A50&lt;&gt;"",Статистика!$M$6="Вкл",Статистика!$O$6&gt;0),(Статистика!$O$6-Статистика!$C$10)/MAX(Статистика!$G$10-Статистика!$C$10,0.000001),NA())</f>
        <v>#N/A</v>
      </c>
      <c r="BR50" s="12">
        <f t="shared" si="0"/>
        <v>1</v>
      </c>
      <c r="BT50" s="12">
        <f>IF(Y50="","",MAX(0,MIN(1,(((IF(Статистика!$C$4="Параллельный режим (активная мощность)",Z50,AK50)+Статистика!$J$4))-Статистика!$C$10)/MAX(Статистика!$G$10-Статистика!$C$10,0.000001))))</f>
        <v>0.43532009099999991</v>
      </c>
      <c r="BU50" s="12">
        <f>IF(Y50="","",MAX(0,MAX(0,MIN(1,(((IF(Статистика!$C$4="Параллельный режим (активная мощность)",AB50,AM50)+Статистика!$J$4))-Статистика!$C$10)/MAX(Статистика!$G$10-Статистика!$C$10,0.000001)))-MAX(0,MIN(1,(((IF(Статистика!$C$4="Параллельный режим (активная мощность)",Z50,AK50)+Статистика!$J$4))-Статистика!$C$10)/MAX(Статистика!$G$10-Статистика!$C$10,0.000001)))))</f>
        <v>3.8009718999999664E-2</v>
      </c>
      <c r="BV50" s="12">
        <f>IF(Y50="","",MAX(0,MAX(0,MIN(1,(((IF(Статистика!$C$4="Параллельный режим (активная мощность)",AC50,AN50)+Статистика!$J$4))-Статистика!$C$10)/MAX(Статистика!$G$10-Статистика!$C$10,0.000001)))-MAX(0,MIN(1,(((IF(Статистика!$C$4="Параллельный режим (активная мощность)",AB50,AM50)+Статистика!$J$4))-Статистика!$C$10)/MAX(Статистика!$G$10-Статистика!$C$10,0.000001)))))</f>
        <v>0.11392946222222239</v>
      </c>
      <c r="BW50" s="12">
        <f>IF(Y50="","",MAX(0,MAX(0,MIN(1,(((IF(Статистика!$C$4="Параллельный режим (активная мощность)",AD50,AO50)+Статистика!$J$4))-Статистика!$C$10)/MAX(Статистика!$G$10-Статистика!$C$10,0.000001)))-MAX(0,MIN(1,(((IF(Статистика!$C$4="Параллельный режим (активная мощность)",AC50,AN50)+Статистика!$J$4))-Статистика!$C$10)/MAX(Статистика!$G$10-Статистика!$C$10,0.000001)))))</f>
        <v>3.1330300000000477E-2</v>
      </c>
      <c r="BX50" s="12">
        <f>IF(Y50="","",MAX(0,MAX(0,MIN(1,(((IF(Статистика!$C$4="Параллельный режим (активная мощность)",AE50,AP50)+Статистика!$J$4))-Статистика!$C$10)/MAX(Статистика!$G$10-Статистика!$C$10,0.000001)))-MAX(0,MIN(1,(((IF(Статистика!$C$4="Параллельный режим (активная мощность)",AD50,AO50)+Статистика!$J$4))-Статистика!$C$10)/MAX(Статистика!$G$10-Статистика!$C$10,0.000001)))))</f>
        <v>5.6842399999999849E-2</v>
      </c>
      <c r="BY50" s="12">
        <f>IF(Y50="","",MAX(0,MAX(0,MIN(1,(((IF(Статистика!$C$4="Параллельный режим (активная мощность)",AF50,AQ50)+Статистика!$J$4))-Статистика!$C$10)/MAX(Статистика!$G$10-Статистика!$C$10,0.000001)))-MAX(0,MIN(1,(((IF(Статистика!$C$4="Параллельный режим (активная мощность)",AE50,AP50)+Статистика!$J$4))-Статистика!$C$10)/MAX(Статистика!$G$10-Статистика!$C$10,0.000001)))))</f>
        <v>0.15953513111111084</v>
      </c>
      <c r="BZ50" s="12">
        <f>IF(Y50="","",MAX(0,MAX(0,MIN(1,(((IF(Статистика!$C$4="Параллельный режим (активная мощность)",AH50,AS50)+Статистика!$J$4))-Статистика!$C$10)/MAX(Статистика!$G$10-Статистика!$C$10,0.000001)))-MAX(0,MIN(1,(((IF(Статистика!$C$4="Параллельный режим (активная мощность)",AF50,AQ50)+Статистика!$J$4))-Статистика!$C$10)/MAX(Статистика!$G$10-Статистика!$C$10,0.000001)))))</f>
        <v>3.5602566999999863E-2</v>
      </c>
      <c r="CA50" s="12">
        <f>IF(Y50="","",MAX(0,1-MAX(0,MIN(1,(((IF(Статистика!$C$4="Параллельный режим (активная мощность)",AH50,AS50)+Статистика!$J$4))-Статистика!$C$10)/MAX(Статистика!$G$10-Статистика!$C$10,0.000001)))))</f>
        <v>0.12943032966666701</v>
      </c>
      <c r="CB50" s="12">
        <f>IF(Y50="",NA(),IF(Статистика!$B$8="Вкл",(((IF(Статистика!$C$4="Параллельный режим (активная мощность)",AD50,AO50)+Статистика!$J$4))-Статистика!$C$10)/MAX(Статистика!$G$10-Статистика!$C$10,0.000001),NA()))</f>
        <v>0.61858957222222244</v>
      </c>
      <c r="CC50" s="12">
        <f>IF(Y50="",NA(),IF(Статистика!$D$8="Вкл",(((IF(Статистика!$C$4="Параллельный режим (активная мощность)",AC50,AN50)+Статистика!$J$4))-Статистика!$C$10)/MAX(Статистика!$G$10-Статистика!$C$10,0.000001),NA()))</f>
        <v>0.58725927222222196</v>
      </c>
      <c r="CD50" s="12">
        <f>IF(Y50="",NA(),IF(Статистика!$D$8="Вкл",(((IF(Статистика!$C$4="Параллельный режим (активная мощность)",AE50,AP50)+Статистика!$J$4))-Статистика!$C$10)/MAX(Статистика!$G$10-Статистика!$C$10,0.000001),NA()))</f>
        <v>0.67543197222222229</v>
      </c>
      <c r="CE50" s="12">
        <f>IF(Y50="",NA(),IF(Статистика!$F$8="Вкл",(((IF(Статистика!$C$4="Параллельный режим (активная мощность)",AB50,AM50)+Статистика!$J$4))-Статистика!$C$10)/MAX(Статистика!$G$10-Статистика!$C$10,0.000001),NA()))</f>
        <v>0.47332980999999957</v>
      </c>
      <c r="CF50" s="12">
        <f>IF(Y50="",NA(),IF(Статистика!$F$8="Вкл",(((IF(Статистика!$C$4="Параллельный режим (активная мощность)",AF50,AQ50)+Статистика!$J$4))-Статистика!$C$10)/MAX(Статистика!$G$10-Статистика!$C$10,0.000001),NA()))</f>
        <v>0.83496710333333313</v>
      </c>
      <c r="CG50" s="12">
        <f>IF(Y50="",NA(),IF(Статистика!$H$8="Вкл",(((IF(Статистика!$C$4="Параллельный режим (активная мощность)",Z50,AK50)+Статистика!$J$4))-Статистика!$C$10)/MAX(Статистика!$G$10-Статистика!$C$10,0.000001),NA()))</f>
        <v>0.43532009099999991</v>
      </c>
      <c r="CH50" s="12">
        <f>IF(Y50="",NA(),IF(Статистика!$H$8="Вкл",(((IF(Статистика!$C$4="Параллельный режим (активная мощность)",AH50,AS50)+Статистика!$J$4))-Статистика!$C$10)/MAX(Статистика!$G$10-Статистика!$C$10,0.000001),NA()))</f>
        <v>0.87056967033333299</v>
      </c>
      <c r="CI50" s="12" t="e">
        <f>IF(Y50="",NA(),IF(Статистика!$J$8="Вкл",(((IF(Статистика!$C$4="Параллельный режим (активная мощность)",AI50,AT50)+Статистика!$J$4))-Статистика!$C$10)/MAX(Статистика!$G$10-Статистика!$C$10,0.000001),NA()))</f>
        <v>#N/A</v>
      </c>
      <c r="CJ50" s="12" t="e">
        <f>IF(AND(Y50&lt;&gt;"",Статистика!$C$6="Вкл",Статистика!$B$6&gt;0),(Статистика!$B$6-Статистика!$C$10)/MAX(Статистика!$G$10-Статистика!$C$10,0.000001),NA())</f>
        <v>#N/A</v>
      </c>
      <c r="CK50" s="12" t="e">
        <f>IF(AND(Y50&lt;&gt;"",Статистика!$F$6="Вкл",Статистика!$E$6&gt;0),(Статистика!$E$6-Статистика!$C$10)/MAX(Статистика!$G$10-Статистика!$C$10,0.000001),NA())</f>
        <v>#N/A</v>
      </c>
      <c r="CL50" s="12" t="e">
        <f>IF(AND(Y50&lt;&gt;"",Статистика!$I$6="Вкл",Статистика!$H$6&gt;0),(Статистика!$H$6-Статистика!$C$10)/MAX(Статистика!$G$10-Статистика!$C$10,0.000001),NA())</f>
        <v>#N/A</v>
      </c>
      <c r="CM50" s="12" t="e">
        <f>IF(AND(Y50&lt;&gt;"",Статистика!$L$6="Вкл",Статистика!$K$6&gt;0),(Статистика!$K$6-Статистика!$C$10)/MAX(Статистика!$G$10-Статистика!$C$10,0.000001),NA())</f>
        <v>#N/A</v>
      </c>
      <c r="CN50" s="12" t="e">
        <f>IF(AND(Y50&lt;&gt;"",Статистика!$M$6="Вкл",Статистика!$O$6&gt;0),(Статистика!$O$6-Статистика!$C$10)/MAX(Статистика!$G$10-Статистика!$C$10,0.000001),NA())</f>
        <v>#N/A</v>
      </c>
      <c r="CO50" s="12">
        <f t="shared" si="1"/>
        <v>1</v>
      </c>
    </row>
    <row r="51" spans="1:93" ht="15" customHeight="1">
      <c r="A51" s="12" t="s">
        <v>258</v>
      </c>
      <c r="B51" s="12">
        <v>2318.8403126666667</v>
      </c>
      <c r="C51" s="12">
        <v>5700.3107633333339</v>
      </c>
      <c r="D51" s="12">
        <v>7346.0487716666667</v>
      </c>
      <c r="E51" s="12">
        <v>7644.0515583333327</v>
      </c>
      <c r="F51" s="12">
        <v>7827.2914499999988</v>
      </c>
      <c r="G51" s="12">
        <v>7997.4622249999993</v>
      </c>
      <c r="H51" s="12">
        <v>8349.1755366666657</v>
      </c>
      <c r="I51" s="12">
        <v>8428.1684766666658</v>
      </c>
      <c r="J51" s="12">
        <v>8488.9202286666659</v>
      </c>
      <c r="K51" s="12">
        <v>8639.8700000000008</v>
      </c>
      <c r="L51" s="12" t="s">
        <v>259</v>
      </c>
      <c r="M51" s="12">
        <v>2881.3090273333332</v>
      </c>
      <c r="N51" s="12">
        <v>6620.0686033333332</v>
      </c>
      <c r="O51" s="12">
        <v>8444.5412533333329</v>
      </c>
      <c r="P51" s="12">
        <v>8796.9006833333333</v>
      </c>
      <c r="Q51" s="12">
        <v>8940.7405833333323</v>
      </c>
      <c r="R51" s="12">
        <v>9161.70615</v>
      </c>
      <c r="S51" s="12">
        <v>9464.2999999999975</v>
      </c>
      <c r="T51" s="12">
        <v>9532.6729383333313</v>
      </c>
      <c r="U51" s="12">
        <v>9571.5380810000006</v>
      </c>
      <c r="V51" s="12">
        <v>9720.7000000000007</v>
      </c>
      <c r="W51" s="12" t="s">
        <v>260</v>
      </c>
      <c r="Y51" s="12" t="s">
        <v>258</v>
      </c>
      <c r="Z51" s="12">
        <v>7289.1306728333338</v>
      </c>
      <c r="AA51" s="12">
        <v>7342.4158975</v>
      </c>
      <c r="AB51" s="12">
        <v>7409.0224283333337</v>
      </c>
      <c r="AC51" s="12">
        <v>7752.9180166666674</v>
      </c>
      <c r="AD51" s="12">
        <v>7856.7629666666671</v>
      </c>
      <c r="AE51" s="12">
        <v>8030.8802916666664</v>
      </c>
      <c r="AF51" s="12">
        <v>8493.3201033333335</v>
      </c>
      <c r="AG51" s="12">
        <v>8549.9889683333331</v>
      </c>
      <c r="AH51" s="12">
        <v>8595.3240603333325</v>
      </c>
      <c r="AI51" s="12">
        <v>8742.73</v>
      </c>
      <c r="AJ51" s="12" t="s">
        <v>261</v>
      </c>
      <c r="AK51" s="12">
        <v>8387.2686510000003</v>
      </c>
      <c r="AL51" s="12">
        <v>8458.8115216666665</v>
      </c>
      <c r="AM51" s="12">
        <v>8548.2401100000006</v>
      </c>
      <c r="AN51" s="12">
        <v>8862.0734499999999</v>
      </c>
      <c r="AO51" s="12">
        <v>8917.4120666666659</v>
      </c>
      <c r="AP51" s="12">
        <v>9179.0512916666667</v>
      </c>
      <c r="AQ51" s="12">
        <v>9668.7509016666663</v>
      </c>
      <c r="AR51" s="12">
        <v>9707.462550833332</v>
      </c>
      <c r="AS51" s="12">
        <v>9738.4318701666671</v>
      </c>
      <c r="AT51" s="12">
        <v>9890.77</v>
      </c>
      <c r="AU51" s="12" t="s">
        <v>261</v>
      </c>
      <c r="AW51" s="12">
        <f>IF(A51="","",MAX(0,MIN(1,(((IF(Статистика!$C$4="Параллельный режим (активная мощность)",B51,M51)+Статистика!$J$4))-Статистика!$C$10)/MAX(Статистика!$G$10-Статистика!$C$10,0.000001))))</f>
        <v>0</v>
      </c>
      <c r="AX51" s="12">
        <f>IF(A51="","",MAX(0,MAX(0,MIN(1,(((IF(Статистика!$C$4="Параллельный режим (активная мощность)",D51,O51)+Статистика!$J$4))-Статистика!$C$10)/MAX(Статистика!$G$10-Статистика!$C$10,0.000001)))-MAX(0,MIN(1,(((IF(Статистика!$C$4="Параллельный режим (активная мощность)",B51,M51)+Статистика!$J$4))-Статистика!$C$10)/MAX(Статистика!$G$10-Статистика!$C$10,0.000001)))))</f>
        <v>0.44868292388888886</v>
      </c>
      <c r="AY51" s="12">
        <f>IF(A51="","",MAX(0,MAX(0,MIN(1,(((IF(Статистика!$C$4="Параллельный режим (активная мощность)",E51,P51)+Статистика!$J$4))-Статистика!$C$10)/MAX(Статистика!$G$10-Статистика!$C$10,0.000001)))-MAX(0,MIN(1,(((IF(Статистика!$C$4="Параллельный режим (активная мощность)",D51,O51)+Статистика!$J$4))-Статистика!$C$10)/MAX(Статистика!$G$10-Статистика!$C$10,0.000001)))))</f>
        <v>9.933426222222197E-2</v>
      </c>
      <c r="AZ51" s="12">
        <f>IF(A51="","",MAX(0,MAX(0,MIN(1,(((IF(Статистика!$C$4="Параллельный режим (активная мощность)",F51,Q51)+Статистика!$J$4))-Статистика!$C$10)/MAX(Статистика!$G$10-Статистика!$C$10,0.000001)))-MAX(0,MIN(1,(((IF(Статистика!$C$4="Параллельный режим (активная мощность)",E51,P51)+Статистика!$J$4))-Статистика!$C$10)/MAX(Статистика!$G$10-Статистика!$C$10,0.000001)))))</f>
        <v>6.1079963888888811E-2</v>
      </c>
      <c r="BA51" s="12">
        <f>IF(A51="","",MAX(0,MAX(0,MIN(1,(((IF(Статистика!$C$4="Параллельный режим (активная мощность)",G51,R51)+Статистика!$J$4))-Статистика!$C$10)/MAX(Статистика!$G$10-Статистика!$C$10,0.000001)))-MAX(0,MIN(1,(((IF(Статистика!$C$4="Параллельный режим (активная мощность)",F51,Q51)+Статистика!$J$4))-Статистика!$C$10)/MAX(Статистика!$G$10-Статистика!$C$10,0.000001)))))</f>
        <v>5.6723591666666739E-2</v>
      </c>
      <c r="BB51" s="12">
        <f>IF(A51="","",MAX(0,MAX(0,MIN(1,(((IF(Статистика!$C$4="Параллельный режим (активная мощность)",H51,S51)+Статистика!$J$4))-Статистика!$C$10)/MAX(Статистика!$G$10-Статистика!$C$10,0.000001)))-MAX(0,MIN(1,(((IF(Статистика!$C$4="Параллельный режим (активная мощность)",G51,R51)+Статистика!$J$4))-Статистика!$C$10)/MAX(Статистика!$G$10-Статистика!$C$10,0.000001)))))</f>
        <v>0.11723777055555551</v>
      </c>
      <c r="BC51" s="12">
        <f>IF(A51="","",MAX(0,MAX(0,MIN(1,(((IF(Статистика!$C$4="Параллельный режим (активная мощность)",J51,U51)+Статистика!$J$4))-Статистика!$C$10)/MAX(Статистика!$G$10-Статистика!$C$10,0.000001)))-MAX(0,MIN(1,(((IF(Статистика!$C$4="Параллельный режим (активная мощность)",H51,S51)+Статистика!$J$4))-Статистика!$C$10)/MAX(Статистика!$G$10-Статистика!$C$10,0.000001)))))</f>
        <v>4.6581564000000131E-2</v>
      </c>
      <c r="BD51" s="12">
        <f>IF(A51="","",MAX(0,1-MAX(0,MIN(1,(((IF(Статистика!$C$4="Параллельный режим (активная мощность)",J51,U51)+Статистика!$J$4))-Статистика!$C$10)/MAX(Статистика!$G$10-Статистика!$C$10,0.000001)))))</f>
        <v>0.17035992377777798</v>
      </c>
      <c r="BE51" s="12">
        <f>IF(A51="",NA(),IF(Статистика!$B$8="Вкл",(((IF(Статистика!$C$4="Параллельный режим (активная мощность)",F51,Q51)+Статистика!$J$4))-Статистика!$C$10)/MAX(Статистика!$G$10-Статистика!$C$10,0.000001),NA()))</f>
        <v>0.60909714999999964</v>
      </c>
      <c r="BF51" s="12">
        <f>IF(A51="",NA(),IF(Статистика!$D$8="Вкл",(((IF(Статистика!$C$4="Параллельный режим (активная мощность)",E51,P51)+Статистика!$J$4))-Статистика!$C$10)/MAX(Статистика!$G$10-Статистика!$C$10,0.000001),NA()))</f>
        <v>0.54801718611111083</v>
      </c>
      <c r="BG51" s="12">
        <f>IF(A51="",NA(),IF(Статистика!$D$8="Вкл",(((IF(Статистика!$C$4="Параллельный режим (активная мощность)",G51,R51)+Статистика!$J$4))-Статистика!$C$10)/MAX(Статистика!$G$10-Статистика!$C$10,0.000001),NA()))</f>
        <v>0.66582074166666638</v>
      </c>
      <c r="BH51" s="12">
        <f>IF(A51="",NA(),IF(Статистика!$F$8="Вкл",(((IF(Статистика!$C$4="Параллельный режим (активная мощность)",D51,O51)+Статистика!$J$4))-Статистика!$C$10)/MAX(Статистика!$G$10-Статистика!$C$10,0.000001),NA()))</f>
        <v>0.44868292388888886</v>
      </c>
      <c r="BI51" s="12">
        <f>IF(A51="",NA(),IF(Статистика!$F$8="Вкл",(((IF(Статистика!$C$4="Параллельный режим (активная мощность)",H51,S51)+Статистика!$J$4))-Статистика!$C$10)/MAX(Статистика!$G$10-Статистика!$C$10,0.000001),NA()))</f>
        <v>0.78305851222222189</v>
      </c>
      <c r="BJ51" s="12">
        <f>IF(A51="",NA(),IF(Статистика!$H$8="Вкл",(((IF(Статистика!$C$4="Параллельный режим (активная мощность)",B51,M51)+Статистика!$J$4))-Статистика!$C$10)/MAX(Статистика!$G$10-Статистика!$C$10,0.000001),NA()))</f>
        <v>-1.2270532291111111</v>
      </c>
      <c r="BK51" s="12">
        <f>IF(A51="",NA(),IF(Статистика!$H$8="Вкл",(((IF(Статистика!$C$4="Параллельный режим (активная мощность)",J51,U51)+Статистика!$J$4))-Статистика!$C$10)/MAX(Статистика!$G$10-Статистика!$C$10,0.000001),NA()))</f>
        <v>0.82964007622222202</v>
      </c>
      <c r="BL51" s="12" t="e">
        <f>IF(A51="",NA(),IF(Статистика!$J$8="Вкл",(((IF(Статистика!$C$4="Параллельный режим (активная мощность)",K51,V51)+Статистика!$J$4))-Статистика!$C$10)/MAX(Статистика!$G$10-Статистика!$C$10,0.000001),NA()))</f>
        <v>#N/A</v>
      </c>
      <c r="BM51" s="12" t="e">
        <f>IF(AND(A51&lt;&gt;"",Статистика!$C$6="Вкл",Статистика!$B$6&gt;0),(Статистика!$B$6-Статистика!$C$10)/MAX(Статистика!$G$10-Статистика!$C$10,0.000001),NA())</f>
        <v>#N/A</v>
      </c>
      <c r="BN51" s="12" t="e">
        <f>IF(AND(A51&lt;&gt;"",Статистика!$F$6="Вкл",Статистика!$E$6&gt;0),(Статистика!$E$6-Статистика!$C$10)/MAX(Статистика!$G$10-Статистика!$C$10,0.000001),NA())</f>
        <v>#N/A</v>
      </c>
      <c r="BO51" s="12" t="e">
        <f>IF(AND(A51&lt;&gt;"",Статистика!$I$6="Вкл",Статистика!$H$6&gt;0),(Статистика!$H$6-Статистика!$C$10)/MAX(Статистика!$G$10-Статистика!$C$10,0.000001),NA())</f>
        <v>#N/A</v>
      </c>
      <c r="BP51" s="12" t="e">
        <f>IF(AND(A51&lt;&gt;"",Статистика!$L$6="Вкл",Статистика!$K$6&gt;0),(Статистика!$K$6-Статистика!$C$10)/MAX(Статистика!$G$10-Статистика!$C$10,0.000001),NA())</f>
        <v>#N/A</v>
      </c>
      <c r="BQ51" s="12" t="e">
        <f>IF(AND(A51&lt;&gt;"",Статистика!$M$6="Вкл",Статистика!$O$6&gt;0),(Статистика!$O$6-Статистика!$C$10)/MAX(Статистика!$G$10-Статистика!$C$10,0.000001),NA())</f>
        <v>#N/A</v>
      </c>
      <c r="BR51" s="12">
        <f t="shared" si="0"/>
        <v>1</v>
      </c>
      <c r="BT51" s="12">
        <f>IF(Y51="","",MAX(0,MIN(1,(((IF(Статистика!$C$4="Параллельный режим (активная мощность)",Z51,AK51)+Статистика!$J$4))-Статистика!$C$10)/MAX(Статистика!$G$10-Статистика!$C$10,0.000001))))</f>
        <v>0.42971022427777794</v>
      </c>
      <c r="BU51" s="12">
        <f>IF(Y51="","",MAX(0,MAX(0,MIN(1,(((IF(Статистика!$C$4="Параллельный режим (активная мощность)",AB51,AM51)+Статистика!$J$4))-Статистика!$C$10)/MAX(Статистика!$G$10-Статистика!$C$10,0.000001)))-MAX(0,MIN(1,(((IF(Статистика!$C$4="Параллельный режим (активная мощность)",Z51,AK51)+Статистика!$J$4))-Статистика!$C$10)/MAX(Статистика!$G$10-Статистика!$C$10,0.000001)))))</f>
        <v>3.9963918499999973E-2</v>
      </c>
      <c r="BV51" s="12">
        <f>IF(Y51="","",MAX(0,MAX(0,MIN(1,(((IF(Статистика!$C$4="Параллельный режим (активная мощность)",AC51,AN51)+Статистика!$J$4))-Статистика!$C$10)/MAX(Статистика!$G$10-Статистика!$C$10,0.000001)))-MAX(0,MIN(1,(((IF(Статистика!$C$4="Параллельный режим (активная мощность)",AB51,AM51)+Статистика!$J$4))-Статистика!$C$10)/MAX(Статистика!$G$10-Статистика!$C$10,0.000001)))))</f>
        <v>0.11463186277777787</v>
      </c>
      <c r="BW51" s="12">
        <f>IF(Y51="","",MAX(0,MAX(0,MIN(1,(((IF(Статистика!$C$4="Параллельный режим (активная мощность)",AD51,AO51)+Статистика!$J$4))-Статистика!$C$10)/MAX(Статистика!$G$10-Статистика!$C$10,0.000001)))-MAX(0,MIN(1,(((IF(Статистика!$C$4="Параллельный режим (активная мощность)",AC51,AN51)+Статистика!$J$4))-Статистика!$C$10)/MAX(Статистика!$G$10-Статистика!$C$10,0.000001)))))</f>
        <v>3.4614983333333238E-2</v>
      </c>
      <c r="BX51" s="12">
        <f>IF(Y51="","",MAX(0,MAX(0,MIN(1,(((IF(Статистика!$C$4="Параллельный режим (активная мощность)",AE51,AP51)+Статистика!$J$4))-Статистика!$C$10)/MAX(Статистика!$G$10-Статистика!$C$10,0.000001)))-MAX(0,MIN(1,(((IF(Статистика!$C$4="Параллельный режим (активная мощность)",AD51,AO51)+Статистика!$J$4))-Статистика!$C$10)/MAX(Статистика!$G$10-Статистика!$C$10,0.000001)))))</f>
        <v>5.8039108333333145E-2</v>
      </c>
      <c r="BY51" s="12">
        <f>IF(Y51="","",MAX(0,MAX(0,MIN(1,(((IF(Статистика!$C$4="Параллельный режим (активная мощность)",AF51,AQ51)+Статистика!$J$4))-Статистика!$C$10)/MAX(Статистика!$G$10-Статистика!$C$10,0.000001)))-MAX(0,MIN(1,(((IF(Статистика!$C$4="Параллельный режим (активная мощность)",AE51,AP51)+Статистика!$J$4))-Статистика!$C$10)/MAX(Статистика!$G$10-Статистика!$C$10,0.000001)))))</f>
        <v>0.15414660388888901</v>
      </c>
      <c r="BZ51" s="12">
        <f>IF(Y51="","",MAX(0,MAX(0,MIN(1,(((IF(Статистика!$C$4="Параллельный режим (активная мощность)",AH51,AS51)+Статистика!$J$4))-Статистика!$C$10)/MAX(Статистика!$G$10-Статистика!$C$10,0.000001)))-MAX(0,MIN(1,(((IF(Статистика!$C$4="Параллельный режим (активная мощность)",AF51,AQ51)+Статистика!$J$4))-Статистика!$C$10)/MAX(Статистика!$G$10-Статистика!$C$10,0.000001)))))</f>
        <v>3.4001318999999586E-2</v>
      </c>
      <c r="CA51" s="12">
        <f>IF(Y51="","",MAX(0,1-MAX(0,MIN(1,(((IF(Статистика!$C$4="Параллельный режим (активная мощность)",AH51,AS51)+Статистика!$J$4))-Статистика!$C$10)/MAX(Статистика!$G$10-Статистика!$C$10,0.000001)))))</f>
        <v>0.13489197988888924</v>
      </c>
      <c r="CB51" s="12">
        <f>IF(Y51="",NA(),IF(Статистика!$B$8="Вкл",(((IF(Статистика!$C$4="Параллельный режим (активная мощность)",AD51,AO51)+Статистика!$J$4))-Статистика!$C$10)/MAX(Статистика!$G$10-Статистика!$C$10,0.000001),NA()))</f>
        <v>0.61892098888888902</v>
      </c>
      <c r="CC51" s="12">
        <f>IF(Y51="",NA(),IF(Статистика!$D$8="Вкл",(((IF(Статистика!$C$4="Параллельный режим (активная мощность)",AC51,AN51)+Статистика!$J$4))-Статистика!$C$10)/MAX(Статистика!$G$10-Статистика!$C$10,0.000001),NA()))</f>
        <v>0.58430600555555579</v>
      </c>
      <c r="CD51" s="12">
        <f>IF(Y51="",NA(),IF(Статистика!$D$8="Вкл",(((IF(Статистика!$C$4="Параллельный режим (активная мощность)",AE51,AP51)+Статистика!$J$4))-Статистика!$C$10)/MAX(Статистика!$G$10-Статистика!$C$10,0.000001),NA()))</f>
        <v>0.67696009722222217</v>
      </c>
      <c r="CE51" s="12">
        <f>IF(Y51="",NA(),IF(Статистика!$F$8="Вкл",(((IF(Статистика!$C$4="Параллельный режим (активная мощность)",AB51,AM51)+Статистика!$J$4))-Статистика!$C$10)/MAX(Статистика!$G$10-Статистика!$C$10,0.000001),NA()))</f>
        <v>0.46967414277777791</v>
      </c>
      <c r="CF51" s="12">
        <f>IF(Y51="",NA(),IF(Статистика!$F$8="Вкл",(((IF(Статистика!$C$4="Параллельный режим (активная мощность)",AF51,AQ51)+Статистика!$J$4))-Статистика!$C$10)/MAX(Статистика!$G$10-Статистика!$C$10,0.000001),NA()))</f>
        <v>0.83110670111111118</v>
      </c>
      <c r="CG51" s="12">
        <f>IF(Y51="",NA(),IF(Статистика!$H$8="Вкл",(((IF(Статистика!$C$4="Параллельный режим (активная мощность)",Z51,AK51)+Статистика!$J$4))-Статистика!$C$10)/MAX(Статистика!$G$10-Статистика!$C$10,0.000001),NA()))</f>
        <v>0.42971022427777794</v>
      </c>
      <c r="CH51" s="12">
        <f>IF(Y51="",NA(),IF(Статистика!$H$8="Вкл",(((IF(Статистика!$C$4="Параллельный режим (активная мощность)",AH51,AS51)+Статистика!$J$4))-Статистика!$C$10)/MAX(Статистика!$G$10-Статистика!$C$10,0.000001),NA()))</f>
        <v>0.86510802011111076</v>
      </c>
      <c r="CI51" s="12" t="e">
        <f>IF(Y51="",NA(),IF(Статистика!$J$8="Вкл",(((IF(Статистика!$C$4="Параллельный режим (активная мощность)",AI51,AT51)+Статистика!$J$4))-Статистика!$C$10)/MAX(Статистика!$G$10-Статистика!$C$10,0.000001),NA()))</f>
        <v>#N/A</v>
      </c>
      <c r="CJ51" s="12" t="e">
        <f>IF(AND(Y51&lt;&gt;"",Статистика!$C$6="Вкл",Статистика!$B$6&gt;0),(Статистика!$B$6-Статистика!$C$10)/MAX(Статистика!$G$10-Статистика!$C$10,0.000001),NA())</f>
        <v>#N/A</v>
      </c>
      <c r="CK51" s="12" t="e">
        <f>IF(AND(Y51&lt;&gt;"",Статистика!$F$6="Вкл",Статистика!$E$6&gt;0),(Статистика!$E$6-Статистика!$C$10)/MAX(Статистика!$G$10-Статистика!$C$10,0.000001),NA())</f>
        <v>#N/A</v>
      </c>
      <c r="CL51" s="12" t="e">
        <f>IF(AND(Y51&lt;&gt;"",Статистика!$I$6="Вкл",Статистика!$H$6&gt;0),(Статистика!$H$6-Статистика!$C$10)/MAX(Статистика!$G$10-Статистика!$C$10,0.000001),NA())</f>
        <v>#N/A</v>
      </c>
      <c r="CM51" s="12" t="e">
        <f>IF(AND(Y51&lt;&gt;"",Статистика!$L$6="Вкл",Статистика!$K$6&gt;0),(Статистика!$K$6-Статистика!$C$10)/MAX(Статистика!$G$10-Статистика!$C$10,0.000001),NA())</f>
        <v>#N/A</v>
      </c>
      <c r="CN51" s="12" t="e">
        <f>IF(AND(Y51&lt;&gt;"",Статистика!$M$6="Вкл",Статистика!$O$6&gt;0),(Статистика!$O$6-Статистика!$C$10)/MAX(Статистика!$G$10-Статистика!$C$10,0.000001),NA())</f>
        <v>#N/A</v>
      </c>
      <c r="CO51" s="12">
        <f t="shared" si="1"/>
        <v>1</v>
      </c>
    </row>
    <row r="52" spans="1:93" ht="15" customHeight="1">
      <c r="A52" s="12" t="s">
        <v>262</v>
      </c>
      <c r="B52" s="12">
        <v>2303.2457954999995</v>
      </c>
      <c r="C52" s="12">
        <v>5686.2531108333333</v>
      </c>
      <c r="D52" s="12">
        <v>7349.3454749999992</v>
      </c>
      <c r="E52" s="12">
        <v>7637.1787583333335</v>
      </c>
      <c r="F52" s="12">
        <v>7857.0806999999986</v>
      </c>
      <c r="G52" s="12">
        <v>8027.5592166666665</v>
      </c>
      <c r="H52" s="12">
        <v>8348.4422466666656</v>
      </c>
      <c r="I52" s="12">
        <v>8414.1624350000002</v>
      </c>
      <c r="J52" s="12">
        <v>8445.9429936666656</v>
      </c>
      <c r="K52" s="12">
        <v>8535.16</v>
      </c>
      <c r="L52" s="12" t="s">
        <v>263</v>
      </c>
      <c r="M52" s="12">
        <v>2864.4779476666663</v>
      </c>
      <c r="N52" s="12">
        <v>6598.1764050000002</v>
      </c>
      <c r="O52" s="12">
        <v>8445.8623216666674</v>
      </c>
      <c r="P52" s="12">
        <v>8777.443816666666</v>
      </c>
      <c r="Q52" s="12">
        <v>8968.323699999999</v>
      </c>
      <c r="R52" s="12">
        <v>9193.1911749999999</v>
      </c>
      <c r="S52" s="12">
        <v>9412.3878316666651</v>
      </c>
      <c r="T52" s="12">
        <v>9474.3910708333315</v>
      </c>
      <c r="U52" s="12">
        <v>9553.2257341666664</v>
      </c>
      <c r="V52" s="12">
        <v>9713.1200000000008</v>
      </c>
      <c r="W52" s="12" t="s">
        <v>264</v>
      </c>
      <c r="Y52" s="12" t="s">
        <v>262</v>
      </c>
      <c r="Z52" s="12">
        <v>7313.3804273333335</v>
      </c>
      <c r="AA52" s="12">
        <v>7349.9160033333337</v>
      </c>
      <c r="AB52" s="12">
        <v>7395.5854733333335</v>
      </c>
      <c r="AC52" s="12">
        <v>7717.1511333333337</v>
      </c>
      <c r="AD52" s="12">
        <v>7876.0616166666669</v>
      </c>
      <c r="AE52" s="12">
        <v>8007.0612749999991</v>
      </c>
      <c r="AF52" s="12">
        <v>8526.3542766666669</v>
      </c>
      <c r="AG52" s="12">
        <v>8575.9631216666658</v>
      </c>
      <c r="AH52" s="12">
        <v>8615.6501976666659</v>
      </c>
      <c r="AI52" s="12">
        <v>8724.5300000000007</v>
      </c>
      <c r="AJ52" s="12" t="s">
        <v>265</v>
      </c>
      <c r="AK52" s="12">
        <v>8406.1085631666647</v>
      </c>
      <c r="AL52" s="12">
        <v>8459.3785491666658</v>
      </c>
      <c r="AM52" s="12">
        <v>8525.9660316666668</v>
      </c>
      <c r="AN52" s="12">
        <v>8784.8073583333335</v>
      </c>
      <c r="AO52" s="12">
        <v>8973.1248833333339</v>
      </c>
      <c r="AP52" s="12">
        <v>9169.2917333333353</v>
      </c>
      <c r="AQ52" s="12">
        <v>9694.8257466666673</v>
      </c>
      <c r="AR52" s="12">
        <v>9723.0027233333331</v>
      </c>
      <c r="AS52" s="12">
        <v>9745.5443046666678</v>
      </c>
      <c r="AT52" s="12">
        <v>9839.2900000000009</v>
      </c>
      <c r="AU52" s="12" t="s">
        <v>265</v>
      </c>
      <c r="AW52" s="12">
        <f>IF(A52="","",MAX(0,MIN(1,(((IF(Статистика!$C$4="Параллельный режим (активная мощность)",B52,M52)+Статистика!$J$4))-Статистика!$C$10)/MAX(Статистика!$G$10-Статистика!$C$10,0.000001))))</f>
        <v>0</v>
      </c>
      <c r="AX52" s="12">
        <f>IF(A52="","",MAX(0,MAX(0,MIN(1,(((IF(Статистика!$C$4="Параллельный режим (активная мощность)",D52,O52)+Статистика!$J$4))-Статистика!$C$10)/MAX(Статистика!$G$10-Статистика!$C$10,0.000001)))-MAX(0,MIN(1,(((IF(Статистика!$C$4="Параллельный режим (активная мощность)",B52,M52)+Статистика!$J$4))-Статистика!$C$10)/MAX(Статистика!$G$10-Статистика!$C$10,0.000001)))))</f>
        <v>0.44978182499999975</v>
      </c>
      <c r="AY52" s="12">
        <f>IF(A52="","",MAX(0,MAX(0,MIN(1,(((IF(Статистика!$C$4="Параллельный режим (активная мощность)",E52,P52)+Статистика!$J$4))-Статистика!$C$10)/MAX(Статистика!$G$10-Статистика!$C$10,0.000001)))-MAX(0,MIN(1,(((IF(Статистика!$C$4="Параллельный режим (активная мощность)",D52,O52)+Статистика!$J$4))-Статистика!$C$10)/MAX(Статистика!$G$10-Статистика!$C$10,0.000001)))))</f>
        <v>9.5944427777778118E-2</v>
      </c>
      <c r="AZ52" s="12">
        <f>IF(A52="","",MAX(0,MAX(0,MIN(1,(((IF(Статистика!$C$4="Параллельный режим (активная мощность)",F52,Q52)+Статистика!$J$4))-Статистика!$C$10)/MAX(Статистика!$G$10-Статистика!$C$10,0.000001)))-MAX(0,MIN(1,(((IF(Статистика!$C$4="Параллельный режим (активная мощность)",E52,P52)+Статистика!$J$4))-Статистика!$C$10)/MAX(Статистика!$G$10-Статистика!$C$10,0.000001)))))</f>
        <v>7.3300647222221627E-2</v>
      </c>
      <c r="BA52" s="12">
        <f>IF(A52="","",MAX(0,MAX(0,MIN(1,(((IF(Статистика!$C$4="Параллельный режим (активная мощность)",G52,R52)+Статистика!$J$4))-Статистика!$C$10)/MAX(Статистика!$G$10-Статистика!$C$10,0.000001)))-MAX(0,MIN(1,(((IF(Статистика!$C$4="Параллельный режим (активная мощность)",F52,Q52)+Статистика!$J$4))-Статистика!$C$10)/MAX(Статистика!$G$10-Статистика!$C$10,0.000001)))))</f>
        <v>5.6826172222222637E-2</v>
      </c>
      <c r="BB52" s="12">
        <f>IF(A52="","",MAX(0,MAX(0,MIN(1,(((IF(Статистика!$C$4="Параллельный режим (активная мощность)",H52,S52)+Статистика!$J$4))-Статистика!$C$10)/MAX(Статистика!$G$10-Статистика!$C$10,0.000001)))-MAX(0,MIN(1,(((IF(Статистика!$C$4="Параллельный режим (активная мощность)",G52,R52)+Статистика!$J$4))-Статистика!$C$10)/MAX(Статистика!$G$10-Статистика!$C$10,0.000001)))))</f>
        <v>0.10696100999999969</v>
      </c>
      <c r="BC52" s="12">
        <f>IF(A52="","",MAX(0,MAX(0,MIN(1,(((IF(Статистика!$C$4="Параллельный режим (активная мощность)",J52,U52)+Статистика!$J$4))-Статистика!$C$10)/MAX(Статистика!$G$10-Статистика!$C$10,0.000001)))-MAX(0,MIN(1,(((IF(Статистика!$C$4="Параллельный режим (активная мощность)",H52,S52)+Статистика!$J$4))-Статистика!$C$10)/MAX(Статистика!$G$10-Статистика!$C$10,0.000001)))))</f>
        <v>3.2500249000000037E-2</v>
      </c>
      <c r="BD52" s="12">
        <f>IF(A52="","",MAX(0,1-MAX(0,MIN(1,(((IF(Статистика!$C$4="Параллельный режим (активная мощность)",J52,U52)+Статистика!$J$4))-Статистика!$C$10)/MAX(Статистика!$G$10-Статистика!$C$10,0.000001)))))</f>
        <v>0.18468566877777814</v>
      </c>
      <c r="BE52" s="12">
        <f>IF(A52="",NA(),IF(Статистика!$B$8="Вкл",(((IF(Статистика!$C$4="Параллельный режим (активная мощность)",F52,Q52)+Статистика!$J$4))-Статистика!$C$10)/MAX(Статистика!$G$10-Статистика!$C$10,0.000001),NA()))</f>
        <v>0.61902689999999949</v>
      </c>
      <c r="BF52" s="12">
        <f>IF(A52="",NA(),IF(Статистика!$D$8="Вкл",(((IF(Статистика!$C$4="Параллельный режим (активная мощность)",E52,P52)+Статистика!$J$4))-Статистика!$C$10)/MAX(Статистика!$G$10-Статистика!$C$10,0.000001),NA()))</f>
        <v>0.54572625277777786</v>
      </c>
      <c r="BG52" s="12">
        <f>IF(A52="",NA(),IF(Статистика!$D$8="Вкл",(((IF(Статистика!$C$4="Параллельный режим (активная мощность)",G52,R52)+Статистика!$J$4))-Статистика!$C$10)/MAX(Статистика!$G$10-Статистика!$C$10,0.000001),NA()))</f>
        <v>0.67585307222222213</v>
      </c>
      <c r="BH52" s="12">
        <f>IF(A52="",NA(),IF(Статистика!$F$8="Вкл",(((IF(Статистика!$C$4="Параллельный режим (активная мощность)",D52,O52)+Статистика!$J$4))-Статистика!$C$10)/MAX(Статистика!$G$10-Статистика!$C$10,0.000001),NA()))</f>
        <v>0.44978182499999975</v>
      </c>
      <c r="BI52" s="12">
        <f>IF(A52="",NA(),IF(Статистика!$F$8="Вкл",(((IF(Статистика!$C$4="Параллельный режим (активная мощность)",H52,S52)+Статистика!$J$4))-Статистика!$C$10)/MAX(Статистика!$G$10-Статистика!$C$10,0.000001),NA()))</f>
        <v>0.78281408222222182</v>
      </c>
      <c r="BJ52" s="12">
        <f>IF(A52="",NA(),IF(Статистика!$H$8="Вкл",(((IF(Статистика!$C$4="Параллельный режим (активная мощность)",B52,M52)+Статистика!$J$4))-Статистика!$C$10)/MAX(Статистика!$G$10-Статистика!$C$10,0.000001),NA()))</f>
        <v>-1.2322514015000001</v>
      </c>
      <c r="BK52" s="12">
        <f>IF(A52="",NA(),IF(Статистика!$H$8="Вкл",(((IF(Статистика!$C$4="Параллельный режим (активная мощность)",J52,U52)+Статистика!$J$4))-Статистика!$C$10)/MAX(Статистика!$G$10-Статистика!$C$10,0.000001),NA()))</f>
        <v>0.81531433122222186</v>
      </c>
      <c r="BL52" s="12" t="e">
        <f>IF(A52="",NA(),IF(Статистика!$J$8="Вкл",(((IF(Статистика!$C$4="Параллельный режим (активная мощность)",K52,V52)+Статистика!$J$4))-Статистика!$C$10)/MAX(Статистика!$G$10-Статистика!$C$10,0.000001),NA()))</f>
        <v>#N/A</v>
      </c>
      <c r="BM52" s="12" t="e">
        <f>IF(AND(A52&lt;&gt;"",Статистика!$C$6="Вкл",Статистика!$B$6&gt;0),(Статистика!$B$6-Статистика!$C$10)/MAX(Статистика!$G$10-Статистика!$C$10,0.000001),NA())</f>
        <v>#N/A</v>
      </c>
      <c r="BN52" s="12" t="e">
        <f>IF(AND(A52&lt;&gt;"",Статистика!$F$6="Вкл",Статистика!$E$6&gt;0),(Статистика!$E$6-Статистика!$C$10)/MAX(Статистика!$G$10-Статистика!$C$10,0.000001),NA())</f>
        <v>#N/A</v>
      </c>
      <c r="BO52" s="12" t="e">
        <f>IF(AND(A52&lt;&gt;"",Статистика!$I$6="Вкл",Статистика!$H$6&gt;0),(Статистика!$H$6-Статистика!$C$10)/MAX(Статистика!$G$10-Статистика!$C$10,0.000001),NA())</f>
        <v>#N/A</v>
      </c>
      <c r="BP52" s="12" t="e">
        <f>IF(AND(A52&lt;&gt;"",Статистика!$L$6="Вкл",Статистика!$K$6&gt;0),(Статистика!$K$6-Статистика!$C$10)/MAX(Статистика!$G$10-Статистика!$C$10,0.000001),NA())</f>
        <v>#N/A</v>
      </c>
      <c r="BQ52" s="12" t="e">
        <f>IF(AND(A52&lt;&gt;"",Статистика!$M$6="Вкл",Статистика!$O$6&gt;0),(Статистика!$O$6-Статистика!$C$10)/MAX(Статистика!$G$10-Статистика!$C$10,0.000001),NA())</f>
        <v>#N/A</v>
      </c>
      <c r="BR52" s="12">
        <f t="shared" si="0"/>
        <v>1</v>
      </c>
      <c r="BT52" s="12">
        <f>IF(Y52="","",MAX(0,MIN(1,(((IF(Статистика!$C$4="Параллельный режим (активная мощность)",Z52,AK52)+Статистика!$J$4))-Статистика!$C$10)/MAX(Статистика!$G$10-Статистика!$C$10,0.000001))))</f>
        <v>0.43779347577777783</v>
      </c>
      <c r="BU52" s="12">
        <f>IF(Y52="","",MAX(0,MAX(0,MIN(1,(((IF(Статистика!$C$4="Параллельный режим (активная мощность)",AB52,AM52)+Статистика!$J$4))-Статистика!$C$10)/MAX(Статистика!$G$10-Статистика!$C$10,0.000001)))-MAX(0,MIN(1,(((IF(Статистика!$C$4="Параллельный режим (активная мощность)",Z52,AK52)+Статистика!$J$4))-Статистика!$C$10)/MAX(Статистика!$G$10-Статистика!$C$10,0.000001)))))</f>
        <v>2.7401682000000038E-2</v>
      </c>
      <c r="BV52" s="12">
        <f>IF(Y52="","",MAX(0,MAX(0,MIN(1,(((IF(Статистика!$C$4="Параллельный режим (активная мощность)",AC52,AN52)+Статистика!$J$4))-Статистика!$C$10)/MAX(Статистика!$G$10-Статистика!$C$10,0.000001)))-MAX(0,MIN(1,(((IF(Статистика!$C$4="Параллельный режим (активная мощность)",AB52,AM52)+Статистика!$J$4))-Статистика!$C$10)/MAX(Статистика!$G$10-Статистика!$C$10,0.000001)))))</f>
        <v>0.10718855333333344</v>
      </c>
      <c r="BW52" s="12">
        <f>IF(Y52="","",MAX(0,MAX(0,MIN(1,(((IF(Статистика!$C$4="Параллельный режим (активная мощность)",AD52,AO52)+Статистика!$J$4))-Статистика!$C$10)/MAX(Статистика!$G$10-Статистика!$C$10,0.000001)))-MAX(0,MIN(1,(((IF(Статистика!$C$4="Параллельный режим (активная мощность)",AC52,AN52)+Статистика!$J$4))-Статистика!$C$10)/MAX(Статистика!$G$10-Статистика!$C$10,0.000001)))))</f>
        <v>5.2970161111110969E-2</v>
      </c>
      <c r="BX52" s="12">
        <f>IF(Y52="","",MAX(0,MAX(0,MIN(1,(((IF(Статистика!$C$4="Параллельный режим (активная мощность)",AE52,AP52)+Статистика!$J$4))-Статистика!$C$10)/MAX(Статистика!$G$10-Статистика!$C$10,0.000001)))-MAX(0,MIN(1,(((IF(Статистика!$C$4="Параллельный режим (активная мощность)",AD52,AO52)+Статистика!$J$4))-Статистика!$C$10)/MAX(Статистика!$G$10-Статистика!$C$10,0.000001)))))</f>
        <v>4.3666552777777423E-2</v>
      </c>
      <c r="BY52" s="12">
        <f>IF(Y52="","",MAX(0,MAX(0,MIN(1,(((IF(Статистика!$C$4="Параллельный режим (активная мощность)",AF52,AQ52)+Статистика!$J$4))-Статистика!$C$10)/MAX(Статистика!$G$10-Статистика!$C$10,0.000001)))-MAX(0,MIN(1,(((IF(Статистика!$C$4="Параллельный режим (активная мощность)",AE52,AP52)+Статистика!$J$4))-Статистика!$C$10)/MAX(Статистика!$G$10-Статистика!$C$10,0.000001)))))</f>
        <v>0.17309766722222264</v>
      </c>
      <c r="BZ52" s="12">
        <f>IF(Y52="","",MAX(0,MAX(0,MIN(1,(((IF(Статистика!$C$4="Параллельный режим (активная мощность)",AH52,AS52)+Статистика!$J$4))-Статистика!$C$10)/MAX(Статистика!$G$10-Статистика!$C$10,0.000001)))-MAX(0,MIN(1,(((IF(Статистика!$C$4="Параллельный режим (активная мощность)",AF52,AQ52)+Статистика!$J$4))-Статистика!$C$10)/MAX(Статистика!$G$10-Статистика!$C$10,0.000001)))))</f>
        <v>2.9765306999999686E-2</v>
      </c>
      <c r="CA52" s="12">
        <f>IF(Y52="","",MAX(0,1-MAX(0,MIN(1,(((IF(Статистика!$C$4="Параллельный режим (активная мощность)",AH52,AS52)+Статистика!$J$4))-Статистика!$C$10)/MAX(Статистика!$G$10-Статистика!$C$10,0.000001)))))</f>
        <v>0.12811660077777798</v>
      </c>
      <c r="CB52" s="12">
        <f>IF(Y52="",NA(),IF(Статистика!$B$8="Вкл",(((IF(Статистика!$C$4="Параллельный режим (активная мощность)",AD52,AO52)+Статистика!$J$4))-Статистика!$C$10)/MAX(Статистика!$G$10-Статистика!$C$10,0.000001),NA()))</f>
        <v>0.62535387222222227</v>
      </c>
      <c r="CC52" s="12">
        <f>IF(Y52="",NA(),IF(Статистика!$D$8="Вкл",(((IF(Статистика!$C$4="Параллельный режим (активная мощность)",AC52,AN52)+Статистика!$J$4))-Статистика!$C$10)/MAX(Статистика!$G$10-Статистика!$C$10,0.000001),NA()))</f>
        <v>0.5723837111111113</v>
      </c>
      <c r="CD52" s="12">
        <f>IF(Y52="",NA(),IF(Статистика!$D$8="Вкл",(((IF(Статистика!$C$4="Параллельный режим (активная мощность)",AE52,AP52)+Статистика!$J$4))-Статистика!$C$10)/MAX(Статистика!$G$10-Статистика!$C$10,0.000001),NA()))</f>
        <v>0.6690204249999997</v>
      </c>
      <c r="CE52" s="12">
        <f>IF(Y52="",NA(),IF(Статистика!$F$8="Вкл",(((IF(Статистика!$C$4="Параллельный режим (активная мощность)",AB52,AM52)+Статистика!$J$4))-Статистика!$C$10)/MAX(Статистика!$G$10-Статистика!$C$10,0.000001),NA()))</f>
        <v>0.46519515777777787</v>
      </c>
      <c r="CF52" s="12">
        <f>IF(Y52="",NA(),IF(Статистика!$F$8="Вкл",(((IF(Статистика!$C$4="Параллельный режим (активная мощность)",AF52,AQ52)+Статистика!$J$4))-Статистика!$C$10)/MAX(Статистика!$G$10-Статистика!$C$10,0.000001),NA()))</f>
        <v>0.84211809222222234</v>
      </c>
      <c r="CG52" s="12">
        <f>IF(Y52="",NA(),IF(Статистика!$H$8="Вкл",(((IF(Статистика!$C$4="Параллельный режим (активная мощность)",Z52,AK52)+Статистика!$J$4))-Статистика!$C$10)/MAX(Статистика!$G$10-Статистика!$C$10,0.000001),NA()))</f>
        <v>0.43779347577777783</v>
      </c>
      <c r="CH52" s="12">
        <f>IF(Y52="",NA(),IF(Статистика!$H$8="Вкл",(((IF(Статистика!$C$4="Параллельный режим (активная мощность)",AH52,AS52)+Статистика!$J$4))-Статистика!$C$10)/MAX(Статистика!$G$10-Статистика!$C$10,0.000001),NA()))</f>
        <v>0.87188339922222202</v>
      </c>
      <c r="CI52" s="12" t="e">
        <f>IF(Y52="",NA(),IF(Статистика!$J$8="Вкл",(((IF(Статистика!$C$4="Параллельный режим (активная мощность)",AI52,AT52)+Статистика!$J$4))-Статистика!$C$10)/MAX(Статистика!$G$10-Статистика!$C$10,0.000001),NA()))</f>
        <v>#N/A</v>
      </c>
      <c r="CJ52" s="12" t="e">
        <f>IF(AND(Y52&lt;&gt;"",Статистика!$C$6="Вкл",Статистика!$B$6&gt;0),(Статистика!$B$6-Статистика!$C$10)/MAX(Статистика!$G$10-Статистика!$C$10,0.000001),NA())</f>
        <v>#N/A</v>
      </c>
      <c r="CK52" s="12" t="e">
        <f>IF(AND(Y52&lt;&gt;"",Статистика!$F$6="Вкл",Статистика!$E$6&gt;0),(Статистика!$E$6-Статистика!$C$10)/MAX(Статистика!$G$10-Статистика!$C$10,0.000001),NA())</f>
        <v>#N/A</v>
      </c>
      <c r="CL52" s="12" t="e">
        <f>IF(AND(Y52&lt;&gt;"",Статистика!$I$6="Вкл",Статистика!$H$6&gt;0),(Статистика!$H$6-Статистика!$C$10)/MAX(Статистика!$G$10-Статистика!$C$10,0.000001),NA())</f>
        <v>#N/A</v>
      </c>
      <c r="CM52" s="12" t="e">
        <f>IF(AND(Y52&lt;&gt;"",Статистика!$L$6="Вкл",Статистика!$K$6&gt;0),(Статистика!$K$6-Статистика!$C$10)/MAX(Статистика!$G$10-Статистика!$C$10,0.000001),NA())</f>
        <v>#N/A</v>
      </c>
      <c r="CN52" s="12" t="e">
        <f>IF(AND(Y52&lt;&gt;"",Статистика!$M$6="Вкл",Статистика!$O$6&gt;0),(Статистика!$O$6-Статистика!$C$10)/MAX(Статистика!$G$10-Статистика!$C$10,0.000001),NA())</f>
        <v>#N/A</v>
      </c>
      <c r="CO52" s="12">
        <f t="shared" si="1"/>
        <v>1</v>
      </c>
    </row>
    <row r="53" spans="1:93" ht="15" customHeight="1">
      <c r="A53" s="12" t="s">
        <v>266</v>
      </c>
      <c r="B53" s="12">
        <v>2316.8460616666666</v>
      </c>
      <c r="C53" s="12">
        <v>5663.9512416666676</v>
      </c>
      <c r="D53" s="12">
        <v>7336.6413766666665</v>
      </c>
      <c r="E53" s="12">
        <v>7636.1559083333332</v>
      </c>
      <c r="F53" s="12">
        <v>7848.4208999999992</v>
      </c>
      <c r="G53" s="12">
        <v>8024.012275</v>
      </c>
      <c r="H53" s="12">
        <v>8348.7803349999995</v>
      </c>
      <c r="I53" s="12">
        <v>8425.2612849999987</v>
      </c>
      <c r="J53" s="12">
        <v>8466.8782570000003</v>
      </c>
      <c r="K53" s="12">
        <v>8544.8700000000008</v>
      </c>
      <c r="L53" s="12" t="s">
        <v>267</v>
      </c>
      <c r="M53" s="12">
        <v>2869.4093509999998</v>
      </c>
      <c r="N53" s="12">
        <v>6535.2396883333331</v>
      </c>
      <c r="O53" s="12">
        <v>8369.4027650000007</v>
      </c>
      <c r="P53" s="12">
        <v>8821.5186749999993</v>
      </c>
      <c r="Q53" s="12">
        <v>8964.8953666666675</v>
      </c>
      <c r="R53" s="12">
        <v>9223.677583333334</v>
      </c>
      <c r="S53" s="12">
        <v>9429.2988183333327</v>
      </c>
      <c r="T53" s="12">
        <v>9509.755717500002</v>
      </c>
      <c r="U53" s="12">
        <v>9585.6922368333344</v>
      </c>
      <c r="V53" s="12">
        <v>9753.16</v>
      </c>
      <c r="W53" s="12" t="s">
        <v>268</v>
      </c>
      <c r="Y53" s="12" t="s">
        <v>266</v>
      </c>
      <c r="Z53" s="12">
        <v>7264.2850685000003</v>
      </c>
      <c r="AA53" s="12">
        <v>7330.5857425000004</v>
      </c>
      <c r="AB53" s="12">
        <v>7413.4615850000009</v>
      </c>
      <c r="AC53" s="12">
        <v>7709.4979583333325</v>
      </c>
      <c r="AD53" s="12">
        <v>7854.0714499999995</v>
      </c>
      <c r="AE53" s="12">
        <v>7992.5591916666663</v>
      </c>
      <c r="AF53" s="12">
        <v>8518.5595999999987</v>
      </c>
      <c r="AG53" s="12">
        <v>8561.3167833333318</v>
      </c>
      <c r="AH53" s="12">
        <v>8595.5225300000002</v>
      </c>
      <c r="AI53" s="12">
        <v>8690.9599999999991</v>
      </c>
      <c r="AJ53" s="12" t="s">
        <v>269</v>
      </c>
      <c r="AK53" s="12">
        <v>8346.3804273333335</v>
      </c>
      <c r="AL53" s="12">
        <v>8418.2465366666656</v>
      </c>
      <c r="AM53" s="12">
        <v>8508.0791733333335</v>
      </c>
      <c r="AN53" s="12">
        <v>8795.796225</v>
      </c>
      <c r="AO53" s="12">
        <v>8983.7108000000007</v>
      </c>
      <c r="AP53" s="12">
        <v>9148.796433333333</v>
      </c>
      <c r="AQ53" s="12">
        <v>9677.1804866666662</v>
      </c>
      <c r="AR53" s="12">
        <v>9699.2078766666673</v>
      </c>
      <c r="AS53" s="12">
        <v>9716.829788666666</v>
      </c>
      <c r="AT53" s="12">
        <v>9802.81</v>
      </c>
      <c r="AU53" s="12" t="s">
        <v>270</v>
      </c>
      <c r="AW53" s="12">
        <f>IF(A53="","",MAX(0,MIN(1,(((IF(Статистика!$C$4="Параллельный режим (активная мощность)",B53,M53)+Статистика!$J$4))-Статистика!$C$10)/MAX(Статистика!$G$10-Статистика!$C$10,0.000001))))</f>
        <v>0</v>
      </c>
      <c r="AX53" s="12">
        <f>IF(A53="","",MAX(0,MAX(0,MIN(1,(((IF(Статистика!$C$4="Параллельный режим (активная мощность)",D53,O53)+Статистика!$J$4))-Статистика!$C$10)/MAX(Статистика!$G$10-Статистика!$C$10,0.000001)))-MAX(0,MIN(1,(((IF(Статистика!$C$4="Параллельный режим (активная мощность)",B53,M53)+Статистика!$J$4))-Статистика!$C$10)/MAX(Статистика!$G$10-Статистика!$C$10,0.000001)))))</f>
        <v>0.44554712555555548</v>
      </c>
      <c r="AY53" s="12">
        <f>IF(A53="","",MAX(0,MAX(0,MIN(1,(((IF(Статистика!$C$4="Параллельный режим (активная мощность)",E53,P53)+Статистика!$J$4))-Статистика!$C$10)/MAX(Статистика!$G$10-Статистика!$C$10,0.000001)))-MAX(0,MIN(1,(((IF(Статистика!$C$4="Параллельный режим (активная мощность)",D53,O53)+Статистика!$J$4))-Статистика!$C$10)/MAX(Статистика!$G$10-Статистика!$C$10,0.000001)))))</f>
        <v>9.9838177222222269E-2</v>
      </c>
      <c r="AZ53" s="12">
        <f>IF(A53="","",MAX(0,MAX(0,MIN(1,(((IF(Статистика!$C$4="Параллельный режим (активная мощность)",F53,Q53)+Статистика!$J$4))-Статистика!$C$10)/MAX(Статистика!$G$10-Статистика!$C$10,0.000001)))-MAX(0,MIN(1,(((IF(Статистика!$C$4="Параллельный режим (активная мощность)",E53,P53)+Статистика!$J$4))-Статистика!$C$10)/MAX(Статистика!$G$10-Статистика!$C$10,0.000001)))))</f>
        <v>7.0754997222222005E-2</v>
      </c>
      <c r="BA53" s="12">
        <f>IF(A53="","",MAX(0,MAX(0,MIN(1,(((IF(Статистика!$C$4="Параллельный режим (активная мощность)",G53,R53)+Статистика!$J$4))-Статистика!$C$10)/MAX(Статистика!$G$10-Статистика!$C$10,0.000001)))-MAX(0,MIN(1,(((IF(Статистика!$C$4="Параллельный режим (активная мощность)",F53,Q53)+Статистика!$J$4))-Статистика!$C$10)/MAX(Статистика!$G$10-Статистика!$C$10,0.000001)))))</f>
        <v>5.853045833333359E-2</v>
      </c>
      <c r="BB53" s="12">
        <f>IF(A53="","",MAX(0,MAX(0,MIN(1,(((IF(Статистика!$C$4="Параллельный режим (активная мощность)",H53,S53)+Статистика!$J$4))-Статистика!$C$10)/MAX(Статистика!$G$10-Статистика!$C$10,0.000001)))-MAX(0,MIN(1,(((IF(Статистика!$C$4="Параллельный режим (активная мощность)",G53,R53)+Статистика!$J$4))-Статистика!$C$10)/MAX(Статистика!$G$10-Статистика!$C$10,0.000001)))))</f>
        <v>0.10825601999999979</v>
      </c>
      <c r="BC53" s="12">
        <f>IF(A53="","",MAX(0,MAX(0,MIN(1,(((IF(Статистика!$C$4="Параллельный режим (активная мощность)",J53,U53)+Статистика!$J$4))-Статистика!$C$10)/MAX(Статистика!$G$10-Статистика!$C$10,0.000001)))-MAX(0,MIN(1,(((IF(Статистика!$C$4="Параллельный режим (активная мощность)",H53,S53)+Статистика!$J$4))-Статистика!$C$10)/MAX(Статистика!$G$10-Статистика!$C$10,0.000001)))))</f>
        <v>3.9365974000000303E-2</v>
      </c>
      <c r="BD53" s="12">
        <f>IF(A53="","",MAX(0,1-MAX(0,MIN(1,(((IF(Статистика!$C$4="Параллельный режим (активная мощность)",J53,U53)+Статистика!$J$4))-Статистика!$C$10)/MAX(Статистика!$G$10-Статистика!$C$10,0.000001)))))</f>
        <v>0.17770724766666657</v>
      </c>
      <c r="BE53" s="12">
        <f>IF(A53="",NA(),IF(Статистика!$B$8="Вкл",(((IF(Статистика!$C$4="Параллельный режим (активная мощность)",F53,Q53)+Статистика!$J$4))-Статистика!$C$10)/MAX(Статистика!$G$10-Статистика!$C$10,0.000001),NA()))</f>
        <v>0.61614029999999975</v>
      </c>
      <c r="BF53" s="12">
        <f>IF(A53="",NA(),IF(Статистика!$D$8="Вкл",(((IF(Статистика!$C$4="Параллельный режим (активная мощность)",E53,P53)+Статистика!$J$4))-Статистика!$C$10)/MAX(Статистика!$G$10-Статистика!$C$10,0.000001),NA()))</f>
        <v>0.54538530277777775</v>
      </c>
      <c r="BG53" s="12">
        <f>IF(A53="",NA(),IF(Статистика!$D$8="Вкл",(((IF(Статистика!$C$4="Параллельный режим (активная мощность)",G53,R53)+Статистика!$J$4))-Статистика!$C$10)/MAX(Статистика!$G$10-Статистика!$C$10,0.000001),NA()))</f>
        <v>0.67467075833333334</v>
      </c>
      <c r="BH53" s="12">
        <f>IF(A53="",NA(),IF(Статистика!$F$8="Вкл",(((IF(Статистика!$C$4="Параллельный режим (активная мощность)",D53,O53)+Статистика!$J$4))-Статистика!$C$10)/MAX(Статистика!$G$10-Статистика!$C$10,0.000001),NA()))</f>
        <v>0.44554712555555548</v>
      </c>
      <c r="BI53" s="12">
        <f>IF(A53="",NA(),IF(Статистика!$F$8="Вкл",(((IF(Статистика!$C$4="Параллельный режим (активная мощность)",H53,S53)+Статистика!$J$4))-Статистика!$C$10)/MAX(Статистика!$G$10-Статистика!$C$10,0.000001),NA()))</f>
        <v>0.78292677833333313</v>
      </c>
      <c r="BJ53" s="12">
        <f>IF(A53="",NA(),IF(Статистика!$H$8="Вкл",(((IF(Статистика!$C$4="Параллельный режим (активная мощность)",B53,M53)+Статистика!$J$4))-Статистика!$C$10)/MAX(Статистика!$G$10-Статистика!$C$10,0.000001),NA()))</f>
        <v>-1.2277179794444444</v>
      </c>
      <c r="BK53" s="12">
        <f>IF(A53="",NA(),IF(Статистика!$H$8="Вкл",(((IF(Статистика!$C$4="Параллельный режим (активная мощность)",J53,U53)+Статистика!$J$4))-Статистика!$C$10)/MAX(Статистика!$G$10-Статистика!$C$10,0.000001),NA()))</f>
        <v>0.82229275233333343</v>
      </c>
      <c r="BL53" s="12" t="e">
        <f>IF(A53="",NA(),IF(Статистика!$J$8="Вкл",(((IF(Статистика!$C$4="Параллельный режим (активная мощность)",K53,V53)+Статистика!$J$4))-Статистика!$C$10)/MAX(Статистика!$G$10-Статистика!$C$10,0.000001),NA()))</f>
        <v>#N/A</v>
      </c>
      <c r="BM53" s="12" t="e">
        <f>IF(AND(A53&lt;&gt;"",Статистика!$C$6="Вкл",Статистика!$B$6&gt;0),(Статистика!$B$6-Статистика!$C$10)/MAX(Статистика!$G$10-Статистика!$C$10,0.000001),NA())</f>
        <v>#N/A</v>
      </c>
      <c r="BN53" s="12" t="e">
        <f>IF(AND(A53&lt;&gt;"",Статистика!$F$6="Вкл",Статистика!$E$6&gt;0),(Статистика!$E$6-Статистика!$C$10)/MAX(Статистика!$G$10-Статистика!$C$10,0.000001),NA())</f>
        <v>#N/A</v>
      </c>
      <c r="BO53" s="12" t="e">
        <f>IF(AND(A53&lt;&gt;"",Статистика!$I$6="Вкл",Статистика!$H$6&gt;0),(Статистика!$H$6-Статистика!$C$10)/MAX(Статистика!$G$10-Статистика!$C$10,0.000001),NA())</f>
        <v>#N/A</v>
      </c>
      <c r="BP53" s="12" t="e">
        <f>IF(AND(A53&lt;&gt;"",Статистика!$L$6="Вкл",Статистика!$K$6&gt;0),(Статистика!$K$6-Статистика!$C$10)/MAX(Статистика!$G$10-Статистика!$C$10,0.000001),NA())</f>
        <v>#N/A</v>
      </c>
      <c r="BQ53" s="12" t="e">
        <f>IF(AND(A53&lt;&gt;"",Статистика!$M$6="Вкл",Статистика!$O$6&gt;0),(Статистика!$O$6-Статистика!$C$10)/MAX(Статистика!$G$10-Статистика!$C$10,0.000001),NA())</f>
        <v>#N/A</v>
      </c>
      <c r="BR53" s="12">
        <f t="shared" si="0"/>
        <v>1</v>
      </c>
      <c r="BT53" s="12">
        <f>IF(Y53="","",MAX(0,MIN(1,(((IF(Статистика!$C$4="Параллельный режим (активная мощность)",Z53,AK53)+Статистика!$J$4))-Статистика!$C$10)/MAX(Статистика!$G$10-Статистика!$C$10,0.000001))))</f>
        <v>0.4214283561666668</v>
      </c>
      <c r="BU53" s="12">
        <f>IF(Y53="","",MAX(0,MAX(0,MIN(1,(((IF(Статистика!$C$4="Параллельный режим (активная мощность)",AB53,AM53)+Статистика!$J$4))-Статистика!$C$10)/MAX(Статистика!$G$10-Статистика!$C$10,0.000001)))-MAX(0,MIN(1,(((IF(Статистика!$C$4="Параллельный режим (активная мощность)",Z53,AK53)+Статистика!$J$4))-Статистика!$C$10)/MAX(Статистика!$G$10-Статистика!$C$10,0.000001)))))</f>
        <v>4.9725505500000156E-2</v>
      </c>
      <c r="BV53" s="12">
        <f>IF(Y53="","",MAX(0,MAX(0,MIN(1,(((IF(Статистика!$C$4="Параллельный режим (активная мощность)",AC53,AN53)+Статистика!$J$4))-Статистика!$C$10)/MAX(Статистика!$G$10-Статистика!$C$10,0.000001)))-MAX(0,MIN(1,(((IF(Статистика!$C$4="Параллельный режим (активная мощность)",AB53,AM53)+Статистика!$J$4))-Статистика!$C$10)/MAX(Статистика!$G$10-Статистика!$C$10,0.000001)))))</f>
        <v>9.8678791111110553E-2</v>
      </c>
      <c r="BW53" s="12">
        <f>IF(Y53="","",MAX(0,MAX(0,MIN(1,(((IF(Статистика!$C$4="Параллельный режим (активная мощность)",AD53,AO53)+Статистика!$J$4))-Статистика!$C$10)/MAX(Статистика!$G$10-Статистика!$C$10,0.000001)))-MAX(0,MIN(1,(((IF(Статистика!$C$4="Параллельный режим (активная мощность)",AC53,AN53)+Статистика!$J$4))-Статистика!$C$10)/MAX(Статистика!$G$10-Статистика!$C$10,0.000001)))))</f>
        <v>4.8191163888888999E-2</v>
      </c>
      <c r="BX53" s="12">
        <f>IF(Y53="","",MAX(0,MAX(0,MIN(1,(((IF(Статистика!$C$4="Параллельный режим (активная мощность)",AE53,AP53)+Статистика!$J$4))-Статистика!$C$10)/MAX(Статистика!$G$10-Статистика!$C$10,0.000001)))-MAX(0,MIN(1,(((IF(Статистика!$C$4="Параллельный режим (активная мощность)",AD53,AO53)+Статистика!$J$4))-Статистика!$C$10)/MAX(Статистика!$G$10-Статистика!$C$10,0.000001)))))</f>
        <v>4.6162580555555555E-2</v>
      </c>
      <c r="BY53" s="12">
        <f>IF(Y53="","",MAX(0,MAX(0,MIN(1,(((IF(Статистика!$C$4="Параллельный режим (активная мощность)",AF53,AQ53)+Статистика!$J$4))-Статистика!$C$10)/MAX(Статистика!$G$10-Статистика!$C$10,0.000001)))-MAX(0,MIN(1,(((IF(Статистика!$C$4="Параллельный режим (активная мощность)",AE53,AP53)+Статистика!$J$4))-Статистика!$C$10)/MAX(Статистика!$G$10-Статистика!$C$10,0.000001)))))</f>
        <v>0.17533346944444417</v>
      </c>
      <c r="BZ53" s="12">
        <f>IF(Y53="","",MAX(0,MAX(0,MIN(1,(((IF(Статистика!$C$4="Параллельный режим (активная мощность)",AH53,AS53)+Статистика!$J$4))-Статистика!$C$10)/MAX(Статистика!$G$10-Статистика!$C$10,0.000001)))-MAX(0,MIN(1,(((IF(Статистика!$C$4="Параллельный режим (активная мощность)",AF53,AQ53)+Статистика!$J$4))-Статистика!$C$10)/MAX(Статистика!$G$10-Статистика!$C$10,0.000001)))))</f>
        <v>2.5654310000000513E-2</v>
      </c>
      <c r="CA53" s="12">
        <f>IF(Y53="","",MAX(0,1-MAX(0,MIN(1,(((IF(Статистика!$C$4="Параллельный режим (активная мощность)",AH53,AS53)+Статистика!$J$4))-Статистика!$C$10)/MAX(Статистика!$G$10-Статистика!$C$10,0.000001)))))</f>
        <v>0.13482582333333326</v>
      </c>
      <c r="CB53" s="12">
        <f>IF(Y53="",NA(),IF(Статистика!$B$8="Вкл",(((IF(Статистика!$C$4="Параллельный режим (активная мощность)",AD53,AO53)+Статистика!$J$4))-Статистика!$C$10)/MAX(Статистика!$G$10-Статистика!$C$10,0.000001),NA()))</f>
        <v>0.6180238166666665</v>
      </c>
      <c r="CC53" s="12">
        <f>IF(Y53="",NA(),IF(Статистика!$D$8="Вкл",(((IF(Статистика!$C$4="Параллельный режим (активная мощность)",AC53,AN53)+Статистика!$J$4))-Статистика!$C$10)/MAX(Статистика!$G$10-Статистика!$C$10,0.000001),NA()))</f>
        <v>0.5698326527777775</v>
      </c>
      <c r="CD53" s="12">
        <f>IF(Y53="",NA(),IF(Статистика!$D$8="Вкл",(((IF(Статистика!$C$4="Параллельный режим (активная мощность)",AE53,AP53)+Статистика!$J$4))-Статистика!$C$10)/MAX(Статистика!$G$10-Статистика!$C$10,0.000001),NA()))</f>
        <v>0.66418639722222206</v>
      </c>
      <c r="CE53" s="12">
        <f>IF(Y53="",NA(),IF(Статистика!$F$8="Вкл",(((IF(Статистика!$C$4="Параллельный режим (активная мощность)",AB53,AM53)+Статистика!$J$4))-Статистика!$C$10)/MAX(Статистика!$G$10-Статистика!$C$10,0.000001),NA()))</f>
        <v>0.47115386166666695</v>
      </c>
      <c r="CF53" s="12">
        <f>IF(Y53="",NA(),IF(Статистика!$F$8="Вкл",(((IF(Статистика!$C$4="Параллельный режим (активная мощность)",AF53,AQ53)+Статистика!$J$4))-Статистика!$C$10)/MAX(Статистика!$G$10-Статистика!$C$10,0.000001),NA()))</f>
        <v>0.83951986666666623</v>
      </c>
      <c r="CG53" s="12">
        <f>IF(Y53="",NA(),IF(Статистика!$H$8="Вкл",(((IF(Статистика!$C$4="Параллельный режим (активная мощность)",Z53,AK53)+Статистика!$J$4))-Статистика!$C$10)/MAX(Статистика!$G$10-Статистика!$C$10,0.000001),NA()))</f>
        <v>0.4214283561666668</v>
      </c>
      <c r="CH53" s="12">
        <f>IF(Y53="",NA(),IF(Статистика!$H$8="Вкл",(((IF(Статистика!$C$4="Параллельный режим (активная мощность)",AH53,AS53)+Статистика!$J$4))-Статистика!$C$10)/MAX(Статистика!$G$10-Статистика!$C$10,0.000001),NA()))</f>
        <v>0.86517417666666674</v>
      </c>
      <c r="CI53" s="12" t="e">
        <f>IF(Y53="",NA(),IF(Статистика!$J$8="Вкл",(((IF(Статистика!$C$4="Параллельный режим (активная мощность)",AI53,AT53)+Статистика!$J$4))-Статистика!$C$10)/MAX(Статистика!$G$10-Статистика!$C$10,0.000001),NA()))</f>
        <v>#N/A</v>
      </c>
      <c r="CJ53" s="12" t="e">
        <f>IF(AND(Y53&lt;&gt;"",Статистика!$C$6="Вкл",Статистика!$B$6&gt;0),(Статистика!$B$6-Статистика!$C$10)/MAX(Статистика!$G$10-Статистика!$C$10,0.000001),NA())</f>
        <v>#N/A</v>
      </c>
      <c r="CK53" s="12" t="e">
        <f>IF(AND(Y53&lt;&gt;"",Статистика!$F$6="Вкл",Статистика!$E$6&gt;0),(Статистика!$E$6-Статистика!$C$10)/MAX(Статистика!$G$10-Статистика!$C$10,0.000001),NA())</f>
        <v>#N/A</v>
      </c>
      <c r="CL53" s="12" t="e">
        <f>IF(AND(Y53&lt;&gt;"",Статистика!$I$6="Вкл",Статистика!$H$6&gt;0),(Статистика!$H$6-Статистика!$C$10)/MAX(Статистика!$G$10-Статистика!$C$10,0.000001),NA())</f>
        <v>#N/A</v>
      </c>
      <c r="CM53" s="12" t="e">
        <f>IF(AND(Y53&lt;&gt;"",Статистика!$L$6="Вкл",Статистика!$K$6&gt;0),(Статистика!$K$6-Статистика!$C$10)/MAX(Статистика!$G$10-Статистика!$C$10,0.000001),NA())</f>
        <v>#N/A</v>
      </c>
      <c r="CN53" s="12" t="e">
        <f>IF(AND(Y53&lt;&gt;"",Статистика!$M$6="Вкл",Статистика!$O$6&gt;0),(Статистика!$O$6-Статистика!$C$10)/MAX(Статистика!$G$10-Статистика!$C$10,0.000001),NA())</f>
        <v>#N/A</v>
      </c>
      <c r="CO53" s="12">
        <f t="shared" si="1"/>
        <v>1</v>
      </c>
    </row>
    <row r="54" spans="1:93" ht="15" customHeight="1">
      <c r="A54" s="12" t="s">
        <v>271</v>
      </c>
      <c r="B54" s="12">
        <v>2300.9104706666667</v>
      </c>
      <c r="C54" s="12">
        <v>5625.7576866666659</v>
      </c>
      <c r="D54" s="12">
        <v>7320.0215666666663</v>
      </c>
      <c r="E54" s="12">
        <v>7630.5742499999997</v>
      </c>
      <c r="F54" s="12">
        <v>7853.2550166666661</v>
      </c>
      <c r="G54" s="12">
        <v>8029.0835583333319</v>
      </c>
      <c r="H54" s="12">
        <v>8345.6642766666664</v>
      </c>
      <c r="I54" s="12">
        <v>8404.0368866666668</v>
      </c>
      <c r="J54" s="12">
        <v>8438.946390666666</v>
      </c>
      <c r="K54" s="12">
        <v>8532.76</v>
      </c>
      <c r="L54" s="12" t="s">
        <v>272</v>
      </c>
      <c r="M54" s="12">
        <v>2852.8643546666663</v>
      </c>
      <c r="N54" s="12">
        <v>6480.5407066666667</v>
      </c>
      <c r="O54" s="12">
        <v>8356.5111566666674</v>
      </c>
      <c r="P54" s="12">
        <v>8874.0386166666685</v>
      </c>
      <c r="Q54" s="12">
        <v>8980.5711166666661</v>
      </c>
      <c r="R54" s="12">
        <v>9235.1079000000009</v>
      </c>
      <c r="S54" s="12">
        <v>9421.5003683333325</v>
      </c>
      <c r="T54" s="12">
        <v>9489.4591683333347</v>
      </c>
      <c r="U54" s="12">
        <v>9566.3645003333349</v>
      </c>
      <c r="V54" s="12">
        <v>9713.19</v>
      </c>
      <c r="W54" s="12" t="s">
        <v>273</v>
      </c>
      <c r="Y54" s="12" t="s">
        <v>271</v>
      </c>
      <c r="Z54" s="12">
        <v>7276.1835761666662</v>
      </c>
      <c r="AA54" s="12">
        <v>7344.0666808333326</v>
      </c>
      <c r="AB54" s="12">
        <v>7428.9205616666659</v>
      </c>
      <c r="AC54" s="12">
        <v>7742.2692916666656</v>
      </c>
      <c r="AD54" s="12">
        <v>7864.4531500000003</v>
      </c>
      <c r="AE54" s="12">
        <v>7959.0267666666668</v>
      </c>
      <c r="AF54" s="12">
        <v>8516.8383933333334</v>
      </c>
      <c r="AG54" s="12">
        <v>8570.5290633333334</v>
      </c>
      <c r="AH54" s="12">
        <v>8613.4815993333341</v>
      </c>
      <c r="AI54" s="12">
        <v>8727.11</v>
      </c>
      <c r="AJ54" s="12" t="s">
        <v>274</v>
      </c>
      <c r="AK54" s="12">
        <v>8355.9822870000007</v>
      </c>
      <c r="AL54" s="12">
        <v>8432.1485016666684</v>
      </c>
      <c r="AM54" s="12">
        <v>8527.3562700000002</v>
      </c>
      <c r="AN54" s="12">
        <v>8806.9820916666667</v>
      </c>
      <c r="AO54" s="12">
        <v>8992.9053666666659</v>
      </c>
      <c r="AP54" s="12">
        <v>9095.6224083333345</v>
      </c>
      <c r="AQ54" s="12">
        <v>9677.6707999999999</v>
      </c>
      <c r="AR54" s="12">
        <v>9709.9614833333344</v>
      </c>
      <c r="AS54" s="12">
        <v>9735.7940300000009</v>
      </c>
      <c r="AT54" s="12">
        <v>9836.76</v>
      </c>
      <c r="AU54" s="12" t="s">
        <v>275</v>
      </c>
      <c r="AW54" s="12">
        <f>IF(A54="","",MAX(0,MIN(1,(((IF(Статистика!$C$4="Параллельный режим (активная мощность)",B54,M54)+Статистика!$J$4))-Статистика!$C$10)/MAX(Статистика!$G$10-Статистика!$C$10,0.000001))))</f>
        <v>0</v>
      </c>
      <c r="AX54" s="12">
        <f>IF(A54="","",MAX(0,MAX(0,MIN(1,(((IF(Статистика!$C$4="Параллельный режим (активная мощность)",D54,O54)+Статистика!$J$4))-Статистика!$C$10)/MAX(Статистика!$G$10-Статистика!$C$10,0.000001)))-MAX(0,MIN(1,(((IF(Статистика!$C$4="Параллельный режим (активная мощность)",B54,M54)+Статистика!$J$4))-Статистика!$C$10)/MAX(Статистика!$G$10-Статистика!$C$10,0.000001)))))</f>
        <v>0.44000718888888879</v>
      </c>
      <c r="AY54" s="12">
        <f>IF(A54="","",MAX(0,MAX(0,MIN(1,(((IF(Статистика!$C$4="Параллельный режим (активная мощность)",E54,P54)+Статистика!$J$4))-Статистика!$C$10)/MAX(Статистика!$G$10-Статистика!$C$10,0.000001)))-MAX(0,MIN(1,(((IF(Статистика!$C$4="Параллельный режим (активная мощность)",D54,O54)+Статистика!$J$4))-Статистика!$C$10)/MAX(Статистика!$G$10-Статистика!$C$10,0.000001)))))</f>
        <v>0.1035175611111111</v>
      </c>
      <c r="AZ54" s="12">
        <f>IF(A54="","",MAX(0,MAX(0,MIN(1,(((IF(Статистика!$C$4="Параллельный режим (активная мощность)",F54,Q54)+Статистика!$J$4))-Статистика!$C$10)/MAX(Статистика!$G$10-Статистика!$C$10,0.000001)))-MAX(0,MIN(1,(((IF(Статистика!$C$4="Параллельный режим (активная мощность)",E54,P54)+Статистика!$J$4))-Статистика!$C$10)/MAX(Статистика!$G$10-Статистика!$C$10,0.000001)))))</f>
        <v>7.4226922222222158E-2</v>
      </c>
      <c r="BA54" s="12">
        <f>IF(A54="","",MAX(0,MAX(0,MIN(1,(((IF(Статистика!$C$4="Параллельный режим (активная мощность)",G54,R54)+Статистика!$J$4))-Статистика!$C$10)/MAX(Статистика!$G$10-Статистика!$C$10,0.000001)))-MAX(0,MIN(1,(((IF(Статистика!$C$4="Параллельный режим (активная мощность)",F54,Q54)+Статистика!$J$4))-Статистика!$C$10)/MAX(Статистика!$G$10-Статистика!$C$10,0.000001)))))</f>
        <v>5.8609513888888576E-2</v>
      </c>
      <c r="BB54" s="12">
        <f>IF(A54="","",MAX(0,MAX(0,MIN(1,(((IF(Статистика!$C$4="Параллельный режим (активная мощность)",H54,S54)+Статистика!$J$4))-Статистика!$C$10)/MAX(Статистика!$G$10-Статистика!$C$10,0.000001)))-MAX(0,MIN(1,(((IF(Статистика!$C$4="Параллельный режим (активная мощность)",G54,R54)+Статистика!$J$4))-Статистика!$C$10)/MAX(Статистика!$G$10-Статистика!$C$10,0.000001)))))</f>
        <v>0.10552690611111148</v>
      </c>
      <c r="BC54" s="12">
        <f>IF(A54="","",MAX(0,MAX(0,MIN(1,(((IF(Статистика!$C$4="Параллельный режим (активная мощность)",J54,U54)+Статистика!$J$4))-Статистика!$C$10)/MAX(Статистика!$G$10-Статистика!$C$10,0.000001)))-MAX(0,MIN(1,(((IF(Статистика!$C$4="Параллельный режим (активная мощность)",H54,S54)+Статистика!$J$4))-Статистика!$C$10)/MAX(Статистика!$G$10-Статистика!$C$10,0.000001)))))</f>
        <v>3.1094037999999879E-2</v>
      </c>
      <c r="BD54" s="12">
        <f>IF(A54="","",MAX(0,1-MAX(0,MIN(1,(((IF(Статистика!$C$4="Параллельный режим (активная мощность)",J54,U54)+Статистика!$J$4))-Статистика!$C$10)/MAX(Статистика!$G$10-Статистика!$C$10,0.000001)))))</f>
        <v>0.18701786977777801</v>
      </c>
      <c r="BE54" s="12">
        <f>IF(A54="",NA(),IF(Статистика!$B$8="Вкл",(((IF(Статистика!$C$4="Параллельный режим (активная мощность)",F54,Q54)+Статистика!$J$4))-Статистика!$C$10)/MAX(Статистика!$G$10-Статистика!$C$10,0.000001),NA()))</f>
        <v>0.61775167222222205</v>
      </c>
      <c r="BF54" s="12">
        <f>IF(A54="",NA(),IF(Статистика!$D$8="Вкл",(((IF(Статистика!$C$4="Параллельный режим (активная мощность)",E54,P54)+Статистика!$J$4))-Статистика!$C$10)/MAX(Статистика!$G$10-Статистика!$C$10,0.000001),NA()))</f>
        <v>0.54352474999999989</v>
      </c>
      <c r="BG54" s="12">
        <f>IF(A54="",NA(),IF(Статистика!$D$8="Вкл",(((IF(Статистика!$C$4="Параллельный режим (активная мощность)",G54,R54)+Статистика!$J$4))-Статистика!$C$10)/MAX(Статистика!$G$10-Статистика!$C$10,0.000001),NA()))</f>
        <v>0.67636118611111062</v>
      </c>
      <c r="BH54" s="12">
        <f>IF(A54="",NA(),IF(Статистика!$F$8="Вкл",(((IF(Статистика!$C$4="Параллельный режим (активная мощность)",D54,O54)+Статистика!$J$4))-Статистика!$C$10)/MAX(Статистика!$G$10-Статистика!$C$10,0.000001),NA()))</f>
        <v>0.44000718888888879</v>
      </c>
      <c r="BI54" s="12">
        <f>IF(A54="",NA(),IF(Статистика!$F$8="Вкл",(((IF(Статистика!$C$4="Параллельный режим (активная мощность)",H54,S54)+Статистика!$J$4))-Статистика!$C$10)/MAX(Статистика!$G$10-Статистика!$C$10,0.000001),NA()))</f>
        <v>0.78188809222222211</v>
      </c>
      <c r="BJ54" s="12">
        <f>IF(A54="",NA(),IF(Статистика!$H$8="Вкл",(((IF(Статистика!$C$4="Параллельный режим (активная мощность)",B54,M54)+Статистика!$J$4))-Статистика!$C$10)/MAX(Статистика!$G$10-Статистика!$C$10,0.000001),NA()))</f>
        <v>-1.2330298431111111</v>
      </c>
      <c r="BK54" s="12">
        <f>IF(A54="",NA(),IF(Статистика!$H$8="Вкл",(((IF(Статистика!$C$4="Параллельный режим (активная мощность)",J54,U54)+Статистика!$J$4))-Статистика!$C$10)/MAX(Статистика!$G$10-Статистика!$C$10,0.000001),NA()))</f>
        <v>0.81298213022222199</v>
      </c>
      <c r="BL54" s="12" t="e">
        <f>IF(A54="",NA(),IF(Статистика!$J$8="Вкл",(((IF(Статистика!$C$4="Параллельный режим (активная мощность)",K54,V54)+Статистика!$J$4))-Статистика!$C$10)/MAX(Статистика!$G$10-Статистика!$C$10,0.000001),NA()))</f>
        <v>#N/A</v>
      </c>
      <c r="BM54" s="12" t="e">
        <f>IF(AND(A54&lt;&gt;"",Статистика!$C$6="Вкл",Статистика!$B$6&gt;0),(Статистика!$B$6-Статистика!$C$10)/MAX(Статистика!$G$10-Статистика!$C$10,0.000001),NA())</f>
        <v>#N/A</v>
      </c>
      <c r="BN54" s="12" t="e">
        <f>IF(AND(A54&lt;&gt;"",Статистика!$F$6="Вкл",Статистика!$E$6&gt;0),(Статистика!$E$6-Статистика!$C$10)/MAX(Статистика!$G$10-Статистика!$C$10,0.000001),NA())</f>
        <v>#N/A</v>
      </c>
      <c r="BO54" s="12" t="e">
        <f>IF(AND(A54&lt;&gt;"",Статистика!$I$6="Вкл",Статистика!$H$6&gt;0),(Статистика!$H$6-Статистика!$C$10)/MAX(Статистика!$G$10-Статистика!$C$10,0.000001),NA())</f>
        <v>#N/A</v>
      </c>
      <c r="BP54" s="12" t="e">
        <f>IF(AND(A54&lt;&gt;"",Статистика!$L$6="Вкл",Статистика!$K$6&gt;0),(Статистика!$K$6-Статистика!$C$10)/MAX(Статистика!$G$10-Статистика!$C$10,0.000001),NA())</f>
        <v>#N/A</v>
      </c>
      <c r="BQ54" s="12" t="e">
        <f>IF(AND(A54&lt;&gt;"",Статистика!$M$6="Вкл",Статистика!$O$6&gt;0),(Статистика!$O$6-Статистика!$C$10)/MAX(Статистика!$G$10-Статистика!$C$10,0.000001),NA())</f>
        <v>#N/A</v>
      </c>
      <c r="BR54" s="12">
        <f t="shared" si="0"/>
        <v>1</v>
      </c>
      <c r="BT54" s="12">
        <f>IF(Y54="","",MAX(0,MIN(1,(((IF(Статистика!$C$4="Параллельный режим (активная мощность)",Z54,AK54)+Статистика!$J$4))-Статистика!$C$10)/MAX(Статистика!$G$10-Статистика!$C$10,0.000001))))</f>
        <v>0.42539452538888872</v>
      </c>
      <c r="BU54" s="12">
        <f>IF(Y54="","",MAX(0,MAX(0,MIN(1,(((IF(Статистика!$C$4="Параллельный режим (активная мощность)",AB54,AM54)+Статистика!$J$4))-Статистика!$C$10)/MAX(Статистика!$G$10-Статистика!$C$10,0.000001)))-MAX(0,MIN(1,(((IF(Статистика!$C$4="Параллельный режим (активная мощность)",Z54,AK54)+Статистика!$J$4))-Статистика!$C$10)/MAX(Статистика!$G$10-Статистика!$C$10,0.000001)))))</f>
        <v>5.0912328499999882E-2</v>
      </c>
      <c r="BV54" s="12">
        <f>IF(Y54="","",MAX(0,MAX(0,MIN(1,(((IF(Статистика!$C$4="Параллельный режим (активная мощность)",AC54,AN54)+Статистика!$J$4))-Статистика!$C$10)/MAX(Статистика!$G$10-Статистика!$C$10,0.000001)))-MAX(0,MIN(1,(((IF(Статистика!$C$4="Параллельный режим (активная мощность)",AB54,AM54)+Статистика!$J$4))-Статистика!$C$10)/MAX(Статистика!$G$10-Статистика!$C$10,0.000001)))))</f>
        <v>0.10444957666666654</v>
      </c>
      <c r="BW54" s="12">
        <f>IF(Y54="","",MAX(0,MAX(0,MIN(1,(((IF(Статистика!$C$4="Параллельный режим (активная мощность)",AD54,AO54)+Статистика!$J$4))-Статистика!$C$10)/MAX(Статистика!$G$10-Статистика!$C$10,0.000001)))-MAX(0,MIN(1,(((IF(Статистика!$C$4="Параллельный режим (активная мощность)",AC54,AN54)+Статистика!$J$4))-Статистика!$C$10)/MAX(Статистика!$G$10-Статистика!$C$10,0.000001)))))</f>
        <v>4.0727952777778298E-2</v>
      </c>
      <c r="BX54" s="12">
        <f>IF(Y54="","",MAX(0,MAX(0,MIN(1,(((IF(Статистика!$C$4="Параллельный режим (активная мощность)",AE54,AP54)+Статистика!$J$4))-Статистика!$C$10)/MAX(Статистика!$G$10-Статистика!$C$10,0.000001)))-MAX(0,MIN(1,(((IF(Статистика!$C$4="Параллельный режим (активная мощность)",AD54,AO54)+Статистика!$J$4))-Статистика!$C$10)/MAX(Статистика!$G$10-Статистика!$C$10,0.000001)))))</f>
        <v>3.1524538888888842E-2</v>
      </c>
      <c r="BY54" s="12">
        <f>IF(Y54="","",MAX(0,MAX(0,MIN(1,(((IF(Статистика!$C$4="Параллельный режим (активная мощность)",AF54,AQ54)+Статистика!$J$4))-Статистика!$C$10)/MAX(Статистика!$G$10-Статистика!$C$10,0.000001)))-MAX(0,MIN(1,(((IF(Статистика!$C$4="Параллельный режим (активная мощность)",AE54,AP54)+Статистика!$J$4))-Статистика!$C$10)/MAX(Статистика!$G$10-Статистика!$C$10,0.000001)))))</f>
        <v>0.18593720888888887</v>
      </c>
      <c r="BZ54" s="12">
        <f>IF(Y54="","",MAX(0,MAX(0,MIN(1,(((IF(Статистика!$C$4="Параллельный режим (активная мощность)",AH54,AS54)+Статистика!$J$4))-Статистика!$C$10)/MAX(Статистика!$G$10-Статистика!$C$10,0.000001)))-MAX(0,MIN(1,(((IF(Статистика!$C$4="Параллельный режим (активная мощность)",AF54,AQ54)+Статистика!$J$4))-Статистика!$C$10)/MAX(Статистика!$G$10-Статистика!$C$10,0.000001)))))</f>
        <v>3.2214402000000253E-2</v>
      </c>
      <c r="CA54" s="12">
        <f>IF(Y54="","",MAX(0,1-MAX(0,MIN(1,(((IF(Статистика!$C$4="Параллельный режим (активная мощность)",AH54,AS54)+Статистика!$J$4))-Статистика!$C$10)/MAX(Статистика!$G$10-Статистика!$C$10,0.000001)))))</f>
        <v>0.12883946688888859</v>
      </c>
      <c r="CB54" s="12">
        <f>IF(Y54="",NA(),IF(Статистика!$B$8="Вкл",(((IF(Статистика!$C$4="Параллельный режим (активная мощность)",AD54,AO54)+Статистика!$J$4))-Статистика!$C$10)/MAX(Статистика!$G$10-Статистика!$C$10,0.000001),NA()))</f>
        <v>0.62148438333333345</v>
      </c>
      <c r="CC54" s="12">
        <f>IF(Y54="",NA(),IF(Статистика!$D$8="Вкл",(((IF(Статистика!$C$4="Параллельный режим (активная мощность)",AC54,AN54)+Статистика!$J$4))-Статистика!$C$10)/MAX(Статистика!$G$10-Статистика!$C$10,0.000001),NA()))</f>
        <v>0.58075643055555515</v>
      </c>
      <c r="CD54" s="12">
        <f>IF(Y54="",NA(),IF(Статистика!$D$8="Вкл",(((IF(Статистика!$C$4="Параллельный режим (активная мощность)",AE54,AP54)+Статистика!$J$4))-Статистика!$C$10)/MAX(Статистика!$G$10-Статистика!$C$10,0.000001),NA()))</f>
        <v>0.65300892222222229</v>
      </c>
      <c r="CE54" s="12">
        <f>IF(Y54="",NA(),IF(Статистика!$F$8="Вкл",(((IF(Статистика!$C$4="Параллельный режим (активная мощность)",AB54,AM54)+Статистика!$J$4))-Статистика!$C$10)/MAX(Статистика!$G$10-Статистика!$C$10,0.000001),NA()))</f>
        <v>0.4763068538888886</v>
      </c>
      <c r="CF54" s="12">
        <f>IF(Y54="",NA(),IF(Статистика!$F$8="Вкл",(((IF(Статистика!$C$4="Параллельный режим (активная мощность)",AF54,AQ54)+Статистика!$J$4))-Статистика!$C$10)/MAX(Статистика!$G$10-Статистика!$C$10,0.000001),NA()))</f>
        <v>0.83894613111111116</v>
      </c>
      <c r="CG54" s="12">
        <f>IF(Y54="",NA(),IF(Статистика!$H$8="Вкл",(((IF(Статистика!$C$4="Параллельный режим (активная мощность)",Z54,AK54)+Статистика!$J$4))-Статистика!$C$10)/MAX(Статистика!$G$10-Статистика!$C$10,0.000001),NA()))</f>
        <v>0.42539452538888872</v>
      </c>
      <c r="CH54" s="12">
        <f>IF(Y54="",NA(),IF(Статистика!$H$8="Вкл",(((IF(Статистика!$C$4="Параллельный режим (активная мощность)",AH54,AS54)+Статистика!$J$4))-Статистика!$C$10)/MAX(Статистика!$G$10-Статистика!$C$10,0.000001),NA()))</f>
        <v>0.87116053311111141</v>
      </c>
      <c r="CI54" s="12" t="e">
        <f>IF(Y54="",NA(),IF(Статистика!$J$8="Вкл",(((IF(Статистика!$C$4="Параллельный режим (активная мощность)",AI54,AT54)+Статистика!$J$4))-Статистика!$C$10)/MAX(Статистика!$G$10-Статистика!$C$10,0.000001),NA()))</f>
        <v>#N/A</v>
      </c>
      <c r="CJ54" s="12" t="e">
        <f>IF(AND(Y54&lt;&gt;"",Статистика!$C$6="Вкл",Статистика!$B$6&gt;0),(Статистика!$B$6-Статистика!$C$10)/MAX(Статистика!$G$10-Статистика!$C$10,0.000001),NA())</f>
        <v>#N/A</v>
      </c>
      <c r="CK54" s="12" t="e">
        <f>IF(AND(Y54&lt;&gt;"",Статистика!$F$6="Вкл",Статистика!$E$6&gt;0),(Статистика!$E$6-Статистика!$C$10)/MAX(Статистика!$G$10-Статистика!$C$10,0.000001),NA())</f>
        <v>#N/A</v>
      </c>
      <c r="CL54" s="12" t="e">
        <f>IF(AND(Y54&lt;&gt;"",Статистика!$I$6="Вкл",Статистика!$H$6&gt;0),(Статистика!$H$6-Статистика!$C$10)/MAX(Статистика!$G$10-Статистика!$C$10,0.000001),NA())</f>
        <v>#N/A</v>
      </c>
      <c r="CM54" s="12" t="e">
        <f>IF(AND(Y54&lt;&gt;"",Статистика!$L$6="Вкл",Статистика!$K$6&gt;0),(Статистика!$K$6-Статистика!$C$10)/MAX(Статистика!$G$10-Статистика!$C$10,0.000001),NA())</f>
        <v>#N/A</v>
      </c>
      <c r="CN54" s="12" t="e">
        <f>IF(AND(Y54&lt;&gt;"",Статистика!$M$6="Вкл",Статистика!$O$6&gt;0),(Статистика!$O$6-Статистика!$C$10)/MAX(Статистика!$G$10-Статистика!$C$10,0.000001),NA())</f>
        <v>#N/A</v>
      </c>
      <c r="CO54" s="12">
        <f t="shared" si="1"/>
        <v>1</v>
      </c>
    </row>
    <row r="55" spans="1:93" ht="15" customHeight="1">
      <c r="A55" s="12" t="s">
        <v>276</v>
      </c>
      <c r="B55" s="12">
        <v>2305.2467040000001</v>
      </c>
      <c r="C55" s="12">
        <v>5678.3576533333335</v>
      </c>
      <c r="D55" s="12">
        <v>7360.2517799999996</v>
      </c>
      <c r="E55" s="12">
        <v>7646.4797083333333</v>
      </c>
      <c r="F55" s="12">
        <v>7824.7239666666665</v>
      </c>
      <c r="G55" s="12">
        <v>8023.5228666666662</v>
      </c>
      <c r="H55" s="12">
        <v>8358.0427683333328</v>
      </c>
      <c r="I55" s="12">
        <v>8418.5988908333329</v>
      </c>
      <c r="J55" s="12">
        <v>8453.7546048333334</v>
      </c>
      <c r="K55" s="12">
        <v>8789.92</v>
      </c>
      <c r="L55" s="12" t="s">
        <v>277</v>
      </c>
      <c r="M55" s="12">
        <v>2858.5557689999996</v>
      </c>
      <c r="N55" s="12">
        <v>6536.9769783333331</v>
      </c>
      <c r="O55" s="12">
        <v>8418.2061749999993</v>
      </c>
      <c r="P55" s="12">
        <v>8848.3231500000002</v>
      </c>
      <c r="Q55" s="12">
        <v>8956.6179333333348</v>
      </c>
      <c r="R55" s="12">
        <v>9180.9617333333317</v>
      </c>
      <c r="S55" s="12">
        <v>9446.9402916666677</v>
      </c>
      <c r="T55" s="12">
        <v>9525.7028091666671</v>
      </c>
      <c r="U55" s="12">
        <v>9602.9603751666673</v>
      </c>
      <c r="V55" s="12">
        <v>9949.16</v>
      </c>
      <c r="W55" s="12" t="s">
        <v>277</v>
      </c>
      <c r="Y55" s="12" t="s">
        <v>276</v>
      </c>
      <c r="Z55" s="12">
        <v>7276.643748833334</v>
      </c>
      <c r="AA55" s="12">
        <v>7345.5320775</v>
      </c>
      <c r="AB55" s="12">
        <v>7431.6424883333329</v>
      </c>
      <c r="AC55" s="12">
        <v>7596.1782750000002</v>
      </c>
      <c r="AD55" s="12">
        <v>7845.6906833333323</v>
      </c>
      <c r="AE55" s="12">
        <v>7923.1198416666657</v>
      </c>
      <c r="AF55" s="12">
        <v>8460.1153799999993</v>
      </c>
      <c r="AG55" s="12">
        <v>8485.3434400000006</v>
      </c>
      <c r="AH55" s="12">
        <v>8505.5258880000001</v>
      </c>
      <c r="AI55" s="12">
        <v>8638.1299999999992</v>
      </c>
      <c r="AJ55" s="12" t="s">
        <v>278</v>
      </c>
      <c r="AK55" s="12">
        <v>8365.2838798333323</v>
      </c>
      <c r="AL55" s="12">
        <v>8426.5919324999995</v>
      </c>
      <c r="AM55" s="12">
        <v>8503.2269983333335</v>
      </c>
      <c r="AN55" s="12">
        <v>8780.1903166666671</v>
      </c>
      <c r="AO55" s="12">
        <v>8896.5785999999989</v>
      </c>
      <c r="AP55" s="12">
        <v>9081.1730583333338</v>
      </c>
      <c r="AQ55" s="12">
        <v>9618.4063016666678</v>
      </c>
      <c r="AR55" s="12">
        <v>9619.6468175000009</v>
      </c>
      <c r="AS55" s="12">
        <v>9620.6392301666674</v>
      </c>
      <c r="AT55" s="12">
        <v>9810.07</v>
      </c>
      <c r="AU55" s="12" t="s">
        <v>279</v>
      </c>
      <c r="AW55" s="12">
        <f>IF(A55="","",MAX(0,MIN(1,(((IF(Статистика!$C$4="Параллельный режим (активная мощность)",B55,M55)+Статистика!$J$4))-Статистика!$C$10)/MAX(Статистика!$G$10-Статистика!$C$10,0.000001))))</f>
        <v>0</v>
      </c>
      <c r="AX55" s="12">
        <f>IF(A55="","",MAX(0,MAX(0,MIN(1,(((IF(Статистика!$C$4="Параллельный режим (активная мощность)",D55,O55)+Статистика!$J$4))-Статистика!$C$10)/MAX(Статистика!$G$10-Статистика!$C$10,0.000001)))-MAX(0,MIN(1,(((IF(Статистика!$C$4="Параллельный режим (активная мощность)",B55,M55)+Статистика!$J$4))-Статистика!$C$10)/MAX(Статистика!$G$10-Статистика!$C$10,0.000001)))))</f>
        <v>0.45341725999999988</v>
      </c>
      <c r="AY55" s="12">
        <f>IF(A55="","",MAX(0,MAX(0,MIN(1,(((IF(Статистика!$C$4="Параллельный режим (активная мощность)",E55,P55)+Статистика!$J$4))-Статистика!$C$10)/MAX(Статистика!$G$10-Статистика!$C$10,0.000001)))-MAX(0,MIN(1,(((IF(Статистика!$C$4="Параллельный режим (активная мощность)",D55,O55)+Статистика!$J$4))-Статистика!$C$10)/MAX(Статистика!$G$10-Статистика!$C$10,0.000001)))))</f>
        <v>9.5409309444444534E-2</v>
      </c>
      <c r="AZ55" s="12">
        <f>IF(A55="","",MAX(0,MAX(0,MIN(1,(((IF(Статистика!$C$4="Параллельный режим (активная мощность)",F55,Q55)+Статистика!$J$4))-Статистика!$C$10)/MAX(Статистика!$G$10-Статистика!$C$10,0.000001)))-MAX(0,MIN(1,(((IF(Статистика!$C$4="Параллельный режим (активная мощность)",E55,P55)+Статистика!$J$4))-Статистика!$C$10)/MAX(Статистика!$G$10-Статистика!$C$10,0.000001)))))</f>
        <v>5.9414752777777746E-2</v>
      </c>
      <c r="BA55" s="12">
        <f>IF(A55="","",MAX(0,MAX(0,MIN(1,(((IF(Статистика!$C$4="Параллельный режим (активная мощность)",G55,R55)+Статистика!$J$4))-Статистика!$C$10)/MAX(Статистика!$G$10-Статистика!$C$10,0.000001)))-MAX(0,MIN(1,(((IF(Статистика!$C$4="Параллельный режим (активная мощность)",F55,Q55)+Статистика!$J$4))-Статистика!$C$10)/MAX(Статистика!$G$10-Статистика!$C$10,0.000001)))))</f>
        <v>6.6266299999999889E-2</v>
      </c>
      <c r="BB55" s="12">
        <f>IF(A55="","",MAX(0,MAX(0,MIN(1,(((IF(Статистика!$C$4="Параллельный режим (активная мощность)",H55,S55)+Статистика!$J$4))-Статистика!$C$10)/MAX(Статистика!$G$10-Статистика!$C$10,0.000001)))-MAX(0,MIN(1,(((IF(Статистика!$C$4="Параллельный режим (активная мощность)",G55,R55)+Статистика!$J$4))-Статистика!$C$10)/MAX(Статистика!$G$10-Статистика!$C$10,0.000001)))))</f>
        <v>0.11150663388888893</v>
      </c>
      <c r="BC55" s="12">
        <f>IF(A55="","",MAX(0,MAX(0,MIN(1,(((IF(Статистика!$C$4="Параллельный режим (активная мощность)",J55,U55)+Статистика!$J$4))-Статистика!$C$10)/MAX(Статистика!$G$10-Статистика!$C$10,0.000001)))-MAX(0,MIN(1,(((IF(Статистика!$C$4="Параллельный режим (активная мощность)",H55,S55)+Статистика!$J$4))-Статистика!$C$10)/MAX(Статистика!$G$10-Статистика!$C$10,0.000001)))))</f>
        <v>3.1903945500000197E-2</v>
      </c>
      <c r="BD55" s="12">
        <f>IF(A55="","",MAX(0,1-MAX(0,MIN(1,(((IF(Статистика!$C$4="Параллельный режим (активная мощность)",J55,U55)+Статистика!$J$4))-Статистика!$C$10)/MAX(Статистика!$G$10-Статистика!$C$10,0.000001)))))</f>
        <v>0.18208179838888883</v>
      </c>
      <c r="BE55" s="12">
        <f>IF(A55="",NA(),IF(Статистика!$B$8="Вкл",(((IF(Статистика!$C$4="Параллельный режим (активная мощность)",F55,Q55)+Статистика!$J$4))-Статистика!$C$10)/MAX(Статистика!$G$10-Статистика!$C$10,0.000001),NA()))</f>
        <v>0.60824132222222216</v>
      </c>
      <c r="BF55" s="12">
        <f>IF(A55="",NA(),IF(Статистика!$D$8="Вкл",(((IF(Статистика!$C$4="Параллельный режим (активная мощность)",E55,P55)+Статистика!$J$4))-Статистика!$C$10)/MAX(Статистика!$G$10-Статистика!$C$10,0.000001),NA()))</f>
        <v>0.54882656944444441</v>
      </c>
      <c r="BG55" s="12">
        <f>IF(A55="",NA(),IF(Статистика!$D$8="Вкл",(((IF(Статистика!$C$4="Параллельный режим (активная мощность)",G55,R55)+Статистика!$J$4))-Статистика!$C$10)/MAX(Статистика!$G$10-Статистика!$C$10,0.000001),NA()))</f>
        <v>0.67450762222222205</v>
      </c>
      <c r="BH55" s="12">
        <f>IF(A55="",NA(),IF(Статистика!$F$8="Вкл",(((IF(Статистика!$C$4="Параллельный режим (активная мощность)",D55,O55)+Статистика!$J$4))-Статистика!$C$10)/MAX(Статистика!$G$10-Статистика!$C$10,0.000001),NA()))</f>
        <v>0.45341725999999988</v>
      </c>
      <c r="BI55" s="12">
        <f>IF(A55="",NA(),IF(Статистика!$F$8="Вкл",(((IF(Статистика!$C$4="Параллельный режим (активная мощность)",H55,S55)+Статистика!$J$4))-Статистика!$C$10)/MAX(Статистика!$G$10-Статистика!$C$10,0.000001),NA()))</f>
        <v>0.78601425611111098</v>
      </c>
      <c r="BJ55" s="12">
        <f>IF(A55="",NA(),IF(Статистика!$H$8="Вкл",(((IF(Статистика!$C$4="Параллельный режим (активная мощность)",B55,M55)+Статистика!$J$4))-Статистика!$C$10)/MAX(Статистика!$G$10-Статистика!$C$10,0.000001),NA()))</f>
        <v>-1.231584432</v>
      </c>
      <c r="BK55" s="12">
        <f>IF(A55="",NA(),IF(Статистика!$H$8="Вкл",(((IF(Статистика!$C$4="Параллельный режим (активная мощность)",J55,U55)+Статистика!$J$4))-Статистика!$C$10)/MAX(Статистика!$G$10-Статистика!$C$10,0.000001),NA()))</f>
        <v>0.81791820161111117</v>
      </c>
      <c r="BL55" s="12" t="e">
        <f>IF(A55="",NA(),IF(Статистика!$J$8="Вкл",(((IF(Статистика!$C$4="Параллельный режим (активная мощность)",K55,V55)+Статистика!$J$4))-Статистика!$C$10)/MAX(Статистика!$G$10-Статистика!$C$10,0.000001),NA()))</f>
        <v>#N/A</v>
      </c>
      <c r="BM55" s="12" t="e">
        <f>IF(AND(A55&lt;&gt;"",Статистика!$C$6="Вкл",Статистика!$B$6&gt;0),(Статистика!$B$6-Статистика!$C$10)/MAX(Статистика!$G$10-Статистика!$C$10,0.000001),NA())</f>
        <v>#N/A</v>
      </c>
      <c r="BN55" s="12" t="e">
        <f>IF(AND(A55&lt;&gt;"",Статистика!$F$6="Вкл",Статистика!$E$6&gt;0),(Статистика!$E$6-Статистика!$C$10)/MAX(Статистика!$G$10-Статистика!$C$10,0.000001),NA())</f>
        <v>#N/A</v>
      </c>
      <c r="BO55" s="12" t="e">
        <f>IF(AND(A55&lt;&gt;"",Статистика!$I$6="Вкл",Статистика!$H$6&gt;0),(Статистика!$H$6-Статистика!$C$10)/MAX(Статистика!$G$10-Статистика!$C$10,0.000001),NA())</f>
        <v>#N/A</v>
      </c>
      <c r="BP55" s="12" t="e">
        <f>IF(AND(A55&lt;&gt;"",Статистика!$L$6="Вкл",Статистика!$K$6&gt;0),(Статистика!$K$6-Статистика!$C$10)/MAX(Статистика!$G$10-Статистика!$C$10,0.000001),NA())</f>
        <v>#N/A</v>
      </c>
      <c r="BQ55" s="12" t="e">
        <f>IF(AND(A55&lt;&gt;"",Статистика!$M$6="Вкл",Статистика!$O$6&gt;0),(Статистика!$O$6-Статистика!$C$10)/MAX(Статистика!$G$10-Статистика!$C$10,0.000001),NA())</f>
        <v>#N/A</v>
      </c>
      <c r="BR55" s="12">
        <f t="shared" si="0"/>
        <v>1</v>
      </c>
      <c r="BT55" s="12">
        <f>IF(Y55="","",MAX(0,MIN(1,(((IF(Статистика!$C$4="Параллельный режим (активная мощность)",Z55,AK55)+Статистика!$J$4))-Статистика!$C$10)/MAX(Статистика!$G$10-Статистика!$C$10,0.000001))))</f>
        <v>0.42554791627777799</v>
      </c>
      <c r="BU55" s="12">
        <f>IF(Y55="","",MAX(0,MAX(0,MIN(1,(((IF(Статистика!$C$4="Параллельный режим (активная мощность)",AB55,AM55)+Статистика!$J$4))-Статистика!$C$10)/MAX(Статистика!$G$10-Статистика!$C$10,0.000001)))-MAX(0,MIN(1,(((IF(Статистика!$C$4="Параллельный режим (активная мощность)",Z55,AK55)+Статистика!$J$4))-Статистика!$C$10)/MAX(Статистика!$G$10-Статистика!$C$10,0.000001)))))</f>
        <v>5.166624649999968E-2</v>
      </c>
      <c r="BV55" s="12">
        <f>IF(Y55="","",MAX(0,MAX(0,MIN(1,(((IF(Статистика!$C$4="Параллельный режим (активная мощность)",AC55,AN55)+Статистика!$J$4))-Статистика!$C$10)/MAX(Статистика!$G$10-Статистика!$C$10,0.000001)))-MAX(0,MIN(1,(((IF(Статистика!$C$4="Параллельный режим (активная мощность)",AB55,AM55)+Статистика!$J$4))-Статистика!$C$10)/MAX(Статистика!$G$10-Статистика!$C$10,0.000001)))))</f>
        <v>5.4845262222222357E-2</v>
      </c>
      <c r="BW55" s="12">
        <f>IF(Y55="","",MAX(0,MAX(0,MIN(1,(((IF(Статистика!$C$4="Параллельный режим (активная мощность)",AD55,AO55)+Статистика!$J$4))-Статистика!$C$10)/MAX(Статистика!$G$10-Статистика!$C$10,0.000001)))-MAX(0,MIN(1,(((IF(Статистика!$C$4="Параллельный режим (активная мощность)",AC55,AN55)+Статистика!$J$4))-Статистика!$C$10)/MAX(Статистика!$G$10-Статистика!$C$10,0.000001)))))</f>
        <v>8.3170802777777442E-2</v>
      </c>
      <c r="BX55" s="12">
        <f>IF(Y55="","",MAX(0,MAX(0,MIN(1,(((IF(Статистика!$C$4="Параллельный режим (активная мощность)",AE55,AP55)+Статистика!$J$4))-Статистика!$C$10)/MAX(Статистика!$G$10-Статистика!$C$10,0.000001)))-MAX(0,MIN(1,(((IF(Статистика!$C$4="Параллельный режим (активная мощность)",AD55,AO55)+Статистика!$J$4))-Статистика!$C$10)/MAX(Статистика!$G$10-Статистика!$C$10,0.000001)))))</f>
        <v>2.5809719444444434E-2</v>
      </c>
      <c r="BY55" s="12">
        <f>IF(Y55="","",MAX(0,MAX(0,MIN(1,(((IF(Статистика!$C$4="Параллельный режим (активная мощность)",AF55,AQ55)+Статистика!$J$4))-Статистика!$C$10)/MAX(Статистика!$G$10-Статистика!$C$10,0.000001)))-MAX(0,MIN(1,(((IF(Статистика!$C$4="Параллельный режим (активная мощность)",AE55,AP55)+Статистика!$J$4))-Статистика!$C$10)/MAX(Статистика!$G$10-Статистика!$C$10,0.000001)))))</f>
        <v>0.1789985127777779</v>
      </c>
      <c r="BZ55" s="12">
        <f>IF(Y55="","",MAX(0,MAX(0,MIN(1,(((IF(Статистика!$C$4="Параллельный режим (активная мощность)",AH55,AS55)+Статистика!$J$4))-Статистика!$C$10)/MAX(Статистика!$G$10-Статистика!$C$10,0.000001)))-MAX(0,MIN(1,(((IF(Статистика!$C$4="Параллельный режим (активная мощность)",AF55,AQ55)+Статистика!$J$4))-Статистика!$C$10)/MAX(Статистика!$G$10-Статистика!$C$10,0.000001)))))</f>
        <v>1.5136836000000264E-2</v>
      </c>
      <c r="CA55" s="12">
        <f>IF(Y55="","",MAX(0,1-MAX(0,MIN(1,(((IF(Статистика!$C$4="Параллельный режим (активная мощность)",AH55,AS55)+Статистика!$J$4))-Статистика!$C$10)/MAX(Статистика!$G$10-Статистика!$C$10,0.000001)))))</f>
        <v>0.16482470399999993</v>
      </c>
      <c r="CB55" s="12">
        <f>IF(Y55="",NA(),IF(Статистика!$B$8="Вкл",(((IF(Статистика!$C$4="Параллельный режим (активная мощность)",AD55,AO55)+Статистика!$J$4))-Статистика!$C$10)/MAX(Статистика!$G$10-Статистика!$C$10,0.000001),NA()))</f>
        <v>0.61523022777777747</v>
      </c>
      <c r="CC55" s="12">
        <f>IF(Y55="",NA(),IF(Статистика!$D$8="Вкл",(((IF(Статистика!$C$4="Параллельный режим (активная мощность)",AC55,AN55)+Статистика!$J$4))-Статистика!$C$10)/MAX(Статистика!$G$10-Статистика!$C$10,0.000001),NA()))</f>
        <v>0.53205942500000003</v>
      </c>
      <c r="CD55" s="12">
        <f>IF(Y55="",NA(),IF(Статистика!$D$8="Вкл",(((IF(Статистика!$C$4="Параллельный режим (активная мощность)",AE55,AP55)+Статистика!$J$4))-Статистика!$C$10)/MAX(Статистика!$G$10-Статистика!$C$10,0.000001),NA()))</f>
        <v>0.64103994722222191</v>
      </c>
      <c r="CE55" s="12">
        <f>IF(Y55="",NA(),IF(Статистика!$F$8="Вкл",(((IF(Статистика!$C$4="Параллельный режим (активная мощность)",AB55,AM55)+Статистика!$J$4))-Статистика!$C$10)/MAX(Статистика!$G$10-Статистика!$C$10,0.000001),NA()))</f>
        <v>0.47721416277777767</v>
      </c>
      <c r="CF55" s="12">
        <f>IF(Y55="",NA(),IF(Статистика!$F$8="Вкл",(((IF(Статистика!$C$4="Параллельный режим (активная мощность)",AF55,AQ55)+Статистика!$J$4))-Статистика!$C$10)/MAX(Статистика!$G$10-Статистика!$C$10,0.000001),NA()))</f>
        <v>0.8200384599999998</v>
      </c>
      <c r="CG55" s="12">
        <f>IF(Y55="",NA(),IF(Статистика!$H$8="Вкл",(((IF(Статистика!$C$4="Параллельный режим (активная мощность)",Z55,AK55)+Статистика!$J$4))-Статистика!$C$10)/MAX(Статистика!$G$10-Статистика!$C$10,0.000001),NA()))</f>
        <v>0.42554791627777799</v>
      </c>
      <c r="CH55" s="12">
        <f>IF(Y55="",NA(),IF(Статистика!$H$8="Вкл",(((IF(Статистика!$C$4="Параллельный режим (активная мощность)",AH55,AS55)+Статистика!$J$4))-Статистика!$C$10)/MAX(Статистика!$G$10-Статистика!$C$10,0.000001),NA()))</f>
        <v>0.83517529600000007</v>
      </c>
      <c r="CI55" s="12" t="e">
        <f>IF(Y55="",NA(),IF(Статистика!$J$8="Вкл",(((IF(Статистика!$C$4="Параллельный режим (активная мощность)",AI55,AT55)+Статистика!$J$4))-Статистика!$C$10)/MAX(Статистика!$G$10-Статистика!$C$10,0.000001),NA()))</f>
        <v>#N/A</v>
      </c>
      <c r="CJ55" s="12" t="e">
        <f>IF(AND(Y55&lt;&gt;"",Статистика!$C$6="Вкл",Статистика!$B$6&gt;0),(Статистика!$B$6-Статистика!$C$10)/MAX(Статистика!$G$10-Статистика!$C$10,0.000001),NA())</f>
        <v>#N/A</v>
      </c>
      <c r="CK55" s="12" t="e">
        <f>IF(AND(Y55&lt;&gt;"",Статистика!$F$6="Вкл",Статистика!$E$6&gt;0),(Статистика!$E$6-Статистика!$C$10)/MAX(Статистика!$G$10-Статистика!$C$10,0.000001),NA())</f>
        <v>#N/A</v>
      </c>
      <c r="CL55" s="12" t="e">
        <f>IF(AND(Y55&lt;&gt;"",Статистика!$I$6="Вкл",Статистика!$H$6&gt;0),(Статистика!$H$6-Статистика!$C$10)/MAX(Статистика!$G$10-Статистика!$C$10,0.000001),NA())</f>
        <v>#N/A</v>
      </c>
      <c r="CM55" s="12" t="e">
        <f>IF(AND(Y55&lt;&gt;"",Статистика!$L$6="Вкл",Статистика!$K$6&gt;0),(Статистика!$K$6-Статистика!$C$10)/MAX(Статистика!$G$10-Статистика!$C$10,0.000001),NA())</f>
        <v>#N/A</v>
      </c>
      <c r="CN55" s="12" t="e">
        <f>IF(AND(Y55&lt;&gt;"",Статистика!$M$6="Вкл",Статистика!$O$6&gt;0),(Статистика!$O$6-Статистика!$C$10)/MAX(Статистика!$G$10-Статистика!$C$10,0.000001),NA())</f>
        <v>#N/A</v>
      </c>
      <c r="CO55" s="12">
        <f t="shared" si="1"/>
        <v>1</v>
      </c>
    </row>
    <row r="56" spans="1:93" ht="15" customHeight="1">
      <c r="A56" s="12" t="s">
        <v>280</v>
      </c>
      <c r="B56" s="12">
        <v>2319.6975029999999</v>
      </c>
      <c r="C56" s="12">
        <v>5709.1796483333328</v>
      </c>
      <c r="D56" s="12">
        <v>7409.0993249999992</v>
      </c>
      <c r="E56" s="12">
        <v>7642.5782083333334</v>
      </c>
      <c r="F56" s="12">
        <v>7828.1300833333335</v>
      </c>
      <c r="G56" s="12">
        <v>8014.5222333333331</v>
      </c>
      <c r="H56" s="12">
        <v>8320.4496316666664</v>
      </c>
      <c r="I56" s="12">
        <v>8373.238091666668</v>
      </c>
      <c r="J56" s="12">
        <v>8477.7627916666679</v>
      </c>
      <c r="K56" s="12">
        <v>8564.6200000000008</v>
      </c>
      <c r="L56" s="12" t="s">
        <v>281</v>
      </c>
      <c r="M56" s="12">
        <v>2889.3188875000001</v>
      </c>
      <c r="N56" s="12">
        <v>6581.2591041666674</v>
      </c>
      <c r="O56" s="12">
        <v>8445.4315150000002</v>
      </c>
      <c r="P56" s="12">
        <v>8819.7880916666672</v>
      </c>
      <c r="Q56" s="12">
        <v>8958.584616666667</v>
      </c>
      <c r="R56" s="12">
        <v>9177.918450000001</v>
      </c>
      <c r="S56" s="12">
        <v>9486.7835799999993</v>
      </c>
      <c r="T56" s="12">
        <v>9544.5368583333329</v>
      </c>
      <c r="U56" s="12">
        <v>9553.8294249999999</v>
      </c>
      <c r="V56" s="12">
        <v>9649.43</v>
      </c>
      <c r="W56" s="12" t="s">
        <v>282</v>
      </c>
      <c r="Y56" s="12" t="s">
        <v>280</v>
      </c>
      <c r="Z56" s="12">
        <v>7276.6001739999992</v>
      </c>
      <c r="AA56" s="12">
        <v>7331.9346033333331</v>
      </c>
      <c r="AB56" s="12">
        <v>7401.1026400000001</v>
      </c>
      <c r="AC56" s="12">
        <v>7566.8219749999998</v>
      </c>
      <c r="AD56" s="12">
        <v>7835.4168500000005</v>
      </c>
      <c r="AE56" s="12">
        <v>7970.7792166666659</v>
      </c>
      <c r="AF56" s="12">
        <v>8534.372398333333</v>
      </c>
      <c r="AG56" s="12">
        <v>8553.2314491666657</v>
      </c>
      <c r="AH56" s="12">
        <v>8568.3186898333333</v>
      </c>
      <c r="AI56" s="12">
        <v>8652.56</v>
      </c>
      <c r="AJ56" s="12" t="s">
        <v>283</v>
      </c>
      <c r="AK56" s="12">
        <v>8375.9909800000005</v>
      </c>
      <c r="AL56" s="12">
        <v>8426.3319666666666</v>
      </c>
      <c r="AM56" s="12">
        <v>8489.2582000000002</v>
      </c>
      <c r="AN56" s="12">
        <v>8729.5914583333342</v>
      </c>
      <c r="AO56" s="12">
        <v>8931.8632166666666</v>
      </c>
      <c r="AP56" s="12">
        <v>9146.0882083333327</v>
      </c>
      <c r="AQ56" s="12">
        <v>9684.1352733333333</v>
      </c>
      <c r="AR56" s="12">
        <v>9721.8716533333336</v>
      </c>
      <c r="AS56" s="12">
        <v>9752.0607573333345</v>
      </c>
      <c r="AT56" s="12">
        <v>9837.31</v>
      </c>
      <c r="AU56" s="12" t="s">
        <v>283</v>
      </c>
      <c r="AW56" s="12">
        <f>IF(A56="","",MAX(0,MIN(1,(((IF(Статистика!$C$4="Параллельный режим (активная мощность)",B56,M56)+Статистика!$J$4))-Статистика!$C$10)/MAX(Статистика!$G$10-Статистика!$C$10,0.000001))))</f>
        <v>0</v>
      </c>
      <c r="AX56" s="12">
        <f>IF(A56="","",MAX(0,MAX(0,MIN(1,(((IF(Статистика!$C$4="Параллельный режим (активная мощность)",D56,O56)+Статистика!$J$4))-Статистика!$C$10)/MAX(Статистика!$G$10-Статистика!$C$10,0.000001)))-MAX(0,MIN(1,(((IF(Статистика!$C$4="Параллельный режим (активная мощность)",B56,M56)+Статистика!$J$4))-Статистика!$C$10)/MAX(Статистика!$G$10-Статистика!$C$10,0.000001)))))</f>
        <v>0.46969977499999976</v>
      </c>
      <c r="AY56" s="12">
        <f>IF(A56="","",MAX(0,MAX(0,MIN(1,(((IF(Статистика!$C$4="Параллельный режим (активная мощность)",E56,P56)+Статистика!$J$4))-Статистика!$C$10)/MAX(Статистика!$G$10-Статистика!$C$10,0.000001)))-MAX(0,MIN(1,(((IF(Статистика!$C$4="Параллельный режим (активная мощность)",D56,O56)+Статистика!$J$4))-Статистика!$C$10)/MAX(Статистика!$G$10-Статистика!$C$10,0.000001)))))</f>
        <v>7.7826294444444721E-2</v>
      </c>
      <c r="AZ56" s="12">
        <f>IF(A56="","",MAX(0,MAX(0,MIN(1,(((IF(Статистика!$C$4="Параллельный режим (активная мощность)",F56,Q56)+Статистика!$J$4))-Статистика!$C$10)/MAX(Статистика!$G$10-Статистика!$C$10,0.000001)))-MAX(0,MIN(1,(((IF(Статистика!$C$4="Параллельный режим (активная мощность)",E56,P56)+Статистика!$J$4))-Статистика!$C$10)/MAX(Статистика!$G$10-Статистика!$C$10,0.000001)))))</f>
        <v>6.1850625000000048E-2</v>
      </c>
      <c r="BA56" s="12">
        <f>IF(A56="","",MAX(0,MAX(0,MIN(1,(((IF(Статистика!$C$4="Параллельный режим (активная мощность)",G56,R56)+Статистика!$J$4))-Статистика!$C$10)/MAX(Статистика!$G$10-Статистика!$C$10,0.000001)))-MAX(0,MIN(1,(((IF(Статистика!$C$4="Параллельный режим (активная мощность)",F56,Q56)+Статистика!$J$4))-Статистика!$C$10)/MAX(Статистика!$G$10-Статистика!$C$10,0.000001)))))</f>
        <v>6.2130716666666475E-2</v>
      </c>
      <c r="BB56" s="12">
        <f>IF(A56="","",MAX(0,MAX(0,MIN(1,(((IF(Статистика!$C$4="Параллельный режим (активная мощность)",H56,S56)+Статистика!$J$4))-Статистика!$C$10)/MAX(Статистика!$G$10-Статистика!$C$10,0.000001)))-MAX(0,MIN(1,(((IF(Статистика!$C$4="Параллельный режим (активная мощность)",G56,R56)+Статистика!$J$4))-Статистика!$C$10)/MAX(Статистика!$G$10-Статистика!$C$10,0.000001)))))</f>
        <v>0.10197579944444446</v>
      </c>
      <c r="BC56" s="12">
        <f>IF(A56="","",MAX(0,MAX(0,MIN(1,(((IF(Статистика!$C$4="Параллельный режим (активная мощность)",J56,U56)+Статистика!$J$4))-Статистика!$C$10)/MAX(Статистика!$G$10-Статистика!$C$10,0.000001)))-MAX(0,MIN(1,(((IF(Статистика!$C$4="Параллельный режим (активная мощность)",H56,S56)+Статистика!$J$4))-Статистика!$C$10)/MAX(Статистика!$G$10-Статистика!$C$10,0.000001)))))</f>
        <v>5.2437720000000465E-2</v>
      </c>
      <c r="BD56" s="12">
        <f>IF(A56="","",MAX(0,1-MAX(0,MIN(1,(((IF(Статистика!$C$4="Параллельный режим (активная мощность)",J56,U56)+Статистика!$J$4))-Статистика!$C$10)/MAX(Статистика!$G$10-Статистика!$C$10,0.000001)))))</f>
        <v>0.17407906944444407</v>
      </c>
      <c r="BE56" s="12">
        <f>IF(A56="",NA(),IF(Статистика!$B$8="Вкл",(((IF(Статистика!$C$4="Параллельный режим (активная мощность)",F56,Q56)+Статистика!$J$4))-Статистика!$C$10)/MAX(Статистика!$G$10-Статистика!$C$10,0.000001),NA()))</f>
        <v>0.60937669444444453</v>
      </c>
      <c r="BF56" s="12">
        <f>IF(A56="",NA(),IF(Статистика!$D$8="Вкл",(((IF(Статистика!$C$4="Параллельный режим (активная мощность)",E56,P56)+Статистика!$J$4))-Статистика!$C$10)/MAX(Статистика!$G$10-Статистика!$C$10,0.000001),NA()))</f>
        <v>0.54752606944444449</v>
      </c>
      <c r="BG56" s="12">
        <f>IF(A56="",NA(),IF(Статистика!$D$8="Вкл",(((IF(Статистика!$C$4="Параллельный режим (активная мощность)",G56,R56)+Статистика!$J$4))-Статистика!$C$10)/MAX(Статистика!$G$10-Статистика!$C$10,0.000001),NA()))</f>
        <v>0.67150741111111101</v>
      </c>
      <c r="BH56" s="12">
        <f>IF(A56="",NA(),IF(Статистика!$F$8="Вкл",(((IF(Статистика!$C$4="Параллельный режим (активная мощность)",D56,O56)+Статистика!$J$4))-Статистика!$C$10)/MAX(Статистика!$G$10-Статистика!$C$10,0.000001),NA()))</f>
        <v>0.46969977499999976</v>
      </c>
      <c r="BI56" s="12">
        <f>IF(A56="",NA(),IF(Статистика!$F$8="Вкл",(((IF(Статистика!$C$4="Параллельный режим (активная мощность)",H56,S56)+Статистика!$J$4))-Статистика!$C$10)/MAX(Статистика!$G$10-Статистика!$C$10,0.000001),NA()))</f>
        <v>0.77348321055555547</v>
      </c>
      <c r="BJ56" s="12">
        <f>IF(A56="",NA(),IF(Статистика!$H$8="Вкл",(((IF(Статистика!$C$4="Параллельный режим (активная мощность)",B56,M56)+Статистика!$J$4))-Статистика!$C$10)/MAX(Статистика!$G$10-Статистика!$C$10,0.000001),NA()))</f>
        <v>-1.2267674990000002</v>
      </c>
      <c r="BK56" s="12">
        <f>IF(A56="",NA(),IF(Статистика!$H$8="Вкл",(((IF(Статистика!$C$4="Параллельный режим (активная мощность)",J56,U56)+Статистика!$J$4))-Статистика!$C$10)/MAX(Статистика!$G$10-Статистика!$C$10,0.000001),NA()))</f>
        <v>0.82592093055555593</v>
      </c>
      <c r="BL56" s="12" t="e">
        <f>IF(A56="",NA(),IF(Статистика!$J$8="Вкл",(((IF(Статистика!$C$4="Параллельный режим (активная мощность)",K56,V56)+Статистика!$J$4))-Статистика!$C$10)/MAX(Статистика!$G$10-Статистика!$C$10,0.000001),NA()))</f>
        <v>#N/A</v>
      </c>
      <c r="BM56" s="12" t="e">
        <f>IF(AND(A56&lt;&gt;"",Статистика!$C$6="Вкл",Статистика!$B$6&gt;0),(Статистика!$B$6-Статистика!$C$10)/MAX(Статистика!$G$10-Статистика!$C$10,0.000001),NA())</f>
        <v>#N/A</v>
      </c>
      <c r="BN56" s="12" t="e">
        <f>IF(AND(A56&lt;&gt;"",Статистика!$F$6="Вкл",Статистика!$E$6&gt;0),(Статистика!$E$6-Статистика!$C$10)/MAX(Статистика!$G$10-Статистика!$C$10,0.000001),NA())</f>
        <v>#N/A</v>
      </c>
      <c r="BO56" s="12" t="e">
        <f>IF(AND(A56&lt;&gt;"",Статистика!$I$6="Вкл",Статистика!$H$6&gt;0),(Статистика!$H$6-Статистика!$C$10)/MAX(Статистика!$G$10-Статистика!$C$10,0.000001),NA())</f>
        <v>#N/A</v>
      </c>
      <c r="BP56" s="12" t="e">
        <f>IF(AND(A56&lt;&gt;"",Статистика!$L$6="Вкл",Статистика!$K$6&gt;0),(Статистика!$K$6-Статистика!$C$10)/MAX(Статистика!$G$10-Статистика!$C$10,0.000001),NA())</f>
        <v>#N/A</v>
      </c>
      <c r="BQ56" s="12" t="e">
        <f>IF(AND(A56&lt;&gt;"",Статистика!$M$6="Вкл",Статистика!$O$6&gt;0),(Статистика!$O$6-Статистика!$C$10)/MAX(Статистика!$G$10-Статистика!$C$10,0.000001),NA())</f>
        <v>#N/A</v>
      </c>
      <c r="BR56" s="12">
        <f t="shared" si="0"/>
        <v>1</v>
      </c>
      <c r="BT56" s="12">
        <f>IF(Y56="","",MAX(0,MIN(1,(((IF(Статистика!$C$4="Параллельный режим (активная мощность)",Z56,AK56)+Статистика!$J$4))-Статистика!$C$10)/MAX(Статистика!$G$10-Статистика!$C$10,0.000001))))</f>
        <v>0.42553339133333307</v>
      </c>
      <c r="BU56" s="12">
        <f>IF(Y56="","",MAX(0,MAX(0,MIN(1,(((IF(Статистика!$C$4="Параллельный режим (активная мощность)",AB56,AM56)+Статистика!$J$4))-Статистика!$C$10)/MAX(Статистика!$G$10-Статистика!$C$10,0.000001)))-MAX(0,MIN(1,(((IF(Статистика!$C$4="Параллельный режим (активная мощность)",Z56,AK56)+Статистика!$J$4))-Статистика!$C$10)/MAX(Статистика!$G$10-Статистика!$C$10,0.000001)))))</f>
        <v>4.150082200000027E-2</v>
      </c>
      <c r="BV56" s="12">
        <f>IF(Y56="","",MAX(0,MAX(0,MIN(1,(((IF(Статистика!$C$4="Параллельный режим (активная мощность)",AC56,AN56)+Статистика!$J$4))-Статистика!$C$10)/MAX(Статистика!$G$10-Статистика!$C$10,0.000001)))-MAX(0,MIN(1,(((IF(Статистика!$C$4="Параллельный режим (активная мощность)",AB56,AM56)+Статистика!$J$4))-Статистика!$C$10)/MAX(Статистика!$G$10-Статистика!$C$10,0.000001)))))</f>
        <v>5.5239778333333323E-2</v>
      </c>
      <c r="BW56" s="12">
        <f>IF(Y56="","",MAX(0,MAX(0,MIN(1,(((IF(Статистика!$C$4="Параллельный режим (активная мощность)",AD56,AO56)+Статистика!$J$4))-Статистика!$C$10)/MAX(Статистика!$G$10-Статистика!$C$10,0.000001)))-MAX(0,MIN(1,(((IF(Статистика!$C$4="Параллельный режим (активная мощность)",AC56,AN56)+Статистика!$J$4))-Статистика!$C$10)/MAX(Статистика!$G$10-Статистика!$C$10,0.000001)))))</f>
        <v>8.9531625000000226E-2</v>
      </c>
      <c r="BX56" s="12">
        <f>IF(Y56="","",MAX(0,MAX(0,MIN(1,(((IF(Статистика!$C$4="Параллельный режим (активная мощность)",AE56,AP56)+Статистика!$J$4))-Статистика!$C$10)/MAX(Статистика!$G$10-Статистика!$C$10,0.000001)))-MAX(0,MIN(1,(((IF(Статистика!$C$4="Параллельный режим (активная мощность)",AD56,AO56)+Статистика!$J$4))-Статистика!$C$10)/MAX(Статистика!$G$10-Статистика!$C$10,0.000001)))))</f>
        <v>4.5120788888888375E-2</v>
      </c>
      <c r="BY56" s="12">
        <f>IF(Y56="","",MAX(0,MAX(0,MIN(1,(((IF(Статистика!$C$4="Параллельный режим (активная мощность)",AF56,AQ56)+Статистика!$J$4))-Статистика!$C$10)/MAX(Статистика!$G$10-Статистика!$C$10,0.000001)))-MAX(0,MIN(1,(((IF(Статистика!$C$4="Параллельный режим (активная мощность)",AE56,AP56)+Статистика!$J$4))-Статистика!$C$10)/MAX(Статистика!$G$10-Статистика!$C$10,0.000001)))))</f>
        <v>0.18786439388888909</v>
      </c>
      <c r="BZ56" s="12">
        <f>IF(Y56="","",MAX(0,MAX(0,MIN(1,(((IF(Статистика!$C$4="Параллельный режим (активная мощность)",AH56,AS56)+Статистика!$J$4))-Статистика!$C$10)/MAX(Статистика!$G$10-Статистика!$C$10,0.000001)))-MAX(0,MIN(1,(((IF(Статистика!$C$4="Параллельный режим (активная мощность)",AF56,AQ56)+Статистика!$J$4))-Статистика!$C$10)/MAX(Статистика!$G$10-Статистика!$C$10,0.000001)))))</f>
        <v>1.1315430500000057E-2</v>
      </c>
      <c r="CA56" s="12">
        <f>IF(Y56="","",MAX(0,1-MAX(0,MIN(1,(((IF(Статистика!$C$4="Параллельный режим (активная мощность)",AH56,AS56)+Статистика!$J$4))-Статистика!$C$10)/MAX(Статистика!$G$10-Статистика!$C$10,0.000001)))))</f>
        <v>0.14389377005555559</v>
      </c>
      <c r="CB56" s="12">
        <f>IF(Y56="",NA(),IF(Статистика!$B$8="Вкл",(((IF(Статистика!$C$4="Параллельный режим (активная мощность)",AD56,AO56)+Статистика!$J$4))-Статистика!$C$10)/MAX(Статистика!$G$10-Статистика!$C$10,0.000001),NA()))</f>
        <v>0.61180561666666688</v>
      </c>
      <c r="CC56" s="12">
        <f>IF(Y56="",NA(),IF(Статистика!$D$8="Вкл",(((IF(Статистика!$C$4="Параллельный режим (активная мощность)",AC56,AN56)+Статистика!$J$4))-Статистика!$C$10)/MAX(Статистика!$G$10-Статистика!$C$10,0.000001),NA()))</f>
        <v>0.52227399166666666</v>
      </c>
      <c r="CD56" s="12">
        <f>IF(Y56="",NA(),IF(Статистика!$D$8="Вкл",(((IF(Статистика!$C$4="Параллельный режим (активная мощность)",AE56,AP56)+Статистика!$J$4))-Статистика!$C$10)/MAX(Статистика!$G$10-Статистика!$C$10,0.000001),NA()))</f>
        <v>0.65692640555555526</v>
      </c>
      <c r="CE56" s="12">
        <f>IF(Y56="",NA(),IF(Статистика!$F$8="Вкл",(((IF(Статистика!$C$4="Параллельный режим (активная мощность)",AB56,AM56)+Статистика!$J$4))-Статистика!$C$10)/MAX(Статистика!$G$10-Статистика!$C$10,0.000001),NA()))</f>
        <v>0.46703421333333334</v>
      </c>
      <c r="CF56" s="12">
        <f>IF(Y56="",NA(),IF(Статистика!$F$8="Вкл",(((IF(Статистика!$C$4="Параллельный режим (активная мощность)",AF56,AQ56)+Статистика!$J$4))-Статистика!$C$10)/MAX(Статистика!$G$10-Статистика!$C$10,0.000001),NA()))</f>
        <v>0.84479079944444435</v>
      </c>
      <c r="CG56" s="12">
        <f>IF(Y56="",NA(),IF(Статистика!$H$8="Вкл",(((IF(Статистика!$C$4="Параллельный режим (активная мощность)",Z56,AK56)+Статистика!$J$4))-Статистика!$C$10)/MAX(Статистика!$G$10-Статистика!$C$10,0.000001),NA()))</f>
        <v>0.42553339133333307</v>
      </c>
      <c r="CH56" s="12">
        <f>IF(Y56="",NA(),IF(Статистика!$H$8="Вкл",(((IF(Статистика!$C$4="Параллельный режим (активная мощность)",AH56,AS56)+Статистика!$J$4))-Статистика!$C$10)/MAX(Статистика!$G$10-Статистика!$C$10,0.000001),NA()))</f>
        <v>0.85610622994444441</v>
      </c>
      <c r="CI56" s="12" t="e">
        <f>IF(Y56="",NA(),IF(Статистика!$J$8="Вкл",(((IF(Статистика!$C$4="Параллельный режим (активная мощность)",AI56,AT56)+Статистика!$J$4))-Статистика!$C$10)/MAX(Статистика!$G$10-Статистика!$C$10,0.000001),NA()))</f>
        <v>#N/A</v>
      </c>
      <c r="CJ56" s="12" t="e">
        <f>IF(AND(Y56&lt;&gt;"",Статистика!$C$6="Вкл",Статистика!$B$6&gt;0),(Статистика!$B$6-Статистика!$C$10)/MAX(Статистика!$G$10-Статистика!$C$10,0.000001),NA())</f>
        <v>#N/A</v>
      </c>
      <c r="CK56" s="12" t="e">
        <f>IF(AND(Y56&lt;&gt;"",Статистика!$F$6="Вкл",Статистика!$E$6&gt;0),(Статистика!$E$6-Статистика!$C$10)/MAX(Статистика!$G$10-Статистика!$C$10,0.000001),NA())</f>
        <v>#N/A</v>
      </c>
      <c r="CL56" s="12" t="e">
        <f>IF(AND(Y56&lt;&gt;"",Статистика!$I$6="Вкл",Статистика!$H$6&gt;0),(Статистика!$H$6-Статистика!$C$10)/MAX(Статистика!$G$10-Статистика!$C$10,0.000001),NA())</f>
        <v>#N/A</v>
      </c>
      <c r="CM56" s="12" t="e">
        <f>IF(AND(Y56&lt;&gt;"",Статистика!$L$6="Вкл",Статистика!$K$6&gt;0),(Статистика!$K$6-Статистика!$C$10)/MAX(Статистика!$G$10-Статистика!$C$10,0.000001),NA())</f>
        <v>#N/A</v>
      </c>
      <c r="CN56" s="12" t="e">
        <f>IF(AND(Y56&lt;&gt;"",Статистика!$M$6="Вкл",Статистика!$O$6&gt;0),(Статистика!$O$6-Статистика!$C$10)/MAX(Статистика!$G$10-Статистика!$C$10,0.000001),NA())</f>
        <v>#N/A</v>
      </c>
      <c r="CO56" s="12">
        <f t="shared" si="1"/>
        <v>1</v>
      </c>
    </row>
    <row r="57" spans="1:93" ht="15" customHeight="1">
      <c r="A57" s="12" t="s">
        <v>284</v>
      </c>
      <c r="B57" s="12">
        <v>2334.1814531666664</v>
      </c>
      <c r="C57" s="12">
        <v>5776.3656658333339</v>
      </c>
      <c r="D57" s="12">
        <v>7432.2592166666664</v>
      </c>
      <c r="E57" s="12">
        <v>7591.2863666666653</v>
      </c>
      <c r="F57" s="12">
        <v>7807.4067999999997</v>
      </c>
      <c r="G57" s="12">
        <v>7966.043525000001</v>
      </c>
      <c r="H57" s="12">
        <v>8281.1403416666653</v>
      </c>
      <c r="I57" s="12">
        <v>8347.2104858333332</v>
      </c>
      <c r="J57" s="12">
        <v>8472.1937771666671</v>
      </c>
      <c r="K57" s="12">
        <v>8590.56</v>
      </c>
      <c r="L57" s="12" t="s">
        <v>285</v>
      </c>
      <c r="M57" s="12">
        <v>2903.3252638333333</v>
      </c>
      <c r="N57" s="12">
        <v>6651.7691191666672</v>
      </c>
      <c r="O57" s="12">
        <v>8465.4400933333327</v>
      </c>
      <c r="P57" s="12">
        <v>8786.9516666666677</v>
      </c>
      <c r="Q57" s="12">
        <v>8963.5989833333333</v>
      </c>
      <c r="R57" s="12">
        <v>9137.1911333333337</v>
      </c>
      <c r="S57" s="12">
        <v>9455.3658066666667</v>
      </c>
      <c r="T57" s="12">
        <v>9532.7893175000008</v>
      </c>
      <c r="U57" s="12">
        <v>9569.3167701666662</v>
      </c>
      <c r="V57" s="12">
        <v>9664.48</v>
      </c>
      <c r="W57" s="12" t="s">
        <v>285</v>
      </c>
      <c r="Y57" s="12" t="s">
        <v>284</v>
      </c>
      <c r="Z57" s="12">
        <v>7283.6377479999992</v>
      </c>
      <c r="AA57" s="12">
        <v>7322.2844733333332</v>
      </c>
      <c r="AB57" s="12">
        <v>7370.5928800000002</v>
      </c>
      <c r="AC57" s="12">
        <v>7621.6435916666669</v>
      </c>
      <c r="AD57" s="12">
        <v>7841.9621666666671</v>
      </c>
      <c r="AE57" s="12">
        <v>8042.1895083333338</v>
      </c>
      <c r="AF57" s="12">
        <v>8532.6010733333314</v>
      </c>
      <c r="AG57" s="12">
        <v>8536.3868699999985</v>
      </c>
      <c r="AH57" s="12">
        <v>8539.4155073333313</v>
      </c>
      <c r="AI57" s="12">
        <v>8693.49</v>
      </c>
      <c r="AJ57" s="12" t="s">
        <v>286</v>
      </c>
      <c r="AK57" s="12">
        <v>8401.7650830000002</v>
      </c>
      <c r="AL57" s="12">
        <v>8427.1539483333327</v>
      </c>
      <c r="AM57" s="12">
        <v>8458.8900300000005</v>
      </c>
      <c r="AN57" s="12">
        <v>8744.0716416666655</v>
      </c>
      <c r="AO57" s="12">
        <v>8898.4562333333342</v>
      </c>
      <c r="AP57" s="12">
        <v>9227.4763416666665</v>
      </c>
      <c r="AQ57" s="12">
        <v>9680.9083449999998</v>
      </c>
      <c r="AR57" s="12">
        <v>9692.8981891666681</v>
      </c>
      <c r="AS57" s="12">
        <v>9702.4900645000016</v>
      </c>
      <c r="AT57" s="12">
        <v>9830.7800000000007</v>
      </c>
      <c r="AU57" s="12" t="s">
        <v>286</v>
      </c>
      <c r="AW57" s="12">
        <f>IF(A57="","",MAX(0,MIN(1,(((IF(Статистика!$C$4="Параллельный режим (активная мощность)",B57,M57)+Статистика!$J$4))-Статистика!$C$10)/MAX(Статистика!$G$10-Статистика!$C$10,0.000001))))</f>
        <v>0</v>
      </c>
      <c r="AX57" s="12">
        <f>IF(A57="","",MAX(0,MAX(0,MIN(1,(((IF(Статистика!$C$4="Параллельный режим (активная мощность)",D57,O57)+Статистика!$J$4))-Статистика!$C$10)/MAX(Статистика!$G$10-Статистика!$C$10,0.000001)))-MAX(0,MIN(1,(((IF(Статистика!$C$4="Параллельный режим (активная мощность)",B57,M57)+Статистика!$J$4))-Статистика!$C$10)/MAX(Статистика!$G$10-Статистика!$C$10,0.000001)))))</f>
        <v>0.47741973888888878</v>
      </c>
      <c r="AY57" s="12">
        <f>IF(A57="","",MAX(0,MAX(0,MIN(1,(((IF(Статистика!$C$4="Параллельный режим (активная мощность)",E57,P57)+Статистика!$J$4))-Статистика!$C$10)/MAX(Статистика!$G$10-Статистика!$C$10,0.000001)))-MAX(0,MIN(1,(((IF(Статистика!$C$4="Параллельный режим (активная мощность)",D57,O57)+Статистика!$J$4))-Статистика!$C$10)/MAX(Статистика!$G$10-Статистика!$C$10,0.000001)))))</f>
        <v>5.3009049999999669E-2</v>
      </c>
      <c r="AZ57" s="12">
        <f>IF(A57="","",MAX(0,MAX(0,MIN(1,(((IF(Статистика!$C$4="Параллельный режим (активная мощность)",F57,Q57)+Статистика!$J$4))-Статистика!$C$10)/MAX(Статистика!$G$10-Статистика!$C$10,0.000001)))-MAX(0,MIN(1,(((IF(Статистика!$C$4="Параллельный режим (активная мощность)",E57,P57)+Статистика!$J$4))-Статистика!$C$10)/MAX(Статистика!$G$10-Статистика!$C$10,0.000001)))))</f>
        <v>7.2040144444444842E-2</v>
      </c>
      <c r="BA57" s="12">
        <f>IF(A57="","",MAX(0,MAX(0,MIN(1,(((IF(Статистика!$C$4="Параллельный режим (активная мощность)",G57,R57)+Статистика!$J$4))-Статистика!$C$10)/MAX(Статистика!$G$10-Статистика!$C$10,0.000001)))-MAX(0,MIN(1,(((IF(Статистика!$C$4="Параллельный режим (активная мощность)",F57,Q57)+Статистика!$J$4))-Статистика!$C$10)/MAX(Статистика!$G$10-Статистика!$C$10,0.000001)))))</f>
        <v>5.2878908333333641E-2</v>
      </c>
      <c r="BB57" s="12">
        <f>IF(A57="","",MAX(0,MAX(0,MIN(1,(((IF(Статистика!$C$4="Параллельный режим (активная мощность)",H57,S57)+Статистика!$J$4))-Статистика!$C$10)/MAX(Статистика!$G$10-Статистика!$C$10,0.000001)))-MAX(0,MIN(1,(((IF(Статистика!$C$4="Параллельный режим (активная мощность)",G57,R57)+Статистика!$J$4))-Статистика!$C$10)/MAX(Статистика!$G$10-Статистика!$C$10,0.000001)))))</f>
        <v>0.10503227222222156</v>
      </c>
      <c r="BC57" s="12">
        <f>IF(A57="","",MAX(0,MAX(0,MIN(1,(((IF(Статистика!$C$4="Параллельный режим (активная мощность)",J57,U57)+Статистика!$J$4))-Статистика!$C$10)/MAX(Статистика!$G$10-Статистика!$C$10,0.000001)))-MAX(0,MIN(1,(((IF(Статистика!$C$4="Параллельный режим (активная мощность)",H57,S57)+Статистика!$J$4))-Статистика!$C$10)/MAX(Статистика!$G$10-Статистика!$C$10,0.000001)))))</f>
        <v>6.3684478500000585E-2</v>
      </c>
      <c r="BD57" s="12">
        <f>IF(A57="","",MAX(0,1-MAX(0,MIN(1,(((IF(Статистика!$C$4="Параллельный режим (активная мощность)",J57,U57)+Статистика!$J$4))-Статистика!$C$10)/MAX(Статистика!$G$10-Статистика!$C$10,0.000001)))))</f>
        <v>0.17593540761111093</v>
      </c>
      <c r="BE57" s="12">
        <f>IF(A57="",NA(),IF(Статистика!$B$8="Вкл",(((IF(Статистика!$C$4="Параллельный режим (активная мощность)",F57,Q57)+Статистика!$J$4))-Статистика!$C$10)/MAX(Статистика!$G$10-Статистика!$C$10,0.000001),NA()))</f>
        <v>0.60246893333333329</v>
      </c>
      <c r="BF57" s="12">
        <f>IF(A57="",NA(),IF(Статистика!$D$8="Вкл",(((IF(Статистика!$C$4="Параллельный режим (активная мощность)",E57,P57)+Статистика!$J$4))-Статистика!$C$10)/MAX(Статистика!$G$10-Статистика!$C$10,0.000001),NA()))</f>
        <v>0.53042878888888845</v>
      </c>
      <c r="BG57" s="12">
        <f>IF(A57="",NA(),IF(Статистика!$D$8="Вкл",(((IF(Статистика!$C$4="Параллельный режим (активная мощность)",G57,R57)+Статистика!$J$4))-Статистика!$C$10)/MAX(Статистика!$G$10-Статистика!$C$10,0.000001),NA()))</f>
        <v>0.65534784166666693</v>
      </c>
      <c r="BH57" s="12">
        <f>IF(A57="",NA(),IF(Статистика!$F$8="Вкл",(((IF(Статистика!$C$4="Параллельный режим (активная мощность)",D57,O57)+Статистика!$J$4))-Статистика!$C$10)/MAX(Статистика!$G$10-Статистика!$C$10,0.000001),NA()))</f>
        <v>0.47741973888888878</v>
      </c>
      <c r="BI57" s="12">
        <f>IF(A57="",NA(),IF(Статистика!$F$8="Вкл",(((IF(Статистика!$C$4="Параллельный режим (активная мощность)",H57,S57)+Статистика!$J$4))-Статистика!$C$10)/MAX(Статистика!$G$10-Статистика!$C$10,0.000001),NA()))</f>
        <v>0.76038011388888849</v>
      </c>
      <c r="BJ57" s="12">
        <f>IF(A57="",NA(),IF(Статистика!$H$8="Вкл",(((IF(Статистика!$C$4="Параллельный режим (активная мощность)",B57,M57)+Статистика!$J$4))-Статистика!$C$10)/MAX(Статистика!$G$10-Статистика!$C$10,0.000001),NA()))</f>
        <v>-1.2219395156111112</v>
      </c>
      <c r="BK57" s="12">
        <f>IF(A57="",NA(),IF(Статистика!$H$8="Вкл",(((IF(Статистика!$C$4="Параллельный режим (активная мощность)",J57,U57)+Статистика!$J$4))-Статистика!$C$10)/MAX(Статистика!$G$10-Статистика!$C$10,0.000001),NA()))</f>
        <v>0.82406459238888907</v>
      </c>
      <c r="BL57" s="12" t="e">
        <f>IF(A57="",NA(),IF(Статистика!$J$8="Вкл",(((IF(Статистика!$C$4="Параллельный режим (активная мощность)",K57,V57)+Статистика!$J$4))-Статистика!$C$10)/MAX(Статистика!$G$10-Статистика!$C$10,0.000001),NA()))</f>
        <v>#N/A</v>
      </c>
      <c r="BM57" s="12" t="e">
        <f>IF(AND(A57&lt;&gt;"",Статистика!$C$6="Вкл",Статистика!$B$6&gt;0),(Статистика!$B$6-Статистика!$C$10)/MAX(Статистика!$G$10-Статистика!$C$10,0.000001),NA())</f>
        <v>#N/A</v>
      </c>
      <c r="BN57" s="12" t="e">
        <f>IF(AND(A57&lt;&gt;"",Статистика!$F$6="Вкл",Статистика!$E$6&gt;0),(Статистика!$E$6-Статистика!$C$10)/MAX(Статистика!$G$10-Статистика!$C$10,0.000001),NA())</f>
        <v>#N/A</v>
      </c>
      <c r="BO57" s="12" t="e">
        <f>IF(AND(A57&lt;&gt;"",Статистика!$I$6="Вкл",Статистика!$H$6&gt;0),(Статистика!$H$6-Статистика!$C$10)/MAX(Статистика!$G$10-Статистика!$C$10,0.000001),NA())</f>
        <v>#N/A</v>
      </c>
      <c r="BP57" s="12" t="e">
        <f>IF(AND(A57&lt;&gt;"",Статистика!$L$6="Вкл",Статистика!$K$6&gt;0),(Статистика!$K$6-Статистика!$C$10)/MAX(Статистика!$G$10-Статистика!$C$10,0.000001),NA())</f>
        <v>#N/A</v>
      </c>
      <c r="BQ57" s="12" t="e">
        <f>IF(AND(A57&lt;&gt;"",Статистика!$M$6="Вкл",Статистика!$O$6&gt;0),(Статистика!$O$6-Статистика!$C$10)/MAX(Статистика!$G$10-Статистика!$C$10,0.000001),NA())</f>
        <v>#N/A</v>
      </c>
      <c r="BR57" s="12">
        <f t="shared" si="0"/>
        <v>1</v>
      </c>
      <c r="BT57" s="12">
        <f>IF(Y57="","",MAX(0,MIN(1,(((IF(Статистика!$C$4="Параллельный режим (активная мощность)",Z57,AK57)+Статистика!$J$4))-Статистика!$C$10)/MAX(Статистика!$G$10-Статистика!$C$10,0.000001))))</f>
        <v>0.42787924933333304</v>
      </c>
      <c r="BU57" s="12">
        <f>IF(Y57="","",MAX(0,MAX(0,MIN(1,(((IF(Статистика!$C$4="Параллельный режим (активная мощность)",AB57,AM57)+Статистика!$J$4))-Статистика!$C$10)/MAX(Статистика!$G$10-Статистика!$C$10,0.000001)))-MAX(0,MIN(1,(((IF(Статистика!$C$4="Параллельный режим (активная мощность)",Z57,AK57)+Статистика!$J$4))-Статистика!$C$10)/MAX(Статистика!$G$10-Статистика!$C$10,0.000001)))))</f>
        <v>2.8985044000000348E-2</v>
      </c>
      <c r="BV57" s="12">
        <f>IF(Y57="","",MAX(0,MAX(0,MIN(1,(((IF(Статистика!$C$4="Параллельный режим (активная мощность)",AC57,AN57)+Статистика!$J$4))-Статистика!$C$10)/MAX(Статистика!$G$10-Статистика!$C$10,0.000001)))-MAX(0,MIN(1,(((IF(Статистика!$C$4="Параллельный режим (активная мощность)",AB57,AM57)+Статистика!$J$4))-Статистика!$C$10)/MAX(Статистика!$G$10-Статистика!$C$10,0.000001)))))</f>
        <v>8.3683570555555586E-2</v>
      </c>
      <c r="BW57" s="12">
        <f>IF(Y57="","",MAX(0,MAX(0,MIN(1,(((IF(Статистика!$C$4="Параллельный режим (активная мощность)",AD57,AO57)+Статистика!$J$4))-Статистика!$C$10)/MAX(Статистика!$G$10-Статистика!$C$10,0.000001)))-MAX(0,MIN(1,(((IF(Статистика!$C$4="Параллельный режим (активная мощность)",AC57,AN57)+Статистика!$J$4))-Статистика!$C$10)/MAX(Статистика!$G$10-Статистика!$C$10,0.000001)))))</f>
        <v>7.3439525000000061E-2</v>
      </c>
      <c r="BX57" s="12">
        <f>IF(Y57="","",MAX(0,MAX(0,MIN(1,(((IF(Статистика!$C$4="Параллельный режим (активная мощность)",AE57,AP57)+Статистика!$J$4))-Статистика!$C$10)/MAX(Статистика!$G$10-Статистика!$C$10,0.000001)))-MAX(0,MIN(1,(((IF(Статистика!$C$4="Параллельный режим (активная мощность)",AD57,AO57)+Статистика!$J$4))-Статистика!$C$10)/MAX(Статистика!$G$10-Статистика!$C$10,0.000001)))))</f>
        <v>6.6742447222222223E-2</v>
      </c>
      <c r="BY57" s="12">
        <f>IF(Y57="","",MAX(0,MAX(0,MIN(1,(((IF(Статистика!$C$4="Параллельный режим (активная мощность)",AF57,AQ57)+Статистика!$J$4))-Статистика!$C$10)/MAX(Статистика!$G$10-Статистика!$C$10,0.000001)))-MAX(0,MIN(1,(((IF(Статистика!$C$4="Параллельный режим (активная мощность)",AE57,AP57)+Статистика!$J$4))-Статистика!$C$10)/MAX(Статистика!$G$10-Статистика!$C$10,0.000001)))))</f>
        <v>0.16347052166666587</v>
      </c>
      <c r="BZ57" s="12">
        <f>IF(Y57="","",MAX(0,MAX(0,MIN(1,(((IF(Статистика!$C$4="Параллельный режим (активная мощность)",AH57,AS57)+Статистика!$J$4))-Статистика!$C$10)/MAX(Статистика!$G$10-Статистика!$C$10,0.000001)))-MAX(0,MIN(1,(((IF(Статистика!$C$4="Параллельный режим (активная мощность)",AF57,AQ57)+Статистика!$J$4))-Статистика!$C$10)/MAX(Статистика!$G$10-Статистика!$C$10,0.000001)))))</f>
        <v>2.2714779999999379E-3</v>
      </c>
      <c r="CA57" s="12">
        <f>IF(Y57="","",MAX(0,1-MAX(0,MIN(1,(((IF(Статистика!$C$4="Параллельный режим (активная мощность)",AH57,AS57)+Статистика!$J$4))-Статистика!$C$10)/MAX(Статистика!$G$10-Статистика!$C$10,0.000001)))))</f>
        <v>0.15352816422222293</v>
      </c>
      <c r="CB57" s="12">
        <f>IF(Y57="",NA(),IF(Статистика!$B$8="Вкл",(((IF(Статистика!$C$4="Параллельный режим (активная мощность)",AD57,AO57)+Статистика!$J$4))-Статистика!$C$10)/MAX(Статистика!$G$10-Статистика!$C$10,0.000001),NA()))</f>
        <v>0.61398738888888904</v>
      </c>
      <c r="CC57" s="12">
        <f>IF(Y57="",NA(),IF(Статистика!$D$8="Вкл",(((IF(Статистика!$C$4="Параллельный режим (активная мощность)",AC57,AN57)+Статистика!$J$4))-Статистика!$C$10)/MAX(Статистика!$G$10-Статистика!$C$10,0.000001),NA()))</f>
        <v>0.54054786388888898</v>
      </c>
      <c r="CD57" s="12">
        <f>IF(Y57="",NA(),IF(Статистика!$D$8="Вкл",(((IF(Статистика!$C$4="Параллельный режим (активная мощность)",AE57,AP57)+Статистика!$J$4))-Статистика!$C$10)/MAX(Статистика!$G$10-Статистика!$C$10,0.000001),NA()))</f>
        <v>0.68072983611111126</v>
      </c>
      <c r="CE57" s="12">
        <f>IF(Y57="",NA(),IF(Статистика!$F$8="Вкл",(((IF(Статистика!$C$4="Параллельный режим (активная мощность)",AB57,AM57)+Статистика!$J$4))-Статистика!$C$10)/MAX(Статистика!$G$10-Статистика!$C$10,0.000001),NA()))</f>
        <v>0.45686429333333339</v>
      </c>
      <c r="CF57" s="12">
        <f>IF(Y57="",NA(),IF(Статистика!$F$8="Вкл",(((IF(Статистика!$C$4="Параллельный режим (активная мощность)",AF57,AQ57)+Статистика!$J$4))-Статистика!$C$10)/MAX(Статистика!$G$10-Статистика!$C$10,0.000001),NA()))</f>
        <v>0.84420035777777713</v>
      </c>
      <c r="CG57" s="12">
        <f>IF(Y57="",NA(),IF(Статистика!$H$8="Вкл",(((IF(Статистика!$C$4="Параллельный режим (активная мощность)",Z57,AK57)+Статистика!$J$4))-Статистика!$C$10)/MAX(Статистика!$G$10-Статистика!$C$10,0.000001),NA()))</f>
        <v>0.42787924933333304</v>
      </c>
      <c r="CH57" s="12">
        <f>IF(Y57="",NA(),IF(Статистика!$H$8="Вкл",(((IF(Статистика!$C$4="Параллельный режим (активная мощность)",AH57,AS57)+Статистика!$J$4))-Статистика!$C$10)/MAX(Статистика!$G$10-Статистика!$C$10,0.000001),NA()))</f>
        <v>0.84647183577777707</v>
      </c>
      <c r="CI57" s="12" t="e">
        <f>IF(Y57="",NA(),IF(Статистика!$J$8="Вкл",(((IF(Статистика!$C$4="Параллельный режим (активная мощность)",AI57,AT57)+Статистика!$J$4))-Статистика!$C$10)/MAX(Статистика!$G$10-Статистика!$C$10,0.000001),NA()))</f>
        <v>#N/A</v>
      </c>
      <c r="CJ57" s="12" t="e">
        <f>IF(AND(Y57&lt;&gt;"",Статистика!$C$6="Вкл",Статистика!$B$6&gt;0),(Статистика!$B$6-Статистика!$C$10)/MAX(Статистика!$G$10-Статистика!$C$10,0.000001),NA())</f>
        <v>#N/A</v>
      </c>
      <c r="CK57" s="12" t="e">
        <f>IF(AND(Y57&lt;&gt;"",Статистика!$F$6="Вкл",Статистика!$E$6&gt;0),(Статистика!$E$6-Статистика!$C$10)/MAX(Статистика!$G$10-Статистика!$C$10,0.000001),NA())</f>
        <v>#N/A</v>
      </c>
      <c r="CL57" s="12" t="e">
        <f>IF(AND(Y57&lt;&gt;"",Статистика!$I$6="Вкл",Статистика!$H$6&gt;0),(Статистика!$H$6-Статистика!$C$10)/MAX(Статистика!$G$10-Статистика!$C$10,0.000001),NA())</f>
        <v>#N/A</v>
      </c>
      <c r="CM57" s="12" t="e">
        <f>IF(AND(Y57&lt;&gt;"",Статистика!$L$6="Вкл",Статистика!$K$6&gt;0),(Статистика!$K$6-Статистика!$C$10)/MAX(Статистика!$G$10-Статистика!$C$10,0.000001),NA())</f>
        <v>#N/A</v>
      </c>
      <c r="CN57" s="12" t="e">
        <f>IF(AND(Y57&lt;&gt;"",Статистика!$M$6="Вкл",Статистика!$O$6&gt;0),(Статистика!$O$6-Статистика!$C$10)/MAX(Статистика!$G$10-Статистика!$C$10,0.000001),NA())</f>
        <v>#N/A</v>
      </c>
      <c r="CO57" s="12">
        <f t="shared" si="1"/>
        <v>1</v>
      </c>
    </row>
    <row r="58" spans="1:93" ht="15" customHeight="1">
      <c r="A58" s="12" t="s">
        <v>287</v>
      </c>
      <c r="B58" s="12">
        <v>2317.4567965000001</v>
      </c>
      <c r="C58" s="12">
        <v>5759.7674491666676</v>
      </c>
      <c r="D58" s="12">
        <v>7409.1758799999998</v>
      </c>
      <c r="E58" s="12">
        <v>7586.5034500000002</v>
      </c>
      <c r="F58" s="12">
        <v>7808.8443166666675</v>
      </c>
      <c r="G58" s="12">
        <v>7980.3826666666673</v>
      </c>
      <c r="H58" s="12">
        <v>8282.3401716666667</v>
      </c>
      <c r="I58" s="12">
        <v>8323.2381999999998</v>
      </c>
      <c r="J58" s="12">
        <v>8377.0985466666662</v>
      </c>
      <c r="K58" s="12">
        <v>8477.15</v>
      </c>
      <c r="L58" s="12" t="s">
        <v>288</v>
      </c>
      <c r="M58" s="12">
        <v>2880.3817446666667</v>
      </c>
      <c r="N58" s="12">
        <v>6626.6847233333337</v>
      </c>
      <c r="O58" s="12">
        <v>8445.4533216666659</v>
      </c>
      <c r="P58" s="12">
        <v>8763.6321416666651</v>
      </c>
      <c r="Q58" s="12">
        <v>8981.6251666666667</v>
      </c>
      <c r="R58" s="12">
        <v>9106.5341666666664</v>
      </c>
      <c r="S58" s="12">
        <v>9424.3072199999988</v>
      </c>
      <c r="T58" s="12">
        <v>9485.0591516666664</v>
      </c>
      <c r="U58" s="12">
        <v>9515.181297000001</v>
      </c>
      <c r="V58" s="12">
        <v>9622.61</v>
      </c>
      <c r="W58" s="12" t="s">
        <v>289</v>
      </c>
      <c r="Y58" s="12" t="s">
        <v>287</v>
      </c>
      <c r="Z58" s="12">
        <v>7260.1213613333339</v>
      </c>
      <c r="AA58" s="12">
        <v>7310.6853400000009</v>
      </c>
      <c r="AB58" s="12">
        <v>7373.8903133333342</v>
      </c>
      <c r="AC58" s="12">
        <v>7644.7064416666663</v>
      </c>
      <c r="AD58" s="12">
        <v>7823.2145999999993</v>
      </c>
      <c r="AE58" s="12">
        <v>8096.2488166666681</v>
      </c>
      <c r="AF58" s="12">
        <v>8549.0901450000001</v>
      </c>
      <c r="AG58" s="12">
        <v>8563.6726891666676</v>
      </c>
      <c r="AH58" s="12">
        <v>8575.3387245000013</v>
      </c>
      <c r="AI58" s="12">
        <v>8670.14</v>
      </c>
      <c r="AJ58" s="12" t="s">
        <v>290</v>
      </c>
      <c r="AK58" s="12">
        <v>8360.5188593333351</v>
      </c>
      <c r="AL58" s="12">
        <v>8403.8573633333344</v>
      </c>
      <c r="AM58" s="12">
        <v>8458.0304933333337</v>
      </c>
      <c r="AN58" s="12">
        <v>8756.4651166666663</v>
      </c>
      <c r="AO58" s="12">
        <v>8818.0153833333334</v>
      </c>
      <c r="AP58" s="12">
        <v>9303.3580499999989</v>
      </c>
      <c r="AQ58" s="12">
        <v>9707.8172983333334</v>
      </c>
      <c r="AR58" s="12">
        <v>9710.8946491666666</v>
      </c>
      <c r="AS58" s="12">
        <v>9713.3565298333324</v>
      </c>
      <c r="AT58" s="12">
        <v>9826.18</v>
      </c>
      <c r="AU58" s="12" t="s">
        <v>290</v>
      </c>
      <c r="AW58" s="12">
        <f>IF(A58="","",MAX(0,MIN(1,(((IF(Статистика!$C$4="Параллельный режим (активная мощность)",B58,M58)+Статистика!$J$4))-Статистика!$C$10)/MAX(Статистика!$G$10-Статистика!$C$10,0.000001))))</f>
        <v>0</v>
      </c>
      <c r="AX58" s="12">
        <f>IF(A58="","",MAX(0,MAX(0,MIN(1,(((IF(Статистика!$C$4="Параллельный режим (активная мощность)",D58,O58)+Статистика!$J$4))-Статистика!$C$10)/MAX(Статистика!$G$10-Статистика!$C$10,0.000001)))-MAX(0,MIN(1,(((IF(Статистика!$C$4="Параллельный режим (активная мощность)",B58,M58)+Статистика!$J$4))-Статистика!$C$10)/MAX(Статистика!$G$10-Статистика!$C$10,0.000001)))))</f>
        <v>0.46972529333333324</v>
      </c>
      <c r="AY58" s="12">
        <f>IF(A58="","",MAX(0,MAX(0,MIN(1,(((IF(Статистика!$C$4="Параллельный режим (активная мощность)",E58,P58)+Статистика!$J$4))-Статистика!$C$10)/MAX(Статистика!$G$10-Статистика!$C$10,0.000001)))-MAX(0,MIN(1,(((IF(Статистика!$C$4="Параллельный режим (активная мощность)",D58,O58)+Статистика!$J$4))-Статистика!$C$10)/MAX(Статистика!$G$10-Статистика!$C$10,0.000001)))))</f>
        <v>5.9109190000000145E-2</v>
      </c>
      <c r="AZ58" s="12">
        <f>IF(A58="","",MAX(0,MAX(0,MIN(1,(((IF(Статистика!$C$4="Параллельный режим (активная мощность)",F58,Q58)+Статистика!$J$4))-Статистика!$C$10)/MAX(Статистика!$G$10-Статистика!$C$10,0.000001)))-MAX(0,MIN(1,(((IF(Статистика!$C$4="Параллельный режим (активная мощность)",E58,P58)+Статистика!$J$4))-Статистика!$C$10)/MAX(Статистика!$G$10-Статистика!$C$10,0.000001)))))</f>
        <v>7.4113622222222508E-2</v>
      </c>
      <c r="BA58" s="12">
        <f>IF(A58="","",MAX(0,MAX(0,MIN(1,(((IF(Статистика!$C$4="Параллельный режим (активная мощность)",G58,R58)+Статистика!$J$4))-Статистика!$C$10)/MAX(Статистика!$G$10-Статистика!$C$10,0.000001)))-MAX(0,MIN(1,(((IF(Статистика!$C$4="Параллельный режим (активная мощность)",F58,Q58)+Статистика!$J$4))-Статистика!$C$10)/MAX(Статистика!$G$10-Статистика!$C$10,0.000001)))))</f>
        <v>5.717944999999991E-2</v>
      </c>
      <c r="BB58" s="12">
        <f>IF(A58="","",MAX(0,MAX(0,MIN(1,(((IF(Статистика!$C$4="Параллельный режим (активная мощность)",H58,S58)+Статистика!$J$4))-Статистика!$C$10)/MAX(Статистика!$G$10-Статистика!$C$10,0.000001)))-MAX(0,MIN(1,(((IF(Статистика!$C$4="Параллельный режим (активная мощность)",G58,R58)+Статистика!$J$4))-Статистика!$C$10)/MAX(Статистика!$G$10-Статистика!$C$10,0.000001)))))</f>
        <v>0.10065250166666639</v>
      </c>
      <c r="BC58" s="12">
        <f>IF(A58="","",MAX(0,MAX(0,MIN(1,(((IF(Статистика!$C$4="Параллельный режим (активная мощность)",J58,U58)+Статистика!$J$4))-Статистика!$C$10)/MAX(Статистика!$G$10-Статистика!$C$10,0.000001)))-MAX(0,MIN(1,(((IF(Статистика!$C$4="Параллельный режим (активная мощность)",H58,S58)+Статистика!$J$4))-Статистика!$C$10)/MAX(Статистика!$G$10-Статистика!$C$10,0.000001)))))</f>
        <v>3.1586124999999909E-2</v>
      </c>
      <c r="BD58" s="12">
        <f>IF(A58="","",MAX(0,1-MAX(0,MIN(1,(((IF(Статистика!$C$4="Параллельный режим (активная мощность)",J58,U58)+Статистика!$J$4))-Статистика!$C$10)/MAX(Статистика!$G$10-Статистика!$C$10,0.000001)))))</f>
        <v>0.2076338177777779</v>
      </c>
      <c r="BE58" s="12">
        <f>IF(A58="",NA(),IF(Статистика!$B$8="Вкл",(((IF(Статистика!$C$4="Параллельный режим (активная мощность)",F58,Q58)+Статистика!$J$4))-Статистика!$C$10)/MAX(Статистика!$G$10-Статистика!$C$10,0.000001),NA()))</f>
        <v>0.60294810555555589</v>
      </c>
      <c r="BF58" s="12">
        <f>IF(A58="",NA(),IF(Статистика!$D$8="Вкл",(((IF(Статистика!$C$4="Параллельный режим (активная мощность)",E58,P58)+Статистика!$J$4))-Статистика!$C$10)/MAX(Статистика!$G$10-Статистика!$C$10,0.000001),NA()))</f>
        <v>0.52883448333333338</v>
      </c>
      <c r="BG58" s="12">
        <f>IF(A58="",NA(),IF(Статистика!$D$8="Вкл",(((IF(Статистика!$C$4="Параллельный режим (активная мощность)",G58,R58)+Статистика!$J$4))-Статистика!$C$10)/MAX(Статистика!$G$10-Статистика!$C$10,0.000001),NA()))</f>
        <v>0.6601275555555558</v>
      </c>
      <c r="BH58" s="12">
        <f>IF(A58="",NA(),IF(Статистика!$F$8="Вкл",(((IF(Статистика!$C$4="Параллельный режим (активная мощность)",D58,O58)+Статистика!$J$4))-Статистика!$C$10)/MAX(Статистика!$G$10-Статистика!$C$10,0.000001),NA()))</f>
        <v>0.46972529333333324</v>
      </c>
      <c r="BI58" s="12">
        <f>IF(A58="",NA(),IF(Статистика!$F$8="Вкл",(((IF(Статистика!$C$4="Параллельный режим (активная мощность)",H58,S58)+Статистика!$J$4))-Статистика!$C$10)/MAX(Статистика!$G$10-Статистика!$C$10,0.000001),NA()))</f>
        <v>0.76078005722222219</v>
      </c>
      <c r="BJ58" s="12">
        <f>IF(A58="",NA(),IF(Статистика!$H$8="Вкл",(((IF(Статистика!$C$4="Параллельный режим (активная мощность)",B58,M58)+Статистика!$J$4))-Статистика!$C$10)/MAX(Статистика!$G$10-Статистика!$C$10,0.000001),NA()))</f>
        <v>-1.2275144011666665</v>
      </c>
      <c r="BK58" s="12">
        <f>IF(A58="",NA(),IF(Статистика!$H$8="Вкл",(((IF(Статистика!$C$4="Параллельный режим (активная мощность)",J58,U58)+Статистика!$J$4))-Статистика!$C$10)/MAX(Статистика!$G$10-Статистика!$C$10,0.000001),NA()))</f>
        <v>0.7923661822222221</v>
      </c>
      <c r="BL58" s="12" t="e">
        <f>IF(A58="",NA(),IF(Статистика!$J$8="Вкл",(((IF(Статистика!$C$4="Параллельный режим (активная мощность)",K58,V58)+Статистика!$J$4))-Статистика!$C$10)/MAX(Статистика!$G$10-Статистика!$C$10,0.000001),NA()))</f>
        <v>#N/A</v>
      </c>
      <c r="BM58" s="12" t="e">
        <f>IF(AND(A58&lt;&gt;"",Статистика!$C$6="Вкл",Статистика!$B$6&gt;0),(Статистика!$B$6-Статистика!$C$10)/MAX(Статистика!$G$10-Статистика!$C$10,0.000001),NA())</f>
        <v>#N/A</v>
      </c>
      <c r="BN58" s="12" t="e">
        <f>IF(AND(A58&lt;&gt;"",Статистика!$F$6="Вкл",Статистика!$E$6&gt;0),(Статистика!$E$6-Статистика!$C$10)/MAX(Статистика!$G$10-Статистика!$C$10,0.000001),NA())</f>
        <v>#N/A</v>
      </c>
      <c r="BO58" s="12" t="e">
        <f>IF(AND(A58&lt;&gt;"",Статистика!$I$6="Вкл",Статистика!$H$6&gt;0),(Статистика!$H$6-Статистика!$C$10)/MAX(Статистика!$G$10-Статистика!$C$10,0.000001),NA())</f>
        <v>#N/A</v>
      </c>
      <c r="BP58" s="12" t="e">
        <f>IF(AND(A58&lt;&gt;"",Статистика!$L$6="Вкл",Статистика!$K$6&gt;0),(Статистика!$K$6-Статистика!$C$10)/MAX(Статистика!$G$10-Статистика!$C$10,0.000001),NA())</f>
        <v>#N/A</v>
      </c>
      <c r="BQ58" s="12" t="e">
        <f>IF(AND(A58&lt;&gt;"",Статистика!$M$6="Вкл",Статистика!$O$6&gt;0),(Статистика!$O$6-Статистика!$C$10)/MAX(Статистика!$G$10-Статистика!$C$10,0.000001),NA())</f>
        <v>#N/A</v>
      </c>
      <c r="BR58" s="12">
        <f t="shared" si="0"/>
        <v>1</v>
      </c>
      <c r="BT58" s="12">
        <f>IF(Y58="","",MAX(0,MIN(1,(((IF(Статистика!$C$4="Параллельный режим (активная мощность)",Z58,AK58)+Статистика!$J$4))-Статистика!$C$10)/MAX(Статистика!$G$10-Статистика!$C$10,0.000001))))</f>
        <v>0.42004045377777793</v>
      </c>
      <c r="BU58" s="12">
        <f>IF(Y58="","",MAX(0,MAX(0,MIN(1,(((IF(Статистика!$C$4="Параллельный режим (активная мощность)",AB58,AM58)+Статистика!$J$4))-Статистика!$C$10)/MAX(Статистика!$G$10-Статистика!$C$10,0.000001)))-MAX(0,MIN(1,(((IF(Статистика!$C$4="Параллельный режим (активная мощность)",Z58,AK58)+Статистика!$J$4))-Статистика!$C$10)/MAX(Статистика!$G$10-Статистика!$C$10,0.000001)))))</f>
        <v>3.7922984000000159E-2</v>
      </c>
      <c r="BV58" s="12">
        <f>IF(Y58="","",MAX(0,MAX(0,MIN(1,(((IF(Статистика!$C$4="Параллельный режим (активная мощность)",AC58,AN58)+Статистика!$J$4))-Статистика!$C$10)/MAX(Статистика!$G$10-Статистика!$C$10,0.000001)))-MAX(0,MIN(1,(((IF(Статистика!$C$4="Параллельный режим (активная мощность)",AB58,AM58)+Статистика!$J$4))-Статистика!$C$10)/MAX(Статистика!$G$10-Статистика!$C$10,0.000001)))))</f>
        <v>9.0272042777777284E-2</v>
      </c>
      <c r="BW58" s="12">
        <f>IF(Y58="","",MAX(0,MAX(0,MIN(1,(((IF(Статистика!$C$4="Параллельный режим (активная мощность)",AD58,AO58)+Статистика!$J$4))-Статистика!$C$10)/MAX(Статистика!$G$10-Статистика!$C$10,0.000001)))-MAX(0,MIN(1,(((IF(Статистика!$C$4="Параллельный режим (активная мощность)",AC58,AN58)+Статистика!$J$4))-Статистика!$C$10)/MAX(Статистика!$G$10-Статистика!$C$10,0.000001)))))</f>
        <v>5.9502719444444407E-2</v>
      </c>
      <c r="BX58" s="12">
        <f>IF(Y58="","",MAX(0,MAX(0,MIN(1,(((IF(Статистика!$C$4="Параллельный режим (активная мощность)",AE58,AP58)+Статистика!$J$4))-Статистика!$C$10)/MAX(Статистика!$G$10-Статистика!$C$10,0.000001)))-MAX(0,MIN(1,(((IF(Статистика!$C$4="Параллельный режим (активная мощность)",AD58,AO58)+Статистика!$J$4))-Статистика!$C$10)/MAX(Статистика!$G$10-Статистика!$C$10,0.000001)))))</f>
        <v>9.1011405555556202E-2</v>
      </c>
      <c r="BY58" s="12">
        <f>IF(Y58="","",MAX(0,MAX(0,MIN(1,(((IF(Статистика!$C$4="Параллельный режим (активная мощность)",AF58,AQ58)+Статистика!$J$4))-Статистика!$C$10)/MAX(Статистика!$G$10-Статистика!$C$10,0.000001)))-MAX(0,MIN(1,(((IF(Статистика!$C$4="Параллельный режим (активная мощность)",AE58,AP58)+Статистика!$J$4))-Статистика!$C$10)/MAX(Статистика!$G$10-Статистика!$C$10,0.000001)))))</f>
        <v>0.15094710944444401</v>
      </c>
      <c r="BZ58" s="12">
        <f>IF(Y58="","",MAX(0,MAX(0,MIN(1,(((IF(Статистика!$C$4="Параллельный режим (активная мощность)",AH58,AS58)+Статистика!$J$4))-Статистика!$C$10)/MAX(Статистика!$G$10-Статистика!$C$10,0.000001)))-MAX(0,MIN(1,(((IF(Статистика!$C$4="Параллельный режим (активная мощность)",AF58,AQ58)+Статистика!$J$4))-Статистика!$C$10)/MAX(Статистика!$G$10-Статистика!$C$10,0.000001)))))</f>
        <v>8.7495265000003819E-3</v>
      </c>
      <c r="CA58" s="12">
        <f>IF(Y58="","",MAX(0,1-MAX(0,MIN(1,(((IF(Статистика!$C$4="Параллельный режим (активная мощность)",AH58,AS58)+Статистика!$J$4))-Статистика!$C$10)/MAX(Статистика!$G$10-Статистика!$C$10,0.000001)))))</f>
        <v>0.14155375849999963</v>
      </c>
      <c r="CB58" s="12">
        <f>IF(Y58="",NA(),IF(Статистика!$B$8="Вкл",(((IF(Статистика!$C$4="Параллельный режим (активная мощность)",AD58,AO58)+Статистика!$J$4))-Статистика!$C$10)/MAX(Статистика!$G$10-Статистика!$C$10,0.000001),NA()))</f>
        <v>0.60773819999999978</v>
      </c>
      <c r="CC58" s="12">
        <f>IF(Y58="",NA(),IF(Статистика!$D$8="Вкл",(((IF(Статистика!$C$4="Параллельный режим (активная мощность)",AC58,AN58)+Статистика!$J$4))-Статистика!$C$10)/MAX(Статистика!$G$10-Статистика!$C$10,0.000001),NA()))</f>
        <v>0.54823548055555538</v>
      </c>
      <c r="CD58" s="12">
        <f>IF(Y58="",NA(),IF(Статистика!$D$8="Вкл",(((IF(Статистика!$C$4="Параллельный режим (активная мощность)",AE58,AP58)+Статистика!$J$4))-Статистика!$C$10)/MAX(Статистика!$G$10-Статистика!$C$10,0.000001),NA()))</f>
        <v>0.69874960555555599</v>
      </c>
      <c r="CE58" s="12">
        <f>IF(Y58="",NA(),IF(Статистика!$F$8="Вкл",(((IF(Статистика!$C$4="Параллельный режим (активная мощность)",AB58,AM58)+Статистика!$J$4))-Статистика!$C$10)/MAX(Статистика!$G$10-Статистика!$C$10,0.000001),NA()))</f>
        <v>0.45796343777777809</v>
      </c>
      <c r="CF58" s="12">
        <f>IF(Y58="",NA(),IF(Статистика!$F$8="Вкл",(((IF(Статистика!$C$4="Параллельный режим (активная мощность)",AF58,AQ58)+Статистика!$J$4))-Статистика!$C$10)/MAX(Статистика!$G$10-Статистика!$C$10,0.000001),NA()))</f>
        <v>0.84969671499999999</v>
      </c>
      <c r="CG58" s="12">
        <f>IF(Y58="",NA(),IF(Статистика!$H$8="Вкл",(((IF(Статистика!$C$4="Параллельный режим (активная мощность)",Z58,AK58)+Статистика!$J$4))-Статистика!$C$10)/MAX(Статистика!$G$10-Статистика!$C$10,0.000001),NA()))</f>
        <v>0.42004045377777793</v>
      </c>
      <c r="CH58" s="12">
        <f>IF(Y58="",NA(),IF(Статистика!$H$8="Вкл",(((IF(Статистика!$C$4="Параллельный режим (активная мощность)",AH58,AS58)+Статистика!$J$4))-Статистика!$C$10)/MAX(Статистика!$G$10-Статистика!$C$10,0.000001),NA()))</f>
        <v>0.85844624150000037</v>
      </c>
      <c r="CI58" s="12" t="e">
        <f>IF(Y58="",NA(),IF(Статистика!$J$8="Вкл",(((IF(Статистика!$C$4="Параллельный режим (активная мощность)",AI58,AT58)+Статистика!$J$4))-Статистика!$C$10)/MAX(Статистика!$G$10-Статистика!$C$10,0.000001),NA()))</f>
        <v>#N/A</v>
      </c>
      <c r="CJ58" s="12" t="e">
        <f>IF(AND(Y58&lt;&gt;"",Статистика!$C$6="Вкл",Статистика!$B$6&gt;0),(Статистика!$B$6-Статистика!$C$10)/MAX(Статистика!$G$10-Статистика!$C$10,0.000001),NA())</f>
        <v>#N/A</v>
      </c>
      <c r="CK58" s="12" t="e">
        <f>IF(AND(Y58&lt;&gt;"",Статистика!$F$6="Вкл",Статистика!$E$6&gt;0),(Статистика!$E$6-Статистика!$C$10)/MAX(Статистика!$G$10-Статистика!$C$10,0.000001),NA())</f>
        <v>#N/A</v>
      </c>
      <c r="CL58" s="12" t="e">
        <f>IF(AND(Y58&lt;&gt;"",Статистика!$I$6="Вкл",Статистика!$H$6&gt;0),(Статистика!$H$6-Статистика!$C$10)/MAX(Статистика!$G$10-Статистика!$C$10,0.000001),NA())</f>
        <v>#N/A</v>
      </c>
      <c r="CM58" s="12" t="e">
        <f>IF(AND(Y58&lt;&gt;"",Статистика!$L$6="Вкл",Статистика!$K$6&gt;0),(Статистика!$K$6-Статистика!$C$10)/MAX(Статистика!$G$10-Статистика!$C$10,0.000001),NA())</f>
        <v>#N/A</v>
      </c>
      <c r="CN58" s="12" t="e">
        <f>IF(AND(Y58&lt;&gt;"",Статистика!$M$6="Вкл",Статистика!$O$6&gt;0),(Статистика!$O$6-Статистика!$C$10)/MAX(Статистика!$G$10-Статистика!$C$10,0.000001),NA())</f>
        <v>#N/A</v>
      </c>
      <c r="CO58" s="12">
        <f t="shared" si="1"/>
        <v>1</v>
      </c>
    </row>
    <row r="59" spans="1:93" ht="15" customHeight="1">
      <c r="A59" s="12" t="s">
        <v>291</v>
      </c>
      <c r="B59" s="12">
        <v>2331.9193011666666</v>
      </c>
      <c r="C59" s="12">
        <v>5783.2611725000006</v>
      </c>
      <c r="D59" s="12">
        <v>7452.4916916666662</v>
      </c>
      <c r="E59" s="12">
        <v>7614.4330416666662</v>
      </c>
      <c r="F59" s="12">
        <v>7773.5018333333346</v>
      </c>
      <c r="G59" s="12">
        <v>7975.3968500000001</v>
      </c>
      <c r="H59" s="12">
        <v>8306.7450183333331</v>
      </c>
      <c r="I59" s="12">
        <v>8339.7200316666676</v>
      </c>
      <c r="J59" s="12">
        <v>8404.8280863333348</v>
      </c>
      <c r="K59" s="12">
        <v>8498.36</v>
      </c>
      <c r="L59" s="12" t="s">
        <v>292</v>
      </c>
      <c r="M59" s="12">
        <v>2895.1540431666667</v>
      </c>
      <c r="N59" s="12">
        <v>6646.6920825000016</v>
      </c>
      <c r="O59" s="12">
        <v>8517.4919916666677</v>
      </c>
      <c r="P59" s="12">
        <v>8775.8403166666685</v>
      </c>
      <c r="Q59" s="12">
        <v>8942.1699666666664</v>
      </c>
      <c r="R59" s="12">
        <v>9137.8476333333347</v>
      </c>
      <c r="S59" s="12">
        <v>9451.5244266666668</v>
      </c>
      <c r="T59" s="12">
        <v>9504.8684691666676</v>
      </c>
      <c r="U59" s="12">
        <v>9531.8414271666661</v>
      </c>
      <c r="V59" s="12">
        <v>9642.81</v>
      </c>
      <c r="W59" s="12" t="s">
        <v>293</v>
      </c>
      <c r="Y59" s="12" t="s">
        <v>291</v>
      </c>
      <c r="Z59" s="12">
        <v>7255.9798201666654</v>
      </c>
      <c r="AA59" s="12">
        <v>7312.1151008333327</v>
      </c>
      <c r="AB59" s="12">
        <v>7382.2842016666664</v>
      </c>
      <c r="AC59" s="12">
        <v>7647.9836000000005</v>
      </c>
      <c r="AD59" s="12">
        <v>7776.1195000000007</v>
      </c>
      <c r="AE59" s="12">
        <v>8059.5606499999994</v>
      </c>
      <c r="AF59" s="12">
        <v>8562.772476666667</v>
      </c>
      <c r="AG59" s="12">
        <v>8580.9416716666674</v>
      </c>
      <c r="AH59" s="12">
        <v>8595.4770276666677</v>
      </c>
      <c r="AI59" s="12">
        <v>8689.1</v>
      </c>
      <c r="AJ59" s="12" t="s">
        <v>294</v>
      </c>
      <c r="AK59" s="12">
        <v>8323.2850386666669</v>
      </c>
      <c r="AL59" s="12">
        <v>8380.45946</v>
      </c>
      <c r="AM59" s="12">
        <v>8451.9274866666656</v>
      </c>
      <c r="AN59" s="12">
        <v>8695.0059333333338</v>
      </c>
      <c r="AO59" s="12">
        <v>8846.72595</v>
      </c>
      <c r="AP59" s="12">
        <v>9216.4197499999991</v>
      </c>
      <c r="AQ59" s="12">
        <v>9726.5238366666672</v>
      </c>
      <c r="AR59" s="12">
        <v>9733.9490016666659</v>
      </c>
      <c r="AS59" s="12">
        <v>9739.8891336666657</v>
      </c>
      <c r="AT59" s="12">
        <v>9845.85</v>
      </c>
      <c r="AU59" s="12" t="s">
        <v>294</v>
      </c>
      <c r="AW59" s="12">
        <f>IF(A59="","",MAX(0,MIN(1,(((IF(Статистика!$C$4="Параллельный режим (активная мощность)",B59,M59)+Статистика!$J$4))-Статистика!$C$10)/MAX(Статистика!$G$10-Статистика!$C$10,0.000001))))</f>
        <v>0</v>
      </c>
      <c r="AX59" s="12">
        <f>IF(A59="","",MAX(0,MAX(0,MIN(1,(((IF(Статистика!$C$4="Параллельный режим (активная мощность)",D59,O59)+Статистика!$J$4))-Статистика!$C$10)/MAX(Статистика!$G$10-Статистика!$C$10,0.000001)))-MAX(0,MIN(1,(((IF(Статистика!$C$4="Параллельный режим (активная мощность)",B59,M59)+Статистика!$J$4))-Статистика!$C$10)/MAX(Статистика!$G$10-Статистика!$C$10,0.000001)))))</f>
        <v>0.48416389722222203</v>
      </c>
      <c r="AY59" s="12">
        <f>IF(A59="","",MAX(0,MAX(0,MIN(1,(((IF(Статистика!$C$4="Параллельный режим (активная мощность)",E59,P59)+Статистика!$J$4))-Статистика!$C$10)/MAX(Статистика!$G$10-Статистика!$C$10,0.000001)))-MAX(0,MIN(1,(((IF(Статистика!$C$4="Параллельный режим (активная мощность)",D59,O59)+Статистика!$J$4))-Статистика!$C$10)/MAX(Статистика!$G$10-Статистика!$C$10,0.000001)))))</f>
        <v>5.3980450000000013E-2</v>
      </c>
      <c r="AZ59" s="12">
        <f>IF(A59="","",MAX(0,MAX(0,MIN(1,(((IF(Статистика!$C$4="Параллельный режим (активная мощность)",F59,Q59)+Статистика!$J$4))-Статистика!$C$10)/MAX(Статистика!$G$10-Статистика!$C$10,0.000001)))-MAX(0,MIN(1,(((IF(Статистика!$C$4="Параллельный режим (активная мощность)",E59,P59)+Статистика!$J$4))-Статистика!$C$10)/MAX(Статистика!$G$10-Статистика!$C$10,0.000001)))))</f>
        <v>5.302293055555618E-2</v>
      </c>
      <c r="BA59" s="12">
        <f>IF(A59="","",MAX(0,MAX(0,MIN(1,(((IF(Статистика!$C$4="Параллельный режим (активная мощность)",G59,R59)+Статистика!$J$4))-Статистика!$C$10)/MAX(Статистика!$G$10-Статистика!$C$10,0.000001)))-MAX(0,MIN(1,(((IF(Статистика!$C$4="Параллельный режим (активная мощность)",F59,Q59)+Статистика!$J$4))-Статистика!$C$10)/MAX(Статистика!$G$10-Статистика!$C$10,0.000001)))))</f>
        <v>6.7298338888888476E-2</v>
      </c>
      <c r="BB59" s="12">
        <f>IF(A59="","",MAX(0,MAX(0,MIN(1,(((IF(Статистика!$C$4="Параллельный режим (активная мощность)",H59,S59)+Статистика!$J$4))-Статистика!$C$10)/MAX(Статистика!$G$10-Статистика!$C$10,0.000001)))-MAX(0,MIN(1,(((IF(Статистика!$C$4="Параллельный режим (активная мощность)",G59,R59)+Статистика!$J$4))-Статистика!$C$10)/MAX(Статистика!$G$10-Статистика!$C$10,0.000001)))))</f>
        <v>0.11044938944444438</v>
      </c>
      <c r="BC59" s="12">
        <f>IF(A59="","",MAX(0,MAX(0,MIN(1,(((IF(Статистика!$C$4="Параллельный режим (активная мощность)",J59,U59)+Статистика!$J$4))-Статистика!$C$10)/MAX(Статистика!$G$10-Статистика!$C$10,0.000001)))-MAX(0,MIN(1,(((IF(Статистика!$C$4="Параллельный режим (активная мощность)",H59,S59)+Статистика!$J$4))-Статистика!$C$10)/MAX(Статистика!$G$10-Статистика!$C$10,0.000001)))))</f>
        <v>3.269435600000048E-2</v>
      </c>
      <c r="BD59" s="12">
        <f>IF(A59="","",MAX(0,1-MAX(0,MIN(1,(((IF(Статистика!$C$4="Параллельный режим (активная мощность)",J59,U59)+Статистика!$J$4))-Статистика!$C$10)/MAX(Статистика!$G$10-Статистика!$C$10,0.000001)))))</f>
        <v>0.19839063788888844</v>
      </c>
      <c r="BE59" s="12">
        <f>IF(A59="",NA(),IF(Статистика!$B$8="Вкл",(((IF(Статистика!$C$4="Параллельный режим (активная мощность)",F59,Q59)+Статистика!$J$4))-Статистика!$C$10)/MAX(Статистика!$G$10-Статистика!$C$10,0.000001),NA()))</f>
        <v>0.59116727777777822</v>
      </c>
      <c r="BF59" s="12">
        <f>IF(A59="",NA(),IF(Статистика!$D$8="Вкл",(((IF(Статистика!$C$4="Параллельный режим (активная мощность)",E59,P59)+Статистика!$J$4))-Статистика!$C$10)/MAX(Статистика!$G$10-Статистика!$C$10,0.000001),NA()))</f>
        <v>0.53814434722222204</v>
      </c>
      <c r="BG59" s="12">
        <f>IF(A59="",NA(),IF(Статистика!$D$8="Вкл",(((IF(Статистика!$C$4="Параллельный режим (активная мощность)",G59,R59)+Статистика!$J$4))-Статистика!$C$10)/MAX(Статистика!$G$10-Статистика!$C$10,0.000001),NA()))</f>
        <v>0.6584656166666667</v>
      </c>
      <c r="BH59" s="12">
        <f>IF(A59="",NA(),IF(Статистика!$F$8="Вкл",(((IF(Статистика!$C$4="Параллельный режим (активная мощность)",D59,O59)+Статистика!$J$4))-Статистика!$C$10)/MAX(Статистика!$G$10-Статистика!$C$10,0.000001),NA()))</f>
        <v>0.48416389722222203</v>
      </c>
      <c r="BI59" s="12">
        <f>IF(A59="",NA(),IF(Статистика!$F$8="Вкл",(((IF(Статистика!$C$4="Параллельный режим (активная мощность)",H59,S59)+Статистика!$J$4))-Статистика!$C$10)/MAX(Статистика!$G$10-Статистика!$C$10,0.000001),NA()))</f>
        <v>0.76891500611111108</v>
      </c>
      <c r="BJ59" s="12">
        <f>IF(A59="",NA(),IF(Статистика!$H$8="Вкл",(((IF(Статистика!$C$4="Параллельный режим (активная мощность)",B59,M59)+Статистика!$J$4))-Статистика!$C$10)/MAX(Статистика!$G$10-Статистика!$C$10,0.000001),NA()))</f>
        <v>-1.2226935662777778</v>
      </c>
      <c r="BK59" s="12">
        <f>IF(A59="",NA(),IF(Статистика!$H$8="Вкл",(((IF(Статистика!$C$4="Параллельный режим (активная мощность)",J59,U59)+Статистика!$J$4))-Статистика!$C$10)/MAX(Статистика!$G$10-Статистика!$C$10,0.000001),NA()))</f>
        <v>0.80160936211111156</v>
      </c>
      <c r="BL59" s="12" t="e">
        <f>IF(A59="",NA(),IF(Статистика!$J$8="Вкл",(((IF(Статистика!$C$4="Параллельный режим (активная мощность)",K59,V59)+Статистика!$J$4))-Статистика!$C$10)/MAX(Статистика!$G$10-Статистика!$C$10,0.000001),NA()))</f>
        <v>#N/A</v>
      </c>
      <c r="BM59" s="12" t="e">
        <f>IF(AND(A59&lt;&gt;"",Статистика!$C$6="Вкл",Статистика!$B$6&gt;0),(Статистика!$B$6-Статистика!$C$10)/MAX(Статистика!$G$10-Статистика!$C$10,0.000001),NA())</f>
        <v>#N/A</v>
      </c>
      <c r="BN59" s="12" t="e">
        <f>IF(AND(A59&lt;&gt;"",Статистика!$F$6="Вкл",Статистика!$E$6&gt;0),(Статистика!$E$6-Статистика!$C$10)/MAX(Статистика!$G$10-Статистика!$C$10,0.000001),NA())</f>
        <v>#N/A</v>
      </c>
      <c r="BO59" s="12" t="e">
        <f>IF(AND(A59&lt;&gt;"",Статистика!$I$6="Вкл",Статистика!$H$6&gt;0),(Статистика!$H$6-Статистика!$C$10)/MAX(Статистика!$G$10-Статистика!$C$10,0.000001),NA())</f>
        <v>#N/A</v>
      </c>
      <c r="BP59" s="12" t="e">
        <f>IF(AND(A59&lt;&gt;"",Статистика!$L$6="Вкл",Статистика!$K$6&gt;0),(Статистика!$K$6-Статистика!$C$10)/MAX(Статистика!$G$10-Статистика!$C$10,0.000001),NA())</f>
        <v>#N/A</v>
      </c>
      <c r="BQ59" s="12" t="e">
        <f>IF(AND(A59&lt;&gt;"",Статистика!$M$6="Вкл",Статистика!$O$6&gt;0),(Статистика!$O$6-Статистика!$C$10)/MAX(Статистика!$G$10-Статистика!$C$10,0.000001),NA())</f>
        <v>#N/A</v>
      </c>
      <c r="BR59" s="12">
        <f t="shared" si="0"/>
        <v>1</v>
      </c>
      <c r="BT59" s="12">
        <f>IF(Y59="","",MAX(0,MIN(1,(((IF(Статистика!$C$4="Параллельный режим (активная мощность)",Z59,AK59)+Статистика!$J$4))-Статистика!$C$10)/MAX(Статистика!$G$10-Статистика!$C$10,0.000001))))</f>
        <v>0.41865994005555512</v>
      </c>
      <c r="BU59" s="12">
        <f>IF(Y59="","",MAX(0,MAX(0,MIN(1,(((IF(Статистика!$C$4="Параллельный режим (активная мощность)",AB59,AM59)+Статистика!$J$4))-Статистика!$C$10)/MAX(Статистика!$G$10-Статистика!$C$10,0.000001)))-MAX(0,MIN(1,(((IF(Статистика!$C$4="Параллельный режим (активная мощность)",Z59,AK59)+Статистика!$J$4))-Статистика!$C$10)/MAX(Статистика!$G$10-Статистика!$C$10,0.000001)))))</f>
        <v>4.2101460500000354E-2</v>
      </c>
      <c r="BV59" s="12">
        <f>IF(Y59="","",MAX(0,MAX(0,MIN(1,(((IF(Статистика!$C$4="Параллельный режим (активная мощность)",AC59,AN59)+Статистика!$J$4))-Статистика!$C$10)/MAX(Статистика!$G$10-Статистика!$C$10,0.000001)))-MAX(0,MIN(1,(((IF(Статистика!$C$4="Параллельный режим (активная мощность)",AB59,AM59)+Статистика!$J$4))-Статистика!$C$10)/MAX(Статистика!$G$10-Статистика!$C$10,0.000001)))))</f>
        <v>8.8566466111111297E-2</v>
      </c>
      <c r="BW59" s="12">
        <f>IF(Y59="","",MAX(0,MAX(0,MIN(1,(((IF(Статистика!$C$4="Параллельный режим (активная мощность)",AD59,AO59)+Статистика!$J$4))-Статистика!$C$10)/MAX(Статистика!$G$10-Статистика!$C$10,0.000001)))-MAX(0,MIN(1,(((IF(Статистика!$C$4="Параллельный режим (активная мощность)",AC59,AN59)+Статистика!$J$4))-Статистика!$C$10)/MAX(Статистика!$G$10-Статистика!$C$10,0.000001)))))</f>
        <v>4.2711966666666767E-2</v>
      </c>
      <c r="BX59" s="12">
        <f>IF(Y59="","",MAX(0,MAX(0,MIN(1,(((IF(Статистика!$C$4="Параллельный режим (активная мощность)",AE59,AP59)+Статистика!$J$4))-Статистика!$C$10)/MAX(Статистика!$G$10-Статистика!$C$10,0.000001)))-MAX(0,MIN(1,(((IF(Статистика!$C$4="Параллельный режим (активная мощность)",AD59,AO59)+Статистика!$J$4))-Статистика!$C$10)/MAX(Статистика!$G$10-Статистика!$C$10,0.000001)))))</f>
        <v>9.4480383333332973E-2</v>
      </c>
      <c r="BY59" s="12">
        <f>IF(Y59="","",MAX(0,MAX(0,MIN(1,(((IF(Статистика!$C$4="Параллельный режим (активная мощность)",AF59,AQ59)+Статистика!$J$4))-Статистика!$C$10)/MAX(Статистика!$G$10-Статистика!$C$10,0.000001)))-MAX(0,MIN(1,(((IF(Статистика!$C$4="Параллельный режим (активная мощность)",AE59,AP59)+Статистика!$J$4))-Статистика!$C$10)/MAX(Статистика!$G$10-Статистика!$C$10,0.000001)))))</f>
        <v>0.16773727555555584</v>
      </c>
      <c r="BZ59" s="12">
        <f>IF(Y59="","",MAX(0,MAX(0,MIN(1,(((IF(Статистика!$C$4="Параллельный режим (активная мощность)",AH59,AS59)+Статистика!$J$4))-Статистика!$C$10)/MAX(Статистика!$G$10-Статистика!$C$10,0.000001)))-MAX(0,MIN(1,(((IF(Статистика!$C$4="Параллельный режим (активная мощность)",AF59,AQ59)+Статистика!$J$4))-Статистика!$C$10)/MAX(Статистика!$G$10-Статистика!$C$10,0.000001)))))</f>
        <v>1.0901517000000194E-2</v>
      </c>
      <c r="CA59" s="12">
        <f>IF(Y59="","",MAX(0,1-MAX(0,MIN(1,(((IF(Статистика!$C$4="Параллельный режим (активная мощность)",AH59,AS59)+Статистика!$J$4))-Статистика!$C$10)/MAX(Статистика!$G$10-Статистика!$C$10,0.000001)))))</f>
        <v>0.13484099077777745</v>
      </c>
      <c r="CB59" s="12">
        <f>IF(Y59="",NA(),IF(Статистика!$B$8="Вкл",(((IF(Статистика!$C$4="Параллельный режим (активная мощность)",AD59,AO59)+Статистика!$J$4))-Статистика!$C$10)/MAX(Статистика!$G$10-Статистика!$C$10,0.000001),NA()))</f>
        <v>0.59203983333333354</v>
      </c>
      <c r="CC59" s="12">
        <f>IF(Y59="",NA(),IF(Статистика!$D$8="Вкл",(((IF(Статистика!$C$4="Параллельный режим (активная мощность)",AC59,AN59)+Статистика!$J$4))-Статистика!$C$10)/MAX(Статистика!$G$10-Статистика!$C$10,0.000001),NA()))</f>
        <v>0.54932786666666678</v>
      </c>
      <c r="CD59" s="12">
        <f>IF(Y59="",NA(),IF(Статистика!$D$8="Вкл",(((IF(Статистика!$C$4="Параллельный режим (активная мощность)",AE59,AP59)+Статистика!$J$4))-Статистика!$C$10)/MAX(Статистика!$G$10-Статистика!$C$10,0.000001),NA()))</f>
        <v>0.68652021666666652</v>
      </c>
      <c r="CE59" s="12">
        <f>IF(Y59="",NA(),IF(Статистика!$F$8="Вкл",(((IF(Статистика!$C$4="Параллельный режим (активная мощность)",AB59,AM59)+Статистика!$J$4))-Статистика!$C$10)/MAX(Статистика!$G$10-Статистика!$C$10,0.000001),NA()))</f>
        <v>0.46076140055555548</v>
      </c>
      <c r="CF59" s="12">
        <f>IF(Y59="",NA(),IF(Статистика!$F$8="Вкл",(((IF(Статистика!$C$4="Параллельный режим (активная мощность)",AF59,AQ59)+Статистика!$J$4))-Статистика!$C$10)/MAX(Статистика!$G$10-Статистика!$C$10,0.000001),NA()))</f>
        <v>0.85425749222222236</v>
      </c>
      <c r="CG59" s="12">
        <f>IF(Y59="",NA(),IF(Статистика!$H$8="Вкл",(((IF(Статистика!$C$4="Параллельный режим (активная мощность)",Z59,AK59)+Статистика!$J$4))-Статистика!$C$10)/MAX(Статистика!$G$10-Статистика!$C$10,0.000001),NA()))</f>
        <v>0.41865994005555512</v>
      </c>
      <c r="CH59" s="12">
        <f>IF(Y59="",NA(),IF(Статистика!$H$8="Вкл",(((IF(Статистика!$C$4="Параллельный режим (активная мощность)",AH59,AS59)+Статистика!$J$4))-Статистика!$C$10)/MAX(Статистика!$G$10-Статистика!$C$10,0.000001),NA()))</f>
        <v>0.86515900922222255</v>
      </c>
      <c r="CI59" s="12" t="e">
        <f>IF(Y59="",NA(),IF(Статистика!$J$8="Вкл",(((IF(Статистика!$C$4="Параллельный режим (активная мощность)",AI59,AT59)+Статистика!$J$4))-Статистика!$C$10)/MAX(Статистика!$G$10-Статистика!$C$10,0.000001),NA()))</f>
        <v>#N/A</v>
      </c>
      <c r="CJ59" s="12" t="e">
        <f>IF(AND(Y59&lt;&gt;"",Статистика!$C$6="Вкл",Статистика!$B$6&gt;0),(Статистика!$B$6-Статистика!$C$10)/MAX(Статистика!$G$10-Статистика!$C$10,0.000001),NA())</f>
        <v>#N/A</v>
      </c>
      <c r="CK59" s="12" t="e">
        <f>IF(AND(Y59&lt;&gt;"",Статистика!$F$6="Вкл",Статистика!$E$6&gt;0),(Статистика!$E$6-Статистика!$C$10)/MAX(Статистика!$G$10-Статистика!$C$10,0.000001),NA())</f>
        <v>#N/A</v>
      </c>
      <c r="CL59" s="12" t="e">
        <f>IF(AND(Y59&lt;&gt;"",Статистика!$I$6="Вкл",Статистика!$H$6&gt;0),(Статистика!$H$6-Статистика!$C$10)/MAX(Статистика!$G$10-Статистика!$C$10,0.000001),NA())</f>
        <v>#N/A</v>
      </c>
      <c r="CM59" s="12" t="e">
        <f>IF(AND(Y59&lt;&gt;"",Статистика!$L$6="Вкл",Статистика!$K$6&gt;0),(Статистика!$K$6-Статистика!$C$10)/MAX(Статистика!$G$10-Статистика!$C$10,0.000001),NA())</f>
        <v>#N/A</v>
      </c>
      <c r="CN59" s="12" t="e">
        <f>IF(AND(Y59&lt;&gt;"",Статистика!$M$6="Вкл",Статистика!$O$6&gt;0),(Статистика!$O$6-Статистика!$C$10)/MAX(Статистика!$G$10-Статистика!$C$10,0.000001),NA())</f>
        <v>#N/A</v>
      </c>
      <c r="CO59" s="12">
        <f t="shared" si="1"/>
        <v>1</v>
      </c>
    </row>
    <row r="60" spans="1:93" ht="15" customHeight="1">
      <c r="A60" s="12" t="s">
        <v>295</v>
      </c>
      <c r="B60" s="12">
        <v>2339.3218775</v>
      </c>
      <c r="C60" s="12">
        <v>5780.3629875000006</v>
      </c>
      <c r="D60" s="12">
        <v>7448.8732399999999</v>
      </c>
      <c r="E60" s="12">
        <v>7591.633425</v>
      </c>
      <c r="F60" s="12">
        <v>7798.6372666666666</v>
      </c>
      <c r="G60" s="12">
        <v>7988.5280083333328</v>
      </c>
      <c r="H60" s="12">
        <v>8270.9100216666666</v>
      </c>
      <c r="I60" s="12">
        <v>8310.7643641666673</v>
      </c>
      <c r="J60" s="12">
        <v>8392.051886166666</v>
      </c>
      <c r="K60" s="12">
        <v>8485.9699999999993</v>
      </c>
      <c r="L60" s="12" t="s">
        <v>296</v>
      </c>
      <c r="M60" s="12">
        <v>2897.5918380000003</v>
      </c>
      <c r="N60" s="12">
        <v>6649.0575900000022</v>
      </c>
      <c r="O60" s="12">
        <v>8480.6605350000009</v>
      </c>
      <c r="P60" s="12">
        <v>8770.4655583333333</v>
      </c>
      <c r="Q60" s="12">
        <v>8971.8955333333324</v>
      </c>
      <c r="R60" s="12">
        <v>9135.3612749999993</v>
      </c>
      <c r="S60" s="12">
        <v>9417.4254799999981</v>
      </c>
      <c r="T60" s="12">
        <v>9470.647813333333</v>
      </c>
      <c r="U60" s="12">
        <v>9474.6810559999994</v>
      </c>
      <c r="V60" s="12">
        <v>9613.2199999999993</v>
      </c>
      <c r="W60" s="12" t="s">
        <v>297</v>
      </c>
      <c r="Y60" s="12" t="s">
        <v>295</v>
      </c>
      <c r="Z60" s="12">
        <v>7226.3380429999997</v>
      </c>
      <c r="AA60" s="12">
        <v>7287.3900816666664</v>
      </c>
      <c r="AB60" s="12">
        <v>7363.7051300000003</v>
      </c>
      <c r="AC60" s="12">
        <v>7625.1440166666653</v>
      </c>
      <c r="AD60" s="12">
        <v>7799.6236833333332</v>
      </c>
      <c r="AE60" s="12">
        <v>8061.6325916666656</v>
      </c>
      <c r="AF60" s="12">
        <v>8537.0681299999978</v>
      </c>
      <c r="AG60" s="12">
        <v>8574.5324983333321</v>
      </c>
      <c r="AH60" s="12">
        <v>8604.5039929999984</v>
      </c>
      <c r="AI60" s="12">
        <v>8772.5300000000007</v>
      </c>
      <c r="AJ60" s="12" t="s">
        <v>298</v>
      </c>
      <c r="AK60" s="12">
        <v>8276.8434184999987</v>
      </c>
      <c r="AL60" s="12">
        <v>8342.2970924999991</v>
      </c>
      <c r="AM60" s="12">
        <v>8424.1141850000004</v>
      </c>
      <c r="AN60" s="12">
        <v>8691.4559333333345</v>
      </c>
      <c r="AO60" s="12">
        <v>8872.8788499999991</v>
      </c>
      <c r="AP60" s="12">
        <v>9198.3477500000008</v>
      </c>
      <c r="AQ60" s="12">
        <v>9690.3517016666665</v>
      </c>
      <c r="AR60" s="12">
        <v>9717.9084341666676</v>
      </c>
      <c r="AS60" s="12">
        <v>9739.9538201666674</v>
      </c>
      <c r="AT60" s="12">
        <v>9962.1299999999992</v>
      </c>
      <c r="AU60" s="12" t="s">
        <v>298</v>
      </c>
      <c r="AW60" s="12">
        <f>IF(A60="","",MAX(0,MIN(1,(((IF(Статистика!$C$4="Параллельный режим (активная мощность)",B60,M60)+Статистика!$J$4))-Статистика!$C$10)/MAX(Статистика!$G$10-Статистика!$C$10,0.000001))))</f>
        <v>0</v>
      </c>
      <c r="AX60" s="12">
        <f>IF(A60="","",MAX(0,MAX(0,MIN(1,(((IF(Статистика!$C$4="Параллельный режим (активная мощность)",D60,O60)+Статистика!$J$4))-Статистика!$C$10)/MAX(Статистика!$G$10-Статистика!$C$10,0.000001)))-MAX(0,MIN(1,(((IF(Статистика!$C$4="Параллельный режим (активная мощность)",B60,M60)+Статистика!$J$4))-Статистика!$C$10)/MAX(Статистика!$G$10-Статистика!$C$10,0.000001)))))</f>
        <v>0.48295774666666663</v>
      </c>
      <c r="AY60" s="12">
        <f>IF(A60="","",MAX(0,MAX(0,MIN(1,(((IF(Статистика!$C$4="Параллельный режим (активная мощность)",E60,P60)+Статистика!$J$4))-Статистика!$C$10)/MAX(Статистика!$G$10-Статистика!$C$10,0.000001)))-MAX(0,MIN(1,(((IF(Статистика!$C$4="Параллельный режим (активная мощность)",D60,O60)+Статистика!$J$4))-Статистика!$C$10)/MAX(Статистика!$G$10-Статистика!$C$10,0.000001)))))</f>
        <v>4.7586728333333383E-2</v>
      </c>
      <c r="AZ60" s="12">
        <f>IF(A60="","",MAX(0,MAX(0,MIN(1,(((IF(Статистика!$C$4="Параллельный режим (активная мощность)",F60,Q60)+Статистика!$J$4))-Статистика!$C$10)/MAX(Статистика!$G$10-Статистика!$C$10,0.000001)))-MAX(0,MIN(1,(((IF(Статистика!$C$4="Параллельный режим (активная мощность)",E60,P60)+Статистика!$J$4))-Статистика!$C$10)/MAX(Статистика!$G$10-Статистика!$C$10,0.000001)))))</f>
        <v>6.9001280555555544E-2</v>
      </c>
      <c r="BA60" s="12">
        <f>IF(A60="","",MAX(0,MAX(0,MIN(1,(((IF(Статистика!$C$4="Параллельный режим (активная мощность)",G60,R60)+Статистика!$J$4))-Статистика!$C$10)/MAX(Статистика!$G$10-Статистика!$C$10,0.000001)))-MAX(0,MIN(1,(((IF(Статистика!$C$4="Параллельный режим (активная мощность)",F60,Q60)+Статистика!$J$4))-Статистика!$C$10)/MAX(Статистика!$G$10-Статистика!$C$10,0.000001)))))</f>
        <v>6.3296913888888695E-2</v>
      </c>
      <c r="BB60" s="12">
        <f>IF(A60="","",MAX(0,MAX(0,MIN(1,(((IF(Статистика!$C$4="Параллельный режим (активная мощность)",H60,S60)+Статистика!$J$4))-Статистика!$C$10)/MAX(Статистика!$G$10-Статистика!$C$10,0.000001)))-MAX(0,MIN(1,(((IF(Статистика!$C$4="Параллельный режим (активная мощность)",G60,R60)+Статистика!$J$4))-Статистика!$C$10)/MAX(Статистика!$G$10-Статистика!$C$10,0.000001)))))</f>
        <v>9.4127337777777931E-2</v>
      </c>
      <c r="BC60" s="12">
        <f>IF(A60="","",MAX(0,MAX(0,MIN(1,(((IF(Статистика!$C$4="Параллельный режим (активная мощность)",J60,U60)+Статистика!$J$4))-Статистика!$C$10)/MAX(Статистика!$G$10-Статистика!$C$10,0.000001)))-MAX(0,MIN(1,(((IF(Статистика!$C$4="Параллельный режим (активная мощность)",H60,S60)+Статистика!$J$4))-Статистика!$C$10)/MAX(Статистика!$G$10-Статистика!$C$10,0.000001)))))</f>
        <v>4.0380621499999769E-2</v>
      </c>
      <c r="BD60" s="12">
        <f>IF(A60="","",MAX(0,1-MAX(0,MIN(1,(((IF(Статистика!$C$4="Параллельный режим (активная мощность)",J60,U60)+Статистика!$J$4))-Статистика!$C$10)/MAX(Статистика!$G$10-Статистика!$C$10,0.000001)))))</f>
        <v>0.20264937127777805</v>
      </c>
      <c r="BE60" s="12">
        <f>IF(A60="",NA(),IF(Статистика!$B$8="Вкл",(((IF(Статистика!$C$4="Параллельный режим (активная мощность)",F60,Q60)+Статистика!$J$4))-Статистика!$C$10)/MAX(Статистика!$G$10-Статистика!$C$10,0.000001),NA()))</f>
        <v>0.59954575555555556</v>
      </c>
      <c r="BF60" s="12">
        <f>IF(A60="",NA(),IF(Статистика!$D$8="Вкл",(((IF(Статистика!$C$4="Параллельный режим (активная мощность)",E60,P60)+Статистика!$J$4))-Статистика!$C$10)/MAX(Статистика!$G$10-Статистика!$C$10,0.000001),NA()))</f>
        <v>0.53054447500000002</v>
      </c>
      <c r="BG60" s="12">
        <f>IF(A60="",NA(),IF(Статистика!$D$8="Вкл",(((IF(Статистика!$C$4="Параллельный режим (активная мощность)",G60,R60)+Статистика!$J$4))-Статистика!$C$10)/MAX(Статистика!$G$10-Статистика!$C$10,0.000001),NA()))</f>
        <v>0.66284266944444425</v>
      </c>
      <c r="BH60" s="12">
        <f>IF(A60="",NA(),IF(Статистика!$F$8="Вкл",(((IF(Статистика!$C$4="Параллельный режим (активная мощность)",D60,O60)+Статистика!$J$4))-Статистика!$C$10)/MAX(Статистика!$G$10-Статистика!$C$10,0.000001),NA()))</f>
        <v>0.48295774666666663</v>
      </c>
      <c r="BI60" s="12">
        <f>IF(A60="",NA(),IF(Статистика!$F$8="Вкл",(((IF(Статистика!$C$4="Параллельный режим (активная мощность)",H60,S60)+Статистика!$J$4))-Статистика!$C$10)/MAX(Статистика!$G$10-Статистика!$C$10,0.000001),NA()))</f>
        <v>0.75697000722222219</v>
      </c>
      <c r="BJ60" s="12">
        <f>IF(A60="",NA(),IF(Статистика!$H$8="Вкл",(((IF(Статистика!$C$4="Параллельный режим (активная мощность)",B60,M60)+Статистика!$J$4))-Статистика!$C$10)/MAX(Статистика!$G$10-Статистика!$C$10,0.000001),NA()))</f>
        <v>-1.2202260408333334</v>
      </c>
      <c r="BK60" s="12">
        <f>IF(A60="",NA(),IF(Статистика!$H$8="Вкл",(((IF(Статистика!$C$4="Параллельный режим (активная мощность)",J60,U60)+Статистика!$J$4))-Статистика!$C$10)/MAX(Статистика!$G$10-Статистика!$C$10,0.000001),NA()))</f>
        <v>0.79735062872222195</v>
      </c>
      <c r="BL60" s="12" t="e">
        <f>IF(A60="",NA(),IF(Статистика!$J$8="Вкл",(((IF(Статистика!$C$4="Параллельный режим (активная мощность)",K60,V60)+Статистика!$J$4))-Статистика!$C$10)/MAX(Статистика!$G$10-Статистика!$C$10,0.000001),NA()))</f>
        <v>#N/A</v>
      </c>
      <c r="BM60" s="12" t="e">
        <f>IF(AND(A60&lt;&gt;"",Статистика!$C$6="Вкл",Статистика!$B$6&gt;0),(Статистика!$B$6-Статистика!$C$10)/MAX(Статистика!$G$10-Статистика!$C$10,0.000001),NA())</f>
        <v>#N/A</v>
      </c>
      <c r="BN60" s="12" t="e">
        <f>IF(AND(A60&lt;&gt;"",Статистика!$F$6="Вкл",Статистика!$E$6&gt;0),(Статистика!$E$6-Статистика!$C$10)/MAX(Статистика!$G$10-Статистика!$C$10,0.000001),NA())</f>
        <v>#N/A</v>
      </c>
      <c r="BO60" s="12" t="e">
        <f>IF(AND(A60&lt;&gt;"",Статистика!$I$6="Вкл",Статистика!$H$6&gt;0),(Статистика!$H$6-Статистика!$C$10)/MAX(Статистика!$G$10-Статистика!$C$10,0.000001),NA())</f>
        <v>#N/A</v>
      </c>
      <c r="BP60" s="12" t="e">
        <f>IF(AND(A60&lt;&gt;"",Статистика!$L$6="Вкл",Статистика!$K$6&gt;0),(Статистика!$K$6-Статистика!$C$10)/MAX(Статистика!$G$10-Статистика!$C$10,0.000001),NA())</f>
        <v>#N/A</v>
      </c>
      <c r="BQ60" s="12" t="e">
        <f>IF(AND(A60&lt;&gt;"",Статистика!$M$6="Вкл",Статистика!$O$6&gt;0),(Статистика!$O$6-Статистика!$C$10)/MAX(Статистика!$G$10-Статистика!$C$10,0.000001),NA())</f>
        <v>#N/A</v>
      </c>
      <c r="BR60" s="12">
        <f t="shared" si="0"/>
        <v>1</v>
      </c>
      <c r="BT60" s="12">
        <f>IF(Y60="","",MAX(0,MIN(1,(((IF(Статистика!$C$4="Параллельный режим (активная мощность)",Z60,AK60)+Статистика!$J$4))-Статистика!$C$10)/MAX(Статистика!$G$10-Статистика!$C$10,0.000001))))</f>
        <v>0.40877934766666657</v>
      </c>
      <c r="BU60" s="12">
        <f>IF(Y60="","",MAX(0,MAX(0,MIN(1,(((IF(Статистика!$C$4="Параллельный режим (активная мощность)",AB60,AM60)+Статистика!$J$4))-Статистика!$C$10)/MAX(Статистика!$G$10-Статистика!$C$10,0.000001)))-MAX(0,MIN(1,(((IF(Статистика!$C$4="Параллельный режим (активная мощность)",Z60,AK60)+Статистика!$J$4))-Статистика!$C$10)/MAX(Статистика!$G$10-Статистика!$C$10,0.000001)))))</f>
        <v>4.5789029000000203E-2</v>
      </c>
      <c r="BV60" s="12">
        <f>IF(Y60="","",MAX(0,MAX(0,MIN(1,(((IF(Статистика!$C$4="Параллельный режим (активная мощность)",AC60,AN60)+Статистика!$J$4))-Статистика!$C$10)/MAX(Статистика!$G$10-Статистика!$C$10,0.000001)))-MAX(0,MIN(1,(((IF(Статистика!$C$4="Параллельный режим (активная мощность)",AB60,AM60)+Статистика!$J$4))-Статистика!$C$10)/MAX(Статистика!$G$10-Статистика!$C$10,0.000001)))))</f>
        <v>8.7146295555555031E-2</v>
      </c>
      <c r="BW60" s="12">
        <f>IF(Y60="","",MAX(0,MAX(0,MIN(1,(((IF(Статистика!$C$4="Параллельный режим (активная мощность)",AD60,AO60)+Статистика!$J$4))-Статистика!$C$10)/MAX(Статистика!$G$10-Статистика!$C$10,0.000001)))-MAX(0,MIN(1,(((IF(Статистика!$C$4="Параллельный режим (активная мощность)",AC60,AN60)+Статистика!$J$4))-Статистика!$C$10)/MAX(Статистика!$G$10-Статистика!$C$10,0.000001)))))</f>
        <v>5.8159888888889233E-2</v>
      </c>
      <c r="BX60" s="12">
        <f>IF(Y60="","",MAX(0,MAX(0,MIN(1,(((IF(Статистика!$C$4="Параллельный режим (активная мощность)",AE60,AP60)+Статистика!$J$4))-Статистика!$C$10)/MAX(Статистика!$G$10-Статистика!$C$10,0.000001)))-MAX(0,MIN(1,(((IF(Статистика!$C$4="Параллельный режим (активная мощность)",AD60,AO60)+Статистика!$J$4))-Статистика!$C$10)/MAX(Статистика!$G$10-Статистика!$C$10,0.000001)))))</f>
        <v>8.7336302777777486E-2</v>
      </c>
      <c r="BY60" s="12">
        <f>IF(Y60="","",MAX(0,MAX(0,MIN(1,(((IF(Статистика!$C$4="Параллельный режим (активная мощность)",AF60,AQ60)+Статистика!$J$4))-Статистика!$C$10)/MAX(Статистика!$G$10-Статистика!$C$10,0.000001)))-MAX(0,MIN(1,(((IF(Статистика!$C$4="Параллельный режим (активная мощность)",AE60,AP60)+Статистика!$J$4))-Статистика!$C$10)/MAX(Статистика!$G$10-Статистика!$C$10,0.000001)))))</f>
        <v>0.15847851277777747</v>
      </c>
      <c r="BZ60" s="12">
        <f>IF(Y60="","",MAX(0,MAX(0,MIN(1,(((IF(Статистика!$C$4="Параллельный режим (активная мощность)",AH60,AS60)+Статистика!$J$4))-Статистика!$C$10)/MAX(Статистика!$G$10-Статистика!$C$10,0.000001)))-MAX(0,MIN(1,(((IF(Статистика!$C$4="Параллельный режим (активная мощность)",AF60,AQ60)+Статистика!$J$4))-Статистика!$C$10)/MAX(Статистика!$G$10-Статистика!$C$10,0.000001)))))</f>
        <v>2.2478621000000198E-2</v>
      </c>
      <c r="CA60" s="12">
        <f>IF(Y60="","",MAX(0,1-MAX(0,MIN(1,(((IF(Статистика!$C$4="Параллельный режим (активная мощность)",AH60,AS60)+Статистика!$J$4))-Статистика!$C$10)/MAX(Статистика!$G$10-Статистика!$C$10,0.000001)))))</f>
        <v>0.13183200233333381</v>
      </c>
      <c r="CB60" s="12">
        <f>IF(Y60="",NA(),IF(Статистика!$B$8="Вкл",(((IF(Статистика!$C$4="Параллельный режим (активная мощность)",AD60,AO60)+Статистика!$J$4))-Статистика!$C$10)/MAX(Статистика!$G$10-Статистика!$C$10,0.000001),NA()))</f>
        <v>0.59987456111111104</v>
      </c>
      <c r="CC60" s="12">
        <f>IF(Y60="",NA(),IF(Статистика!$D$8="Вкл",(((IF(Статистика!$C$4="Параллельный режим (активная мощность)",AC60,AN60)+Статистика!$J$4))-Статистика!$C$10)/MAX(Статистика!$G$10-Статистика!$C$10,0.000001),NA()))</f>
        <v>0.5417146722222218</v>
      </c>
      <c r="CD60" s="12">
        <f>IF(Y60="",NA(),IF(Статистика!$D$8="Вкл",(((IF(Статистика!$C$4="Параллельный режим (активная мощность)",AE60,AP60)+Статистика!$J$4))-Статистика!$C$10)/MAX(Статистика!$G$10-Статистика!$C$10,0.000001),NA()))</f>
        <v>0.68721086388888852</v>
      </c>
      <c r="CE60" s="12">
        <f>IF(Y60="",NA(),IF(Статистика!$F$8="Вкл",(((IF(Статистика!$C$4="Параллельный режим (активная мощность)",AB60,AM60)+Статистика!$J$4))-Статистика!$C$10)/MAX(Статистика!$G$10-Статистика!$C$10,0.000001),NA()))</f>
        <v>0.45456837666666677</v>
      </c>
      <c r="CF60" s="12">
        <f>IF(Y60="",NA(),IF(Статистика!$F$8="Вкл",(((IF(Статистика!$C$4="Параллельный режим (активная мощность)",AF60,AQ60)+Статистика!$J$4))-Статистика!$C$10)/MAX(Статистика!$G$10-Статистика!$C$10,0.000001),NA()))</f>
        <v>0.84568937666666599</v>
      </c>
      <c r="CG60" s="12">
        <f>IF(Y60="",NA(),IF(Статистика!$H$8="Вкл",(((IF(Статистика!$C$4="Параллельный режим (активная мощность)",Z60,AK60)+Статистика!$J$4))-Статистика!$C$10)/MAX(Статистика!$G$10-Статистика!$C$10,0.000001),NA()))</f>
        <v>0.40877934766666657</v>
      </c>
      <c r="CH60" s="12">
        <f>IF(Y60="",NA(),IF(Статистика!$H$8="Вкл",(((IF(Статистика!$C$4="Параллельный режим (активная мощность)",AH60,AS60)+Статистика!$J$4))-Статистика!$C$10)/MAX(Статистика!$G$10-Статистика!$C$10,0.000001),NA()))</f>
        <v>0.86816799766666619</v>
      </c>
      <c r="CI60" s="12" t="e">
        <f>IF(Y60="",NA(),IF(Статистика!$J$8="Вкл",(((IF(Статистика!$C$4="Параллельный режим (активная мощность)",AI60,AT60)+Статистика!$J$4))-Статистика!$C$10)/MAX(Статистика!$G$10-Статистика!$C$10,0.000001),NA()))</f>
        <v>#N/A</v>
      </c>
      <c r="CJ60" s="12" t="e">
        <f>IF(AND(Y60&lt;&gt;"",Статистика!$C$6="Вкл",Статистика!$B$6&gt;0),(Статистика!$B$6-Статистика!$C$10)/MAX(Статистика!$G$10-Статистика!$C$10,0.000001),NA())</f>
        <v>#N/A</v>
      </c>
      <c r="CK60" s="12" t="e">
        <f>IF(AND(Y60&lt;&gt;"",Статистика!$F$6="Вкл",Статистика!$E$6&gt;0),(Статистика!$E$6-Статистика!$C$10)/MAX(Статистика!$G$10-Статистика!$C$10,0.000001),NA())</f>
        <v>#N/A</v>
      </c>
      <c r="CL60" s="12" t="e">
        <f>IF(AND(Y60&lt;&gt;"",Статистика!$I$6="Вкл",Статистика!$H$6&gt;0),(Статистика!$H$6-Статистика!$C$10)/MAX(Статистика!$G$10-Статистика!$C$10,0.000001),NA())</f>
        <v>#N/A</v>
      </c>
      <c r="CM60" s="12" t="e">
        <f>IF(AND(Y60&lt;&gt;"",Статистика!$L$6="Вкл",Статистика!$K$6&gt;0),(Статистика!$K$6-Статистика!$C$10)/MAX(Статистика!$G$10-Статистика!$C$10,0.000001),NA())</f>
        <v>#N/A</v>
      </c>
      <c r="CN60" s="12" t="e">
        <f>IF(AND(Y60&lt;&gt;"",Статистика!$M$6="Вкл",Статистика!$O$6&gt;0),(Статистика!$O$6-Статистика!$C$10)/MAX(Статистика!$G$10-Статистика!$C$10,0.000001),NA())</f>
        <v>#N/A</v>
      </c>
      <c r="CO60" s="12">
        <f t="shared" si="1"/>
        <v>1</v>
      </c>
    </row>
    <row r="61" spans="1:93" ht="15" customHeight="1">
      <c r="A61" s="12" t="s">
        <v>299</v>
      </c>
      <c r="B61" s="12">
        <v>2333.3260605</v>
      </c>
      <c r="C61" s="12">
        <v>5782.3201691666673</v>
      </c>
      <c r="D61" s="12">
        <v>7445.8551750000006</v>
      </c>
      <c r="E61" s="12">
        <v>7572.3098083333325</v>
      </c>
      <c r="F61" s="12">
        <v>7757.4041166666666</v>
      </c>
      <c r="G61" s="12">
        <v>7985.9175833333347</v>
      </c>
      <c r="H61" s="12">
        <v>8220.9170966666661</v>
      </c>
      <c r="I61" s="12">
        <v>8278.7366666666658</v>
      </c>
      <c r="J61" s="12">
        <v>8383.5194666666666</v>
      </c>
      <c r="K61" s="12">
        <v>8562.4500000000007</v>
      </c>
      <c r="L61" s="12" t="s">
        <v>300</v>
      </c>
      <c r="M61" s="12">
        <v>2884.6731245000005</v>
      </c>
      <c r="N61" s="12">
        <v>6655.7778891666685</v>
      </c>
      <c r="O61" s="12">
        <v>8472.2733800000005</v>
      </c>
      <c r="P61" s="12">
        <v>8749.9281333333329</v>
      </c>
      <c r="Q61" s="12">
        <v>8944.3493666666654</v>
      </c>
      <c r="R61" s="12">
        <v>9140.9690749999991</v>
      </c>
      <c r="S61" s="12">
        <v>9371.8873083333328</v>
      </c>
      <c r="T61" s="12">
        <v>9438.7806883333324</v>
      </c>
      <c r="U61" s="12">
        <v>9467.7692043333336</v>
      </c>
      <c r="V61" s="12">
        <v>9599.59</v>
      </c>
      <c r="W61" s="12" t="s">
        <v>300</v>
      </c>
      <c r="Y61" s="12" t="s">
        <v>299</v>
      </c>
      <c r="Z61" s="12">
        <v>7206.033496666666</v>
      </c>
      <c r="AA61" s="12">
        <v>7267.3458833333325</v>
      </c>
      <c r="AB61" s="12">
        <v>7343.9863666666661</v>
      </c>
      <c r="AC61" s="12">
        <v>7524.4050083333323</v>
      </c>
      <c r="AD61" s="12">
        <v>7764.9632500000007</v>
      </c>
      <c r="AE61" s="12">
        <v>8029.2316833333334</v>
      </c>
      <c r="AF61" s="12">
        <v>8490.7453166666655</v>
      </c>
      <c r="AG61" s="12">
        <v>8527.9184416666649</v>
      </c>
      <c r="AH61" s="12">
        <v>8557.6569416666662</v>
      </c>
      <c r="AI61" s="12">
        <v>8661.91</v>
      </c>
      <c r="AJ61" s="12" t="s">
        <v>301</v>
      </c>
      <c r="AK61" s="12">
        <v>8248.1253930000021</v>
      </c>
      <c r="AL61" s="12">
        <v>8311.3121650000012</v>
      </c>
      <c r="AM61" s="12">
        <v>8390.2956300000005</v>
      </c>
      <c r="AN61" s="12">
        <v>8626.4302333333344</v>
      </c>
      <c r="AO61" s="12">
        <v>8857.5833166666671</v>
      </c>
      <c r="AP61" s="12">
        <v>9167.1081583333325</v>
      </c>
      <c r="AQ61" s="12">
        <v>9614.9380183333324</v>
      </c>
      <c r="AR61" s="12">
        <v>9655.4383591666665</v>
      </c>
      <c r="AS61" s="12">
        <v>9687.8386318333323</v>
      </c>
      <c r="AT61" s="12">
        <v>9812.91</v>
      </c>
      <c r="AU61" s="12" t="s">
        <v>301</v>
      </c>
      <c r="AW61" s="12">
        <f>IF(A61="","",MAX(0,MIN(1,(((IF(Статистика!$C$4="Параллельный режим (активная мощность)",B61,M61)+Статистика!$J$4))-Статистика!$C$10)/MAX(Статистика!$G$10-Статистика!$C$10,0.000001))))</f>
        <v>0</v>
      </c>
      <c r="AX61" s="12">
        <f>IF(A61="","",MAX(0,MAX(0,MIN(1,(((IF(Статистика!$C$4="Параллельный режим (активная мощность)",D61,O61)+Статистика!$J$4))-Статистика!$C$10)/MAX(Статистика!$G$10-Статистика!$C$10,0.000001)))-MAX(0,MIN(1,(((IF(Статистика!$C$4="Параллельный режим (активная мощность)",B61,M61)+Статистика!$J$4))-Статистика!$C$10)/MAX(Статистика!$G$10-Статистика!$C$10,0.000001)))))</f>
        <v>0.48195172500000022</v>
      </c>
      <c r="AY61" s="12">
        <f>IF(A61="","",MAX(0,MAX(0,MIN(1,(((IF(Статистика!$C$4="Параллельный режим (активная мощность)",E61,P61)+Статистика!$J$4))-Статистика!$C$10)/MAX(Статистика!$G$10-Статистика!$C$10,0.000001)))-MAX(0,MIN(1,(((IF(Статистика!$C$4="Параллельный режим (активная мощность)",D61,O61)+Статистика!$J$4))-Статистика!$C$10)/MAX(Статистика!$G$10-Статистика!$C$10,0.000001)))))</f>
        <v>4.2151544444443967E-2</v>
      </c>
      <c r="AZ61" s="12">
        <f>IF(A61="","",MAX(0,MAX(0,MIN(1,(((IF(Статистика!$C$4="Параллельный режим (активная мощность)",F61,Q61)+Статистика!$J$4))-Статистика!$C$10)/MAX(Статистика!$G$10-Статистика!$C$10,0.000001)))-MAX(0,MIN(1,(((IF(Статистика!$C$4="Параллельный режим (активная мощность)",E61,P61)+Статистика!$J$4))-Статистика!$C$10)/MAX(Статистика!$G$10-Статистика!$C$10,0.000001)))))</f>
        <v>6.1698102777777986E-2</v>
      </c>
      <c r="BA61" s="12">
        <f>IF(A61="","",MAX(0,MAX(0,MIN(1,(((IF(Статистика!$C$4="Параллельный режим (активная мощность)",G61,R61)+Статистика!$J$4))-Статистика!$C$10)/MAX(Статистика!$G$10-Статистика!$C$10,0.000001)))-MAX(0,MIN(1,(((IF(Статистика!$C$4="Параллельный режим (активная мощность)",F61,Q61)+Статистика!$J$4))-Статистика!$C$10)/MAX(Статистика!$G$10-Статистика!$C$10,0.000001)))))</f>
        <v>7.6171155555556092E-2</v>
      </c>
      <c r="BB61" s="12">
        <f>IF(A61="","",MAX(0,MAX(0,MIN(1,(((IF(Статистика!$C$4="Параллельный режим (активная мощность)",H61,S61)+Статистика!$J$4))-Статистика!$C$10)/MAX(Статистика!$G$10-Статистика!$C$10,0.000001)))-MAX(0,MIN(1,(((IF(Статистика!$C$4="Параллельный режим (активная мощность)",G61,R61)+Статистика!$J$4))-Статистика!$C$10)/MAX(Статистика!$G$10-Статистика!$C$10,0.000001)))))</f>
        <v>7.8333171111110489E-2</v>
      </c>
      <c r="BC61" s="12">
        <f>IF(A61="","",MAX(0,MAX(0,MIN(1,(((IF(Статистика!$C$4="Параллельный режим (активная мощность)",J61,U61)+Статистика!$J$4))-Статистика!$C$10)/MAX(Статистика!$G$10-Статистика!$C$10,0.000001)))-MAX(0,MIN(1,(((IF(Статистика!$C$4="Параллельный режим (активная мощность)",H61,S61)+Статистика!$J$4))-Статистика!$C$10)/MAX(Статистика!$G$10-Статистика!$C$10,0.000001)))))</f>
        <v>5.420079000000011E-2</v>
      </c>
      <c r="BD61" s="12">
        <f>IF(A61="","",MAX(0,1-MAX(0,MIN(1,(((IF(Статистика!$C$4="Параллельный режим (активная мощность)",J61,U61)+Статистика!$J$4))-Статистика!$C$10)/MAX(Статистика!$G$10-Статистика!$C$10,0.000001)))))</f>
        <v>0.20549351111111114</v>
      </c>
      <c r="BE61" s="12">
        <f>IF(A61="",NA(),IF(Статистика!$B$8="Вкл",(((IF(Статистика!$C$4="Параллельный режим (активная мощность)",F61,Q61)+Статистика!$J$4))-Статистика!$C$10)/MAX(Статистика!$G$10-Статистика!$C$10,0.000001),NA()))</f>
        <v>0.58580137222222217</v>
      </c>
      <c r="BF61" s="12">
        <f>IF(A61="",NA(),IF(Статистика!$D$8="Вкл",(((IF(Статистика!$C$4="Параллельный режим (активная мощность)",E61,P61)+Статистика!$J$4))-Статистика!$C$10)/MAX(Статистика!$G$10-Статистика!$C$10,0.000001),NA()))</f>
        <v>0.52410326944444419</v>
      </c>
      <c r="BG61" s="12">
        <f>IF(A61="",NA(),IF(Статистика!$D$8="Вкл",(((IF(Статистика!$C$4="Параллельный режим (активная мощность)",G61,R61)+Статистика!$J$4))-Статистика!$C$10)/MAX(Статистика!$G$10-Статистика!$C$10,0.000001),NA()))</f>
        <v>0.66197252777777826</v>
      </c>
      <c r="BH61" s="12">
        <f>IF(A61="",NA(),IF(Статистика!$F$8="Вкл",(((IF(Статистика!$C$4="Параллельный режим (активная мощность)",D61,O61)+Статистика!$J$4))-Статистика!$C$10)/MAX(Статистика!$G$10-Статистика!$C$10,0.000001),NA()))</f>
        <v>0.48195172500000022</v>
      </c>
      <c r="BI61" s="12">
        <f>IF(A61="",NA(),IF(Статистика!$F$8="Вкл",(((IF(Статистика!$C$4="Параллельный режим (активная мощность)",H61,S61)+Статистика!$J$4))-Статистика!$C$10)/MAX(Статистика!$G$10-Статистика!$C$10,0.000001),NA()))</f>
        <v>0.74030569888888875</v>
      </c>
      <c r="BJ61" s="12">
        <f>IF(A61="",NA(),IF(Статистика!$H$8="Вкл",(((IF(Статистика!$C$4="Параллельный режим (активная мощность)",B61,M61)+Статистика!$J$4))-Статистика!$C$10)/MAX(Статистика!$G$10-Статистика!$C$10,0.000001),NA()))</f>
        <v>-1.2222246465</v>
      </c>
      <c r="BK61" s="12">
        <f>IF(A61="",NA(),IF(Статистика!$H$8="Вкл",(((IF(Статистика!$C$4="Параллельный режим (активная мощность)",J61,U61)+Статистика!$J$4))-Статистика!$C$10)/MAX(Статистика!$G$10-Статистика!$C$10,0.000001),NA()))</f>
        <v>0.79450648888888886</v>
      </c>
      <c r="BL61" s="12" t="e">
        <f>IF(A61="",NA(),IF(Статистика!$J$8="Вкл",(((IF(Статистика!$C$4="Параллельный режим (активная мощность)",K61,V61)+Статистика!$J$4))-Статистика!$C$10)/MAX(Статистика!$G$10-Статистика!$C$10,0.000001),NA()))</f>
        <v>#N/A</v>
      </c>
      <c r="BM61" s="12" t="e">
        <f>IF(AND(A61&lt;&gt;"",Статистика!$C$6="Вкл",Статистика!$B$6&gt;0),(Статистика!$B$6-Статистика!$C$10)/MAX(Статистика!$G$10-Статистика!$C$10,0.000001),NA())</f>
        <v>#N/A</v>
      </c>
      <c r="BN61" s="12" t="e">
        <f>IF(AND(A61&lt;&gt;"",Статистика!$F$6="Вкл",Статистика!$E$6&gt;0),(Статистика!$E$6-Статистика!$C$10)/MAX(Статистика!$G$10-Статистика!$C$10,0.000001),NA())</f>
        <v>#N/A</v>
      </c>
      <c r="BO61" s="12" t="e">
        <f>IF(AND(A61&lt;&gt;"",Статистика!$I$6="Вкл",Статистика!$H$6&gt;0),(Статистика!$H$6-Статистика!$C$10)/MAX(Статистика!$G$10-Статистика!$C$10,0.000001),NA())</f>
        <v>#N/A</v>
      </c>
      <c r="BP61" s="12" t="e">
        <f>IF(AND(A61&lt;&gt;"",Статистика!$L$6="Вкл",Статистика!$K$6&gt;0),(Статистика!$K$6-Статистика!$C$10)/MAX(Статистика!$G$10-Статистика!$C$10,0.000001),NA())</f>
        <v>#N/A</v>
      </c>
      <c r="BQ61" s="12" t="e">
        <f>IF(AND(A61&lt;&gt;"",Статистика!$M$6="Вкл",Статистика!$O$6&gt;0),(Статистика!$O$6-Статистика!$C$10)/MAX(Статистика!$G$10-Статистика!$C$10,0.000001),NA())</f>
        <v>#N/A</v>
      </c>
      <c r="BR61" s="12">
        <f t="shared" si="0"/>
        <v>1</v>
      </c>
      <c r="BT61" s="12">
        <f>IF(Y61="","",MAX(0,MIN(1,(((IF(Статистика!$C$4="Параллельный режим (активная мощность)",Z61,AK61)+Статистика!$J$4))-Статистика!$C$10)/MAX(Статистика!$G$10-Статистика!$C$10,0.000001))))</f>
        <v>0.40201116555555533</v>
      </c>
      <c r="BU61" s="12">
        <f>IF(Y61="","",MAX(0,MAX(0,MIN(1,(((IF(Статистика!$C$4="Параллельный режим (активная мощность)",AB61,AM61)+Статистика!$J$4))-Статистика!$C$10)/MAX(Статистика!$G$10-Статистика!$C$10,0.000001)))-MAX(0,MIN(1,(((IF(Статистика!$C$4="Параллельный режим (активная мощность)",Z61,AK61)+Статистика!$J$4))-Статистика!$C$10)/MAX(Статистика!$G$10-Статистика!$C$10,0.000001)))))</f>
        <v>4.5984290000000039E-2</v>
      </c>
      <c r="BV61" s="12">
        <f>IF(Y61="","",MAX(0,MAX(0,MIN(1,(((IF(Статистика!$C$4="Параллельный режим (активная мощность)",AC61,AN61)+Статистика!$J$4))-Статистика!$C$10)/MAX(Статистика!$G$10-Статистика!$C$10,0.000001)))-MAX(0,MIN(1,(((IF(Статистика!$C$4="Параллельный режим (активная мощность)",AB61,AM61)+Статистика!$J$4))-Статистика!$C$10)/MAX(Статистика!$G$10-Статистика!$C$10,0.000001)))))</f>
        <v>6.0139547222222089E-2</v>
      </c>
      <c r="BW61" s="12">
        <f>IF(Y61="","",MAX(0,MAX(0,MIN(1,(((IF(Статистика!$C$4="Параллельный режим (активная мощность)",AD61,AO61)+Статистика!$J$4))-Статистика!$C$10)/MAX(Статистика!$G$10-Статистика!$C$10,0.000001)))-MAX(0,MIN(1,(((IF(Статистика!$C$4="Параллельный режим (активная мощность)",AC61,AN61)+Статистика!$J$4))-Статистика!$C$10)/MAX(Статистика!$G$10-Статистика!$C$10,0.000001)))))</f>
        <v>8.0186080555556094E-2</v>
      </c>
      <c r="BX61" s="12">
        <f>IF(Y61="","",MAX(0,MAX(0,MIN(1,(((IF(Статистика!$C$4="Параллельный режим (активная мощность)",AE61,AP61)+Статистика!$J$4))-Статистика!$C$10)/MAX(Статистика!$G$10-Статистика!$C$10,0.000001)))-MAX(0,MIN(1,(((IF(Статистика!$C$4="Параллельный режим (активная мощность)",AD61,AO61)+Статистика!$J$4))-Статистика!$C$10)/MAX(Статистика!$G$10-Статистика!$C$10,0.000001)))))</f>
        <v>8.8089477777777536E-2</v>
      </c>
      <c r="BY61" s="12">
        <f>IF(Y61="","",MAX(0,MAX(0,MIN(1,(((IF(Статистика!$C$4="Параллельный режим (активная мощность)",AF61,AQ61)+Статистика!$J$4))-Статистика!$C$10)/MAX(Статистика!$G$10-Статистика!$C$10,0.000001)))-MAX(0,MIN(1,(((IF(Статистика!$C$4="Параллельный режим (активная мощность)",AE61,AP61)+Статистика!$J$4))-Статистика!$C$10)/MAX(Статистика!$G$10-Статистика!$C$10,0.000001)))))</f>
        <v>0.15383787777777747</v>
      </c>
      <c r="BZ61" s="12">
        <f>IF(Y61="","",MAX(0,MAX(0,MIN(1,(((IF(Статистика!$C$4="Параллельный режим (активная мощность)",AH61,AS61)+Статистика!$J$4))-Статистика!$C$10)/MAX(Статистика!$G$10-Статистика!$C$10,0.000001)))-MAX(0,MIN(1,(((IF(Статистика!$C$4="Параллельный режим (активная мощность)",AF61,AQ61)+Статистика!$J$4))-Статистика!$C$10)/MAX(Статистика!$G$10-Статистика!$C$10,0.000001)))))</f>
        <v>2.2303875000000195E-2</v>
      </c>
      <c r="CA61" s="12">
        <f>IF(Y61="","",MAX(0,1-MAX(0,MIN(1,(((IF(Статистика!$C$4="Параллельный режим (активная мощность)",AH61,AS61)+Статистика!$J$4))-Статистика!$C$10)/MAX(Статистика!$G$10-Статистика!$C$10,0.000001)))))</f>
        <v>0.14744768611111125</v>
      </c>
      <c r="CB61" s="12">
        <f>IF(Y61="",NA(),IF(Статистика!$B$8="Вкл",(((IF(Статистика!$C$4="Параллельный режим (активная мощность)",AD61,AO61)+Статистика!$J$4))-Статистика!$C$10)/MAX(Статистика!$G$10-Статистика!$C$10,0.000001),NA()))</f>
        <v>0.58832108333333355</v>
      </c>
      <c r="CC61" s="12">
        <f>IF(Y61="",NA(),IF(Статистика!$D$8="Вкл",(((IF(Статистика!$C$4="Параллельный режим (активная мощность)",AC61,AN61)+Статистика!$J$4))-Статистика!$C$10)/MAX(Статистика!$G$10-Статистика!$C$10,0.000001),NA()))</f>
        <v>0.50813500277777746</v>
      </c>
      <c r="CD61" s="12">
        <f>IF(Y61="",NA(),IF(Статистика!$D$8="Вкл",(((IF(Статистика!$C$4="Параллельный режим (активная мощность)",AE61,AP61)+Статистика!$J$4))-Статистика!$C$10)/MAX(Статистика!$G$10-Статистика!$C$10,0.000001),NA()))</f>
        <v>0.67641056111111109</v>
      </c>
      <c r="CE61" s="12">
        <f>IF(Y61="",NA(),IF(Статистика!$F$8="Вкл",(((IF(Статистика!$C$4="Параллельный режим (активная мощность)",AB61,AM61)+Статистика!$J$4))-Статистика!$C$10)/MAX(Статистика!$G$10-Статистика!$C$10,0.000001),NA()))</f>
        <v>0.44799545555555537</v>
      </c>
      <c r="CF61" s="12">
        <f>IF(Y61="",NA(),IF(Статистика!$F$8="Вкл",(((IF(Статистика!$C$4="Параллельный режим (активная мощность)",AF61,AQ61)+Статистика!$J$4))-Статистика!$C$10)/MAX(Статистика!$G$10-Статистика!$C$10,0.000001),NA()))</f>
        <v>0.83024843888888855</v>
      </c>
      <c r="CG61" s="12">
        <f>IF(Y61="",NA(),IF(Статистика!$H$8="Вкл",(((IF(Статистика!$C$4="Параллельный режим (активная мощность)",Z61,AK61)+Статистика!$J$4))-Статистика!$C$10)/MAX(Статистика!$G$10-Статистика!$C$10,0.000001),NA()))</f>
        <v>0.40201116555555533</v>
      </c>
      <c r="CH61" s="12">
        <f>IF(Y61="",NA(),IF(Статистика!$H$8="Вкл",(((IF(Статистика!$C$4="Параллельный режим (активная мощность)",AH61,AS61)+Статистика!$J$4))-Статистика!$C$10)/MAX(Статистика!$G$10-Статистика!$C$10,0.000001),NA()))</f>
        <v>0.85255231388888875</v>
      </c>
      <c r="CI61" s="12" t="e">
        <f>IF(Y61="",NA(),IF(Статистика!$J$8="Вкл",(((IF(Статистика!$C$4="Параллельный режим (активная мощность)",AI61,AT61)+Статистика!$J$4))-Статистика!$C$10)/MAX(Статистика!$G$10-Статистика!$C$10,0.000001),NA()))</f>
        <v>#N/A</v>
      </c>
      <c r="CJ61" s="12" t="e">
        <f>IF(AND(Y61&lt;&gt;"",Статистика!$C$6="Вкл",Статистика!$B$6&gt;0),(Статистика!$B$6-Статистика!$C$10)/MAX(Статистика!$G$10-Статистика!$C$10,0.000001),NA())</f>
        <v>#N/A</v>
      </c>
      <c r="CK61" s="12" t="e">
        <f>IF(AND(Y61&lt;&gt;"",Статистика!$F$6="Вкл",Статистика!$E$6&gt;0),(Статистика!$E$6-Статистика!$C$10)/MAX(Статистика!$G$10-Статистика!$C$10,0.000001),NA())</f>
        <v>#N/A</v>
      </c>
      <c r="CL61" s="12" t="e">
        <f>IF(AND(Y61&lt;&gt;"",Статистика!$I$6="Вкл",Статистика!$H$6&gt;0),(Статистика!$H$6-Статистика!$C$10)/MAX(Статистика!$G$10-Статистика!$C$10,0.000001),NA())</f>
        <v>#N/A</v>
      </c>
      <c r="CM61" s="12" t="e">
        <f>IF(AND(Y61&lt;&gt;"",Статистика!$L$6="Вкл",Статистика!$K$6&gt;0),(Статистика!$K$6-Статистика!$C$10)/MAX(Статистика!$G$10-Статистика!$C$10,0.000001),NA())</f>
        <v>#N/A</v>
      </c>
      <c r="CN61" s="12" t="e">
        <f>IF(AND(Y61&lt;&gt;"",Статистика!$M$6="Вкл",Статистика!$O$6&gt;0),(Статистика!$O$6-Статистика!$C$10)/MAX(Статистика!$G$10-Статистика!$C$10,0.000001),NA())</f>
        <v>#N/A</v>
      </c>
      <c r="CO61" s="12">
        <f t="shared" si="1"/>
        <v>1</v>
      </c>
    </row>
    <row r="62" spans="1:93" ht="15" customHeight="1">
      <c r="A62" s="12" t="s">
        <v>302</v>
      </c>
      <c r="B62" s="12">
        <v>2324.2213736666663</v>
      </c>
      <c r="C62" s="12">
        <v>5756.0407350000005</v>
      </c>
      <c r="D62" s="12">
        <v>7401.5138216666674</v>
      </c>
      <c r="E62" s="12">
        <v>7512.063474999999</v>
      </c>
      <c r="F62" s="12">
        <v>7689.1299499999996</v>
      </c>
      <c r="G62" s="12">
        <v>7957.910633333333</v>
      </c>
      <c r="H62" s="12">
        <v>8153.7440299999998</v>
      </c>
      <c r="I62" s="12">
        <v>8231.7997791666676</v>
      </c>
      <c r="J62" s="12">
        <v>8347.0915024999995</v>
      </c>
      <c r="K62" s="12">
        <v>8494.2900000000009</v>
      </c>
      <c r="L62" s="12" t="s">
        <v>303</v>
      </c>
      <c r="M62" s="12">
        <v>2877.3845486666669</v>
      </c>
      <c r="N62" s="12">
        <v>6619.2883433333345</v>
      </c>
      <c r="O62" s="12">
        <v>8424.8212916666671</v>
      </c>
      <c r="P62" s="12">
        <v>8681.6262416666668</v>
      </c>
      <c r="Q62" s="12">
        <v>8869.4379000000008</v>
      </c>
      <c r="R62" s="12">
        <v>9093.0701583333339</v>
      </c>
      <c r="S62" s="12">
        <v>9286.0467316666654</v>
      </c>
      <c r="T62" s="12">
        <v>9328.1692049999983</v>
      </c>
      <c r="U62" s="12">
        <v>9414.042187666666</v>
      </c>
      <c r="V62" s="12">
        <v>9522.49</v>
      </c>
      <c r="W62" s="12" t="s">
        <v>303</v>
      </c>
      <c r="Y62" s="12" t="s">
        <v>302</v>
      </c>
      <c r="Z62" s="12">
        <v>7152.0122448333323</v>
      </c>
      <c r="AA62" s="12">
        <v>7221.0972241666659</v>
      </c>
      <c r="AB62" s="12">
        <v>7307.4534483333327</v>
      </c>
      <c r="AC62" s="12">
        <v>7498.6829916666666</v>
      </c>
      <c r="AD62" s="12">
        <v>7775.0363666666663</v>
      </c>
      <c r="AE62" s="12">
        <v>7976.6793916666666</v>
      </c>
      <c r="AF62" s="12">
        <v>8493.9444866666654</v>
      </c>
      <c r="AG62" s="12">
        <v>8513.4114433333325</v>
      </c>
      <c r="AH62" s="12">
        <v>8528.9850086666665</v>
      </c>
      <c r="AI62" s="12">
        <v>8636.48</v>
      </c>
      <c r="AJ62" s="12" t="s">
        <v>304</v>
      </c>
      <c r="AK62" s="12">
        <v>8167.9920731666671</v>
      </c>
      <c r="AL62" s="12">
        <v>8243.5836991666674</v>
      </c>
      <c r="AM62" s="12">
        <v>8338.0732316666672</v>
      </c>
      <c r="AN62" s="12">
        <v>8589.6582500000004</v>
      </c>
      <c r="AO62" s="12">
        <v>8888.2636666666658</v>
      </c>
      <c r="AP62" s="12">
        <v>9101.4215666666678</v>
      </c>
      <c r="AQ62" s="12">
        <v>9581.5570333333326</v>
      </c>
      <c r="AR62" s="12">
        <v>9584.0817166666675</v>
      </c>
      <c r="AS62" s="12">
        <v>9586.1014633333343</v>
      </c>
      <c r="AT62" s="12">
        <v>9770.67</v>
      </c>
      <c r="AU62" s="12" t="s">
        <v>305</v>
      </c>
      <c r="AW62" s="12">
        <f>IF(A62="","",MAX(0,MIN(1,(((IF(Статистика!$C$4="Параллельный режим (активная мощность)",B62,M62)+Статистика!$J$4))-Статистика!$C$10)/MAX(Статистика!$G$10-Статистика!$C$10,0.000001))))</f>
        <v>0</v>
      </c>
      <c r="AX62" s="12">
        <f>IF(A62="","",MAX(0,MAX(0,MIN(1,(((IF(Статистика!$C$4="Параллельный режим (активная мощность)",D62,O62)+Статистика!$J$4))-Статистика!$C$10)/MAX(Статистика!$G$10-Статистика!$C$10,0.000001)))-MAX(0,MIN(1,(((IF(Статистика!$C$4="Параллельный режим (активная мощность)",B62,M62)+Статистика!$J$4))-Статистика!$C$10)/MAX(Статистика!$G$10-Статистика!$C$10,0.000001)))))</f>
        <v>0.46717127388888913</v>
      </c>
      <c r="AY62" s="12">
        <f>IF(A62="","",MAX(0,MAX(0,MIN(1,(((IF(Статистика!$C$4="Параллельный режим (активная мощность)",E62,P62)+Статистика!$J$4))-Статистика!$C$10)/MAX(Статистика!$G$10-Статистика!$C$10,0.000001)))-MAX(0,MIN(1,(((IF(Статистика!$C$4="Параллельный режим (активная мощность)",D62,O62)+Статистика!$J$4))-Статистика!$C$10)/MAX(Статистика!$G$10-Статистика!$C$10,0.000001)))))</f>
        <v>3.6849884444443926E-2</v>
      </c>
      <c r="AZ62" s="12">
        <f>IF(A62="","",MAX(0,MAX(0,MIN(1,(((IF(Статистика!$C$4="Параллельный режим (активная мощность)",F62,Q62)+Статистика!$J$4))-Статистика!$C$10)/MAX(Статистика!$G$10-Статистика!$C$10,0.000001)))-MAX(0,MIN(1,(((IF(Статистика!$C$4="Параллельный режим (активная мощность)",E62,P62)+Статистика!$J$4))-Статистика!$C$10)/MAX(Статистика!$G$10-Статистика!$C$10,0.000001)))))</f>
        <v>5.9022158333333463E-2</v>
      </c>
      <c r="BA62" s="12">
        <f>IF(A62="","",MAX(0,MAX(0,MIN(1,(((IF(Статистика!$C$4="Параллельный режим (активная мощность)",G62,R62)+Статистика!$J$4))-Статистика!$C$10)/MAX(Статистика!$G$10-Статистика!$C$10,0.000001)))-MAX(0,MIN(1,(((IF(Статистика!$C$4="Параллельный режим (активная мощность)",F62,Q62)+Статистика!$J$4))-Статистика!$C$10)/MAX(Статистика!$G$10-Статистика!$C$10,0.000001)))))</f>
        <v>8.9593561111111164E-2</v>
      </c>
      <c r="BB62" s="12">
        <f>IF(A62="","",MAX(0,MAX(0,MIN(1,(((IF(Статистика!$C$4="Параллельный режим (активная мощность)",H62,S62)+Статистика!$J$4))-Статистика!$C$10)/MAX(Статистика!$G$10-Статистика!$C$10,0.000001)))-MAX(0,MIN(1,(((IF(Статистика!$C$4="Параллельный режим (активная мощность)",G62,R62)+Статистика!$J$4))-Статистика!$C$10)/MAX(Статистика!$G$10-Статистика!$C$10,0.000001)))))</f>
        <v>6.527779888888896E-2</v>
      </c>
      <c r="BC62" s="12">
        <f>IF(A62="","",MAX(0,MAX(0,MIN(1,(((IF(Статистика!$C$4="Параллельный режим (активная мощность)",J62,U62)+Статистика!$J$4))-Статистика!$C$10)/MAX(Статистика!$G$10-Статистика!$C$10,0.000001)))-MAX(0,MIN(1,(((IF(Статистика!$C$4="Параллельный режим (активная мощность)",H62,S62)+Статистика!$J$4))-Статистика!$C$10)/MAX(Статистика!$G$10-Статистика!$C$10,0.000001)))))</f>
        <v>6.4449157499999798E-2</v>
      </c>
      <c r="BD62" s="12">
        <f>IF(A62="","",MAX(0,1-MAX(0,MIN(1,(((IF(Статистика!$C$4="Параллельный режим (активная мощность)",J62,U62)+Статистика!$J$4))-Статистика!$C$10)/MAX(Статистика!$G$10-Статистика!$C$10,0.000001)))))</f>
        <v>0.21763616583333356</v>
      </c>
      <c r="BE62" s="12">
        <f>IF(A62="",NA(),IF(Статистика!$B$8="Вкл",(((IF(Статистика!$C$4="Параллельный режим (активная мощность)",F62,Q62)+Статистика!$J$4))-Статистика!$C$10)/MAX(Статистика!$G$10-Статистика!$C$10,0.000001),NA()))</f>
        <v>0.56304331666666652</v>
      </c>
      <c r="BF62" s="12">
        <f>IF(A62="",NA(),IF(Статистика!$D$8="Вкл",(((IF(Статистика!$C$4="Параллельный режим (активная мощность)",E62,P62)+Статистика!$J$4))-Статистика!$C$10)/MAX(Статистика!$G$10-Статистика!$C$10,0.000001),NA()))</f>
        <v>0.50402115833333305</v>
      </c>
      <c r="BG62" s="12">
        <f>IF(A62="",NA(),IF(Статистика!$D$8="Вкл",(((IF(Статистика!$C$4="Параллельный режим (активная мощность)",G62,R62)+Статистика!$J$4))-Статистика!$C$10)/MAX(Статистика!$G$10-Статистика!$C$10,0.000001),NA()))</f>
        <v>0.65263687777777768</v>
      </c>
      <c r="BH62" s="12">
        <f>IF(A62="",NA(),IF(Статистика!$F$8="Вкл",(((IF(Статистика!$C$4="Параллельный режим (активная мощность)",D62,O62)+Статистика!$J$4))-Статистика!$C$10)/MAX(Статистика!$G$10-Статистика!$C$10,0.000001),NA()))</f>
        <v>0.46717127388888913</v>
      </c>
      <c r="BI62" s="12">
        <f>IF(A62="",NA(),IF(Статистика!$F$8="Вкл",(((IF(Статистика!$C$4="Параллельный режим (активная мощность)",H62,S62)+Статистика!$J$4))-Статистика!$C$10)/MAX(Статистика!$G$10-Статистика!$C$10,0.000001),NA()))</f>
        <v>0.71791467666666664</v>
      </c>
      <c r="BJ62" s="12">
        <f>IF(A62="",NA(),IF(Статистика!$H$8="Вкл",(((IF(Статистика!$C$4="Параллельный режим (активная мощность)",B62,M62)+Статистика!$J$4))-Статистика!$C$10)/MAX(Статистика!$G$10-Статистика!$C$10,0.000001),NA()))</f>
        <v>-1.2252595421111112</v>
      </c>
      <c r="BK62" s="12">
        <f>IF(A62="",NA(),IF(Статистика!$H$8="Вкл",(((IF(Статистика!$C$4="Параллельный режим (активная мощность)",J62,U62)+Статистика!$J$4))-Статистика!$C$10)/MAX(Статистика!$G$10-Статистика!$C$10,0.000001),NA()))</f>
        <v>0.78236383416666644</v>
      </c>
      <c r="BL62" s="12" t="e">
        <f>IF(A62="",NA(),IF(Статистика!$J$8="Вкл",(((IF(Статистика!$C$4="Параллельный режим (активная мощность)",K62,V62)+Статистика!$J$4))-Статистика!$C$10)/MAX(Статистика!$G$10-Статистика!$C$10,0.000001),NA()))</f>
        <v>#N/A</v>
      </c>
      <c r="BM62" s="12" t="e">
        <f>IF(AND(A62&lt;&gt;"",Статистика!$C$6="Вкл",Статистика!$B$6&gt;0),(Статистика!$B$6-Статистика!$C$10)/MAX(Статистика!$G$10-Статистика!$C$10,0.000001),NA())</f>
        <v>#N/A</v>
      </c>
      <c r="BN62" s="12" t="e">
        <f>IF(AND(A62&lt;&gt;"",Статистика!$F$6="Вкл",Статистика!$E$6&gt;0),(Статистика!$E$6-Статистика!$C$10)/MAX(Статистика!$G$10-Статистика!$C$10,0.000001),NA())</f>
        <v>#N/A</v>
      </c>
      <c r="BO62" s="12" t="e">
        <f>IF(AND(A62&lt;&gt;"",Статистика!$I$6="Вкл",Статистика!$H$6&gt;0),(Статистика!$H$6-Статистика!$C$10)/MAX(Статистика!$G$10-Статистика!$C$10,0.000001),NA())</f>
        <v>#N/A</v>
      </c>
      <c r="BP62" s="12" t="e">
        <f>IF(AND(A62&lt;&gt;"",Статистика!$L$6="Вкл",Статистика!$K$6&gt;0),(Статистика!$K$6-Статистика!$C$10)/MAX(Статистика!$G$10-Статистика!$C$10,0.000001),NA())</f>
        <v>#N/A</v>
      </c>
      <c r="BQ62" s="12" t="e">
        <f>IF(AND(A62&lt;&gt;"",Статистика!$M$6="Вкл",Статистика!$O$6&gt;0),(Статистика!$O$6-Статистика!$C$10)/MAX(Статистика!$G$10-Статистика!$C$10,0.000001),NA())</f>
        <v>#N/A</v>
      </c>
      <c r="BR62" s="12">
        <f t="shared" si="0"/>
        <v>1</v>
      </c>
      <c r="BT62" s="12">
        <f>IF(Y62="","",MAX(0,MIN(1,(((IF(Статистика!$C$4="Параллельный режим (активная мощность)",Z62,AK62)+Статистика!$J$4))-Статистика!$C$10)/MAX(Статистика!$G$10-Статистика!$C$10,0.000001))))</f>
        <v>0.38400408161111077</v>
      </c>
      <c r="BU62" s="12">
        <f>IF(Y62="","",MAX(0,MAX(0,MIN(1,(((IF(Статистика!$C$4="Параллельный режим (активная мощность)",AB62,AM62)+Статистика!$J$4))-Статистика!$C$10)/MAX(Статистика!$G$10-Статистика!$C$10,0.000001)))-MAX(0,MIN(1,(((IF(Статистика!$C$4="Параллельный режим (активная мощность)",Z62,AK62)+Статистика!$J$4))-Статистика!$C$10)/MAX(Статистика!$G$10-Статистика!$C$10,0.000001)))))</f>
        <v>5.1813734500000153E-2</v>
      </c>
      <c r="BV62" s="12">
        <f>IF(Y62="","",MAX(0,MAX(0,MIN(1,(((IF(Статистика!$C$4="Параллельный режим (активная мощность)",AC62,AN62)+Статистика!$J$4))-Статистика!$C$10)/MAX(Статистика!$G$10-Статистика!$C$10,0.000001)))-MAX(0,MIN(1,(((IF(Статистика!$C$4="Параллельный режим (активная мощность)",AB62,AM62)+Статистика!$J$4))-Статистика!$C$10)/MAX(Статистика!$G$10-Статистика!$C$10,0.000001)))))</f>
        <v>6.3743181111111269E-2</v>
      </c>
      <c r="BW62" s="12">
        <f>IF(Y62="","",MAX(0,MAX(0,MIN(1,(((IF(Статистика!$C$4="Параллельный режим (активная мощность)",AD62,AO62)+Статистика!$J$4))-Статистика!$C$10)/MAX(Статистика!$G$10-Статистика!$C$10,0.000001)))-MAX(0,MIN(1,(((IF(Статистика!$C$4="Параллельный режим (активная мощность)",AC62,AN62)+Статистика!$J$4))-Статистика!$C$10)/MAX(Статистика!$G$10-Статистика!$C$10,0.000001)))))</f>
        <v>9.2117791666666504E-2</v>
      </c>
      <c r="BX62" s="12">
        <f>IF(Y62="","",MAX(0,MAX(0,MIN(1,(((IF(Статистика!$C$4="Параллельный режим (активная мощность)",AE62,AP62)+Статистика!$J$4))-Статистика!$C$10)/MAX(Статистика!$G$10-Статистика!$C$10,0.000001)))-MAX(0,MIN(1,(((IF(Статистика!$C$4="Параллельный режим (активная мощность)",AD62,AO62)+Статистика!$J$4))-Статистика!$C$10)/MAX(Статистика!$G$10-Статистика!$C$10,0.000001)))))</f>
        <v>6.7214341666666844E-2</v>
      </c>
      <c r="BY62" s="12">
        <f>IF(Y62="","",MAX(0,MAX(0,MIN(1,(((IF(Статистика!$C$4="Параллельный режим (активная мощность)",AF62,AQ62)+Статистика!$J$4))-Статистика!$C$10)/MAX(Статистика!$G$10-Статистика!$C$10,0.000001)))-MAX(0,MIN(1,(((IF(Статистика!$C$4="Параллельный режим (активная мощность)",AE62,AP62)+Статистика!$J$4))-Статистика!$C$10)/MAX(Статистика!$G$10-Статистика!$C$10,0.000001)))))</f>
        <v>0.17242169833333287</v>
      </c>
      <c r="BZ62" s="12">
        <f>IF(Y62="","",MAX(0,MAX(0,MIN(1,(((IF(Статистика!$C$4="Параллельный режим (активная мощность)",AH62,AS62)+Статистика!$J$4))-Статистика!$C$10)/MAX(Статистика!$G$10-Статистика!$C$10,0.000001)))-MAX(0,MIN(1,(((IF(Статистика!$C$4="Параллельный режим (активная мощность)",AF62,AQ62)+Статистика!$J$4))-Статистика!$C$10)/MAX(Статистика!$G$10-Статистика!$C$10,0.000001)))))</f>
        <v>1.1680174000000432E-2</v>
      </c>
      <c r="CA62" s="12">
        <f>IF(Y62="","",MAX(0,1-MAX(0,MIN(1,(((IF(Статистика!$C$4="Параллельный режим (активная мощность)",AH62,AS62)+Статистика!$J$4))-Статистика!$C$10)/MAX(Статистика!$G$10-Статистика!$C$10,0.000001)))))</f>
        <v>0.15700499711111116</v>
      </c>
      <c r="CB62" s="12">
        <f>IF(Y62="",NA(),IF(Статистика!$B$8="Вкл",(((IF(Статистика!$C$4="Параллельный режим (активная мощность)",AD62,AO62)+Статистика!$J$4))-Статистика!$C$10)/MAX(Статистика!$G$10-Статистика!$C$10,0.000001),NA()))</f>
        <v>0.5916787888888887</v>
      </c>
      <c r="CC62" s="12">
        <f>IF(Y62="",NA(),IF(Статистика!$D$8="Вкл",(((IF(Статистика!$C$4="Параллельный режим (активная мощность)",AC62,AN62)+Статистика!$J$4))-Статистика!$C$10)/MAX(Статистика!$G$10-Статистика!$C$10,0.000001),NA()))</f>
        <v>0.49956099722222219</v>
      </c>
      <c r="CD62" s="12">
        <f>IF(Y62="",NA(),IF(Статистика!$D$8="Вкл",(((IF(Статистика!$C$4="Параллельный режим (активная мощность)",AE62,AP62)+Статистика!$J$4))-Статистика!$C$10)/MAX(Статистика!$G$10-Статистика!$C$10,0.000001),NA()))</f>
        <v>0.65889313055555554</v>
      </c>
      <c r="CE62" s="12">
        <f>IF(Y62="",NA(),IF(Статистика!$F$8="Вкл",(((IF(Статистика!$C$4="Параллельный режим (активная мощность)",AB62,AM62)+Статистика!$J$4))-Статистика!$C$10)/MAX(Статистика!$G$10-Статистика!$C$10,0.000001),NA()))</f>
        <v>0.43581781611111092</v>
      </c>
      <c r="CF62" s="12">
        <f>IF(Y62="",NA(),IF(Статистика!$F$8="Вкл",(((IF(Статистика!$C$4="Параллельный режим (активная мощность)",AF62,AQ62)+Статистика!$J$4))-Статистика!$C$10)/MAX(Статистика!$G$10-Статистика!$C$10,0.000001),NA()))</f>
        <v>0.83131482888888841</v>
      </c>
      <c r="CG62" s="12">
        <f>IF(Y62="",NA(),IF(Статистика!$H$8="Вкл",(((IF(Статистика!$C$4="Параллельный режим (активная мощность)",Z62,AK62)+Статистика!$J$4))-Статистика!$C$10)/MAX(Статистика!$G$10-Статистика!$C$10,0.000001),NA()))</f>
        <v>0.38400408161111077</v>
      </c>
      <c r="CH62" s="12">
        <f>IF(Y62="",NA(),IF(Статистика!$H$8="Вкл",(((IF(Статистика!$C$4="Параллельный режим (активная мощность)",AH62,AS62)+Статистика!$J$4))-Статистика!$C$10)/MAX(Статистика!$G$10-Статистика!$C$10,0.000001),NA()))</f>
        <v>0.84299500288888884</v>
      </c>
      <c r="CI62" s="12" t="e">
        <f>IF(Y62="",NA(),IF(Статистика!$J$8="Вкл",(((IF(Статистика!$C$4="Параллельный режим (активная мощность)",AI62,AT62)+Статистика!$J$4))-Статистика!$C$10)/MAX(Статистика!$G$10-Статистика!$C$10,0.000001),NA()))</f>
        <v>#N/A</v>
      </c>
      <c r="CJ62" s="12" t="e">
        <f>IF(AND(Y62&lt;&gt;"",Статистика!$C$6="Вкл",Статистика!$B$6&gt;0),(Статистика!$B$6-Статистика!$C$10)/MAX(Статистика!$G$10-Статистика!$C$10,0.000001),NA())</f>
        <v>#N/A</v>
      </c>
      <c r="CK62" s="12" t="e">
        <f>IF(AND(Y62&lt;&gt;"",Статистика!$F$6="Вкл",Статистика!$E$6&gt;0),(Статистика!$E$6-Статистика!$C$10)/MAX(Статистика!$G$10-Статистика!$C$10,0.000001),NA())</f>
        <v>#N/A</v>
      </c>
      <c r="CL62" s="12" t="e">
        <f>IF(AND(Y62&lt;&gt;"",Статистика!$I$6="Вкл",Статистика!$H$6&gt;0),(Статистика!$H$6-Статистика!$C$10)/MAX(Статистика!$G$10-Статистика!$C$10,0.000001),NA())</f>
        <v>#N/A</v>
      </c>
      <c r="CM62" s="12" t="e">
        <f>IF(AND(Y62&lt;&gt;"",Статистика!$L$6="Вкл",Статистика!$K$6&gt;0),(Статистика!$K$6-Статистика!$C$10)/MAX(Статистика!$G$10-Статистика!$C$10,0.000001),NA())</f>
        <v>#N/A</v>
      </c>
      <c r="CN62" s="12" t="e">
        <f>IF(AND(Y62&lt;&gt;"",Статистика!$M$6="Вкл",Статистика!$O$6&gt;0),(Статистика!$O$6-Статистика!$C$10)/MAX(Статистика!$G$10-Статистика!$C$10,0.000001),NA())</f>
        <v>#N/A</v>
      </c>
      <c r="CO62" s="12">
        <f t="shared" si="1"/>
        <v>1</v>
      </c>
    </row>
    <row r="63" spans="1:93" ht="15" customHeight="1">
      <c r="A63" s="12" t="s">
        <v>306</v>
      </c>
      <c r="B63" s="12">
        <v>2298.9629588333332</v>
      </c>
      <c r="C63" s="12">
        <v>5705.8434608333337</v>
      </c>
      <c r="D63" s="12">
        <v>7375.2102683333333</v>
      </c>
      <c r="E63" s="12">
        <v>7528.86535</v>
      </c>
      <c r="F63" s="12">
        <v>7701.0699499999992</v>
      </c>
      <c r="G63" s="12">
        <v>7931.4403916666661</v>
      </c>
      <c r="H63" s="12">
        <v>8158.787921666667</v>
      </c>
      <c r="I63" s="12">
        <v>8216.9144816666667</v>
      </c>
      <c r="J63" s="12">
        <v>8328.0486296666677</v>
      </c>
      <c r="K63" s="12">
        <v>8443.94</v>
      </c>
      <c r="L63" s="12" t="s">
        <v>307</v>
      </c>
      <c r="M63" s="12">
        <v>2869.1877706666669</v>
      </c>
      <c r="N63" s="12">
        <v>6664.8403200000012</v>
      </c>
      <c r="O63" s="12">
        <v>8484.3064666666669</v>
      </c>
      <c r="P63" s="12">
        <v>8709.6318500000016</v>
      </c>
      <c r="Q63" s="12">
        <v>8880.6352000000006</v>
      </c>
      <c r="R63" s="12">
        <v>9048.3010833333337</v>
      </c>
      <c r="S63" s="12">
        <v>9277.0044333333335</v>
      </c>
      <c r="T63" s="12">
        <v>9310.5759850000013</v>
      </c>
      <c r="U63" s="12">
        <v>9376.3379703333339</v>
      </c>
      <c r="V63" s="12">
        <v>9662.1200000000008</v>
      </c>
      <c r="W63" s="12" t="s">
        <v>308</v>
      </c>
      <c r="Y63" s="12" t="s">
        <v>306</v>
      </c>
      <c r="Z63" s="12">
        <v>7159.3039714999995</v>
      </c>
      <c r="AA63" s="12">
        <v>7221.7769241666665</v>
      </c>
      <c r="AB63" s="12">
        <v>7299.8681150000002</v>
      </c>
      <c r="AC63" s="12">
        <v>7464.2759499999984</v>
      </c>
      <c r="AD63" s="12">
        <v>7773.2956000000004</v>
      </c>
      <c r="AE63" s="12">
        <v>7961.9745999999996</v>
      </c>
      <c r="AF63" s="12">
        <v>8525.2481716666662</v>
      </c>
      <c r="AG63" s="12">
        <v>8551.1308691666673</v>
      </c>
      <c r="AH63" s="12">
        <v>8571.8370271666663</v>
      </c>
      <c r="AI63" s="12">
        <v>8657.8700000000008</v>
      </c>
      <c r="AJ63" s="12" t="s">
        <v>309</v>
      </c>
      <c r="AK63" s="12">
        <v>8177.5087656666665</v>
      </c>
      <c r="AL63" s="12">
        <v>8247.8959616666671</v>
      </c>
      <c r="AM63" s="12">
        <v>8335.8799566666676</v>
      </c>
      <c r="AN63" s="12">
        <v>8589.9207666666662</v>
      </c>
      <c r="AO63" s="12">
        <v>8865.6839333333319</v>
      </c>
      <c r="AP63" s="12">
        <v>9105.1839416666662</v>
      </c>
      <c r="AQ63" s="12">
        <v>9616.175851666665</v>
      </c>
      <c r="AR63" s="12">
        <v>9616.8714091666661</v>
      </c>
      <c r="AS63" s="12">
        <v>9617.4278551666648</v>
      </c>
      <c r="AT63" s="12">
        <v>9713.59</v>
      </c>
      <c r="AU63" s="12" t="s">
        <v>310</v>
      </c>
      <c r="AW63" s="12">
        <f>IF(A63="","",MAX(0,MIN(1,(((IF(Статистика!$C$4="Параллельный режим (активная мощность)",B63,M63)+Статистика!$J$4))-Статистика!$C$10)/MAX(Статистика!$G$10-Статистика!$C$10,0.000001))))</f>
        <v>0</v>
      </c>
      <c r="AX63" s="12">
        <f>IF(A63="","",MAX(0,MAX(0,MIN(1,(((IF(Статистика!$C$4="Параллельный режим (активная мощность)",D63,O63)+Статистика!$J$4))-Статистика!$C$10)/MAX(Статистика!$G$10-Статистика!$C$10,0.000001)))-MAX(0,MIN(1,(((IF(Статистика!$C$4="Параллельный режим (активная мощность)",B63,M63)+Статистика!$J$4))-Статистика!$C$10)/MAX(Статистика!$G$10-Статистика!$C$10,0.000001)))))</f>
        <v>0.45840342277777774</v>
      </c>
      <c r="AY63" s="12">
        <f>IF(A63="","",MAX(0,MAX(0,MIN(1,(((IF(Статистика!$C$4="Параллельный режим (активная мощность)",E63,P63)+Статистика!$J$4))-Статистика!$C$10)/MAX(Статистика!$G$10-Статистика!$C$10,0.000001)))-MAX(0,MIN(1,(((IF(Статистика!$C$4="Параллельный режим (активная мощность)",D63,O63)+Статистика!$J$4))-Статистика!$C$10)/MAX(Статистика!$G$10-Статистика!$C$10,0.000001)))))</f>
        <v>5.1218360555555564E-2</v>
      </c>
      <c r="AZ63" s="12">
        <f>IF(A63="","",MAX(0,MAX(0,MIN(1,(((IF(Статистика!$C$4="Параллельный режим (активная мощность)",F63,Q63)+Статистика!$J$4))-Статистика!$C$10)/MAX(Статистика!$G$10-Статистика!$C$10,0.000001)))-MAX(0,MIN(1,(((IF(Статистика!$C$4="Параллельный режим (активная мощность)",E63,P63)+Статистика!$J$4))-Статистика!$C$10)/MAX(Статистика!$G$10-Статистика!$C$10,0.000001)))))</f>
        <v>5.7401533333333088E-2</v>
      </c>
      <c r="BA63" s="12">
        <f>IF(A63="","",MAX(0,MAX(0,MIN(1,(((IF(Статистика!$C$4="Параллельный режим (активная мощность)",G63,R63)+Статистика!$J$4))-Статистика!$C$10)/MAX(Статистика!$G$10-Статистика!$C$10,0.000001)))-MAX(0,MIN(1,(((IF(Статистика!$C$4="Параллельный режим (активная мощность)",F63,Q63)+Статистика!$J$4))-Статистика!$C$10)/MAX(Статистика!$G$10-Статистика!$C$10,0.000001)))))</f>
        <v>7.6790147222222327E-2</v>
      </c>
      <c r="BB63" s="12">
        <f>IF(A63="","",MAX(0,MAX(0,MIN(1,(((IF(Статистика!$C$4="Параллельный режим (активная мощность)",H63,S63)+Статистика!$J$4))-Статистика!$C$10)/MAX(Статистика!$G$10-Статистика!$C$10,0.000001)))-MAX(0,MIN(1,(((IF(Статистика!$C$4="Параллельный режим (активная мощность)",G63,R63)+Статистика!$J$4))-Статистика!$C$10)/MAX(Статистика!$G$10-Статистика!$C$10,0.000001)))))</f>
        <v>7.5782510000000247E-2</v>
      </c>
      <c r="BC63" s="12">
        <f>IF(A63="","",MAX(0,MAX(0,MIN(1,(((IF(Статистика!$C$4="Параллельный режим (активная мощность)",J63,U63)+Статистика!$J$4))-Статистика!$C$10)/MAX(Статистика!$G$10-Статистика!$C$10,0.000001)))-MAX(0,MIN(1,(((IF(Статистика!$C$4="Параллельный режим (активная мощность)",H63,S63)+Статистика!$J$4))-Статистика!$C$10)/MAX(Статистика!$G$10-Статистика!$C$10,0.000001)))))</f>
        <v>5.6420236000000235E-2</v>
      </c>
      <c r="BD63" s="12">
        <f>IF(A63="","",MAX(0,1-MAX(0,MIN(1,(((IF(Статистика!$C$4="Параллельный режим (активная мощность)",J63,U63)+Статистика!$J$4))-Статистика!$C$10)/MAX(Статистика!$G$10-Статистика!$C$10,0.000001)))))</f>
        <v>0.2239837901111108</v>
      </c>
      <c r="BE63" s="12">
        <f>IF(A63="",NA(),IF(Статистика!$B$8="Вкл",(((IF(Статистика!$C$4="Параллельный режим (активная мощность)",F63,Q63)+Статистика!$J$4))-Статистика!$C$10)/MAX(Статистика!$G$10-Статистика!$C$10,0.000001),NA()))</f>
        <v>0.56702331666666639</v>
      </c>
      <c r="BF63" s="12">
        <f>IF(A63="",NA(),IF(Статистика!$D$8="Вкл",(((IF(Статистика!$C$4="Параллельный режим (активная мощность)",E63,P63)+Статистика!$J$4))-Статистика!$C$10)/MAX(Статистика!$G$10-Статистика!$C$10,0.000001),NA()))</f>
        <v>0.5096217833333333</v>
      </c>
      <c r="BG63" s="12">
        <f>IF(A63="",NA(),IF(Статистика!$D$8="Вкл",(((IF(Статистика!$C$4="Параллельный режим (активная мощность)",G63,R63)+Статистика!$J$4))-Статистика!$C$10)/MAX(Статистика!$G$10-Статистика!$C$10,0.000001),NA()))</f>
        <v>0.64381346388888872</v>
      </c>
      <c r="BH63" s="12">
        <f>IF(A63="",NA(),IF(Статистика!$F$8="Вкл",(((IF(Статистика!$C$4="Параллельный режим (активная мощность)",D63,O63)+Статистика!$J$4))-Статистика!$C$10)/MAX(Статистика!$G$10-Статистика!$C$10,0.000001),NA()))</f>
        <v>0.45840342277777774</v>
      </c>
      <c r="BI63" s="12">
        <f>IF(A63="",NA(),IF(Статистика!$F$8="Вкл",(((IF(Статистика!$C$4="Параллельный режим (активная мощность)",H63,S63)+Статистика!$J$4))-Статистика!$C$10)/MAX(Статистика!$G$10-Статистика!$C$10,0.000001),NA()))</f>
        <v>0.71959597388888896</v>
      </c>
      <c r="BJ63" s="12">
        <f>IF(A63="",NA(),IF(Статистика!$H$8="Вкл",(((IF(Статистика!$C$4="Параллельный режим (активная мощность)",B63,M63)+Статистика!$J$4))-Статистика!$C$10)/MAX(Статистика!$G$10-Статистика!$C$10,0.000001),NA()))</f>
        <v>-1.2336790137222222</v>
      </c>
      <c r="BK63" s="12">
        <f>IF(A63="",NA(),IF(Статистика!$H$8="Вкл",(((IF(Статистика!$C$4="Параллельный режим (активная мощность)",J63,U63)+Статистика!$J$4))-Статистика!$C$10)/MAX(Статистика!$G$10-Статистика!$C$10,0.000001),NA()))</f>
        <v>0.7760162098888892</v>
      </c>
      <c r="BL63" s="12" t="e">
        <f>IF(A63="",NA(),IF(Статистика!$J$8="Вкл",(((IF(Статистика!$C$4="Параллельный режим (активная мощность)",K63,V63)+Статистика!$J$4))-Статистика!$C$10)/MAX(Статистика!$G$10-Статистика!$C$10,0.000001),NA()))</f>
        <v>#N/A</v>
      </c>
      <c r="BM63" s="12" t="e">
        <f>IF(AND(A63&lt;&gt;"",Статистика!$C$6="Вкл",Статистика!$B$6&gt;0),(Статистика!$B$6-Статистика!$C$10)/MAX(Статистика!$G$10-Статистика!$C$10,0.000001),NA())</f>
        <v>#N/A</v>
      </c>
      <c r="BN63" s="12" t="e">
        <f>IF(AND(A63&lt;&gt;"",Статистика!$F$6="Вкл",Статистика!$E$6&gt;0),(Статистика!$E$6-Статистика!$C$10)/MAX(Статистика!$G$10-Статистика!$C$10,0.000001),NA())</f>
        <v>#N/A</v>
      </c>
      <c r="BO63" s="12" t="e">
        <f>IF(AND(A63&lt;&gt;"",Статистика!$I$6="Вкл",Статистика!$H$6&gt;0),(Статистика!$H$6-Статистика!$C$10)/MAX(Статистика!$G$10-Статистика!$C$10,0.000001),NA())</f>
        <v>#N/A</v>
      </c>
      <c r="BP63" s="12" t="e">
        <f>IF(AND(A63&lt;&gt;"",Статистика!$L$6="Вкл",Статистика!$K$6&gt;0),(Статистика!$K$6-Статистика!$C$10)/MAX(Статистика!$G$10-Статистика!$C$10,0.000001),NA())</f>
        <v>#N/A</v>
      </c>
      <c r="BQ63" s="12" t="e">
        <f>IF(AND(A63&lt;&gt;"",Статистика!$M$6="Вкл",Статистика!$O$6&gt;0),(Статистика!$O$6-Статистика!$C$10)/MAX(Статистика!$G$10-Статистика!$C$10,0.000001),NA())</f>
        <v>#N/A</v>
      </c>
      <c r="BR63" s="12">
        <f t="shared" si="0"/>
        <v>1</v>
      </c>
      <c r="BT63" s="12">
        <f>IF(Y63="","",MAX(0,MIN(1,(((IF(Статистика!$C$4="Параллельный режим (активная мощность)",Z63,AK63)+Статистика!$J$4))-Статистика!$C$10)/MAX(Статистика!$G$10-Статистика!$C$10,0.000001))))</f>
        <v>0.38643465716666653</v>
      </c>
      <c r="BU63" s="12">
        <f>IF(Y63="","",MAX(0,MAX(0,MIN(1,(((IF(Статистика!$C$4="Параллельный режим (активная мощность)",AB63,AM63)+Статистика!$J$4))-Статистика!$C$10)/MAX(Статистика!$G$10-Статистика!$C$10,0.000001)))-MAX(0,MIN(1,(((IF(Статистика!$C$4="Параллельный режим (активная мощность)",Z63,AK63)+Статистика!$J$4))-Статистика!$C$10)/MAX(Статистика!$G$10-Статистика!$C$10,0.000001)))))</f>
        <v>4.6854714500000227E-2</v>
      </c>
      <c r="BV63" s="12">
        <f>IF(Y63="","",MAX(0,MAX(0,MIN(1,(((IF(Статистика!$C$4="Параллельный режим (активная мощность)",AC63,AN63)+Статистика!$J$4))-Статистика!$C$10)/MAX(Статистика!$G$10-Статистика!$C$10,0.000001)))-MAX(0,MIN(1,(((IF(Статистика!$C$4="Параллельный режим (активная мощность)",AB63,AM63)+Статистика!$J$4))-Статистика!$C$10)/MAX(Статистика!$G$10-Статистика!$C$10,0.000001)))))</f>
        <v>5.4802611666666057E-2</v>
      </c>
      <c r="BW63" s="12">
        <f>IF(Y63="","",MAX(0,MAX(0,MIN(1,(((IF(Статистика!$C$4="Параллельный режим (активная мощность)",AD63,AO63)+Статистика!$J$4))-Статистика!$C$10)/MAX(Статистика!$G$10-Статистика!$C$10,0.000001)))-MAX(0,MIN(1,(((IF(Статистика!$C$4="Параллельный режим (активная мощность)",AC63,AN63)+Статистика!$J$4))-Статистика!$C$10)/MAX(Статистика!$G$10-Статистика!$C$10,0.000001)))))</f>
        <v>0.1030065500000007</v>
      </c>
      <c r="BX63" s="12">
        <f>IF(Y63="","",MAX(0,MAX(0,MIN(1,(((IF(Статистика!$C$4="Параллельный режим (активная мощность)",AE63,AP63)+Статистика!$J$4))-Статистика!$C$10)/MAX(Статистика!$G$10-Статистика!$C$10,0.000001)))-MAX(0,MIN(1,(((IF(Статистика!$C$4="Параллельный режим (активная мощность)",AD63,AO63)+Статистика!$J$4))-Статистика!$C$10)/MAX(Статистика!$G$10-Статистика!$C$10,0.000001)))))</f>
        <v>6.2892999999999644E-2</v>
      </c>
      <c r="BY63" s="12">
        <f>IF(Y63="","",MAX(0,MAX(0,MIN(1,(((IF(Статистика!$C$4="Параллельный режим (активная мощность)",AF63,AQ63)+Статистика!$J$4))-Статистика!$C$10)/MAX(Статистика!$G$10-Статистика!$C$10,0.000001)))-MAX(0,MIN(1,(((IF(Статистика!$C$4="Параллельный режим (активная мощность)",AE63,AP63)+Статистика!$J$4))-Статистика!$C$10)/MAX(Статистика!$G$10-Статистика!$C$10,0.000001)))))</f>
        <v>0.18775785722222227</v>
      </c>
      <c r="BZ63" s="12">
        <f>IF(Y63="","",MAX(0,MAX(0,MIN(1,(((IF(Статистика!$C$4="Параллельный режим (активная мощность)",AH63,AS63)+Статистика!$J$4))-Статистика!$C$10)/MAX(Статистика!$G$10-Статистика!$C$10,0.000001)))-MAX(0,MIN(1,(((IF(Статистика!$C$4="Параллельный режим (активная мощность)",AF63,AQ63)+Статистика!$J$4))-Статистика!$C$10)/MAX(Статистика!$G$10-Статистика!$C$10,0.000001)))))</f>
        <v>1.5529618500000009E-2</v>
      </c>
      <c r="CA63" s="12">
        <f>IF(Y63="","",MAX(0,1-MAX(0,MIN(1,(((IF(Статистика!$C$4="Параллельный режим (активная мощность)",AH63,AS63)+Статистика!$J$4))-Статистика!$C$10)/MAX(Статистика!$G$10-Статистика!$C$10,0.000001)))))</f>
        <v>0.14272099094444457</v>
      </c>
      <c r="CB63" s="12">
        <f>IF(Y63="",NA(),IF(Статистика!$B$8="Вкл",(((IF(Статистика!$C$4="Параллельный режим (активная мощность)",AD63,AO63)+Статистика!$J$4))-Статистика!$C$10)/MAX(Статистика!$G$10-Статистика!$C$10,0.000001),NA()))</f>
        <v>0.59109853333333351</v>
      </c>
      <c r="CC63" s="12">
        <f>IF(Y63="",NA(),IF(Статистика!$D$8="Вкл",(((IF(Статистика!$C$4="Параллельный режим (активная мощность)",AC63,AN63)+Статистика!$J$4))-Статистика!$C$10)/MAX(Статистика!$G$10-Статистика!$C$10,0.000001),NA()))</f>
        <v>0.48809198333333281</v>
      </c>
      <c r="CD63" s="12">
        <f>IF(Y63="",NA(),IF(Статистика!$D$8="Вкл",(((IF(Статистика!$C$4="Параллельный режим (активная мощность)",AE63,AP63)+Статистика!$J$4))-Статистика!$C$10)/MAX(Статистика!$G$10-Статистика!$C$10,0.000001),NA()))</f>
        <v>0.65399153333333315</v>
      </c>
      <c r="CE63" s="12">
        <f>IF(Y63="",NA(),IF(Статистика!$F$8="Вкл",(((IF(Статистика!$C$4="Параллельный режим (активная мощность)",AB63,AM63)+Статистика!$J$4))-Статистика!$C$10)/MAX(Статистика!$G$10-Статистика!$C$10,0.000001),NA()))</f>
        <v>0.43328937166666676</v>
      </c>
      <c r="CF63" s="12">
        <f>IF(Y63="",NA(),IF(Статистика!$F$8="Вкл",(((IF(Статистика!$C$4="Параллельный режим (активная мощность)",AF63,AQ63)+Статистика!$J$4))-Статистика!$C$10)/MAX(Статистика!$G$10-Статистика!$C$10,0.000001),NA()))</f>
        <v>0.84174939055555542</v>
      </c>
      <c r="CG63" s="12">
        <f>IF(Y63="",NA(),IF(Статистика!$H$8="Вкл",(((IF(Статистика!$C$4="Параллельный режим (активная мощность)",Z63,AK63)+Статистика!$J$4))-Статистика!$C$10)/MAX(Статистика!$G$10-Статистика!$C$10,0.000001),NA()))</f>
        <v>0.38643465716666653</v>
      </c>
      <c r="CH63" s="12">
        <f>IF(Y63="",NA(),IF(Статистика!$H$8="Вкл",(((IF(Статистика!$C$4="Параллельный режим (активная мощность)",AH63,AS63)+Статистика!$J$4))-Статистика!$C$10)/MAX(Статистика!$G$10-Статистика!$C$10,0.000001),NA()))</f>
        <v>0.85727900905555543</v>
      </c>
      <c r="CI63" s="12" t="e">
        <f>IF(Y63="",NA(),IF(Статистика!$J$8="Вкл",(((IF(Статистика!$C$4="Параллельный режим (активная мощность)",AI63,AT63)+Статистика!$J$4))-Статистика!$C$10)/MAX(Статистика!$G$10-Статистика!$C$10,0.000001),NA()))</f>
        <v>#N/A</v>
      </c>
      <c r="CJ63" s="12" t="e">
        <f>IF(AND(Y63&lt;&gt;"",Статистика!$C$6="Вкл",Статистика!$B$6&gt;0),(Статистика!$B$6-Статистика!$C$10)/MAX(Статистика!$G$10-Статистика!$C$10,0.000001),NA())</f>
        <v>#N/A</v>
      </c>
      <c r="CK63" s="12" t="e">
        <f>IF(AND(Y63&lt;&gt;"",Статистика!$F$6="Вкл",Статистика!$E$6&gt;0),(Статистика!$E$6-Статистика!$C$10)/MAX(Статистика!$G$10-Статистика!$C$10,0.000001),NA())</f>
        <v>#N/A</v>
      </c>
      <c r="CL63" s="12" t="e">
        <f>IF(AND(Y63&lt;&gt;"",Статистика!$I$6="Вкл",Статистика!$H$6&gt;0),(Статистика!$H$6-Статистика!$C$10)/MAX(Статистика!$G$10-Статистика!$C$10,0.000001),NA())</f>
        <v>#N/A</v>
      </c>
      <c r="CM63" s="12" t="e">
        <f>IF(AND(Y63&lt;&gt;"",Статистика!$L$6="Вкл",Статистика!$K$6&gt;0),(Статистика!$K$6-Статистика!$C$10)/MAX(Статистика!$G$10-Статистика!$C$10,0.000001),NA())</f>
        <v>#N/A</v>
      </c>
      <c r="CN63" s="12" t="e">
        <f>IF(AND(Y63&lt;&gt;"",Статистика!$M$6="Вкл",Статистика!$O$6&gt;0),(Статистика!$O$6-Статистика!$C$10)/MAX(Статистика!$G$10-Статистика!$C$10,0.000001),NA())</f>
        <v>#N/A</v>
      </c>
      <c r="CO63" s="12">
        <f t="shared" si="1"/>
        <v>1</v>
      </c>
    </row>
    <row r="64" spans="1:93" ht="15" customHeight="1">
      <c r="A64" s="12" t="s">
        <v>311</v>
      </c>
      <c r="B64" s="12">
        <v>2340.8835436666668</v>
      </c>
      <c r="C64" s="12">
        <v>5799.3941183333336</v>
      </c>
      <c r="D64" s="12">
        <v>7446.756856666666</v>
      </c>
      <c r="E64" s="12">
        <v>7508.1386333333339</v>
      </c>
      <c r="F64" s="12">
        <v>7686.1528833333332</v>
      </c>
      <c r="G64" s="12">
        <v>7917.1791250000006</v>
      </c>
      <c r="H64" s="12">
        <v>8188.6537316666663</v>
      </c>
      <c r="I64" s="12">
        <v>8243.9224725000004</v>
      </c>
      <c r="J64" s="12">
        <v>8342.0646011666668</v>
      </c>
      <c r="K64" s="12">
        <v>8448.65</v>
      </c>
      <c r="L64" s="12" t="s">
        <v>312</v>
      </c>
      <c r="M64" s="12">
        <v>2906.5941266666659</v>
      </c>
      <c r="N64" s="12">
        <v>6684.3823666666667</v>
      </c>
      <c r="O64" s="12">
        <v>8513.8802516666656</v>
      </c>
      <c r="P64" s="12">
        <v>8706.8777500000015</v>
      </c>
      <c r="Q64" s="12">
        <v>8881.1573333333326</v>
      </c>
      <c r="R64" s="12">
        <v>9018.2831583333336</v>
      </c>
      <c r="S64" s="12">
        <v>9295.1937033333343</v>
      </c>
      <c r="T64" s="12">
        <v>9329.3589575000005</v>
      </c>
      <c r="U64" s="12">
        <v>9387.9451248333335</v>
      </c>
      <c r="V64" s="12">
        <v>9487.9699999999993</v>
      </c>
      <c r="W64" s="12" t="s">
        <v>313</v>
      </c>
      <c r="Y64" s="12" t="s">
        <v>311</v>
      </c>
      <c r="Z64" s="12">
        <v>7163.577032666667</v>
      </c>
      <c r="AA64" s="12">
        <v>7217.9862300000004</v>
      </c>
      <c r="AB64" s="12">
        <v>7285.9977266666674</v>
      </c>
      <c r="AC64" s="12">
        <v>7506.2935583333337</v>
      </c>
      <c r="AD64" s="12">
        <v>7710.5477499999997</v>
      </c>
      <c r="AE64" s="12">
        <v>7980.0509000000002</v>
      </c>
      <c r="AF64" s="12">
        <v>8520.9927466666668</v>
      </c>
      <c r="AG64" s="12">
        <v>8568.6534733333337</v>
      </c>
      <c r="AH64" s="12">
        <v>8606.782054666668</v>
      </c>
      <c r="AI64" s="12">
        <v>8830.44</v>
      </c>
      <c r="AJ64" s="12" t="s">
        <v>314</v>
      </c>
      <c r="AK64" s="12">
        <v>8182.1291021666666</v>
      </c>
      <c r="AL64" s="12">
        <v>8244.0135108333325</v>
      </c>
      <c r="AM64" s="12">
        <v>8321.3690216666673</v>
      </c>
      <c r="AN64" s="12">
        <v>8595.1983499999988</v>
      </c>
      <c r="AO64" s="12">
        <v>8774.6671999999999</v>
      </c>
      <c r="AP64" s="12">
        <v>9095.7184750000015</v>
      </c>
      <c r="AQ64" s="12">
        <v>9601.5007466666666</v>
      </c>
      <c r="AR64" s="12">
        <v>9623.7232399999994</v>
      </c>
      <c r="AS64" s="12">
        <v>9641.5012346666663</v>
      </c>
      <c r="AT64" s="12">
        <v>9956.58</v>
      </c>
      <c r="AU64" s="12" t="s">
        <v>314</v>
      </c>
      <c r="AW64" s="12">
        <f>IF(A64="","",MAX(0,MIN(1,(((IF(Статистика!$C$4="Параллельный режим (активная мощность)",B64,M64)+Статистика!$J$4))-Статистика!$C$10)/MAX(Статистика!$G$10-Статистика!$C$10,0.000001))))</f>
        <v>0</v>
      </c>
      <c r="AX64" s="12">
        <f>IF(A64="","",MAX(0,MAX(0,MIN(1,(((IF(Статистика!$C$4="Параллельный режим (активная мощность)",D64,O64)+Статистика!$J$4))-Статистика!$C$10)/MAX(Статистика!$G$10-Статистика!$C$10,0.000001)))-MAX(0,MIN(1,(((IF(Статистика!$C$4="Параллельный режим (активная мощность)",B64,M64)+Статистика!$J$4))-Статистика!$C$10)/MAX(Статистика!$G$10-Статистика!$C$10,0.000001)))))</f>
        <v>0.48225228555555533</v>
      </c>
      <c r="AY64" s="12">
        <f>IF(A64="","",MAX(0,MAX(0,MIN(1,(((IF(Статистика!$C$4="Параллельный режим (активная мощность)",E64,P64)+Статистика!$J$4))-Статистика!$C$10)/MAX(Статистика!$G$10-Статистика!$C$10,0.000001)))-MAX(0,MIN(1,(((IF(Статистика!$C$4="Параллельный режим (активная мощность)",D64,O64)+Статистика!$J$4))-Статистика!$C$10)/MAX(Статистика!$G$10-Статистика!$C$10,0.000001)))))</f>
        <v>2.0460592222222629E-2</v>
      </c>
      <c r="AZ64" s="12">
        <f>IF(A64="","",MAX(0,MAX(0,MIN(1,(((IF(Статистика!$C$4="Параллельный режим (активная мощность)",F64,Q64)+Статистика!$J$4))-Статистика!$C$10)/MAX(Статистика!$G$10-Статистика!$C$10,0.000001)))-MAX(0,MIN(1,(((IF(Статистика!$C$4="Параллельный режим (активная мощность)",E64,P64)+Статистика!$J$4))-Статистика!$C$10)/MAX(Статистика!$G$10-Статистика!$C$10,0.000001)))))</f>
        <v>5.9338083333333125E-2</v>
      </c>
      <c r="BA64" s="12">
        <f>IF(A64="","",MAX(0,MAX(0,MIN(1,(((IF(Статистика!$C$4="Параллельный режим (активная мощность)",G64,R64)+Статистика!$J$4))-Статистика!$C$10)/MAX(Статистика!$G$10-Статистика!$C$10,0.000001)))-MAX(0,MIN(1,(((IF(Статистика!$C$4="Параллельный режим (активная мощность)",F64,Q64)+Статистика!$J$4))-Статистика!$C$10)/MAX(Статистика!$G$10-Статистика!$C$10,0.000001)))))</f>
        <v>7.7008747222222396E-2</v>
      </c>
      <c r="BB64" s="12">
        <f>IF(A64="","",MAX(0,MAX(0,MIN(1,(((IF(Статистика!$C$4="Параллельный режим (активная мощность)",H64,S64)+Статистика!$J$4))-Статистика!$C$10)/MAX(Статистика!$G$10-Статистика!$C$10,0.000001)))-MAX(0,MIN(1,(((IF(Статистика!$C$4="Параллельный режим (активная мощность)",G64,R64)+Статистика!$J$4))-Статистика!$C$10)/MAX(Статистика!$G$10-Статистика!$C$10,0.000001)))))</f>
        <v>9.0491535555555336E-2</v>
      </c>
      <c r="BC64" s="12">
        <f>IF(A64="","",MAX(0,MAX(0,MIN(1,(((IF(Статистика!$C$4="Параллельный режим (активная мощность)",J64,U64)+Статистика!$J$4))-Статистика!$C$10)/MAX(Статистика!$G$10-Статистика!$C$10,0.000001)))-MAX(0,MIN(1,(((IF(Статистика!$C$4="Параллельный режим (активная мощность)",H64,S64)+Статистика!$J$4))-Статистика!$C$10)/MAX(Статистика!$G$10-Статистика!$C$10,0.000001)))))</f>
        <v>5.1136956500000164E-2</v>
      </c>
      <c r="BD64" s="12">
        <f>IF(A64="","",MAX(0,1-MAX(0,MIN(1,(((IF(Статистика!$C$4="Параллельный режим (активная мощность)",J64,U64)+Статистика!$J$4))-Статистика!$C$10)/MAX(Статистика!$G$10-Статистика!$C$10,0.000001)))))</f>
        <v>0.21931179961111102</v>
      </c>
      <c r="BE64" s="12">
        <f>IF(A64="",NA(),IF(Статистика!$B$8="Вкл",(((IF(Статистика!$C$4="Параллельный режим (активная мощность)",F64,Q64)+Статистика!$J$4))-Статистика!$C$10)/MAX(Статистика!$G$10-Статистика!$C$10,0.000001),NA()))</f>
        <v>0.56205096111111108</v>
      </c>
      <c r="BF64" s="12">
        <f>IF(A64="",NA(),IF(Статистика!$D$8="Вкл",(((IF(Статистика!$C$4="Параллельный режим (активная мощность)",E64,P64)+Статистика!$J$4))-Статистика!$C$10)/MAX(Статистика!$G$10-Статистика!$C$10,0.000001),NA()))</f>
        <v>0.50271287777777796</v>
      </c>
      <c r="BG64" s="12">
        <f>IF(A64="",NA(),IF(Статистика!$D$8="Вкл",(((IF(Статистика!$C$4="Параллельный режим (активная мощность)",G64,R64)+Статистика!$J$4))-Статистика!$C$10)/MAX(Статистика!$G$10-Статистика!$C$10,0.000001),NA()))</f>
        <v>0.63905970833333348</v>
      </c>
      <c r="BH64" s="12">
        <f>IF(A64="",NA(),IF(Статистика!$F$8="Вкл",(((IF(Статистика!$C$4="Параллельный режим (активная мощность)",D64,O64)+Статистика!$J$4))-Статистика!$C$10)/MAX(Статистика!$G$10-Статистика!$C$10,0.000001),NA()))</f>
        <v>0.48225228555555533</v>
      </c>
      <c r="BI64" s="12">
        <f>IF(A64="",NA(),IF(Статистика!$F$8="Вкл",(((IF(Статистика!$C$4="Параллельный режим (активная мощность)",H64,S64)+Статистика!$J$4))-Статистика!$C$10)/MAX(Статистика!$G$10-Статистика!$C$10,0.000001),NA()))</f>
        <v>0.72955124388888881</v>
      </c>
      <c r="BJ64" s="12">
        <f>IF(A64="",NA(),IF(Статистика!$H$8="Вкл",(((IF(Статистика!$C$4="Параллельный режим (активная мощность)",B64,M64)+Статистика!$J$4))-Статистика!$C$10)/MAX(Статистика!$G$10-Статистика!$C$10,0.000001),NA()))</f>
        <v>-1.2197054854444445</v>
      </c>
      <c r="BK64" s="12">
        <f>IF(A64="",NA(),IF(Статистика!$H$8="Вкл",(((IF(Статистика!$C$4="Параллельный режим (активная мощность)",J64,U64)+Статистика!$J$4))-Статистика!$C$10)/MAX(Статистика!$G$10-Статистика!$C$10,0.000001),NA()))</f>
        <v>0.78068820038888898</v>
      </c>
      <c r="BL64" s="12" t="e">
        <f>IF(A64="",NA(),IF(Статистика!$J$8="Вкл",(((IF(Статистика!$C$4="Параллельный режим (активная мощность)",K64,V64)+Статистика!$J$4))-Статистика!$C$10)/MAX(Статистика!$G$10-Статистика!$C$10,0.000001),NA()))</f>
        <v>#N/A</v>
      </c>
      <c r="BM64" s="12" t="e">
        <f>IF(AND(A64&lt;&gt;"",Статистика!$C$6="Вкл",Статистика!$B$6&gt;0),(Статистика!$B$6-Статистика!$C$10)/MAX(Статистика!$G$10-Статистика!$C$10,0.000001),NA())</f>
        <v>#N/A</v>
      </c>
      <c r="BN64" s="12" t="e">
        <f>IF(AND(A64&lt;&gt;"",Статистика!$F$6="Вкл",Статистика!$E$6&gt;0),(Статистика!$E$6-Статистика!$C$10)/MAX(Статистика!$G$10-Статистика!$C$10,0.000001),NA())</f>
        <v>#N/A</v>
      </c>
      <c r="BO64" s="12" t="e">
        <f>IF(AND(A64&lt;&gt;"",Статистика!$I$6="Вкл",Статистика!$H$6&gt;0),(Статистика!$H$6-Статистика!$C$10)/MAX(Статистика!$G$10-Статистика!$C$10,0.000001),NA())</f>
        <v>#N/A</v>
      </c>
      <c r="BP64" s="12" t="e">
        <f>IF(AND(A64&lt;&gt;"",Статистика!$L$6="Вкл",Статистика!$K$6&gt;0),(Статистика!$K$6-Статистика!$C$10)/MAX(Статистика!$G$10-Статистика!$C$10,0.000001),NA())</f>
        <v>#N/A</v>
      </c>
      <c r="BQ64" s="12" t="e">
        <f>IF(AND(A64&lt;&gt;"",Статистика!$M$6="Вкл",Статистика!$O$6&gt;0),(Статистика!$O$6-Статистика!$C$10)/MAX(Статистика!$G$10-Статистика!$C$10,0.000001),NA())</f>
        <v>#N/A</v>
      </c>
      <c r="BR64" s="12">
        <f t="shared" si="0"/>
        <v>1</v>
      </c>
      <c r="BT64" s="12">
        <f>IF(Y64="","",MAX(0,MIN(1,(((IF(Статистика!$C$4="Параллельный режим (активная мощность)",Z64,AK64)+Статистика!$J$4))-Статистика!$C$10)/MAX(Статистика!$G$10-Статистика!$C$10,0.000001))))</f>
        <v>0.38785901088888902</v>
      </c>
      <c r="BU64" s="12">
        <f>IF(Y64="","",MAX(0,MAX(0,MIN(1,(((IF(Статистика!$C$4="Параллельный режим (активная мощность)",AB64,AM64)+Статистика!$J$4))-Статистика!$C$10)/MAX(Статистика!$G$10-Статистика!$C$10,0.000001)))-MAX(0,MIN(1,(((IF(Статистика!$C$4="Параллельный режим (активная мощность)",Z64,AK64)+Статистика!$J$4))-Статистика!$C$10)/MAX(Статистика!$G$10-Статистика!$C$10,0.000001)))))</f>
        <v>4.0806898000000091E-2</v>
      </c>
      <c r="BV64" s="12">
        <f>IF(Y64="","",MAX(0,MAX(0,MIN(1,(((IF(Статистика!$C$4="Параллельный режим (активная мощность)",AC64,AN64)+Статистика!$J$4))-Статистика!$C$10)/MAX(Статистика!$G$10-Статистика!$C$10,0.000001)))-MAX(0,MIN(1,(((IF(Статистика!$C$4="Параллельный режим (активная мощность)",AB64,AM64)+Статистика!$J$4))-Статистика!$C$10)/MAX(Статистика!$G$10-Статистика!$C$10,0.000001)))))</f>
        <v>7.3431943888888851E-2</v>
      </c>
      <c r="BW64" s="12">
        <f>IF(Y64="","",MAX(0,MAX(0,MIN(1,(((IF(Статистика!$C$4="Параллельный режим (активная мощность)",AD64,AO64)+Статистика!$J$4))-Статистика!$C$10)/MAX(Статистика!$G$10-Статистика!$C$10,0.000001)))-MAX(0,MIN(1,(((IF(Статистика!$C$4="Параллельный режим (активная мощность)",AC64,AN64)+Статистика!$J$4))-Статистика!$C$10)/MAX(Статистика!$G$10-Статистика!$C$10,0.000001)))))</f>
        <v>6.8084730555555306E-2</v>
      </c>
      <c r="BX64" s="12">
        <f>IF(Y64="","",MAX(0,MAX(0,MIN(1,(((IF(Статистика!$C$4="Параллельный режим (активная мощность)",AE64,AP64)+Статистика!$J$4))-Статистика!$C$10)/MAX(Статистика!$G$10-Статистика!$C$10,0.000001)))-MAX(0,MIN(1,(((IF(Статистика!$C$4="Параллельный режим (активная мощность)",AD64,AO64)+Статистика!$J$4))-Статистика!$C$10)/MAX(Статистика!$G$10-Статистика!$C$10,0.000001)))))</f>
        <v>8.983438333333349E-2</v>
      </c>
      <c r="BY64" s="12">
        <f>IF(Y64="","",MAX(0,MAX(0,MIN(1,(((IF(Статистика!$C$4="Параллельный режим (активная мощность)",AF64,AQ64)+Статистика!$J$4))-Статистика!$C$10)/MAX(Статистика!$G$10-Статистика!$C$10,0.000001)))-MAX(0,MIN(1,(((IF(Статистика!$C$4="Параллельный режим (активная мощность)",AE64,AP64)+Статистика!$J$4))-Статистика!$C$10)/MAX(Статистика!$G$10-Статистика!$C$10,0.000001)))))</f>
        <v>0.18031394888888885</v>
      </c>
      <c r="BZ64" s="12">
        <f>IF(Y64="","",MAX(0,MAX(0,MIN(1,(((IF(Статистика!$C$4="Параллельный режим (активная мощность)",AH64,AS64)+Статистика!$J$4))-Статистика!$C$10)/MAX(Статистика!$G$10-Статистика!$C$10,0.000001)))-MAX(0,MIN(1,(((IF(Статистика!$C$4="Параллельный режим (активная мощность)",AF64,AQ64)+Статистика!$J$4))-Статистика!$C$10)/MAX(Статистика!$G$10-Статистика!$C$10,0.000001)))))</f>
        <v>2.8596436000000391E-2</v>
      </c>
      <c r="CA64" s="12">
        <f>IF(Y64="","",MAX(0,1-MAX(0,MIN(1,(((IF(Статистика!$C$4="Параллельный режим (активная мощность)",AH64,AS64)+Статистика!$J$4))-Статистика!$C$10)/MAX(Статистика!$G$10-Статистика!$C$10,0.000001)))))</f>
        <v>0.131072648444444</v>
      </c>
      <c r="CB64" s="12">
        <f>IF(Y64="",NA(),IF(Статистика!$B$8="Вкл",(((IF(Статистика!$C$4="Параллельный режим (активная мощность)",AD64,AO64)+Статистика!$J$4))-Статистика!$C$10)/MAX(Статистика!$G$10-Статистика!$C$10,0.000001),NA()))</f>
        <v>0.57018258333333327</v>
      </c>
      <c r="CC64" s="12">
        <f>IF(Y64="",NA(),IF(Статистика!$D$8="Вкл",(((IF(Статистика!$C$4="Параллельный режим (активная мощность)",AC64,AN64)+Статистика!$J$4))-Статистика!$C$10)/MAX(Статистика!$G$10-Статистика!$C$10,0.000001),NA()))</f>
        <v>0.50209785277777796</v>
      </c>
      <c r="CD64" s="12">
        <f>IF(Y64="",NA(),IF(Статистика!$D$8="Вкл",(((IF(Статистика!$C$4="Параллельный режим (активная мощность)",AE64,AP64)+Статистика!$J$4))-Статистика!$C$10)/MAX(Статистика!$G$10-Статистика!$C$10,0.000001),NA()))</f>
        <v>0.66001696666666676</v>
      </c>
      <c r="CE64" s="12">
        <f>IF(Y64="",NA(),IF(Статистика!$F$8="Вкл",(((IF(Статистика!$C$4="Параллельный режим (активная мощность)",AB64,AM64)+Статистика!$J$4))-Статистика!$C$10)/MAX(Статистика!$G$10-Статистика!$C$10,0.000001),NA()))</f>
        <v>0.42866590888888911</v>
      </c>
      <c r="CF64" s="12">
        <f>IF(Y64="",NA(),IF(Статистика!$F$8="Вкл",(((IF(Статистика!$C$4="Параллельный режим (активная мощность)",AF64,AQ64)+Статистика!$J$4))-Статистика!$C$10)/MAX(Статистика!$G$10-Статистика!$C$10,0.000001),NA()))</f>
        <v>0.84033091555555561</v>
      </c>
      <c r="CG64" s="12">
        <f>IF(Y64="",NA(),IF(Статистика!$H$8="Вкл",(((IF(Статистика!$C$4="Параллельный режим (активная мощность)",Z64,AK64)+Статистика!$J$4))-Статистика!$C$10)/MAX(Статистика!$G$10-Статистика!$C$10,0.000001),NA()))</f>
        <v>0.38785901088888902</v>
      </c>
      <c r="CH64" s="12">
        <f>IF(Y64="",NA(),IF(Статистика!$H$8="Вкл",(((IF(Статистика!$C$4="Параллельный режим (активная мощность)",AH64,AS64)+Статистика!$J$4))-Статистика!$C$10)/MAX(Статистика!$G$10-Статистика!$C$10,0.000001),NA()))</f>
        <v>0.868927351555556</v>
      </c>
      <c r="CI64" s="12" t="e">
        <f>IF(Y64="",NA(),IF(Статистика!$J$8="Вкл",(((IF(Статистика!$C$4="Параллельный режим (активная мощность)",AI64,AT64)+Статистика!$J$4))-Статистика!$C$10)/MAX(Статистика!$G$10-Статистика!$C$10,0.000001),NA()))</f>
        <v>#N/A</v>
      </c>
      <c r="CJ64" s="12" t="e">
        <f>IF(AND(Y64&lt;&gt;"",Статистика!$C$6="Вкл",Статистика!$B$6&gt;0),(Статистика!$B$6-Статистика!$C$10)/MAX(Статистика!$G$10-Статистика!$C$10,0.000001),NA())</f>
        <v>#N/A</v>
      </c>
      <c r="CK64" s="12" t="e">
        <f>IF(AND(Y64&lt;&gt;"",Статистика!$F$6="Вкл",Статистика!$E$6&gt;0),(Статистика!$E$6-Статистика!$C$10)/MAX(Статистика!$G$10-Статистика!$C$10,0.000001),NA())</f>
        <v>#N/A</v>
      </c>
      <c r="CL64" s="12" t="e">
        <f>IF(AND(Y64&lt;&gt;"",Статистика!$I$6="Вкл",Статистика!$H$6&gt;0),(Статистика!$H$6-Статистика!$C$10)/MAX(Статистика!$G$10-Статистика!$C$10,0.000001),NA())</f>
        <v>#N/A</v>
      </c>
      <c r="CM64" s="12" t="e">
        <f>IF(AND(Y64&lt;&gt;"",Статистика!$L$6="Вкл",Статистика!$K$6&gt;0),(Статистика!$K$6-Статистика!$C$10)/MAX(Статистика!$G$10-Статистика!$C$10,0.000001),NA())</f>
        <v>#N/A</v>
      </c>
      <c r="CN64" s="12" t="e">
        <f>IF(AND(Y64&lt;&gt;"",Статистика!$M$6="Вкл",Статистика!$O$6&gt;0),(Статистика!$O$6-Статистика!$C$10)/MAX(Статистика!$G$10-Статистика!$C$10,0.000001),NA())</f>
        <v>#N/A</v>
      </c>
      <c r="CO64" s="12">
        <f t="shared" si="1"/>
        <v>1</v>
      </c>
    </row>
    <row r="65" spans="1:93" ht="15" customHeight="1">
      <c r="A65" s="12" t="s">
        <v>315</v>
      </c>
      <c r="B65" s="12">
        <v>2339.3092271666665</v>
      </c>
      <c r="C65" s="12">
        <v>5776.9585358333343</v>
      </c>
      <c r="D65" s="12">
        <v>7422.2878316666665</v>
      </c>
      <c r="E65" s="12">
        <v>7517.5000916666668</v>
      </c>
      <c r="F65" s="12">
        <v>7691.2208833333334</v>
      </c>
      <c r="G65" s="12">
        <v>7928.6103083333337</v>
      </c>
      <c r="H65" s="12">
        <v>8168.6855250000008</v>
      </c>
      <c r="I65" s="12">
        <v>8252.0813900000012</v>
      </c>
      <c r="J65" s="12">
        <v>8373.3150780000014</v>
      </c>
      <c r="K65" s="12">
        <v>8472.58</v>
      </c>
      <c r="L65" s="12" t="s">
        <v>316</v>
      </c>
      <c r="M65" s="12">
        <v>2911.4674228333333</v>
      </c>
      <c r="N65" s="12">
        <v>6693.9423141666666</v>
      </c>
      <c r="O65" s="12">
        <v>8501.8515733333334</v>
      </c>
      <c r="P65" s="12">
        <v>8726.1118916666674</v>
      </c>
      <c r="Q65" s="12">
        <v>8847.791166666666</v>
      </c>
      <c r="R65" s="12">
        <v>9052.1111083333344</v>
      </c>
      <c r="S65" s="12">
        <v>9274.320431666667</v>
      </c>
      <c r="T65" s="12">
        <v>9336.552728333334</v>
      </c>
      <c r="U65" s="12">
        <v>9429.3406256666676</v>
      </c>
      <c r="V65" s="12">
        <v>9525.5300000000007</v>
      </c>
      <c r="W65" s="12" t="s">
        <v>316</v>
      </c>
      <c r="Y65" s="12" t="s">
        <v>315</v>
      </c>
      <c r="Z65" s="12">
        <v>7167.5936631666655</v>
      </c>
      <c r="AA65" s="12">
        <v>7222.9756491666658</v>
      </c>
      <c r="AB65" s="12">
        <v>7292.2031316666653</v>
      </c>
      <c r="AC65" s="12">
        <v>7500.5908500000005</v>
      </c>
      <c r="AD65" s="12">
        <v>7699.9040333333332</v>
      </c>
      <c r="AE65" s="12">
        <v>7998.9573083333335</v>
      </c>
      <c r="AF65" s="12">
        <v>8497.6936416666667</v>
      </c>
      <c r="AG65" s="12">
        <v>8544.4959374999999</v>
      </c>
      <c r="AH65" s="12">
        <v>8581.9377741666667</v>
      </c>
      <c r="AI65" s="12">
        <v>8704.82</v>
      </c>
      <c r="AJ65" s="12" t="s">
        <v>317</v>
      </c>
      <c r="AK65" s="12">
        <v>8180.6099618333328</v>
      </c>
      <c r="AL65" s="12">
        <v>8248.1335424999997</v>
      </c>
      <c r="AM65" s="12">
        <v>8332.5380183333327</v>
      </c>
      <c r="AN65" s="12">
        <v>8551.4202000000005</v>
      </c>
      <c r="AO65" s="12">
        <v>8784.2837833333324</v>
      </c>
      <c r="AP65" s="12">
        <v>9089.3555666666671</v>
      </c>
      <c r="AQ65" s="12">
        <v>9561.7785216666671</v>
      </c>
      <c r="AR65" s="12">
        <v>9576.4761441666669</v>
      </c>
      <c r="AS65" s="12">
        <v>9588.2342421666672</v>
      </c>
      <c r="AT65" s="12">
        <v>9727.11</v>
      </c>
      <c r="AU65" s="12" t="s">
        <v>318</v>
      </c>
      <c r="AW65" s="12">
        <f>IF(A65="","",MAX(0,MIN(1,(((IF(Статистика!$C$4="Параллельный режим (активная мощность)",B65,M65)+Статистика!$J$4))-Статистика!$C$10)/MAX(Статистика!$G$10-Статистика!$C$10,0.000001))))</f>
        <v>0</v>
      </c>
      <c r="AX65" s="12">
        <f>IF(A65="","",MAX(0,MAX(0,MIN(1,(((IF(Статистика!$C$4="Параллельный режим (активная мощность)",D65,O65)+Статистика!$J$4))-Статистика!$C$10)/MAX(Статистика!$G$10-Статистика!$C$10,0.000001)))-MAX(0,MIN(1,(((IF(Статистика!$C$4="Параллельный режим (активная мощность)",B65,M65)+Статистика!$J$4))-Статистика!$C$10)/MAX(Статистика!$G$10-Статистика!$C$10,0.000001)))))</f>
        <v>0.47409594388888887</v>
      </c>
      <c r="AY65" s="12">
        <f>IF(A65="","",MAX(0,MAX(0,MIN(1,(((IF(Статистика!$C$4="Параллельный режим (активная мощность)",E65,P65)+Статистика!$J$4))-Статистика!$C$10)/MAX(Статистика!$G$10-Статистика!$C$10,0.000001)))-MAX(0,MIN(1,(((IF(Статистика!$C$4="Параллельный режим (активная мощность)",D65,O65)+Статистика!$J$4))-Статистика!$C$10)/MAX(Статистика!$G$10-Статистика!$C$10,0.000001)))))</f>
        <v>3.1737420000000016E-2</v>
      </c>
      <c r="AZ65" s="12">
        <f>IF(A65="","",MAX(0,MAX(0,MIN(1,(((IF(Статистика!$C$4="Параллельный режим (активная мощность)",F65,Q65)+Статистика!$J$4))-Статистика!$C$10)/MAX(Статистика!$G$10-Статистика!$C$10,0.000001)))-MAX(0,MIN(1,(((IF(Статистика!$C$4="Параллельный режим (активная мощность)",E65,P65)+Статистика!$J$4))-Статистика!$C$10)/MAX(Статистика!$G$10-Статистика!$C$10,0.000001)))))</f>
        <v>5.7906930555555625E-2</v>
      </c>
      <c r="BA65" s="12">
        <f>IF(A65="","",MAX(0,MAX(0,MIN(1,(((IF(Статистика!$C$4="Параллельный режим (активная мощность)",G65,R65)+Статистика!$J$4))-Статистика!$C$10)/MAX(Статистика!$G$10-Статистика!$C$10,0.000001)))-MAX(0,MIN(1,(((IF(Статистика!$C$4="Параллельный режим (активная мощность)",F65,Q65)+Статистика!$J$4))-Статистика!$C$10)/MAX(Статистика!$G$10-Статистика!$C$10,0.000001)))))</f>
        <v>7.9129808333333385E-2</v>
      </c>
      <c r="BB65" s="12">
        <f>IF(A65="","",MAX(0,MAX(0,MIN(1,(((IF(Статистика!$C$4="Параллельный режим (активная мощность)",H65,S65)+Статистика!$J$4))-Статистика!$C$10)/MAX(Статистика!$G$10-Статистика!$C$10,0.000001)))-MAX(0,MIN(1,(((IF(Статистика!$C$4="Параллельный режим (активная мощность)",G65,R65)+Статистика!$J$4))-Статистика!$C$10)/MAX(Статистика!$G$10-Статистика!$C$10,0.000001)))))</f>
        <v>8.0025072222222327E-2</v>
      </c>
      <c r="BC65" s="12">
        <f>IF(A65="","",MAX(0,MAX(0,MIN(1,(((IF(Статистика!$C$4="Параллельный режим (активная мощность)",J65,U65)+Статистика!$J$4))-Статистика!$C$10)/MAX(Статистика!$G$10-Статистика!$C$10,0.000001)))-MAX(0,MIN(1,(((IF(Статистика!$C$4="Параллельный режим (активная мощность)",H65,S65)+Статистика!$J$4))-Статистика!$C$10)/MAX(Статистика!$G$10-Статистика!$C$10,0.000001)))))</f>
        <v>6.820985100000021E-2</v>
      </c>
      <c r="BD65" s="12">
        <f>IF(A65="","",MAX(0,1-MAX(0,MIN(1,(((IF(Статистика!$C$4="Параллельный режим (активная мощность)",J65,U65)+Статистика!$J$4))-Статистика!$C$10)/MAX(Статистика!$G$10-Статистика!$C$10,0.000001)))))</f>
        <v>0.20889497399999957</v>
      </c>
      <c r="BE65" s="12">
        <f>IF(A65="",NA(),IF(Статистика!$B$8="Вкл",(((IF(Статистика!$C$4="Параллельный режим (активная мощность)",F65,Q65)+Статистика!$J$4))-Статистика!$C$10)/MAX(Статистика!$G$10-Статистика!$C$10,0.000001),NA()))</f>
        <v>0.56374029444444451</v>
      </c>
      <c r="BF65" s="12">
        <f>IF(A65="",NA(),IF(Статистика!$D$8="Вкл",(((IF(Статистика!$C$4="Параллельный режим (активная мощность)",E65,P65)+Статистика!$J$4))-Статистика!$C$10)/MAX(Статистика!$G$10-Статистика!$C$10,0.000001),NA()))</f>
        <v>0.50583336388888889</v>
      </c>
      <c r="BG65" s="12">
        <f>IF(A65="",NA(),IF(Статистика!$D$8="Вкл",(((IF(Статистика!$C$4="Параллельный режим (активная мощность)",G65,R65)+Статистика!$J$4))-Статистика!$C$10)/MAX(Статистика!$G$10-Статистика!$C$10,0.000001),NA()))</f>
        <v>0.6428701027777779</v>
      </c>
      <c r="BH65" s="12">
        <f>IF(A65="",NA(),IF(Статистика!$F$8="Вкл",(((IF(Статистика!$C$4="Параллельный режим (активная мощность)",D65,O65)+Статистика!$J$4))-Статистика!$C$10)/MAX(Статистика!$G$10-Статистика!$C$10,0.000001),NA()))</f>
        <v>0.47409594388888887</v>
      </c>
      <c r="BI65" s="12">
        <f>IF(A65="",NA(),IF(Статистика!$F$8="Вкл",(((IF(Статистика!$C$4="Параллельный режим (активная мощность)",H65,S65)+Статистика!$J$4))-Статистика!$C$10)/MAX(Статистика!$G$10-Статистика!$C$10,0.000001),NA()))</f>
        <v>0.72289517500000022</v>
      </c>
      <c r="BJ65" s="12">
        <f>IF(A65="",NA(),IF(Статистика!$H$8="Вкл",(((IF(Статистика!$C$4="Параллельный режим (активная мощность)",B65,M65)+Статистика!$J$4))-Статистика!$C$10)/MAX(Статистика!$G$10-Статистика!$C$10,0.000001),NA()))</f>
        <v>-1.2202302576111113</v>
      </c>
      <c r="BK65" s="12">
        <f>IF(A65="",NA(),IF(Статистика!$H$8="Вкл",(((IF(Статистика!$C$4="Параллельный режим (активная мощность)",J65,U65)+Статистика!$J$4))-Статистика!$C$10)/MAX(Статистика!$G$10-Статистика!$C$10,0.000001),NA()))</f>
        <v>0.79110502600000043</v>
      </c>
      <c r="BL65" s="12" t="e">
        <f>IF(A65="",NA(),IF(Статистика!$J$8="Вкл",(((IF(Статистика!$C$4="Параллельный режим (активная мощность)",K65,V65)+Статистика!$J$4))-Статистика!$C$10)/MAX(Статистика!$G$10-Статистика!$C$10,0.000001),NA()))</f>
        <v>#N/A</v>
      </c>
      <c r="BM65" s="12" t="e">
        <f>IF(AND(A65&lt;&gt;"",Статистика!$C$6="Вкл",Статистика!$B$6&gt;0),(Статистика!$B$6-Статистика!$C$10)/MAX(Статистика!$G$10-Статистика!$C$10,0.000001),NA())</f>
        <v>#N/A</v>
      </c>
      <c r="BN65" s="12" t="e">
        <f>IF(AND(A65&lt;&gt;"",Статистика!$F$6="Вкл",Статистика!$E$6&gt;0),(Статистика!$E$6-Статистика!$C$10)/MAX(Статистика!$G$10-Статистика!$C$10,0.000001),NA())</f>
        <v>#N/A</v>
      </c>
      <c r="BO65" s="12" t="e">
        <f>IF(AND(A65&lt;&gt;"",Статистика!$I$6="Вкл",Статистика!$H$6&gt;0),(Статистика!$H$6-Статистика!$C$10)/MAX(Статистика!$G$10-Статистика!$C$10,0.000001),NA())</f>
        <v>#N/A</v>
      </c>
      <c r="BP65" s="12" t="e">
        <f>IF(AND(A65&lt;&gt;"",Статистика!$L$6="Вкл",Статистика!$K$6&gt;0),(Статистика!$K$6-Статистика!$C$10)/MAX(Статистика!$G$10-Статистика!$C$10,0.000001),NA())</f>
        <v>#N/A</v>
      </c>
      <c r="BQ65" s="12" t="e">
        <f>IF(AND(A65&lt;&gt;"",Статистика!$M$6="Вкл",Статистика!$O$6&gt;0),(Статистика!$O$6-Статистика!$C$10)/MAX(Статистика!$G$10-Статистика!$C$10,0.000001),NA())</f>
        <v>#N/A</v>
      </c>
      <c r="BR65" s="12">
        <f t="shared" si="0"/>
        <v>1</v>
      </c>
      <c r="BT65" s="12">
        <f>IF(Y65="","",MAX(0,MIN(1,(((IF(Статистика!$C$4="Параллельный режим (активная мощность)",Z65,AK65)+Статистика!$J$4))-Статистика!$C$10)/MAX(Статистика!$G$10-Статистика!$C$10,0.000001))))</f>
        <v>0.3891978877222218</v>
      </c>
      <c r="BU65" s="12">
        <f>IF(Y65="","",MAX(0,MAX(0,MIN(1,(((IF(Статистика!$C$4="Параллельный режим (активная мощность)",AB65,AM65)+Статистика!$J$4))-Статистика!$C$10)/MAX(Статистика!$G$10-Статистика!$C$10,0.000001)))-MAX(0,MIN(1,(((IF(Статистика!$C$4="Параллельный режим (активная мощность)",Z65,AK65)+Статистика!$J$4))-Статистика!$C$10)/MAX(Статистика!$G$10-Статистика!$C$10,0.000001)))))</f>
        <v>4.153648949999994E-2</v>
      </c>
      <c r="BV65" s="12">
        <f>IF(Y65="","",MAX(0,MAX(0,MIN(1,(((IF(Статистика!$C$4="Параллельный режим (активная мощность)",AC65,AN65)+Статистика!$J$4))-Статистика!$C$10)/MAX(Статистика!$G$10-Статистика!$C$10,0.000001)))-MAX(0,MIN(1,(((IF(Статистика!$C$4="Параллельный режим (активная мощность)",AB65,AM65)+Статистика!$J$4))-Статистика!$C$10)/MAX(Статистика!$G$10-Статистика!$C$10,0.000001)))))</f>
        <v>6.9462572777778453E-2</v>
      </c>
      <c r="BW65" s="12">
        <f>IF(Y65="","",MAX(0,MAX(0,MIN(1,(((IF(Статистика!$C$4="Параллельный режим (активная мощность)",AD65,AO65)+Статистика!$J$4))-Статистика!$C$10)/MAX(Статистика!$G$10-Статистика!$C$10,0.000001)))-MAX(0,MIN(1,(((IF(Статистика!$C$4="Параллельный режим (активная мощность)",AC65,AN65)+Статистика!$J$4))-Статистика!$C$10)/MAX(Статистика!$G$10-Статистика!$C$10,0.000001)))))</f>
        <v>6.6437727777777567E-2</v>
      </c>
      <c r="BX65" s="12">
        <f>IF(Y65="","",MAX(0,MAX(0,MIN(1,(((IF(Статистика!$C$4="Параллельный режим (активная мощность)",AE65,AP65)+Статистика!$J$4))-Статистика!$C$10)/MAX(Статистика!$G$10-Статистика!$C$10,0.000001)))-MAX(0,MIN(1,(((IF(Статистика!$C$4="Параллельный режим (активная мощность)",AD65,AO65)+Статистика!$J$4))-Статистика!$C$10)/MAX(Статистика!$G$10-Статистика!$C$10,0.000001)))))</f>
        <v>9.9684425000000076E-2</v>
      </c>
      <c r="BY65" s="12">
        <f>IF(Y65="","",MAX(0,MAX(0,MIN(1,(((IF(Статистика!$C$4="Параллельный режим (активная мощность)",AF65,AQ65)+Статистика!$J$4))-Статистика!$C$10)/MAX(Статистика!$G$10-Статистика!$C$10,0.000001)))-MAX(0,MIN(1,(((IF(Статистика!$C$4="Параллельный режим (активная мощность)",AE65,AP65)+Статистика!$J$4))-Статистика!$C$10)/MAX(Статистика!$G$10-Статистика!$C$10,0.000001)))))</f>
        <v>0.16624544444444445</v>
      </c>
      <c r="BZ65" s="12">
        <f>IF(Y65="","",MAX(0,MAX(0,MIN(1,(((IF(Статистика!$C$4="Параллельный режим (активная мощность)",AH65,AS65)+Статистика!$J$4))-Статистика!$C$10)/MAX(Статистика!$G$10-Статистика!$C$10,0.000001)))-MAX(0,MIN(1,(((IF(Статистика!$C$4="Параллельный режим (активная мощность)",AF65,AQ65)+Статистика!$J$4))-Статистика!$C$10)/MAX(Статистика!$G$10-Статистика!$C$10,0.000001)))))</f>
        <v>2.8081377499999949E-2</v>
      </c>
      <c r="CA65" s="12">
        <f>IF(Y65="","",MAX(0,1-MAX(0,MIN(1,(((IF(Статистика!$C$4="Параллельный режим (активная мощность)",AH65,AS65)+Статистика!$J$4))-Статистика!$C$10)/MAX(Статистика!$G$10-Статистика!$C$10,0.000001)))))</f>
        <v>0.13935407527777777</v>
      </c>
      <c r="CB65" s="12">
        <f>IF(Y65="",NA(),IF(Статистика!$B$8="Вкл",(((IF(Статистика!$C$4="Параллельный режим (активная мощность)",AD65,AO65)+Статистика!$J$4))-Статистика!$C$10)/MAX(Статистика!$G$10-Статистика!$C$10,0.000001),NA()))</f>
        <v>0.56663467777777776</v>
      </c>
      <c r="CC65" s="12">
        <f>IF(Y65="",NA(),IF(Статистика!$D$8="Вкл",(((IF(Статистика!$C$4="Параллельный режим (активная мощность)",AC65,AN65)+Статистика!$J$4))-Статистика!$C$10)/MAX(Статистика!$G$10-Статистика!$C$10,0.000001),NA()))</f>
        <v>0.5001969500000002</v>
      </c>
      <c r="CD65" s="12">
        <f>IF(Y65="",NA(),IF(Статистика!$D$8="Вкл",(((IF(Статистика!$C$4="Параллельный режим (активная мощность)",AE65,AP65)+Статистика!$J$4))-Статистика!$C$10)/MAX(Статистика!$G$10-Статистика!$C$10,0.000001),NA()))</f>
        <v>0.66631910277777784</v>
      </c>
      <c r="CE65" s="12">
        <f>IF(Y65="",NA(),IF(Статистика!$F$8="Вкл",(((IF(Статистика!$C$4="Параллельный режим (активная мощность)",AB65,AM65)+Статистика!$J$4))-Статистика!$C$10)/MAX(Статистика!$G$10-Статистика!$C$10,0.000001),NA()))</f>
        <v>0.43073437722222174</v>
      </c>
      <c r="CF65" s="12">
        <f>IF(Y65="",NA(),IF(Статистика!$F$8="Вкл",(((IF(Статистика!$C$4="Параллельный режим (активная мощность)",AF65,AQ65)+Статистика!$J$4))-Статистика!$C$10)/MAX(Статистика!$G$10-Статистика!$C$10,0.000001),NA()))</f>
        <v>0.83256454722222228</v>
      </c>
      <c r="CG65" s="12">
        <f>IF(Y65="",NA(),IF(Статистика!$H$8="Вкл",(((IF(Статистика!$C$4="Параллельный режим (активная мощность)",Z65,AK65)+Статистика!$J$4))-Статистика!$C$10)/MAX(Статистика!$G$10-Статистика!$C$10,0.000001),NA()))</f>
        <v>0.3891978877222218</v>
      </c>
      <c r="CH65" s="12">
        <f>IF(Y65="",NA(),IF(Статистика!$H$8="Вкл",(((IF(Статистика!$C$4="Параллельный режим (активная мощность)",AH65,AS65)+Статистика!$J$4))-Статистика!$C$10)/MAX(Статистика!$G$10-Статистика!$C$10,0.000001),NA()))</f>
        <v>0.86064592472222223</v>
      </c>
      <c r="CI65" s="12" t="e">
        <f>IF(Y65="",NA(),IF(Статистика!$J$8="Вкл",(((IF(Статистика!$C$4="Параллельный режим (активная мощность)",AI65,AT65)+Статистика!$J$4))-Статистика!$C$10)/MAX(Статистика!$G$10-Статистика!$C$10,0.000001),NA()))</f>
        <v>#N/A</v>
      </c>
      <c r="CJ65" s="12" t="e">
        <f>IF(AND(Y65&lt;&gt;"",Статистика!$C$6="Вкл",Статистика!$B$6&gt;0),(Статистика!$B$6-Статистика!$C$10)/MAX(Статистика!$G$10-Статистика!$C$10,0.000001),NA())</f>
        <v>#N/A</v>
      </c>
      <c r="CK65" s="12" t="e">
        <f>IF(AND(Y65&lt;&gt;"",Статистика!$F$6="Вкл",Статистика!$E$6&gt;0),(Статистика!$E$6-Статистика!$C$10)/MAX(Статистика!$G$10-Статистика!$C$10,0.000001),NA())</f>
        <v>#N/A</v>
      </c>
      <c r="CL65" s="12" t="e">
        <f>IF(AND(Y65&lt;&gt;"",Статистика!$I$6="Вкл",Статистика!$H$6&gt;0),(Статистика!$H$6-Статистика!$C$10)/MAX(Статистика!$G$10-Статистика!$C$10,0.000001),NA())</f>
        <v>#N/A</v>
      </c>
      <c r="CM65" s="12" t="e">
        <f>IF(AND(Y65&lt;&gt;"",Статистика!$L$6="Вкл",Статистика!$K$6&gt;0),(Статистика!$K$6-Статистика!$C$10)/MAX(Статистика!$G$10-Статистика!$C$10,0.000001),NA())</f>
        <v>#N/A</v>
      </c>
      <c r="CN65" s="12" t="e">
        <f>IF(AND(Y65&lt;&gt;"",Статистика!$M$6="Вкл",Статистика!$O$6&gt;0),(Статистика!$O$6-Статистика!$C$10)/MAX(Статистика!$G$10-Статистика!$C$10,0.000001),NA())</f>
        <v>#N/A</v>
      </c>
      <c r="CO65" s="12">
        <f t="shared" si="1"/>
        <v>1</v>
      </c>
    </row>
    <row r="66" spans="1:93" ht="15" customHeight="1">
      <c r="A66" s="12" t="s">
        <v>319</v>
      </c>
      <c r="B66" s="12">
        <v>2326.4651629999998</v>
      </c>
      <c r="C66" s="12">
        <v>5775.1506150000005</v>
      </c>
      <c r="D66" s="12">
        <v>7412.0566549999994</v>
      </c>
      <c r="E66" s="12">
        <v>7499.2209999999995</v>
      </c>
      <c r="F66" s="12">
        <v>7703.6504499999992</v>
      </c>
      <c r="G66" s="12">
        <v>7907.0094500000005</v>
      </c>
      <c r="H66" s="12">
        <v>8167.6437249999999</v>
      </c>
      <c r="I66" s="12">
        <v>8232.886574166665</v>
      </c>
      <c r="J66" s="12">
        <v>8338.0154214999984</v>
      </c>
      <c r="K66" s="12">
        <v>8502.42</v>
      </c>
      <c r="L66" s="12" t="s">
        <v>320</v>
      </c>
      <c r="M66" s="12">
        <v>2899.3806418333334</v>
      </c>
      <c r="N66" s="12">
        <v>6702.5512091666669</v>
      </c>
      <c r="O66" s="12">
        <v>8517.0710233333339</v>
      </c>
      <c r="P66" s="12">
        <v>8690.2566833333349</v>
      </c>
      <c r="Q66" s="12">
        <v>8894.083833333334</v>
      </c>
      <c r="R66" s="12">
        <v>9036.9820499999987</v>
      </c>
      <c r="S66" s="12">
        <v>9280.0239733333328</v>
      </c>
      <c r="T66" s="12">
        <v>9321.275583333334</v>
      </c>
      <c r="U66" s="12">
        <v>9405.9358633333341</v>
      </c>
      <c r="V66" s="12">
        <v>9627.85</v>
      </c>
      <c r="W66" s="12" t="s">
        <v>320</v>
      </c>
      <c r="Y66" s="12" t="s">
        <v>319</v>
      </c>
      <c r="Z66" s="12">
        <v>7207.6120540000002</v>
      </c>
      <c r="AA66" s="12">
        <v>7252.2550700000002</v>
      </c>
      <c r="AB66" s="12">
        <v>7308.0588400000006</v>
      </c>
      <c r="AC66" s="12">
        <v>7481.3389750000006</v>
      </c>
      <c r="AD66" s="12">
        <v>7725.8577166666673</v>
      </c>
      <c r="AE66" s="12">
        <v>8004.4456749999999</v>
      </c>
      <c r="AF66" s="12">
        <v>8394.4128616666676</v>
      </c>
      <c r="AG66" s="12">
        <v>8396.2199141666661</v>
      </c>
      <c r="AH66" s="12">
        <v>8397.6655561666666</v>
      </c>
      <c r="AI66" s="12">
        <v>8582.94</v>
      </c>
      <c r="AJ66" s="12" t="s">
        <v>321</v>
      </c>
      <c r="AK66" s="12">
        <v>8224.565270000001</v>
      </c>
      <c r="AL66" s="12">
        <v>8280.718216666668</v>
      </c>
      <c r="AM66" s="12">
        <v>8350.9094000000023</v>
      </c>
      <c r="AN66" s="12">
        <v>8589.880933333332</v>
      </c>
      <c r="AO66" s="12">
        <v>8770.1490833333337</v>
      </c>
      <c r="AP66" s="12">
        <v>9112.8328416666664</v>
      </c>
      <c r="AQ66" s="12">
        <v>9434.3802299999988</v>
      </c>
      <c r="AR66" s="12">
        <v>9476.1657649999997</v>
      </c>
      <c r="AS66" s="12">
        <v>9509.594192999999</v>
      </c>
      <c r="AT66" s="12">
        <v>9591.91</v>
      </c>
      <c r="AU66" s="12" t="s">
        <v>322</v>
      </c>
      <c r="AW66" s="12">
        <f>IF(A66="","",MAX(0,MIN(1,(((IF(Статистика!$C$4="Параллельный режим (активная мощность)",B66,M66)+Статистика!$J$4))-Статистика!$C$10)/MAX(Статистика!$G$10-Статистика!$C$10,0.000001))))</f>
        <v>0</v>
      </c>
      <c r="AX66" s="12">
        <f>IF(A66="","",MAX(0,MAX(0,MIN(1,(((IF(Статистика!$C$4="Параллельный режим (активная мощность)",D66,O66)+Статистика!$J$4))-Статистика!$C$10)/MAX(Статистика!$G$10-Статистика!$C$10,0.000001)))-MAX(0,MIN(1,(((IF(Статистика!$C$4="Параллельный режим (активная мощность)",B66,M66)+Статистика!$J$4))-Статистика!$C$10)/MAX(Статистика!$G$10-Статистика!$C$10,0.000001)))))</f>
        <v>0.47068555166666648</v>
      </c>
      <c r="AY66" s="12">
        <f>IF(A66="","",MAX(0,MAX(0,MIN(1,(((IF(Статистика!$C$4="Параллельный режим (активная мощность)",E66,P66)+Статистика!$J$4))-Статистика!$C$10)/MAX(Статистика!$G$10-Статистика!$C$10,0.000001)))-MAX(0,MIN(1,(((IF(Статистика!$C$4="Параллельный режим (активная мощность)",D66,O66)+Статистика!$J$4))-Статистика!$C$10)/MAX(Статистика!$G$10-Статистика!$C$10,0.000001)))))</f>
        <v>2.9054781666666696E-2</v>
      </c>
      <c r="AZ66" s="12">
        <f>IF(A66="","",MAX(0,MAX(0,MIN(1,(((IF(Статистика!$C$4="Параллельный режим (активная мощность)",F66,Q66)+Статистика!$J$4))-Статистика!$C$10)/MAX(Статистика!$G$10-Статистика!$C$10,0.000001)))-MAX(0,MIN(1,(((IF(Статистика!$C$4="Параллельный режим (активная мощность)",E66,P66)+Статистика!$J$4))-Статистика!$C$10)/MAX(Статистика!$G$10-Статистика!$C$10,0.000001)))))</f>
        <v>6.8143149999999875E-2</v>
      </c>
      <c r="BA66" s="12">
        <f>IF(A66="","",MAX(0,MAX(0,MIN(1,(((IF(Статистика!$C$4="Параллельный режим (активная мощность)",G66,R66)+Статистика!$J$4))-Статистика!$C$10)/MAX(Статистика!$G$10-Статистика!$C$10,0.000001)))-MAX(0,MIN(1,(((IF(Статистика!$C$4="Параллельный режим (активная мощность)",F66,Q66)+Статистика!$J$4))-Статистика!$C$10)/MAX(Статистика!$G$10-Статистика!$C$10,0.000001)))))</f>
        <v>6.7786333333333726E-2</v>
      </c>
      <c r="BB66" s="12">
        <f>IF(A66="","",MAX(0,MAX(0,MIN(1,(((IF(Статистика!$C$4="Параллельный режим (активная мощность)",H66,S66)+Статистика!$J$4))-Статистика!$C$10)/MAX(Статистика!$G$10-Статистика!$C$10,0.000001)))-MAX(0,MIN(1,(((IF(Статистика!$C$4="Параллельный режим (активная мощность)",G66,R66)+Статистика!$J$4))-Статистика!$C$10)/MAX(Статистика!$G$10-Статистика!$C$10,0.000001)))))</f>
        <v>8.687809166666649E-2</v>
      </c>
      <c r="BC66" s="12">
        <f>IF(A66="","",MAX(0,MAX(0,MIN(1,(((IF(Статистика!$C$4="Параллельный режим (активная мощность)",J66,U66)+Статистика!$J$4))-Статистика!$C$10)/MAX(Статистика!$G$10-Статистика!$C$10,0.000001)))-MAX(0,MIN(1,(((IF(Статистика!$C$4="Параллельный режим (активная мощность)",H66,S66)+Статистика!$J$4))-Статистика!$C$10)/MAX(Статистика!$G$10-Статистика!$C$10,0.000001)))))</f>
        <v>5.6790565499999501E-2</v>
      </c>
      <c r="BD66" s="12">
        <f>IF(A66="","",MAX(0,1-MAX(0,MIN(1,(((IF(Статистика!$C$4="Параллельный режим (активная мощность)",J66,U66)+Статистика!$J$4))-Статистика!$C$10)/MAX(Статистика!$G$10-Статистика!$C$10,0.000001)))))</f>
        <v>0.22066152616666723</v>
      </c>
      <c r="BE66" s="12">
        <f>IF(A66="",NA(),IF(Статистика!$B$8="Вкл",(((IF(Статистика!$C$4="Параллельный режим (активная мощность)",F66,Q66)+Статистика!$J$4))-Статистика!$C$10)/MAX(Статистика!$G$10-Статистика!$C$10,0.000001),NA()))</f>
        <v>0.56788348333333305</v>
      </c>
      <c r="BF66" s="12">
        <f>IF(A66="",NA(),IF(Статистика!$D$8="Вкл",(((IF(Статистика!$C$4="Параллельный режим (активная мощность)",E66,P66)+Статистика!$J$4))-Статистика!$C$10)/MAX(Статистика!$G$10-Статистика!$C$10,0.000001),NA()))</f>
        <v>0.49974033333333318</v>
      </c>
      <c r="BG66" s="12">
        <f>IF(A66="",NA(),IF(Статистика!$D$8="Вкл",(((IF(Статистика!$C$4="Параллельный режим (активная мощность)",G66,R66)+Статистика!$J$4))-Статистика!$C$10)/MAX(Статистика!$G$10-Статистика!$C$10,0.000001),NA()))</f>
        <v>0.63566981666666678</v>
      </c>
      <c r="BH66" s="12">
        <f>IF(A66="",NA(),IF(Статистика!$F$8="Вкл",(((IF(Статистика!$C$4="Параллельный режим (активная мощность)",D66,O66)+Статистика!$J$4))-Статистика!$C$10)/MAX(Статистика!$G$10-Статистика!$C$10,0.000001),NA()))</f>
        <v>0.47068555166666648</v>
      </c>
      <c r="BI66" s="12">
        <f>IF(A66="",NA(),IF(Статистика!$F$8="Вкл",(((IF(Статистика!$C$4="Параллельный режим (активная мощность)",H66,S66)+Статистика!$J$4))-Статистика!$C$10)/MAX(Статистика!$G$10-Статистика!$C$10,0.000001),NA()))</f>
        <v>0.72254790833333327</v>
      </c>
      <c r="BJ66" s="12">
        <f>IF(A66="",NA(),IF(Статистика!$H$8="Вкл",(((IF(Статистика!$C$4="Параллельный режим (активная мощность)",B66,M66)+Статистика!$J$4))-Статистика!$C$10)/MAX(Статистика!$G$10-Статистика!$C$10,0.000001),NA()))</f>
        <v>-1.2245116123333333</v>
      </c>
      <c r="BK66" s="12">
        <f>IF(A66="",NA(),IF(Статистика!$H$8="Вкл",(((IF(Статистика!$C$4="Параллельный режим (активная мощность)",J66,U66)+Статистика!$J$4))-Статистика!$C$10)/MAX(Статистика!$G$10-Статистика!$C$10,0.000001),NA()))</f>
        <v>0.77933847383333277</v>
      </c>
      <c r="BL66" s="12" t="e">
        <f>IF(A66="",NA(),IF(Статистика!$J$8="Вкл",(((IF(Статистика!$C$4="Параллельный режим (активная мощность)",K66,V66)+Статистика!$J$4))-Статистика!$C$10)/MAX(Статистика!$G$10-Статистика!$C$10,0.000001),NA()))</f>
        <v>#N/A</v>
      </c>
      <c r="BM66" s="12" t="e">
        <f>IF(AND(A66&lt;&gt;"",Статистика!$C$6="Вкл",Статистика!$B$6&gt;0),(Статистика!$B$6-Статистика!$C$10)/MAX(Статистика!$G$10-Статистика!$C$10,0.000001),NA())</f>
        <v>#N/A</v>
      </c>
      <c r="BN66" s="12" t="e">
        <f>IF(AND(A66&lt;&gt;"",Статистика!$F$6="Вкл",Статистика!$E$6&gt;0),(Статистика!$E$6-Статистика!$C$10)/MAX(Статистика!$G$10-Статистика!$C$10,0.000001),NA())</f>
        <v>#N/A</v>
      </c>
      <c r="BO66" s="12" t="e">
        <f>IF(AND(A66&lt;&gt;"",Статистика!$I$6="Вкл",Статистика!$H$6&gt;0),(Статистика!$H$6-Статистика!$C$10)/MAX(Статистика!$G$10-Статистика!$C$10,0.000001),NA())</f>
        <v>#N/A</v>
      </c>
      <c r="BP66" s="12" t="e">
        <f>IF(AND(A66&lt;&gt;"",Статистика!$L$6="Вкл",Статистика!$K$6&gt;0),(Статистика!$K$6-Статистика!$C$10)/MAX(Статистика!$G$10-Статистика!$C$10,0.000001),NA())</f>
        <v>#N/A</v>
      </c>
      <c r="BQ66" s="12" t="e">
        <f>IF(AND(A66&lt;&gt;"",Статистика!$M$6="Вкл",Статистика!$O$6&gt;0),(Статистика!$O$6-Статистика!$C$10)/MAX(Статистика!$G$10-Статистика!$C$10,0.000001),NA())</f>
        <v>#N/A</v>
      </c>
      <c r="BR66" s="12">
        <f t="shared" ref="BR66:BR129" si="2">IF(A66="",NA(),1)</f>
        <v>1</v>
      </c>
      <c r="BT66" s="12">
        <f>IF(Y66="","",MAX(0,MIN(1,(((IF(Статистика!$C$4="Параллельный режим (активная мощность)",Z66,AK66)+Статистика!$J$4))-Статистика!$C$10)/MAX(Статистика!$G$10-Статистика!$C$10,0.000001))))</f>
        <v>0.4025373513333334</v>
      </c>
      <c r="BU66" s="12">
        <f>IF(Y66="","",MAX(0,MAX(0,MIN(1,(((IF(Статистика!$C$4="Параллельный режим (активная мощность)",AB66,AM66)+Статистика!$J$4))-Статистика!$C$10)/MAX(Статистика!$G$10-Статистика!$C$10,0.000001)))-MAX(0,MIN(1,(((IF(Статистика!$C$4="Параллельный режим (активная мощность)",Z66,AK66)+Статистика!$J$4))-Статистика!$C$10)/MAX(Статистика!$G$10-Статистика!$C$10,0.000001)))))</f>
        <v>3.3482262000000151E-2</v>
      </c>
      <c r="BV66" s="12">
        <f>IF(Y66="","",MAX(0,MAX(0,MIN(1,(((IF(Статистика!$C$4="Параллельный режим (активная мощность)",AC66,AN66)+Статистика!$J$4))-Статистика!$C$10)/MAX(Статистика!$G$10-Статистика!$C$10,0.000001)))-MAX(0,MIN(1,(((IF(Статистика!$C$4="Параллельный режим (активная мощность)",AB66,AM66)+Статистика!$J$4))-Статистика!$C$10)/MAX(Статистика!$G$10-Статистика!$C$10,0.000001)))))</f>
        <v>5.7760044999999982E-2</v>
      </c>
      <c r="BW66" s="12">
        <f>IF(Y66="","",MAX(0,MAX(0,MIN(1,(((IF(Статистика!$C$4="Параллельный режим (активная мощность)",AD66,AO66)+Статистика!$J$4))-Статистика!$C$10)/MAX(Статистика!$G$10-Статистика!$C$10,0.000001)))-MAX(0,MIN(1,(((IF(Статистика!$C$4="Параллельный режим (активная мощность)",AC66,AN66)+Статистика!$J$4))-Статистика!$C$10)/MAX(Статистика!$G$10-Статистика!$C$10,0.000001)))))</f>
        <v>8.1506247222222272E-2</v>
      </c>
      <c r="BX66" s="12">
        <f>IF(Y66="","",MAX(0,MAX(0,MIN(1,(((IF(Статистика!$C$4="Параллельный режим (активная мощность)",AE66,AP66)+Статистика!$J$4))-Статистика!$C$10)/MAX(Статистика!$G$10-Статистика!$C$10,0.000001)))-MAX(0,MIN(1,(((IF(Статистика!$C$4="Параллельный режим (активная мощность)",AD66,AO66)+Статистика!$J$4))-Статистика!$C$10)/MAX(Статистика!$G$10-Статистика!$C$10,0.000001)))))</f>
        <v>9.2862652777777499E-2</v>
      </c>
      <c r="BY66" s="12">
        <f>IF(Y66="","",MAX(0,MAX(0,MIN(1,(((IF(Статистика!$C$4="Параллельный режим (активная мощность)",AF66,AQ66)+Статистика!$J$4))-Статистика!$C$10)/MAX(Статистика!$G$10-Статистика!$C$10,0.000001)))-MAX(0,MIN(1,(((IF(Статистика!$C$4="Параллельный режим (активная мощность)",AE66,AP66)+Статистика!$J$4))-Статистика!$C$10)/MAX(Статистика!$G$10-Статистика!$C$10,0.000001)))))</f>
        <v>0.12998906222222251</v>
      </c>
      <c r="BZ66" s="12">
        <f>IF(Y66="","",MAX(0,MAX(0,MIN(1,(((IF(Статистика!$C$4="Параллельный режим (активная мощность)",AH66,AS66)+Статистика!$J$4))-Статистика!$C$10)/MAX(Статистика!$G$10-Статистика!$C$10,0.000001)))-MAX(0,MIN(1,(((IF(Статистика!$C$4="Параллельный режим (активная мощность)",AF66,AQ66)+Статистика!$J$4))-Статистика!$C$10)/MAX(Статистика!$G$10-Статистика!$C$10,0.000001)))))</f>
        <v>1.0842314999996994E-3</v>
      </c>
      <c r="CA66" s="12">
        <f>IF(Y66="","",MAX(0,1-MAX(0,MIN(1,(((IF(Статистика!$C$4="Параллельный режим (активная мощность)",AH66,AS66)+Статистика!$J$4))-Статистика!$C$10)/MAX(Статистика!$G$10-Статистика!$C$10,0.000001)))))</f>
        <v>0.20077814794444448</v>
      </c>
      <c r="CB66" s="12">
        <f>IF(Y66="",NA(),IF(Статистика!$B$8="Вкл",(((IF(Статистика!$C$4="Параллельный режим (активная мощность)",AD66,AO66)+Статистика!$J$4))-Статистика!$C$10)/MAX(Статистика!$G$10-Статистика!$C$10,0.000001),NA()))</f>
        <v>0.57528590555555581</v>
      </c>
      <c r="CC66" s="12">
        <f>IF(Y66="",NA(),IF(Статистика!$D$8="Вкл",(((IF(Статистика!$C$4="Параллельный режим (активная мощность)",AC66,AN66)+Статистика!$J$4))-Статистика!$C$10)/MAX(Статистика!$G$10-Статистика!$C$10,0.000001),NA()))</f>
        <v>0.49377965833333354</v>
      </c>
      <c r="CD66" s="12">
        <f>IF(Y66="",NA(),IF(Статистика!$D$8="Вкл",(((IF(Статистика!$C$4="Параллельный режим (активная мощность)",AE66,AP66)+Статистика!$J$4))-Статистика!$C$10)/MAX(Статистика!$G$10-Статистика!$C$10,0.000001),NA()))</f>
        <v>0.66814855833333331</v>
      </c>
      <c r="CE66" s="12">
        <f>IF(Y66="",NA(),IF(Статистика!$F$8="Вкл",(((IF(Статистика!$C$4="Параллельный режим (активная мощность)",AB66,AM66)+Статистика!$J$4))-Статистика!$C$10)/MAX(Статистика!$G$10-Статистика!$C$10,0.000001),NA()))</f>
        <v>0.43601961333333356</v>
      </c>
      <c r="CF66" s="12">
        <f>IF(Y66="",NA(),IF(Статистика!$F$8="Вкл",(((IF(Статистика!$C$4="Параллельный режим (активная мощность)",AF66,AQ66)+Статистика!$J$4))-Статистика!$C$10)/MAX(Статистика!$G$10-Статистика!$C$10,0.000001),NA()))</f>
        <v>0.79813762055555582</v>
      </c>
      <c r="CG66" s="12">
        <f>IF(Y66="",NA(),IF(Статистика!$H$8="Вкл",(((IF(Статистика!$C$4="Параллельный режим (активная мощность)",Z66,AK66)+Статистика!$J$4))-Статистика!$C$10)/MAX(Статистика!$G$10-Статистика!$C$10,0.000001),NA()))</f>
        <v>0.4025373513333334</v>
      </c>
      <c r="CH66" s="12">
        <f>IF(Y66="",NA(),IF(Статистика!$H$8="Вкл",(((IF(Статистика!$C$4="Параллельный режим (активная мощность)",AH66,AS66)+Статистика!$J$4))-Статистика!$C$10)/MAX(Статистика!$G$10-Статистика!$C$10,0.000001),NA()))</f>
        <v>0.79922185205555552</v>
      </c>
      <c r="CI66" s="12" t="e">
        <f>IF(Y66="",NA(),IF(Статистика!$J$8="Вкл",(((IF(Статистика!$C$4="Параллельный режим (активная мощность)",AI66,AT66)+Статистика!$J$4))-Статистика!$C$10)/MAX(Статистика!$G$10-Статистика!$C$10,0.000001),NA()))</f>
        <v>#N/A</v>
      </c>
      <c r="CJ66" s="12" t="e">
        <f>IF(AND(Y66&lt;&gt;"",Статистика!$C$6="Вкл",Статистика!$B$6&gt;0),(Статистика!$B$6-Статистика!$C$10)/MAX(Статистика!$G$10-Статистика!$C$10,0.000001),NA())</f>
        <v>#N/A</v>
      </c>
      <c r="CK66" s="12" t="e">
        <f>IF(AND(Y66&lt;&gt;"",Статистика!$F$6="Вкл",Статистика!$E$6&gt;0),(Статистика!$E$6-Статистика!$C$10)/MAX(Статистика!$G$10-Статистика!$C$10,0.000001),NA())</f>
        <v>#N/A</v>
      </c>
      <c r="CL66" s="12" t="e">
        <f>IF(AND(Y66&lt;&gt;"",Статистика!$I$6="Вкл",Статистика!$H$6&gt;0),(Статистика!$H$6-Статистика!$C$10)/MAX(Статистика!$G$10-Статистика!$C$10,0.000001),NA())</f>
        <v>#N/A</v>
      </c>
      <c r="CM66" s="12" t="e">
        <f>IF(AND(Y66&lt;&gt;"",Статистика!$L$6="Вкл",Статистика!$K$6&gt;0),(Статистика!$K$6-Статистика!$C$10)/MAX(Статистика!$G$10-Статистика!$C$10,0.000001),NA())</f>
        <v>#N/A</v>
      </c>
      <c r="CN66" s="12" t="e">
        <f>IF(AND(Y66&lt;&gt;"",Статистика!$M$6="Вкл",Статистика!$O$6&gt;0),(Статистика!$O$6-Статистика!$C$10)/MAX(Статистика!$G$10-Статистика!$C$10,0.000001),NA())</f>
        <v>#N/A</v>
      </c>
      <c r="CO66" s="12">
        <f t="shared" ref="CO66:CO129" si="3">IF(Y66="",NA(),1)</f>
        <v>1</v>
      </c>
    </row>
    <row r="67" spans="1:93" ht="15" customHeight="1">
      <c r="A67" s="12" t="s">
        <v>323</v>
      </c>
      <c r="B67" s="12">
        <v>2338.233976333333</v>
      </c>
      <c r="C67" s="12">
        <v>5766.4284150000003</v>
      </c>
      <c r="D67" s="12">
        <v>7400.6639533333337</v>
      </c>
      <c r="E67" s="12">
        <v>7539.0523583333334</v>
      </c>
      <c r="F67" s="12">
        <v>7666.8042666666661</v>
      </c>
      <c r="G67" s="12">
        <v>7950.8053583333331</v>
      </c>
      <c r="H67" s="12">
        <v>8138.3432100000009</v>
      </c>
      <c r="I67" s="12">
        <v>8206.2707133333333</v>
      </c>
      <c r="J67" s="12">
        <v>8320.4505960000006</v>
      </c>
      <c r="K67" s="12">
        <v>8485.66</v>
      </c>
      <c r="L67" s="12" t="s">
        <v>324</v>
      </c>
      <c r="M67" s="12">
        <v>2932.0418158333332</v>
      </c>
      <c r="N67" s="12">
        <v>6733.9796125000003</v>
      </c>
      <c r="O67" s="12">
        <v>8545.7281183333344</v>
      </c>
      <c r="P67" s="12">
        <v>8633.0847833333337</v>
      </c>
      <c r="Q67" s="12">
        <v>8888.6707166666674</v>
      </c>
      <c r="R67" s="12">
        <v>9070.559341666667</v>
      </c>
      <c r="S67" s="12">
        <v>9241.5822533333321</v>
      </c>
      <c r="T67" s="12">
        <v>9297.4062349999986</v>
      </c>
      <c r="U67" s="12">
        <v>9401.8368203333339</v>
      </c>
      <c r="V67" s="12">
        <v>9556.81</v>
      </c>
      <c r="W67" s="12" t="s">
        <v>324</v>
      </c>
      <c r="Y67" s="12" t="s">
        <v>323</v>
      </c>
      <c r="Z67" s="12">
        <v>7166.2090241666665</v>
      </c>
      <c r="AA67" s="12">
        <v>7214.2951208333334</v>
      </c>
      <c r="AB67" s="12">
        <v>7274.4027416666668</v>
      </c>
      <c r="AC67" s="12">
        <v>7487.9579333333331</v>
      </c>
      <c r="AD67" s="12">
        <v>7670.9</v>
      </c>
      <c r="AE67" s="12">
        <v>7918.6656083333337</v>
      </c>
      <c r="AF67" s="12">
        <v>8384.036486666666</v>
      </c>
      <c r="AG67" s="12">
        <v>8394.7305766666668</v>
      </c>
      <c r="AH67" s="12">
        <v>8403.2858486666664</v>
      </c>
      <c r="AI67" s="12">
        <v>8485.7099999999991</v>
      </c>
      <c r="AJ67" s="12" t="s">
        <v>325</v>
      </c>
      <c r="AK67" s="12">
        <v>8171.9518918333315</v>
      </c>
      <c r="AL67" s="12">
        <v>8229.2819924999985</v>
      </c>
      <c r="AM67" s="12">
        <v>8300.944618333333</v>
      </c>
      <c r="AN67" s="12">
        <v>8566.2832416666643</v>
      </c>
      <c r="AO67" s="12">
        <v>8706.0978166666664</v>
      </c>
      <c r="AP67" s="12">
        <v>9144.4111583333324</v>
      </c>
      <c r="AQ67" s="12">
        <v>9422.6813733333329</v>
      </c>
      <c r="AR67" s="12">
        <v>9464.3247700000011</v>
      </c>
      <c r="AS67" s="12">
        <v>9497.6394873333338</v>
      </c>
      <c r="AT67" s="12">
        <v>9571.2199999999993</v>
      </c>
      <c r="AU67" s="12" t="s">
        <v>326</v>
      </c>
      <c r="AW67" s="12">
        <f>IF(A67="","",MAX(0,MIN(1,(((IF(Статистика!$C$4="Параллельный режим (активная мощность)",B67,M67)+Статистика!$J$4))-Статистика!$C$10)/MAX(Статистика!$G$10-Статистика!$C$10,0.000001))))</f>
        <v>0</v>
      </c>
      <c r="AX67" s="12">
        <f>IF(A67="","",MAX(0,MAX(0,MIN(1,(((IF(Статистика!$C$4="Параллельный режим (активная мощность)",D67,O67)+Статистика!$J$4))-Статистика!$C$10)/MAX(Статистика!$G$10-Статистика!$C$10,0.000001)))-MAX(0,MIN(1,(((IF(Статистика!$C$4="Параллельный режим (активная мощность)",B67,M67)+Статистика!$J$4))-Статистика!$C$10)/MAX(Статистика!$G$10-Статистика!$C$10,0.000001)))))</f>
        <v>0.46688798444444457</v>
      </c>
      <c r="AY67" s="12">
        <f>IF(A67="","",MAX(0,MAX(0,MIN(1,(((IF(Статистика!$C$4="Параллельный режим (активная мощность)",E67,P67)+Статистика!$J$4))-Статистика!$C$10)/MAX(Статистика!$G$10-Статистика!$C$10,0.000001)))-MAX(0,MIN(1,(((IF(Статистика!$C$4="Параллельный режим (активная мощность)",D67,O67)+Статистика!$J$4))-Статистика!$C$10)/MAX(Статистика!$G$10-Статистика!$C$10,0.000001)))))</f>
        <v>4.6129468333333201E-2</v>
      </c>
      <c r="AZ67" s="12">
        <f>IF(A67="","",MAX(0,MAX(0,MIN(1,(((IF(Статистика!$C$4="Параллельный режим (активная мощность)",F67,Q67)+Статистика!$J$4))-Статистика!$C$10)/MAX(Статистика!$G$10-Статистика!$C$10,0.000001)))-MAX(0,MIN(1,(((IF(Статистика!$C$4="Параллельный режим (активная мощность)",E67,P67)+Статистика!$J$4))-Статистика!$C$10)/MAX(Статистика!$G$10-Статистика!$C$10,0.000001)))))</f>
        <v>4.2583969444444203E-2</v>
      </c>
      <c r="BA67" s="12">
        <f>IF(A67="","",MAX(0,MAX(0,MIN(1,(((IF(Статистика!$C$4="Параллельный режим (активная мощность)",G67,R67)+Статистика!$J$4))-Статистика!$C$10)/MAX(Статистика!$G$10-Статистика!$C$10,0.000001)))-MAX(0,MIN(1,(((IF(Статистика!$C$4="Параллельный режим (активная мощность)",F67,Q67)+Статистика!$J$4))-Статистика!$C$10)/MAX(Статистика!$G$10-Статистика!$C$10,0.000001)))))</f>
        <v>9.4667030555555698E-2</v>
      </c>
      <c r="BB67" s="12">
        <f>IF(A67="","",MAX(0,MAX(0,MIN(1,(((IF(Статистика!$C$4="Параллельный режим (активная мощность)",H67,S67)+Статистика!$J$4))-Статистика!$C$10)/MAX(Статистика!$G$10-Статистика!$C$10,0.000001)))-MAX(0,MIN(1,(((IF(Статистика!$C$4="Параллельный режим (активная мощность)",G67,R67)+Статистика!$J$4))-Статистика!$C$10)/MAX(Статистика!$G$10-Статистика!$C$10,0.000001)))))</f>
        <v>6.2512617222222677E-2</v>
      </c>
      <c r="BC67" s="12">
        <f>IF(A67="","",MAX(0,MAX(0,MIN(1,(((IF(Статистика!$C$4="Параллельный режим (активная мощность)",J67,U67)+Статистика!$J$4))-Статистика!$C$10)/MAX(Статистика!$G$10-Статистика!$C$10,0.000001)))-MAX(0,MIN(1,(((IF(Статистика!$C$4="Параллельный режим (активная мощность)",H67,S67)+Статистика!$J$4))-Статистика!$C$10)/MAX(Статистика!$G$10-Статистика!$C$10,0.000001)))))</f>
        <v>6.0702461999999846E-2</v>
      </c>
      <c r="BD67" s="12">
        <f>IF(A67="","",MAX(0,1-MAX(0,MIN(1,(((IF(Статистика!$C$4="Параллельный режим (активная мощность)",J67,U67)+Статистика!$J$4))-Статистика!$C$10)/MAX(Статистика!$G$10-Статистика!$C$10,0.000001)))))</f>
        <v>0.2265164679999998</v>
      </c>
      <c r="BE67" s="12">
        <f>IF(A67="",NA(),IF(Статистика!$B$8="Вкл",(((IF(Статистика!$C$4="Параллельный режим (активная мощность)",F67,Q67)+Статистика!$J$4))-Статистика!$C$10)/MAX(Статистика!$G$10-Статистика!$C$10,0.000001),NA()))</f>
        <v>0.55560142222222197</v>
      </c>
      <c r="BF67" s="12">
        <f>IF(A67="",NA(),IF(Статистика!$D$8="Вкл",(((IF(Статистика!$C$4="Параллельный режим (активная мощность)",E67,P67)+Статистика!$J$4))-Статистика!$C$10)/MAX(Статистика!$G$10-Статистика!$C$10,0.000001),NA()))</f>
        <v>0.51301745277777777</v>
      </c>
      <c r="BG67" s="12">
        <f>IF(A67="",NA(),IF(Статистика!$D$8="Вкл",(((IF(Статистика!$C$4="Параллельный режим (активная мощность)",G67,R67)+Статистика!$J$4))-Статистика!$C$10)/MAX(Статистика!$G$10-Статистика!$C$10,0.000001),NA()))</f>
        <v>0.65026845277777767</v>
      </c>
      <c r="BH67" s="12">
        <f>IF(A67="",NA(),IF(Статистика!$F$8="Вкл",(((IF(Статистика!$C$4="Параллельный режим (активная мощность)",D67,O67)+Статистика!$J$4))-Статистика!$C$10)/MAX(Статистика!$G$10-Статистика!$C$10,0.000001),NA()))</f>
        <v>0.46688798444444457</v>
      </c>
      <c r="BI67" s="12">
        <f>IF(A67="",NA(),IF(Статистика!$F$8="Вкл",(((IF(Статистика!$C$4="Параллельный режим (активная мощность)",H67,S67)+Статистика!$J$4))-Статистика!$C$10)/MAX(Статистика!$G$10-Статистика!$C$10,0.000001),NA()))</f>
        <v>0.71278107000000035</v>
      </c>
      <c r="BJ67" s="12">
        <f>IF(A67="",NA(),IF(Статистика!$H$8="Вкл",(((IF(Статистика!$C$4="Параллельный режим (активная мощность)",B67,M67)+Статистика!$J$4))-Статистика!$C$10)/MAX(Статистика!$G$10-Статистика!$C$10,0.000001),NA()))</f>
        <v>-1.2205886745555556</v>
      </c>
      <c r="BK67" s="12">
        <f>IF(A67="",NA(),IF(Статистика!$H$8="Вкл",(((IF(Статистика!$C$4="Параллельный режим (активная мощность)",J67,U67)+Статистика!$J$4))-Статистика!$C$10)/MAX(Статистика!$G$10-Статистика!$C$10,0.000001),NA()))</f>
        <v>0.7734835320000002</v>
      </c>
      <c r="BL67" s="12" t="e">
        <f>IF(A67="",NA(),IF(Статистика!$J$8="Вкл",(((IF(Статистика!$C$4="Параллельный режим (активная мощность)",K67,V67)+Статистика!$J$4))-Статистика!$C$10)/MAX(Статистика!$G$10-Статистика!$C$10,0.000001),NA()))</f>
        <v>#N/A</v>
      </c>
      <c r="BM67" s="12" t="e">
        <f>IF(AND(A67&lt;&gt;"",Статистика!$C$6="Вкл",Статистика!$B$6&gt;0),(Статистика!$B$6-Статистика!$C$10)/MAX(Статистика!$G$10-Статистика!$C$10,0.000001),NA())</f>
        <v>#N/A</v>
      </c>
      <c r="BN67" s="12" t="e">
        <f>IF(AND(A67&lt;&gt;"",Статистика!$F$6="Вкл",Статистика!$E$6&gt;0),(Статистика!$E$6-Статистика!$C$10)/MAX(Статистика!$G$10-Статистика!$C$10,0.000001),NA())</f>
        <v>#N/A</v>
      </c>
      <c r="BO67" s="12" t="e">
        <f>IF(AND(A67&lt;&gt;"",Статистика!$I$6="Вкл",Статистика!$H$6&gt;0),(Статистика!$H$6-Статистика!$C$10)/MAX(Статистика!$G$10-Статистика!$C$10,0.000001),NA())</f>
        <v>#N/A</v>
      </c>
      <c r="BP67" s="12" t="e">
        <f>IF(AND(A67&lt;&gt;"",Статистика!$L$6="Вкл",Статистика!$K$6&gt;0),(Статистика!$K$6-Статистика!$C$10)/MAX(Статистика!$G$10-Статистика!$C$10,0.000001),NA())</f>
        <v>#N/A</v>
      </c>
      <c r="BQ67" s="12" t="e">
        <f>IF(AND(A67&lt;&gt;"",Статистика!$M$6="Вкл",Статистика!$O$6&gt;0),(Статистика!$O$6-Статистика!$C$10)/MAX(Статистика!$G$10-Статистика!$C$10,0.000001),NA())</f>
        <v>#N/A</v>
      </c>
      <c r="BR67" s="12">
        <f t="shared" si="2"/>
        <v>1</v>
      </c>
      <c r="BT67" s="12">
        <f>IF(Y67="","",MAX(0,MIN(1,(((IF(Статистика!$C$4="Параллельный режим (активная мощность)",Z67,AK67)+Статистика!$J$4))-Статистика!$C$10)/MAX(Статистика!$G$10-Статистика!$C$10,0.000001))))</f>
        <v>0.38873634138888885</v>
      </c>
      <c r="BU67" s="12">
        <f>IF(Y67="","",MAX(0,MAX(0,MIN(1,(((IF(Статистика!$C$4="Параллельный режим (активная мощность)",AB67,AM67)+Статистика!$J$4))-Статистика!$C$10)/MAX(Статистика!$G$10-Статистика!$C$10,0.000001)))-MAX(0,MIN(1,(((IF(Статистика!$C$4="Параллельный режим (активная мощность)",Z67,AK67)+Статистика!$J$4))-Статистика!$C$10)/MAX(Статистика!$G$10-Статистика!$C$10,0.000001)))))</f>
        <v>3.6064572500000058E-2</v>
      </c>
      <c r="BV67" s="12">
        <f>IF(Y67="","",MAX(0,MAX(0,MIN(1,(((IF(Статистика!$C$4="Параллельный режим (активная мощность)",AC67,AN67)+Статистика!$J$4))-Статистика!$C$10)/MAX(Статистика!$G$10-Статистика!$C$10,0.000001)))-MAX(0,MIN(1,(((IF(Статистика!$C$4="Параллельный режим (активная мощность)",AB67,AM67)+Статистика!$J$4))-Статистика!$C$10)/MAX(Статистика!$G$10-Статистика!$C$10,0.000001)))))</f>
        <v>7.1185063888888789E-2</v>
      </c>
      <c r="BW67" s="12">
        <f>IF(Y67="","",MAX(0,MAX(0,MIN(1,(((IF(Статистика!$C$4="Параллельный режим (активная мощность)",AD67,AO67)+Статистика!$J$4))-Статистика!$C$10)/MAX(Статистика!$G$10-Статистика!$C$10,0.000001)))-MAX(0,MIN(1,(((IF(Статистика!$C$4="Параллельный режим (активная мощность)",AC67,AN67)+Статистика!$J$4))-Статистика!$C$10)/MAX(Статистика!$G$10-Статистика!$C$10,0.000001)))))</f>
        <v>6.0980688888888801E-2</v>
      </c>
      <c r="BX67" s="12">
        <f>IF(Y67="","",MAX(0,MAX(0,MIN(1,(((IF(Статистика!$C$4="Параллельный режим (активная мощность)",AE67,AP67)+Статистика!$J$4))-Статистика!$C$10)/MAX(Статистика!$G$10-Статистика!$C$10,0.000001)))-MAX(0,MIN(1,(((IF(Статистика!$C$4="Параллельный режим (активная мощность)",AD67,AO67)+Статистика!$J$4))-Статистика!$C$10)/MAX(Статистика!$G$10-Статистика!$C$10,0.000001)))))</f>
        <v>8.2588536111111388E-2</v>
      </c>
      <c r="BY67" s="12">
        <f>IF(Y67="","",MAX(0,MAX(0,MIN(1,(((IF(Статистика!$C$4="Параллельный режим (активная мощность)",AF67,AQ67)+Статистика!$J$4))-Статистика!$C$10)/MAX(Статистика!$G$10-Статистика!$C$10,0.000001)))-MAX(0,MIN(1,(((IF(Статистика!$C$4="Параллельный режим (активная мощность)",AE67,AP67)+Статистика!$J$4))-Статистика!$C$10)/MAX(Статистика!$G$10-Статистика!$C$10,0.000001)))))</f>
        <v>0.15512362611111075</v>
      </c>
      <c r="BZ67" s="12">
        <f>IF(Y67="","",MAX(0,MAX(0,MIN(1,(((IF(Статистика!$C$4="Параллельный режим (активная мощность)",AH67,AS67)+Статистика!$J$4))-Статистика!$C$10)/MAX(Статистика!$G$10-Статистика!$C$10,0.000001)))-MAX(0,MIN(1,(((IF(Статистика!$C$4="Параллельный режим (активная мощность)",AF67,AQ67)+Статистика!$J$4))-Статистика!$C$10)/MAX(Статистика!$G$10-Статистика!$C$10,0.000001)))))</f>
        <v>6.4164540000001269E-3</v>
      </c>
      <c r="CA67" s="12">
        <f>IF(Y67="","",MAX(0,1-MAX(0,MIN(1,(((IF(Статистика!$C$4="Параллельный режим (активная мощность)",AH67,AS67)+Статистика!$J$4))-Статистика!$C$10)/MAX(Статистика!$G$10-Статистика!$C$10,0.000001)))))</f>
        <v>0.19890471711111124</v>
      </c>
      <c r="CB67" s="12">
        <f>IF(Y67="",NA(),IF(Статистика!$B$8="Вкл",(((IF(Статистика!$C$4="Параллельный режим (активная мощность)",AD67,AO67)+Статистика!$J$4))-Статистика!$C$10)/MAX(Статистика!$G$10-Статистика!$C$10,0.000001),NA()))</f>
        <v>0.5569666666666665</v>
      </c>
      <c r="CC67" s="12">
        <f>IF(Y67="",NA(),IF(Статистика!$D$8="Вкл",(((IF(Статистика!$C$4="Параллельный режим (активная мощность)",AC67,AN67)+Статистика!$J$4))-Статистика!$C$10)/MAX(Статистика!$G$10-Статистика!$C$10,0.000001),NA()))</f>
        <v>0.4959859777777777</v>
      </c>
      <c r="CD67" s="12">
        <f>IF(Y67="",NA(),IF(Статистика!$D$8="Вкл",(((IF(Статистика!$C$4="Параллельный режим (активная мощность)",AE67,AP67)+Статистика!$J$4))-Статистика!$C$10)/MAX(Статистика!$G$10-Статистика!$C$10,0.000001),NA()))</f>
        <v>0.63955520277777789</v>
      </c>
      <c r="CE67" s="12">
        <f>IF(Y67="",NA(),IF(Статистика!$F$8="Вкл",(((IF(Статистика!$C$4="Параллельный режим (активная мощность)",AB67,AM67)+Статистика!$J$4))-Статистика!$C$10)/MAX(Статистика!$G$10-Статистика!$C$10,0.000001),NA()))</f>
        <v>0.42480091388888891</v>
      </c>
      <c r="CF67" s="12">
        <f>IF(Y67="",NA(),IF(Статистика!$F$8="Вкл",(((IF(Статистика!$C$4="Параллельный режим (активная мощность)",AF67,AQ67)+Статистика!$J$4))-Статистика!$C$10)/MAX(Статистика!$G$10-Статистика!$C$10,0.000001),NA()))</f>
        <v>0.79467882888888863</v>
      </c>
      <c r="CG67" s="12">
        <f>IF(Y67="",NA(),IF(Статистика!$H$8="Вкл",(((IF(Статистика!$C$4="Параллельный режим (активная мощность)",Z67,AK67)+Статистика!$J$4))-Статистика!$C$10)/MAX(Статистика!$G$10-Статистика!$C$10,0.000001),NA()))</f>
        <v>0.38873634138888885</v>
      </c>
      <c r="CH67" s="12">
        <f>IF(Y67="",NA(),IF(Статистика!$H$8="Вкл",(((IF(Статистика!$C$4="Параллельный режим (активная мощность)",AH67,AS67)+Статистика!$J$4))-Статистика!$C$10)/MAX(Статистика!$G$10-Статистика!$C$10,0.000001),NA()))</f>
        <v>0.80109528288888876</v>
      </c>
      <c r="CI67" s="12" t="e">
        <f>IF(Y67="",NA(),IF(Статистика!$J$8="Вкл",(((IF(Статистика!$C$4="Параллельный режим (активная мощность)",AI67,AT67)+Статистика!$J$4))-Статистика!$C$10)/MAX(Статистика!$G$10-Статистика!$C$10,0.000001),NA()))</f>
        <v>#N/A</v>
      </c>
      <c r="CJ67" s="12" t="e">
        <f>IF(AND(Y67&lt;&gt;"",Статистика!$C$6="Вкл",Статистика!$B$6&gt;0),(Статистика!$B$6-Статистика!$C$10)/MAX(Статистика!$G$10-Статистика!$C$10,0.000001),NA())</f>
        <v>#N/A</v>
      </c>
      <c r="CK67" s="12" t="e">
        <f>IF(AND(Y67&lt;&gt;"",Статистика!$F$6="Вкл",Статистика!$E$6&gt;0),(Статистика!$E$6-Статистика!$C$10)/MAX(Статистика!$G$10-Статистика!$C$10,0.000001),NA())</f>
        <v>#N/A</v>
      </c>
      <c r="CL67" s="12" t="e">
        <f>IF(AND(Y67&lt;&gt;"",Статистика!$I$6="Вкл",Статистика!$H$6&gt;0),(Статистика!$H$6-Статистика!$C$10)/MAX(Статистика!$G$10-Статистика!$C$10,0.000001),NA())</f>
        <v>#N/A</v>
      </c>
      <c r="CM67" s="12" t="e">
        <f>IF(AND(Y67&lt;&gt;"",Статистика!$L$6="Вкл",Статистика!$K$6&gt;0),(Статистика!$K$6-Статистика!$C$10)/MAX(Статистика!$G$10-Статистика!$C$10,0.000001),NA())</f>
        <v>#N/A</v>
      </c>
      <c r="CN67" s="12" t="e">
        <f>IF(AND(Y67&lt;&gt;"",Статистика!$M$6="Вкл",Статистика!$O$6&gt;0),(Статистика!$O$6-Статистика!$C$10)/MAX(Статистика!$G$10-Статистика!$C$10,0.000001),NA())</f>
        <v>#N/A</v>
      </c>
      <c r="CO67" s="12">
        <f t="shared" si="3"/>
        <v>1</v>
      </c>
    </row>
    <row r="68" spans="1:93" ht="15" customHeight="1">
      <c r="A68" s="12" t="s">
        <v>327</v>
      </c>
      <c r="B68" s="12">
        <v>2333.5263771666664</v>
      </c>
      <c r="C68" s="12">
        <v>5748.6929524999996</v>
      </c>
      <c r="D68" s="12">
        <v>7388.5434516666655</v>
      </c>
      <c r="E68" s="12">
        <v>7518.2671833333334</v>
      </c>
      <c r="F68" s="12">
        <v>7657.7782666666662</v>
      </c>
      <c r="G68" s="12">
        <v>7892.1498083333327</v>
      </c>
      <c r="H68" s="12">
        <v>8137.382305000001</v>
      </c>
      <c r="I68" s="12">
        <v>8179.538891666668</v>
      </c>
      <c r="J68" s="12">
        <v>8226.0040450000015</v>
      </c>
      <c r="K68" s="12">
        <v>8318.2999999999993</v>
      </c>
      <c r="L68" s="12" t="s">
        <v>328</v>
      </c>
      <c r="M68" s="12">
        <v>2922.0849954999999</v>
      </c>
      <c r="N68" s="12">
        <v>6656.8429775000022</v>
      </c>
      <c r="O68" s="12">
        <v>8467.6389250000011</v>
      </c>
      <c r="P68" s="12">
        <v>8634.1057000000001</v>
      </c>
      <c r="Q68" s="12">
        <v>8880.2046999999984</v>
      </c>
      <c r="R68" s="12">
        <v>9032.6034</v>
      </c>
      <c r="S68" s="12">
        <v>9275.8470866666667</v>
      </c>
      <c r="T68" s="12">
        <v>9336.248185833334</v>
      </c>
      <c r="U68" s="12">
        <v>9364.9862771666667</v>
      </c>
      <c r="V68" s="12">
        <v>9515.34</v>
      </c>
      <c r="W68" s="12" t="s">
        <v>329</v>
      </c>
      <c r="Y68" s="12" t="s">
        <v>327</v>
      </c>
      <c r="Z68" s="12">
        <v>7234.7737786666657</v>
      </c>
      <c r="AA68" s="12">
        <v>7267.4610266666659</v>
      </c>
      <c r="AB68" s="12">
        <v>7308.3200866666666</v>
      </c>
      <c r="AC68" s="12">
        <v>7485.5312666666669</v>
      </c>
      <c r="AD68" s="12">
        <v>7720.6712333333335</v>
      </c>
      <c r="AE68" s="12">
        <v>7963.9765333333326</v>
      </c>
      <c r="AF68" s="12">
        <v>8389.8268333333326</v>
      </c>
      <c r="AG68" s="12">
        <v>8390.1155833333323</v>
      </c>
      <c r="AH68" s="12">
        <v>8390.3465833333321</v>
      </c>
      <c r="AI68" s="12">
        <v>8487.93</v>
      </c>
      <c r="AJ68" s="12" t="s">
        <v>330</v>
      </c>
      <c r="AK68" s="12">
        <v>8290.9588153333334</v>
      </c>
      <c r="AL68" s="12">
        <v>8319.1890100000001</v>
      </c>
      <c r="AM68" s="12">
        <v>8354.4767533333343</v>
      </c>
      <c r="AN68" s="12">
        <v>8537.5238083333315</v>
      </c>
      <c r="AO68" s="12">
        <v>8731.0497333333333</v>
      </c>
      <c r="AP68" s="12">
        <v>9081.541358333332</v>
      </c>
      <c r="AQ68" s="12">
        <v>9416.1039766666654</v>
      </c>
      <c r="AR68" s="12">
        <v>9447.6988549999987</v>
      </c>
      <c r="AS68" s="12">
        <v>9472.974757666665</v>
      </c>
      <c r="AT68" s="12">
        <v>9575.2800000000007</v>
      </c>
      <c r="AU68" s="12" t="s">
        <v>330</v>
      </c>
      <c r="AW68" s="12">
        <f>IF(A68="","",MAX(0,MIN(1,(((IF(Статистика!$C$4="Параллельный режим (активная мощность)",B68,M68)+Статистика!$J$4))-Статистика!$C$10)/MAX(Статистика!$G$10-Статистика!$C$10,0.000001))))</f>
        <v>0</v>
      </c>
      <c r="AX68" s="12">
        <f>IF(A68="","",MAX(0,MAX(0,MIN(1,(((IF(Статистика!$C$4="Параллельный режим (активная мощность)",D68,O68)+Статистика!$J$4))-Статистика!$C$10)/MAX(Статистика!$G$10-Статистика!$C$10,0.000001)))-MAX(0,MIN(1,(((IF(Статистика!$C$4="Параллельный режим (активная мощность)",B68,M68)+Статистика!$J$4))-Статистика!$C$10)/MAX(Статистика!$G$10-Статистика!$C$10,0.000001)))))</f>
        <v>0.46284781722222185</v>
      </c>
      <c r="AY68" s="12">
        <f>IF(A68="","",MAX(0,MAX(0,MIN(1,(((IF(Статистика!$C$4="Параллельный режим (активная мощность)",E68,P68)+Статистика!$J$4))-Статистика!$C$10)/MAX(Статистика!$G$10-Статистика!$C$10,0.000001)))-MAX(0,MIN(1,(((IF(Статистика!$C$4="Параллельный режим (активная мощность)",D68,O68)+Статистика!$J$4))-Статистика!$C$10)/MAX(Статистика!$G$10-Статистика!$C$10,0.000001)))))</f>
        <v>4.3241243888889225E-2</v>
      </c>
      <c r="AZ68" s="12">
        <f>IF(A68="","",MAX(0,MAX(0,MIN(1,(((IF(Статистика!$C$4="Параллельный режим (активная мощность)",F68,Q68)+Статистика!$J$4))-Статистика!$C$10)/MAX(Статистика!$G$10-Статистика!$C$10,0.000001)))-MAX(0,MIN(1,(((IF(Статистика!$C$4="Параллельный режим (активная мощность)",E68,P68)+Статистика!$J$4))-Статистика!$C$10)/MAX(Статистика!$G$10-Статистика!$C$10,0.000001)))))</f>
        <v>4.6503694444444355E-2</v>
      </c>
      <c r="BA68" s="12">
        <f>IF(A68="","",MAX(0,MAX(0,MIN(1,(((IF(Статистика!$C$4="Параллельный режим (активная мощность)",G68,R68)+Статистика!$J$4))-Статистика!$C$10)/MAX(Статистика!$G$10-Статистика!$C$10,0.000001)))-MAX(0,MIN(1,(((IF(Статистика!$C$4="Параллельный режим (активная мощность)",F68,Q68)+Статистика!$J$4))-Статистика!$C$10)/MAX(Статистика!$G$10-Статистика!$C$10,0.000001)))))</f>
        <v>7.8123847222222098E-2</v>
      </c>
      <c r="BB68" s="12">
        <f>IF(A68="","",MAX(0,MAX(0,MIN(1,(((IF(Статистика!$C$4="Параллельный режим (активная мощность)",H68,S68)+Статистика!$J$4))-Статистика!$C$10)/MAX(Статистика!$G$10-Статистика!$C$10,0.000001)))-MAX(0,MIN(1,(((IF(Статистика!$C$4="Параллельный режим (активная мощность)",G68,R68)+Статистика!$J$4))-Статистика!$C$10)/MAX(Статистика!$G$10-Статистика!$C$10,0.000001)))))</f>
        <v>8.1744165555556192E-2</v>
      </c>
      <c r="BC68" s="12">
        <f>IF(A68="","",MAX(0,MAX(0,MIN(1,(((IF(Статистика!$C$4="Параллельный режим (активная мощность)",J68,U68)+Статистика!$J$4))-Статистика!$C$10)/MAX(Статистика!$G$10-Статистика!$C$10,0.000001)))-MAX(0,MIN(1,(((IF(Статистика!$C$4="Параллельный режим (активная мощность)",H68,S68)+Статистика!$J$4))-Статистика!$C$10)/MAX(Статистика!$G$10-Статистика!$C$10,0.000001)))))</f>
        <v>2.9540580000000149E-2</v>
      </c>
      <c r="BD68" s="12">
        <f>IF(A68="","",MAX(0,1-MAX(0,MIN(1,(((IF(Статистика!$C$4="Параллельный режим (активная мощность)",J68,U68)+Статистика!$J$4))-Статистика!$C$10)/MAX(Статистика!$G$10-Статистика!$C$10,0.000001)))))</f>
        <v>0.25799865166666613</v>
      </c>
      <c r="BE68" s="12">
        <f>IF(A68="",NA(),IF(Статистика!$B$8="Вкл",(((IF(Статистика!$C$4="Параллельный режим (активная мощность)",F68,Q68)+Статистика!$J$4))-Статистика!$C$10)/MAX(Статистика!$G$10-Статистика!$C$10,0.000001),NA()))</f>
        <v>0.55259275555555543</v>
      </c>
      <c r="BF68" s="12">
        <f>IF(A68="",NA(),IF(Статистика!$D$8="Вкл",(((IF(Статистика!$C$4="Параллельный режим (активная мощность)",E68,P68)+Статистика!$J$4))-Статистика!$C$10)/MAX(Статистика!$G$10-Статистика!$C$10,0.000001),NA()))</f>
        <v>0.50608906111111107</v>
      </c>
      <c r="BG68" s="12">
        <f>IF(A68="",NA(),IF(Статистика!$D$8="Вкл",(((IF(Статистика!$C$4="Параллельный режим (активная мощность)",G68,R68)+Статистика!$J$4))-Статистика!$C$10)/MAX(Статистика!$G$10-Статистика!$C$10,0.000001),NA()))</f>
        <v>0.63071660277777752</v>
      </c>
      <c r="BH68" s="12">
        <f>IF(A68="",NA(),IF(Статистика!$F$8="Вкл",(((IF(Статистика!$C$4="Параллельный режим (активная мощность)",D68,O68)+Статистика!$J$4))-Статистика!$C$10)/MAX(Статистика!$G$10-Статистика!$C$10,0.000001),NA()))</f>
        <v>0.46284781722222185</v>
      </c>
      <c r="BI68" s="12">
        <f>IF(A68="",NA(),IF(Статистика!$F$8="Вкл",(((IF(Статистика!$C$4="Параллельный режим (активная мощность)",H68,S68)+Статистика!$J$4))-Статистика!$C$10)/MAX(Статистика!$G$10-Статистика!$C$10,0.000001),NA()))</f>
        <v>0.71246076833333372</v>
      </c>
      <c r="BJ68" s="12">
        <f>IF(A68="",NA(),IF(Статистика!$H$8="Вкл",(((IF(Статистика!$C$4="Параллельный режим (активная мощность)",B68,M68)+Статистика!$J$4))-Статистика!$C$10)/MAX(Статистика!$G$10-Статистика!$C$10,0.000001),NA()))</f>
        <v>-1.2221578742777779</v>
      </c>
      <c r="BK68" s="12">
        <f>IF(A68="",NA(),IF(Статистика!$H$8="Вкл",(((IF(Статистика!$C$4="Параллельный режим (активная мощность)",J68,U68)+Статистика!$J$4))-Статистика!$C$10)/MAX(Статистика!$G$10-Статистика!$C$10,0.000001),NA()))</f>
        <v>0.74200134833333387</v>
      </c>
      <c r="BL68" s="12" t="e">
        <f>IF(A68="",NA(),IF(Статистика!$J$8="Вкл",(((IF(Статистика!$C$4="Параллельный режим (активная мощность)",K68,V68)+Статистика!$J$4))-Статистика!$C$10)/MAX(Статистика!$G$10-Статистика!$C$10,0.000001),NA()))</f>
        <v>#N/A</v>
      </c>
      <c r="BM68" s="12" t="e">
        <f>IF(AND(A68&lt;&gt;"",Статистика!$C$6="Вкл",Статистика!$B$6&gt;0),(Статистика!$B$6-Статистика!$C$10)/MAX(Статистика!$G$10-Статистика!$C$10,0.000001),NA())</f>
        <v>#N/A</v>
      </c>
      <c r="BN68" s="12" t="e">
        <f>IF(AND(A68&lt;&gt;"",Статистика!$F$6="Вкл",Статистика!$E$6&gt;0),(Статистика!$E$6-Статистика!$C$10)/MAX(Статистика!$G$10-Статистика!$C$10,0.000001),NA())</f>
        <v>#N/A</v>
      </c>
      <c r="BO68" s="12" t="e">
        <f>IF(AND(A68&lt;&gt;"",Статистика!$I$6="Вкл",Статистика!$H$6&gt;0),(Статистика!$H$6-Статистика!$C$10)/MAX(Статистика!$G$10-Статистика!$C$10,0.000001),NA())</f>
        <v>#N/A</v>
      </c>
      <c r="BP68" s="12" t="e">
        <f>IF(AND(A68&lt;&gt;"",Статистика!$L$6="Вкл",Статистика!$K$6&gt;0),(Статистика!$K$6-Статистика!$C$10)/MAX(Статистика!$G$10-Статистика!$C$10,0.000001),NA())</f>
        <v>#N/A</v>
      </c>
      <c r="BQ68" s="12" t="e">
        <f>IF(AND(A68&lt;&gt;"",Статистика!$M$6="Вкл",Статистика!$O$6&gt;0),(Статистика!$O$6-Статистика!$C$10)/MAX(Статистика!$G$10-Статистика!$C$10,0.000001),NA())</f>
        <v>#N/A</v>
      </c>
      <c r="BR68" s="12">
        <f t="shared" si="2"/>
        <v>1</v>
      </c>
      <c r="BT68" s="12">
        <f>IF(Y68="","",MAX(0,MIN(1,(((IF(Статистика!$C$4="Параллельный режим (активная мощность)",Z68,AK68)+Статистика!$J$4))-Статистика!$C$10)/MAX(Статистика!$G$10-Статистика!$C$10,0.000001))))</f>
        <v>0.41159125955555526</v>
      </c>
      <c r="BU68" s="12">
        <f>IF(Y68="","",MAX(0,MAX(0,MIN(1,(((IF(Статистика!$C$4="Параллельный режим (активная мощность)",AB68,AM68)+Статистика!$J$4))-Статистика!$C$10)/MAX(Статистика!$G$10-Статистика!$C$10,0.000001)))-MAX(0,MIN(1,(((IF(Статистика!$C$4="Параллельный режим (активная мощность)",Z68,AK68)+Статистика!$J$4))-Статистика!$C$10)/MAX(Статистика!$G$10-Статистика!$C$10,0.000001)))))</f>
        <v>2.4515436000000279E-2</v>
      </c>
      <c r="BV68" s="12">
        <f>IF(Y68="","",MAX(0,MAX(0,MIN(1,(((IF(Статистика!$C$4="Параллельный режим (активная мощность)",AC68,AN68)+Статистика!$J$4))-Статистика!$C$10)/MAX(Статистика!$G$10-Статистика!$C$10,0.000001)))-MAX(0,MIN(1,(((IF(Статистика!$C$4="Параллельный режим (активная мощность)",AB68,AM68)+Статистика!$J$4))-Статистика!$C$10)/MAX(Статистика!$G$10-Статистика!$C$10,0.000001)))))</f>
        <v>5.9070393333333415E-2</v>
      </c>
      <c r="BW68" s="12">
        <f>IF(Y68="","",MAX(0,MAX(0,MIN(1,(((IF(Статистика!$C$4="Параллельный режим (активная мощность)",AD68,AO68)+Статистика!$J$4))-Статистика!$C$10)/MAX(Статистика!$G$10-Статистика!$C$10,0.000001)))-MAX(0,MIN(1,(((IF(Статистика!$C$4="Параллельный режим (активная мощность)",AC68,AN68)+Статистика!$J$4))-Статистика!$C$10)/MAX(Статистика!$G$10-Статистика!$C$10,0.000001)))))</f>
        <v>7.8379988888888918E-2</v>
      </c>
      <c r="BX68" s="12">
        <f>IF(Y68="","",MAX(0,MAX(0,MIN(1,(((IF(Статистика!$C$4="Параллельный режим (активная мощность)",AE68,AP68)+Статистика!$J$4))-Статистика!$C$10)/MAX(Статистика!$G$10-Статистика!$C$10,0.000001)))-MAX(0,MIN(1,(((IF(Статистика!$C$4="Параллельный режим (активная мощность)",AD68,AO68)+Статистика!$J$4))-Статистика!$C$10)/MAX(Статистика!$G$10-Статистика!$C$10,0.000001)))))</f>
        <v>8.1101766666666353E-2</v>
      </c>
      <c r="BY68" s="12">
        <f>IF(Y68="","",MAX(0,MAX(0,MIN(1,(((IF(Статистика!$C$4="Параллельный режим (активная мощность)",AF68,AQ68)+Статистика!$J$4))-Статистика!$C$10)/MAX(Статистика!$G$10-Статистика!$C$10,0.000001)))-MAX(0,MIN(1,(((IF(Статистика!$C$4="Параллельный режим (активная мощность)",AE68,AP68)+Статистика!$J$4))-Статистика!$C$10)/MAX(Статистика!$G$10-Статистика!$C$10,0.000001)))))</f>
        <v>0.14195009999999997</v>
      </c>
      <c r="BZ68" s="12">
        <f>IF(Y68="","",MAX(0,MAX(0,MIN(1,(((IF(Статистика!$C$4="Параллельный режим (активная мощность)",AH68,AS68)+Статистика!$J$4))-Статистика!$C$10)/MAX(Статистика!$G$10-Статистика!$C$10,0.000001)))-MAX(0,MIN(1,(((IF(Статистика!$C$4="Параллельный режим (активная мощность)",AF68,AQ68)+Статистика!$J$4))-Статистика!$C$10)/MAX(Статистика!$G$10-Статистика!$C$10,0.000001)))))</f>
        <v>1.7324999999979163E-4</v>
      </c>
      <c r="CA68" s="12">
        <f>IF(Y68="","",MAX(0,1-MAX(0,MIN(1,(((IF(Статистика!$C$4="Параллельный режим (активная мощность)",AH68,AS68)+Статистика!$J$4))-Статистика!$C$10)/MAX(Статистика!$G$10-Статистика!$C$10,0.000001)))))</f>
        <v>0.20321780555555602</v>
      </c>
      <c r="CB68" s="12">
        <f>IF(Y68="",NA(),IF(Статистика!$B$8="Вкл",(((IF(Статистика!$C$4="Параллельный режим (активная мощность)",AD68,AO68)+Статистика!$J$4))-Статистика!$C$10)/MAX(Статистика!$G$10-Статистика!$C$10,0.000001),NA()))</f>
        <v>0.57355707777777787</v>
      </c>
      <c r="CC68" s="12">
        <f>IF(Y68="",NA(),IF(Статистика!$D$8="Вкл",(((IF(Статистика!$C$4="Параллельный режим (активная мощность)",AC68,AN68)+Статистика!$J$4))-Статистика!$C$10)/MAX(Статистика!$G$10-Статистика!$C$10,0.000001),NA()))</f>
        <v>0.49517708888888895</v>
      </c>
      <c r="CD68" s="12">
        <f>IF(Y68="",NA(),IF(Статистика!$D$8="Вкл",(((IF(Статистика!$C$4="Параллельный режим (активная мощность)",AE68,AP68)+Статистика!$J$4))-Статистика!$C$10)/MAX(Статистика!$G$10-Статистика!$C$10,0.000001),NA()))</f>
        <v>0.65465884444444422</v>
      </c>
      <c r="CE68" s="12">
        <f>IF(Y68="",NA(),IF(Статистика!$F$8="Вкл",(((IF(Статистика!$C$4="Параллельный режим (активная мощность)",AB68,AM68)+Статистика!$J$4))-Статистика!$C$10)/MAX(Статистика!$G$10-Статистика!$C$10,0.000001),NA()))</f>
        <v>0.43610669555555553</v>
      </c>
      <c r="CF68" s="12">
        <f>IF(Y68="",NA(),IF(Статистика!$F$8="Вкл",(((IF(Статистика!$C$4="Параллельный режим (активная мощность)",AF68,AQ68)+Статистика!$J$4))-Статистика!$C$10)/MAX(Статистика!$G$10-Статистика!$C$10,0.000001),NA()))</f>
        <v>0.79660894444444419</v>
      </c>
      <c r="CG68" s="12">
        <f>IF(Y68="",NA(),IF(Статистика!$H$8="Вкл",(((IF(Статистика!$C$4="Параллельный режим (активная мощность)",Z68,AK68)+Статистика!$J$4))-Статистика!$C$10)/MAX(Статистика!$G$10-Статистика!$C$10,0.000001),NA()))</f>
        <v>0.41159125955555526</v>
      </c>
      <c r="CH68" s="12">
        <f>IF(Y68="",NA(),IF(Статистика!$H$8="Вкл",(((IF(Статистика!$C$4="Параллельный режим (активная мощность)",AH68,AS68)+Статистика!$J$4))-Статистика!$C$10)/MAX(Статистика!$G$10-Статистика!$C$10,0.000001),NA()))</f>
        <v>0.79678219444444398</v>
      </c>
      <c r="CI68" s="12" t="e">
        <f>IF(Y68="",NA(),IF(Статистика!$J$8="Вкл",(((IF(Статистика!$C$4="Параллельный режим (активная мощность)",AI68,AT68)+Статистика!$J$4))-Статистика!$C$10)/MAX(Статистика!$G$10-Статистика!$C$10,0.000001),NA()))</f>
        <v>#N/A</v>
      </c>
      <c r="CJ68" s="12" t="e">
        <f>IF(AND(Y68&lt;&gt;"",Статистика!$C$6="Вкл",Статистика!$B$6&gt;0),(Статистика!$B$6-Статистика!$C$10)/MAX(Статистика!$G$10-Статистика!$C$10,0.000001),NA())</f>
        <v>#N/A</v>
      </c>
      <c r="CK68" s="12" t="e">
        <f>IF(AND(Y68&lt;&gt;"",Статистика!$F$6="Вкл",Статистика!$E$6&gt;0),(Статистика!$E$6-Статистика!$C$10)/MAX(Статистика!$G$10-Статистика!$C$10,0.000001),NA())</f>
        <v>#N/A</v>
      </c>
      <c r="CL68" s="12" t="e">
        <f>IF(AND(Y68&lt;&gt;"",Статистика!$I$6="Вкл",Статистика!$H$6&gt;0),(Статистика!$H$6-Статистика!$C$10)/MAX(Статистика!$G$10-Статистика!$C$10,0.000001),NA())</f>
        <v>#N/A</v>
      </c>
      <c r="CM68" s="12" t="e">
        <f>IF(AND(Y68&lt;&gt;"",Статистика!$L$6="Вкл",Статистика!$K$6&gt;0),(Статистика!$K$6-Статистика!$C$10)/MAX(Статистика!$G$10-Статистика!$C$10,0.000001),NA())</f>
        <v>#N/A</v>
      </c>
      <c r="CN68" s="12" t="e">
        <f>IF(AND(Y68&lt;&gt;"",Статистика!$M$6="Вкл",Статистика!$O$6&gt;0),(Статистика!$O$6-Статистика!$C$10)/MAX(Статистика!$G$10-Статистика!$C$10,0.000001),NA())</f>
        <v>#N/A</v>
      </c>
      <c r="CO68" s="12">
        <f t="shared" si="3"/>
        <v>1</v>
      </c>
    </row>
    <row r="69" spans="1:93" ht="15" customHeight="1">
      <c r="A69" s="12" t="s">
        <v>331</v>
      </c>
      <c r="B69" s="12">
        <v>2333.0807413333332</v>
      </c>
      <c r="C69" s="12">
        <v>5772.9043733333338</v>
      </c>
      <c r="D69" s="12">
        <v>7411.7496583333332</v>
      </c>
      <c r="E69" s="12">
        <v>7570.7110166666662</v>
      </c>
      <c r="F69" s="12">
        <v>7713.6256000000003</v>
      </c>
      <c r="G69" s="12">
        <v>7942.4413749999994</v>
      </c>
      <c r="H69" s="12">
        <v>8208.926821666666</v>
      </c>
      <c r="I69" s="12">
        <v>8231.4326908333333</v>
      </c>
      <c r="J69" s="12">
        <v>8246.6696581666674</v>
      </c>
      <c r="K69" s="12">
        <v>8334.5400000000009</v>
      </c>
      <c r="L69" s="12" t="s">
        <v>332</v>
      </c>
      <c r="M69" s="12">
        <v>2910.2382696666668</v>
      </c>
      <c r="N69" s="12">
        <v>6678.4101483333343</v>
      </c>
      <c r="O69" s="12">
        <v>8477.8066116666669</v>
      </c>
      <c r="P69" s="12">
        <v>8644.4291083333337</v>
      </c>
      <c r="Q69" s="12">
        <v>8872.4539333333341</v>
      </c>
      <c r="R69" s="12">
        <v>9073.5025916666673</v>
      </c>
      <c r="S69" s="12">
        <v>9308.852813333333</v>
      </c>
      <c r="T69" s="12">
        <v>9351.4699383333336</v>
      </c>
      <c r="U69" s="12">
        <v>9386.558894333335</v>
      </c>
      <c r="V69" s="12">
        <v>9567.7000000000007</v>
      </c>
      <c r="W69" s="12" t="s">
        <v>333</v>
      </c>
      <c r="Y69" s="12" t="s">
        <v>331</v>
      </c>
      <c r="Z69" s="12">
        <v>7242.0332930000004</v>
      </c>
      <c r="AA69" s="12">
        <v>7267.4445983333335</v>
      </c>
      <c r="AB69" s="12">
        <v>7299.2087299999994</v>
      </c>
      <c r="AC69" s="12">
        <v>7505.4537333333337</v>
      </c>
      <c r="AD69" s="12">
        <v>7753.0176833333335</v>
      </c>
      <c r="AE69" s="12">
        <v>7882.8787250000005</v>
      </c>
      <c r="AF69" s="12">
        <v>8427.0260999999991</v>
      </c>
      <c r="AG69" s="12">
        <v>8433.2427499999994</v>
      </c>
      <c r="AH69" s="12">
        <v>8438.2160700000004</v>
      </c>
      <c r="AI69" s="12">
        <v>8779.2800000000007</v>
      </c>
      <c r="AJ69" s="12" t="s">
        <v>334</v>
      </c>
      <c r="AK69" s="12">
        <v>8316.7366820000007</v>
      </c>
      <c r="AL69" s="12">
        <v>8328.3202099999999</v>
      </c>
      <c r="AM69" s="12">
        <v>8342.7996199999998</v>
      </c>
      <c r="AN69" s="12">
        <v>8561.306183333334</v>
      </c>
      <c r="AO69" s="12">
        <v>8780.1902833333334</v>
      </c>
      <c r="AP69" s="12">
        <v>8955.4655749999984</v>
      </c>
      <c r="AQ69" s="12">
        <v>9468.5705533333348</v>
      </c>
      <c r="AR69" s="12">
        <v>9518.810926666667</v>
      </c>
      <c r="AS69" s="12">
        <v>9559.0032253333338</v>
      </c>
      <c r="AT69" s="12">
        <v>10053.11</v>
      </c>
      <c r="AU69" s="12" t="s">
        <v>334</v>
      </c>
      <c r="AW69" s="12">
        <f>IF(A69="","",MAX(0,MIN(1,(((IF(Статистика!$C$4="Параллельный режим (активная мощность)",B69,M69)+Статистика!$J$4))-Статистика!$C$10)/MAX(Статистика!$G$10-Статистика!$C$10,0.000001))))</f>
        <v>0</v>
      </c>
      <c r="AX69" s="12">
        <f>IF(A69="","",MAX(0,MAX(0,MIN(1,(((IF(Статистика!$C$4="Параллельный режим (активная мощность)",D69,O69)+Статистика!$J$4))-Статистика!$C$10)/MAX(Статистика!$G$10-Статистика!$C$10,0.000001)))-MAX(0,MIN(1,(((IF(Статистика!$C$4="Параллельный режим (активная мощность)",B69,M69)+Статистика!$J$4))-Статистика!$C$10)/MAX(Статистика!$G$10-Статистика!$C$10,0.000001)))))</f>
        <v>0.47058321944444437</v>
      </c>
      <c r="AY69" s="12">
        <f>IF(A69="","",MAX(0,MAX(0,MIN(1,(((IF(Статистика!$C$4="Параллельный режим (активная мощность)",E69,P69)+Статистика!$J$4))-Статистика!$C$10)/MAX(Статистика!$G$10-Статистика!$C$10,0.000001)))-MAX(0,MIN(1,(((IF(Статистика!$C$4="Параллельный режим (активная мощность)",D69,O69)+Статистика!$J$4))-Статистика!$C$10)/MAX(Статистика!$G$10-Статистика!$C$10,0.000001)))))</f>
        <v>5.2987119444444342E-2</v>
      </c>
      <c r="AZ69" s="12">
        <f>IF(A69="","",MAX(0,MAX(0,MIN(1,(((IF(Статистика!$C$4="Параллельный режим (активная мощность)",F69,Q69)+Статистика!$J$4))-Статистика!$C$10)/MAX(Статистика!$G$10-Статистика!$C$10,0.000001)))-MAX(0,MIN(1,(((IF(Статистика!$C$4="Параллельный режим (активная мощность)",E69,P69)+Статистика!$J$4))-Статистика!$C$10)/MAX(Статистика!$G$10-Статистика!$C$10,0.000001)))))</f>
        <v>4.7638194444444726E-2</v>
      </c>
      <c r="BA69" s="12">
        <f>IF(A69="","",MAX(0,MAX(0,MIN(1,(((IF(Статистика!$C$4="Параллельный режим (активная мощность)",G69,R69)+Статистика!$J$4))-Статистика!$C$10)/MAX(Статистика!$G$10-Статистика!$C$10,0.000001)))-MAX(0,MIN(1,(((IF(Статистика!$C$4="Параллельный режим (активная мощность)",F69,Q69)+Статистика!$J$4))-Статистика!$C$10)/MAX(Статистика!$G$10-Статистика!$C$10,0.000001)))))</f>
        <v>7.6271924999999685E-2</v>
      </c>
      <c r="BB69" s="12">
        <f>IF(A69="","",MAX(0,MAX(0,MIN(1,(((IF(Статистика!$C$4="Параллельный режим (активная мощность)",H69,S69)+Статистика!$J$4))-Статистика!$C$10)/MAX(Статистика!$G$10-Статистика!$C$10,0.000001)))-MAX(0,MIN(1,(((IF(Статистика!$C$4="Параллельный режим (активная мощность)",G69,R69)+Статистика!$J$4))-Статистика!$C$10)/MAX(Статистика!$G$10-Статистика!$C$10,0.000001)))))</f>
        <v>8.8828482222222171E-2</v>
      </c>
      <c r="BC69" s="12">
        <f>IF(A69="","",MAX(0,MAX(0,MIN(1,(((IF(Статистика!$C$4="Параллельный режим (активная мощность)",J69,U69)+Статистика!$J$4))-Статистика!$C$10)/MAX(Статистика!$G$10-Статистика!$C$10,0.000001)))-MAX(0,MIN(1,(((IF(Статистика!$C$4="Параллельный режим (активная мощность)",H69,S69)+Статистика!$J$4))-Статистика!$C$10)/MAX(Статистика!$G$10-Статистика!$C$10,0.000001)))))</f>
        <v>1.2580945500000551E-2</v>
      </c>
      <c r="BD69" s="12">
        <f>IF(A69="","",MAX(0,1-MAX(0,MIN(1,(((IF(Статистика!$C$4="Параллельный режим (активная мощность)",J69,U69)+Статистика!$J$4))-Статистика!$C$10)/MAX(Статистика!$G$10-Статистика!$C$10,0.000001)))))</f>
        <v>0.25111011394444416</v>
      </c>
      <c r="BE69" s="12">
        <f>IF(A69="",NA(),IF(Статистика!$B$8="Вкл",(((IF(Статистика!$C$4="Параллельный режим (активная мощность)",F69,Q69)+Статистика!$J$4))-Статистика!$C$10)/MAX(Статистика!$G$10-Статистика!$C$10,0.000001),NA()))</f>
        <v>0.57120853333333343</v>
      </c>
      <c r="BF69" s="12">
        <f>IF(A69="",NA(),IF(Статистика!$D$8="Вкл",(((IF(Статистика!$C$4="Параллельный режим (активная мощность)",E69,P69)+Статистика!$J$4))-Статистика!$C$10)/MAX(Статистика!$G$10-Статистика!$C$10,0.000001),NA()))</f>
        <v>0.52357033888888871</v>
      </c>
      <c r="BG69" s="12">
        <f>IF(A69="",NA(),IF(Статистика!$D$8="Вкл",(((IF(Статистика!$C$4="Параллельный режим (активная мощность)",G69,R69)+Статистика!$J$4))-Статистика!$C$10)/MAX(Статистика!$G$10-Статистика!$C$10,0.000001),NA()))</f>
        <v>0.64748045833333312</v>
      </c>
      <c r="BH69" s="12">
        <f>IF(A69="",NA(),IF(Статистика!$F$8="Вкл",(((IF(Статистика!$C$4="Параллельный режим (активная мощность)",D69,O69)+Статистика!$J$4))-Статистика!$C$10)/MAX(Статистика!$G$10-Статистика!$C$10,0.000001),NA()))</f>
        <v>0.47058321944444437</v>
      </c>
      <c r="BI69" s="12">
        <f>IF(A69="",NA(),IF(Статистика!$F$8="Вкл",(((IF(Статистика!$C$4="Параллельный режим (активная мощность)",H69,S69)+Статистика!$J$4))-Статистика!$C$10)/MAX(Статистика!$G$10-Статистика!$C$10,0.000001),NA()))</f>
        <v>0.73630894055555529</v>
      </c>
      <c r="BJ69" s="12">
        <f>IF(A69="",NA(),IF(Статистика!$H$8="Вкл",(((IF(Статистика!$C$4="Параллельный режим (активная мощность)",B69,M69)+Статистика!$J$4))-Статистика!$C$10)/MAX(Статистика!$G$10-Статистика!$C$10,0.000001),NA()))</f>
        <v>-1.2223064195555555</v>
      </c>
      <c r="BK69" s="12">
        <f>IF(A69="",NA(),IF(Статистика!$H$8="Вкл",(((IF(Статистика!$C$4="Параллельный режим (активная мощность)",J69,U69)+Статистика!$J$4))-Статистика!$C$10)/MAX(Статистика!$G$10-Статистика!$C$10,0.000001),NA()))</f>
        <v>0.74888988605555584</v>
      </c>
      <c r="BL69" s="12" t="e">
        <f>IF(A69="",NA(),IF(Статистика!$J$8="Вкл",(((IF(Статистика!$C$4="Параллельный режим (активная мощность)",K69,V69)+Статистика!$J$4))-Статистика!$C$10)/MAX(Статистика!$G$10-Статистика!$C$10,0.000001),NA()))</f>
        <v>#N/A</v>
      </c>
      <c r="BM69" s="12" t="e">
        <f>IF(AND(A69&lt;&gt;"",Статистика!$C$6="Вкл",Статистика!$B$6&gt;0),(Статистика!$B$6-Статистика!$C$10)/MAX(Статистика!$G$10-Статистика!$C$10,0.000001),NA())</f>
        <v>#N/A</v>
      </c>
      <c r="BN69" s="12" t="e">
        <f>IF(AND(A69&lt;&gt;"",Статистика!$F$6="Вкл",Статистика!$E$6&gt;0),(Статистика!$E$6-Статистика!$C$10)/MAX(Статистика!$G$10-Статистика!$C$10,0.000001),NA())</f>
        <v>#N/A</v>
      </c>
      <c r="BO69" s="12" t="e">
        <f>IF(AND(A69&lt;&gt;"",Статистика!$I$6="Вкл",Статистика!$H$6&gt;0),(Статистика!$H$6-Статистика!$C$10)/MAX(Статистика!$G$10-Статистика!$C$10,0.000001),NA())</f>
        <v>#N/A</v>
      </c>
      <c r="BP69" s="12" t="e">
        <f>IF(AND(A69&lt;&gt;"",Статистика!$L$6="Вкл",Статистика!$K$6&gt;0),(Статистика!$K$6-Статистика!$C$10)/MAX(Статистика!$G$10-Статистика!$C$10,0.000001),NA())</f>
        <v>#N/A</v>
      </c>
      <c r="BQ69" s="12" t="e">
        <f>IF(AND(A69&lt;&gt;"",Статистика!$M$6="Вкл",Статистика!$O$6&gt;0),(Статистика!$O$6-Статистика!$C$10)/MAX(Статистика!$G$10-Статистика!$C$10,0.000001),NA())</f>
        <v>#N/A</v>
      </c>
      <c r="BR69" s="12">
        <f t="shared" si="2"/>
        <v>1</v>
      </c>
      <c r="BT69" s="12">
        <f>IF(Y69="","",MAX(0,MIN(1,(((IF(Статистика!$C$4="Параллельный режим (активная мощность)",Z69,AK69)+Статистика!$J$4))-Статистика!$C$10)/MAX(Статистика!$G$10-Статистика!$C$10,0.000001))))</f>
        <v>0.41401109766666683</v>
      </c>
      <c r="BU69" s="12">
        <f>IF(Y69="","",MAX(0,MAX(0,MIN(1,(((IF(Статистика!$C$4="Параллельный режим (активная мощность)",AB69,AM69)+Статистика!$J$4))-Статистика!$C$10)/MAX(Статистика!$G$10-Статистика!$C$10,0.000001)))-MAX(0,MIN(1,(((IF(Статистика!$C$4="Параллельный режим (активная мощность)",Z69,AK69)+Статистика!$J$4))-Статистика!$C$10)/MAX(Статистика!$G$10-Статистика!$C$10,0.000001)))))</f>
        <v>1.9058478999999628E-2</v>
      </c>
      <c r="BV69" s="12">
        <f>IF(Y69="","",MAX(0,MAX(0,MIN(1,(((IF(Статистика!$C$4="Параллельный режим (активная мощность)",AC69,AN69)+Статистика!$J$4))-Статистика!$C$10)/MAX(Статистика!$G$10-Статистика!$C$10,0.000001)))-MAX(0,MIN(1,(((IF(Статистика!$C$4="Параллельный режим (активная мощность)",AB69,AM69)+Статистика!$J$4))-Статистика!$C$10)/MAX(Статистика!$G$10-Статистика!$C$10,0.000001)))))</f>
        <v>6.8748334444444836E-2</v>
      </c>
      <c r="BW69" s="12">
        <f>IF(Y69="","",MAX(0,MAX(0,MIN(1,(((IF(Статистика!$C$4="Параллельный режим (активная мощность)",AD69,AO69)+Статистика!$J$4))-Статистика!$C$10)/MAX(Статистика!$G$10-Статистика!$C$10,0.000001)))-MAX(0,MIN(1,(((IF(Статистика!$C$4="Параллельный режим (активная мощность)",AC69,AN69)+Статистика!$J$4))-Статистика!$C$10)/MAX(Статистика!$G$10-Статистика!$C$10,0.000001)))))</f>
        <v>8.2521316666666511E-2</v>
      </c>
      <c r="BX69" s="12">
        <f>IF(Y69="","",MAX(0,MAX(0,MIN(1,(((IF(Статистика!$C$4="Параллельный режим (активная мощность)",AE69,AP69)+Статистика!$J$4))-Статистика!$C$10)/MAX(Статистика!$G$10-Статистика!$C$10,0.000001)))-MAX(0,MIN(1,(((IF(Статистика!$C$4="Параллельный режим (активная мощность)",AD69,AO69)+Статистика!$J$4))-Статистика!$C$10)/MAX(Статистика!$G$10-Статистика!$C$10,0.000001)))))</f>
        <v>4.3287013888889003E-2</v>
      </c>
      <c r="BY69" s="12">
        <f>IF(Y69="","",MAX(0,MAX(0,MIN(1,(((IF(Статистика!$C$4="Параллельный режим (активная мощность)",AF69,AQ69)+Статистика!$J$4))-Статистика!$C$10)/MAX(Статистика!$G$10-Статистика!$C$10,0.000001)))-MAX(0,MIN(1,(((IF(Статистика!$C$4="Параллельный режим (активная мощность)",AE69,AP69)+Статистика!$J$4))-Статистика!$C$10)/MAX(Статистика!$G$10-Статистика!$C$10,0.000001)))))</f>
        <v>0.18138245833333289</v>
      </c>
      <c r="BZ69" s="12">
        <f>IF(Y69="","",MAX(0,MAX(0,MIN(1,(((IF(Статистика!$C$4="Параллельный режим (активная мощность)",AH69,AS69)+Статистика!$J$4))-Статистика!$C$10)/MAX(Статистика!$G$10-Статистика!$C$10,0.000001)))-MAX(0,MIN(1,(((IF(Статистика!$C$4="Параллельный режим (активная мощность)",AF69,AQ69)+Статистика!$J$4))-Статистика!$C$10)/MAX(Статистика!$G$10-Статистика!$C$10,0.000001)))))</f>
        <v>3.7299900000004049E-3</v>
      </c>
      <c r="CA69" s="12">
        <f>IF(Y69="","",MAX(0,1-MAX(0,MIN(1,(((IF(Статистика!$C$4="Параллельный режим (активная мощность)",AH69,AS69)+Статистика!$J$4))-Статистика!$C$10)/MAX(Статистика!$G$10-Статистика!$C$10,0.000001)))))</f>
        <v>0.1872613099999999</v>
      </c>
      <c r="CB69" s="12">
        <f>IF(Y69="",NA(),IF(Статистика!$B$8="Вкл",(((IF(Статистика!$C$4="Параллельный режим (активная мощность)",AD69,AO69)+Статистика!$J$4))-Статистика!$C$10)/MAX(Статистика!$G$10-Статистика!$C$10,0.000001),NA()))</f>
        <v>0.5843392277777778</v>
      </c>
      <c r="CC69" s="12">
        <f>IF(Y69="",NA(),IF(Статистика!$D$8="Вкл",(((IF(Статистика!$C$4="Параллельный режим (активная мощность)",AC69,AN69)+Статистика!$J$4))-Статистика!$C$10)/MAX(Статистика!$G$10-Статистика!$C$10,0.000001),NA()))</f>
        <v>0.50181791111111129</v>
      </c>
      <c r="CD69" s="12">
        <f>IF(Y69="",NA(),IF(Статистика!$D$8="Вкл",(((IF(Статистика!$C$4="Параллельный режим (активная мощность)",AE69,AP69)+Статистика!$J$4))-Статистика!$C$10)/MAX(Статистика!$G$10-Статистика!$C$10,0.000001),NA()))</f>
        <v>0.62762624166666681</v>
      </c>
      <c r="CE69" s="12">
        <f>IF(Y69="",NA(),IF(Статистика!$F$8="Вкл",(((IF(Статистика!$C$4="Параллельный режим (активная мощность)",AB69,AM69)+Статистика!$J$4))-Статистика!$C$10)/MAX(Статистика!$G$10-Статистика!$C$10,0.000001),NA()))</f>
        <v>0.43306957666666646</v>
      </c>
      <c r="CF69" s="12">
        <f>IF(Y69="",NA(),IF(Статистика!$F$8="Вкл",(((IF(Статистика!$C$4="Параллельный режим (активная мощность)",AF69,AQ69)+Статистика!$J$4))-Статистика!$C$10)/MAX(Статистика!$G$10-Статистика!$C$10,0.000001),NA()))</f>
        <v>0.80900869999999969</v>
      </c>
      <c r="CG69" s="12">
        <f>IF(Y69="",NA(),IF(Статистика!$H$8="Вкл",(((IF(Статистика!$C$4="Параллельный режим (активная мощность)",Z69,AK69)+Статистика!$J$4))-Статистика!$C$10)/MAX(Статистика!$G$10-Статистика!$C$10,0.000001),NA()))</f>
        <v>0.41401109766666683</v>
      </c>
      <c r="CH69" s="12">
        <f>IF(Y69="",NA(),IF(Статистика!$H$8="Вкл",(((IF(Статистика!$C$4="Параллельный режим (активная мощность)",AH69,AS69)+Статистика!$J$4))-Статистика!$C$10)/MAX(Статистика!$G$10-Статистика!$C$10,0.000001),NA()))</f>
        <v>0.8127386900000001</v>
      </c>
      <c r="CI69" s="12" t="e">
        <f>IF(Y69="",NA(),IF(Статистика!$J$8="Вкл",(((IF(Статистика!$C$4="Параллельный режим (активная мощность)",AI69,AT69)+Статистика!$J$4))-Статистика!$C$10)/MAX(Статистика!$G$10-Статистика!$C$10,0.000001),NA()))</f>
        <v>#N/A</v>
      </c>
      <c r="CJ69" s="12" t="e">
        <f>IF(AND(Y69&lt;&gt;"",Статистика!$C$6="Вкл",Статистика!$B$6&gt;0),(Статистика!$B$6-Статистика!$C$10)/MAX(Статистика!$G$10-Статистика!$C$10,0.000001),NA())</f>
        <v>#N/A</v>
      </c>
      <c r="CK69" s="12" t="e">
        <f>IF(AND(Y69&lt;&gt;"",Статистика!$F$6="Вкл",Статистика!$E$6&gt;0),(Статистика!$E$6-Статистика!$C$10)/MAX(Статистика!$G$10-Статистика!$C$10,0.000001),NA())</f>
        <v>#N/A</v>
      </c>
      <c r="CL69" s="12" t="e">
        <f>IF(AND(Y69&lt;&gt;"",Статистика!$I$6="Вкл",Статистика!$H$6&gt;0),(Статистика!$H$6-Статистика!$C$10)/MAX(Статистика!$G$10-Статистика!$C$10,0.000001),NA())</f>
        <v>#N/A</v>
      </c>
      <c r="CM69" s="12" t="e">
        <f>IF(AND(Y69&lt;&gt;"",Статистика!$L$6="Вкл",Статистика!$K$6&gt;0),(Статистика!$K$6-Статистика!$C$10)/MAX(Статистика!$G$10-Статистика!$C$10,0.000001),NA())</f>
        <v>#N/A</v>
      </c>
      <c r="CN69" s="12" t="e">
        <f>IF(AND(Y69&lt;&gt;"",Статистика!$M$6="Вкл",Статистика!$O$6&gt;0),(Статистика!$O$6-Статистика!$C$10)/MAX(Статистика!$G$10-Статистика!$C$10,0.000001),NA())</f>
        <v>#N/A</v>
      </c>
      <c r="CO69" s="12">
        <f t="shared" si="3"/>
        <v>1</v>
      </c>
    </row>
    <row r="70" spans="1:93" ht="15" customHeight="1">
      <c r="A70" s="12" t="s">
        <v>335</v>
      </c>
      <c r="B70" s="12">
        <v>2342.5424773333334</v>
      </c>
      <c r="C70" s="12">
        <v>5789.7379866666679</v>
      </c>
      <c r="D70" s="12">
        <v>7434.946303333335</v>
      </c>
      <c r="E70" s="12">
        <v>7550.4299333333329</v>
      </c>
      <c r="F70" s="12">
        <v>7777.7594833333333</v>
      </c>
      <c r="G70" s="12">
        <v>7989.7157500000003</v>
      </c>
      <c r="H70" s="12">
        <v>8216.0303166666672</v>
      </c>
      <c r="I70" s="12">
        <v>8237.9593274999988</v>
      </c>
      <c r="J70" s="12">
        <v>8262.796532166667</v>
      </c>
      <c r="K70" s="12">
        <v>8420.19</v>
      </c>
      <c r="L70" s="12" t="s">
        <v>336</v>
      </c>
      <c r="M70" s="12">
        <v>2920.6656916666661</v>
      </c>
      <c r="N70" s="12">
        <v>6711.645258333333</v>
      </c>
      <c r="O70" s="12">
        <v>8523.319501666665</v>
      </c>
      <c r="P70" s="12">
        <v>8614.0092000000004</v>
      </c>
      <c r="Q70" s="12">
        <v>8884.2847666666657</v>
      </c>
      <c r="R70" s="12">
        <v>9152.3154166666664</v>
      </c>
      <c r="S70" s="12">
        <v>9311.2309466666666</v>
      </c>
      <c r="T70" s="12">
        <v>9343.6074491666659</v>
      </c>
      <c r="U70" s="12">
        <v>9403.9995431666648</v>
      </c>
      <c r="V70" s="12">
        <v>9501.15</v>
      </c>
      <c r="W70" s="12" t="s">
        <v>337</v>
      </c>
      <c r="Y70" s="12" t="s">
        <v>335</v>
      </c>
      <c r="Z70" s="12">
        <v>7250.2478931666683</v>
      </c>
      <c r="AA70" s="12">
        <v>7255.490265833334</v>
      </c>
      <c r="AB70" s="12">
        <v>7262.0432316666675</v>
      </c>
      <c r="AC70" s="12">
        <v>7508.4195500000005</v>
      </c>
      <c r="AD70" s="12">
        <v>7677.7780500000008</v>
      </c>
      <c r="AE70" s="12">
        <v>7856.6040416666656</v>
      </c>
      <c r="AF70" s="12">
        <v>8434.029461666667</v>
      </c>
      <c r="AG70" s="12">
        <v>8457.6269641666677</v>
      </c>
      <c r="AH70" s="12">
        <v>8476.5049661666671</v>
      </c>
      <c r="AI70" s="12">
        <v>8554.02</v>
      </c>
      <c r="AJ70" s="12" t="s">
        <v>338</v>
      </c>
      <c r="AK70" s="12">
        <v>8288.8371588333339</v>
      </c>
      <c r="AL70" s="12">
        <v>8293.3128608333336</v>
      </c>
      <c r="AM70" s="12">
        <v>8298.9074883333324</v>
      </c>
      <c r="AN70" s="12">
        <v>8550.7485500000003</v>
      </c>
      <c r="AO70" s="12">
        <v>8707.7842833333343</v>
      </c>
      <c r="AP70" s="12">
        <v>8926.7840250000008</v>
      </c>
      <c r="AQ70" s="12">
        <v>9491.2484233333325</v>
      </c>
      <c r="AR70" s="12">
        <v>9568.5586783333329</v>
      </c>
      <c r="AS70" s="12">
        <v>9630.4068823333328</v>
      </c>
      <c r="AT70" s="12">
        <v>9712.44</v>
      </c>
      <c r="AU70" s="12" t="s">
        <v>339</v>
      </c>
      <c r="AW70" s="12">
        <f>IF(A70="","",MAX(0,MIN(1,(((IF(Статистика!$C$4="Параллельный режим (активная мощность)",B70,M70)+Статистика!$J$4))-Статистика!$C$10)/MAX(Статистика!$G$10-Статистика!$C$10,0.000001))))</f>
        <v>0</v>
      </c>
      <c r="AX70" s="12">
        <f>IF(A70="","",MAX(0,MAX(0,MIN(1,(((IF(Статистика!$C$4="Параллельный режим (активная мощность)",D70,O70)+Статистика!$J$4))-Статистика!$C$10)/MAX(Статистика!$G$10-Статистика!$C$10,0.000001)))-MAX(0,MIN(1,(((IF(Статистика!$C$4="Параллельный режим (активная мощность)",B70,M70)+Статистика!$J$4))-Статистика!$C$10)/MAX(Статистика!$G$10-Статистика!$C$10,0.000001)))))</f>
        <v>0.47831543444444502</v>
      </c>
      <c r="AY70" s="12">
        <f>IF(A70="","",MAX(0,MAX(0,MIN(1,(((IF(Статистика!$C$4="Параллельный режим (активная мощность)",E70,P70)+Статистика!$J$4))-Статистика!$C$10)/MAX(Статистика!$G$10-Статистика!$C$10,0.000001)))-MAX(0,MIN(1,(((IF(Статистика!$C$4="Параллельный режим (активная мощность)",D70,O70)+Статистика!$J$4))-Статистика!$C$10)/MAX(Статистика!$G$10-Статистика!$C$10,0.000001)))))</f>
        <v>3.8494543333332576E-2</v>
      </c>
      <c r="AZ70" s="12">
        <f>IF(A70="","",MAX(0,MAX(0,MIN(1,(((IF(Статистика!$C$4="Параллельный режим (активная мощность)",F70,Q70)+Статистика!$J$4))-Статистика!$C$10)/MAX(Статистика!$G$10-Статистика!$C$10,0.000001)))-MAX(0,MIN(1,(((IF(Статистика!$C$4="Параллельный режим (активная мощность)",E70,P70)+Статистика!$J$4))-Статистика!$C$10)/MAX(Статистика!$G$10-Статистика!$C$10,0.000001)))))</f>
        <v>7.5776516666666849E-2</v>
      </c>
      <c r="BA70" s="12">
        <f>IF(A70="","",MAX(0,MAX(0,MIN(1,(((IF(Статистика!$C$4="Параллельный режим (активная мощность)",G70,R70)+Статистика!$J$4))-Статистика!$C$10)/MAX(Статистика!$G$10-Статистика!$C$10,0.000001)))-MAX(0,MIN(1,(((IF(Статистика!$C$4="Параллельный режим (активная мощность)",F70,Q70)+Статистика!$J$4))-Статистика!$C$10)/MAX(Статистика!$G$10-Статистика!$C$10,0.000001)))))</f>
        <v>7.0652088888888964E-2</v>
      </c>
      <c r="BB70" s="12">
        <f>IF(A70="","",MAX(0,MAX(0,MIN(1,(((IF(Статистика!$C$4="Параллельный режим (активная мощность)",H70,S70)+Статистика!$J$4))-Статистика!$C$10)/MAX(Статистика!$G$10-Статистика!$C$10,0.000001)))-MAX(0,MIN(1,(((IF(Статистика!$C$4="Параллельный режим (активная мощность)",G70,R70)+Статистика!$J$4))-Статистика!$C$10)/MAX(Статистика!$G$10-Статистика!$C$10,0.000001)))))</f>
        <v>7.543818888888898E-2</v>
      </c>
      <c r="BC70" s="12">
        <f>IF(A70="","",MAX(0,MAX(0,MIN(1,(((IF(Статистика!$C$4="Параллельный режим (активная мощность)",J70,U70)+Статистика!$J$4))-Статистика!$C$10)/MAX(Статистика!$G$10-Статистика!$C$10,0.000001)))-MAX(0,MIN(1,(((IF(Статистика!$C$4="Параллельный режим (активная мощность)",H70,S70)+Статистика!$J$4))-Статистика!$C$10)/MAX(Статистика!$G$10-Статистика!$C$10,0.000001)))))</f>
        <v>1.5588738499999977E-2</v>
      </c>
      <c r="BD70" s="12">
        <f>IF(A70="","",MAX(0,1-MAX(0,MIN(1,(((IF(Статистика!$C$4="Параллельный режим (активная мощность)",J70,U70)+Статистика!$J$4))-Статистика!$C$10)/MAX(Статистика!$G$10-Статистика!$C$10,0.000001)))))</f>
        <v>0.24573448927777763</v>
      </c>
      <c r="BE70" s="12">
        <f>IF(A70="",NA(),IF(Статистика!$B$8="Вкл",(((IF(Статистика!$C$4="Параллельный режим (активная мощность)",F70,Q70)+Статистика!$J$4))-Статистика!$C$10)/MAX(Статистика!$G$10-Статистика!$C$10,0.000001),NA()))</f>
        <v>0.59258649444444444</v>
      </c>
      <c r="BF70" s="12">
        <f>IF(A70="",NA(),IF(Статистика!$D$8="Вкл",(((IF(Статистика!$C$4="Параллельный режим (активная мощность)",E70,P70)+Статистика!$J$4))-Статистика!$C$10)/MAX(Статистика!$G$10-Статистика!$C$10,0.000001),NA()))</f>
        <v>0.5168099777777776</v>
      </c>
      <c r="BG70" s="12">
        <f>IF(A70="",NA(),IF(Статистика!$D$8="Вкл",(((IF(Статистика!$C$4="Параллельный режим (активная мощность)",G70,R70)+Статистика!$J$4))-Статистика!$C$10)/MAX(Статистика!$G$10-Статистика!$C$10,0.000001),NA()))</f>
        <v>0.66323858333333341</v>
      </c>
      <c r="BH70" s="12">
        <f>IF(A70="",NA(),IF(Статистика!$F$8="Вкл",(((IF(Статистика!$C$4="Параллельный режим (активная мощность)",D70,O70)+Статистика!$J$4))-Статистика!$C$10)/MAX(Статистика!$G$10-Статистика!$C$10,0.000001),NA()))</f>
        <v>0.47831543444444502</v>
      </c>
      <c r="BI70" s="12">
        <f>IF(A70="",NA(),IF(Статистика!$F$8="Вкл",(((IF(Статистика!$C$4="Параллельный режим (активная мощность)",H70,S70)+Статистика!$J$4))-Статистика!$C$10)/MAX(Статистика!$G$10-Статистика!$C$10,0.000001),NA()))</f>
        <v>0.73867677222222239</v>
      </c>
      <c r="BJ70" s="12">
        <f>IF(A70="",NA(),IF(Статистика!$H$8="Вкл",(((IF(Статистика!$C$4="Параллельный режим (активная мощность)",B70,M70)+Статистика!$J$4))-Статистика!$C$10)/MAX(Статистика!$G$10-Статистика!$C$10,0.000001),NA()))</f>
        <v>-1.2191525075555556</v>
      </c>
      <c r="BK70" s="12">
        <f>IF(A70="",NA(),IF(Статистика!$H$8="Вкл",(((IF(Статистика!$C$4="Параллельный режим (активная мощность)",J70,U70)+Статистика!$J$4))-Статистика!$C$10)/MAX(Статистика!$G$10-Статистика!$C$10,0.000001),NA()))</f>
        <v>0.75426551072222237</v>
      </c>
      <c r="BL70" s="12" t="e">
        <f>IF(A70="",NA(),IF(Статистика!$J$8="Вкл",(((IF(Статистика!$C$4="Параллельный режим (активная мощность)",K70,V70)+Статистика!$J$4))-Статистика!$C$10)/MAX(Статистика!$G$10-Статистика!$C$10,0.000001),NA()))</f>
        <v>#N/A</v>
      </c>
      <c r="BM70" s="12" t="e">
        <f>IF(AND(A70&lt;&gt;"",Статистика!$C$6="Вкл",Статистика!$B$6&gt;0),(Статистика!$B$6-Статистика!$C$10)/MAX(Статистика!$G$10-Статистика!$C$10,0.000001),NA())</f>
        <v>#N/A</v>
      </c>
      <c r="BN70" s="12" t="e">
        <f>IF(AND(A70&lt;&gt;"",Статистика!$F$6="Вкл",Статистика!$E$6&gt;0),(Статистика!$E$6-Статистика!$C$10)/MAX(Статистика!$G$10-Статистика!$C$10,0.000001),NA())</f>
        <v>#N/A</v>
      </c>
      <c r="BO70" s="12" t="e">
        <f>IF(AND(A70&lt;&gt;"",Статистика!$I$6="Вкл",Статистика!$H$6&gt;0),(Статистика!$H$6-Статистика!$C$10)/MAX(Статистика!$G$10-Статистика!$C$10,0.000001),NA())</f>
        <v>#N/A</v>
      </c>
      <c r="BP70" s="12" t="e">
        <f>IF(AND(A70&lt;&gt;"",Статистика!$L$6="Вкл",Статистика!$K$6&gt;0),(Статистика!$K$6-Статистика!$C$10)/MAX(Статистика!$G$10-Статистика!$C$10,0.000001),NA())</f>
        <v>#N/A</v>
      </c>
      <c r="BQ70" s="12" t="e">
        <f>IF(AND(A70&lt;&gt;"",Статистика!$M$6="Вкл",Статистика!$O$6&gt;0),(Статистика!$O$6-Статистика!$C$10)/MAX(Статистика!$G$10-Статистика!$C$10,0.000001),NA())</f>
        <v>#N/A</v>
      </c>
      <c r="BR70" s="12">
        <f t="shared" si="2"/>
        <v>1</v>
      </c>
      <c r="BT70" s="12">
        <f>IF(Y70="","",MAX(0,MIN(1,(((IF(Статистика!$C$4="Параллельный режим (активная мощность)",Z70,AK70)+Статистика!$J$4))-Статистика!$C$10)/MAX(Статистика!$G$10-Статистика!$C$10,0.000001))))</f>
        <v>0.41674929772222274</v>
      </c>
      <c r="BU70" s="12">
        <f>IF(Y70="","",MAX(0,MAX(0,MIN(1,(((IF(Статистика!$C$4="Параллельный режим (активная мощность)",AB70,AM70)+Статистика!$J$4))-Статистика!$C$10)/MAX(Статистика!$G$10-Статистика!$C$10,0.000001)))-MAX(0,MIN(1,(((IF(Статистика!$C$4="Параллельный режим (активная мощность)",Z70,AK70)+Статистика!$J$4))-Статистика!$C$10)/MAX(Статистика!$G$10-Статистика!$C$10,0.000001)))))</f>
        <v>3.9317794999997324E-3</v>
      </c>
      <c r="BV70" s="12">
        <f>IF(Y70="","",MAX(0,MAX(0,MIN(1,(((IF(Статистика!$C$4="Параллельный режим (активная мощность)",AC70,AN70)+Статистика!$J$4))-Статистика!$C$10)/MAX(Статистика!$G$10-Статистика!$C$10,0.000001)))-MAX(0,MIN(1,(((IF(Статистика!$C$4="Параллельный режим (активная мощность)",AB70,AM70)+Статистика!$J$4))-Статистика!$C$10)/MAX(Статистика!$G$10-Статистика!$C$10,0.000001)))))</f>
        <v>8.2125439444444392E-2</v>
      </c>
      <c r="BW70" s="12">
        <f>IF(Y70="","",MAX(0,MAX(0,MIN(1,(((IF(Статистика!$C$4="Параллельный режим (активная мощность)",AD70,AO70)+Статистика!$J$4))-Статистика!$C$10)/MAX(Статистика!$G$10-Статистика!$C$10,0.000001)))-MAX(0,MIN(1,(((IF(Статистика!$C$4="Параллельный режим (активная мощность)",AC70,AN70)+Статистика!$J$4))-Статистика!$C$10)/MAX(Статистика!$G$10-Статистика!$C$10,0.000001)))))</f>
        <v>5.6452833333333396E-2</v>
      </c>
      <c r="BX70" s="12">
        <f>IF(Y70="","",MAX(0,MAX(0,MIN(1,(((IF(Статистика!$C$4="Параллельный режим (активная мощность)",AE70,AP70)+Статистика!$J$4))-Статистика!$C$10)/MAX(Статистика!$G$10-Статистика!$C$10,0.000001)))-MAX(0,MIN(1,(((IF(Статистика!$C$4="Параллельный режим (активная мощность)",AD70,AO70)+Статистика!$J$4))-Статистика!$C$10)/MAX(Статистика!$G$10-Статистика!$C$10,0.000001)))))</f>
        <v>5.9608663888888302E-2</v>
      </c>
      <c r="BY70" s="12">
        <f>IF(Y70="","",MAX(0,MAX(0,MIN(1,(((IF(Статистика!$C$4="Параллельный режим (активная мощность)",AF70,AQ70)+Статистика!$J$4))-Статистика!$C$10)/MAX(Статистика!$G$10-Статистика!$C$10,0.000001)))-MAX(0,MIN(1,(((IF(Статистика!$C$4="Параллельный режим (активная мощность)",AE70,AP70)+Статистика!$J$4))-Статистика!$C$10)/MAX(Статистика!$G$10-Статистика!$C$10,0.000001)))))</f>
        <v>0.19247514000000043</v>
      </c>
      <c r="BZ70" s="12">
        <f>IF(Y70="","",MAX(0,MAX(0,MIN(1,(((IF(Статистика!$C$4="Параллельный режим (активная мощность)",AH70,AS70)+Статистика!$J$4))-Статистика!$C$10)/MAX(Статистика!$G$10-Статистика!$C$10,0.000001)))-MAX(0,MIN(1,(((IF(Статистика!$C$4="Параллельный режим (активная мощность)",AF70,AQ70)+Статистика!$J$4))-Статистика!$C$10)/MAX(Статистика!$G$10-Статистика!$C$10,0.000001)))))</f>
        <v>1.4158501500000087E-2</v>
      </c>
      <c r="CA70" s="12">
        <f>IF(Y70="","",MAX(0,1-MAX(0,MIN(1,(((IF(Статистика!$C$4="Параллельный режим (активная мощность)",AH70,AS70)+Статистика!$J$4))-Статистика!$C$10)/MAX(Статистика!$G$10-Статистика!$C$10,0.000001)))))</f>
        <v>0.17449834461111091</v>
      </c>
      <c r="CB70" s="12">
        <f>IF(Y70="",NA(),IF(Статистика!$B$8="Вкл",(((IF(Статистика!$C$4="Параллельный режим (активная мощность)",AD70,AO70)+Статистика!$J$4))-Статистика!$C$10)/MAX(Статистика!$G$10-Статистика!$C$10,0.000001),NA()))</f>
        <v>0.55925935000000027</v>
      </c>
      <c r="CC70" s="12">
        <f>IF(Y70="",NA(),IF(Статистика!$D$8="Вкл",(((IF(Статистика!$C$4="Параллельный режим (активная мощность)",AC70,AN70)+Статистика!$J$4))-Статистика!$C$10)/MAX(Статистика!$G$10-Статистика!$C$10,0.000001),NA()))</f>
        <v>0.50280651666666687</v>
      </c>
      <c r="CD70" s="12">
        <f>IF(Y70="",NA(),IF(Статистика!$D$8="Вкл",(((IF(Статистика!$C$4="Параллельный режим (активная мощность)",AE70,AP70)+Статистика!$J$4))-Статистика!$C$10)/MAX(Статистика!$G$10-Статистика!$C$10,0.000001),NA()))</f>
        <v>0.61886801388888857</v>
      </c>
      <c r="CE70" s="12">
        <f>IF(Y70="",NA(),IF(Статистика!$F$8="Вкл",(((IF(Статистика!$C$4="Параллельный режим (активная мощность)",AB70,AM70)+Статистика!$J$4))-Статистика!$C$10)/MAX(Статистика!$G$10-Статистика!$C$10,0.000001),NA()))</f>
        <v>0.42068107722222248</v>
      </c>
      <c r="CF70" s="12">
        <f>IF(Y70="",NA(),IF(Статистика!$F$8="Вкл",(((IF(Статистика!$C$4="Параллельный режим (активная мощность)",AF70,AQ70)+Статистика!$J$4))-Статистика!$C$10)/MAX(Статистика!$G$10-Статистика!$C$10,0.000001),NA()))</f>
        <v>0.811343153888889</v>
      </c>
      <c r="CG70" s="12">
        <f>IF(Y70="",NA(),IF(Статистика!$H$8="Вкл",(((IF(Статистика!$C$4="Параллельный режим (активная мощность)",Z70,AK70)+Статистика!$J$4))-Статистика!$C$10)/MAX(Статистика!$G$10-Статистика!$C$10,0.000001),NA()))</f>
        <v>0.41674929772222274</v>
      </c>
      <c r="CH70" s="12">
        <f>IF(Y70="",NA(),IF(Статистика!$H$8="Вкл",(((IF(Статистика!$C$4="Параллельный режим (активная мощность)",AH70,AS70)+Статистика!$J$4))-Статистика!$C$10)/MAX(Статистика!$G$10-Статистика!$C$10,0.000001),NA()))</f>
        <v>0.82550165538888909</v>
      </c>
      <c r="CI70" s="12" t="e">
        <f>IF(Y70="",NA(),IF(Статистика!$J$8="Вкл",(((IF(Статистика!$C$4="Параллельный режим (активная мощность)",AI70,AT70)+Статистика!$J$4))-Статистика!$C$10)/MAX(Статистика!$G$10-Статистика!$C$10,0.000001),NA()))</f>
        <v>#N/A</v>
      </c>
      <c r="CJ70" s="12" t="e">
        <f>IF(AND(Y70&lt;&gt;"",Статистика!$C$6="Вкл",Статистика!$B$6&gt;0),(Статистика!$B$6-Статистика!$C$10)/MAX(Статистика!$G$10-Статистика!$C$10,0.000001),NA())</f>
        <v>#N/A</v>
      </c>
      <c r="CK70" s="12" t="e">
        <f>IF(AND(Y70&lt;&gt;"",Статистика!$F$6="Вкл",Статистика!$E$6&gt;0),(Статистика!$E$6-Статистика!$C$10)/MAX(Статистика!$G$10-Статистика!$C$10,0.000001),NA())</f>
        <v>#N/A</v>
      </c>
      <c r="CL70" s="12" t="e">
        <f>IF(AND(Y70&lt;&gt;"",Статистика!$I$6="Вкл",Статистика!$H$6&gt;0),(Статистика!$H$6-Статистика!$C$10)/MAX(Статистика!$G$10-Статистика!$C$10,0.000001),NA())</f>
        <v>#N/A</v>
      </c>
      <c r="CM70" s="12" t="e">
        <f>IF(AND(Y70&lt;&gt;"",Статистика!$L$6="Вкл",Статистика!$K$6&gt;0),(Статистика!$K$6-Статистика!$C$10)/MAX(Статистика!$G$10-Статистика!$C$10,0.000001),NA())</f>
        <v>#N/A</v>
      </c>
      <c r="CN70" s="12" t="e">
        <f>IF(AND(Y70&lt;&gt;"",Статистика!$M$6="Вкл",Статистика!$O$6&gt;0),(Статистика!$O$6-Статистика!$C$10)/MAX(Статистика!$G$10-Статистика!$C$10,0.000001),NA())</f>
        <v>#N/A</v>
      </c>
      <c r="CO70" s="12">
        <f t="shared" si="3"/>
        <v>1</v>
      </c>
    </row>
    <row r="71" spans="1:93" ht="15" customHeight="1">
      <c r="A71" s="12" t="s">
        <v>340</v>
      </c>
      <c r="B71" s="12">
        <v>2337.3528931666669</v>
      </c>
      <c r="C71" s="12">
        <v>5783.4687325000014</v>
      </c>
      <c r="D71" s="12">
        <v>7432.0692616666665</v>
      </c>
      <c r="E71" s="12">
        <v>7546.3783416666665</v>
      </c>
      <c r="F71" s="12">
        <v>7720.4112000000005</v>
      </c>
      <c r="G71" s="12">
        <v>7987.6381916666669</v>
      </c>
      <c r="H71" s="12">
        <v>8235.276703333333</v>
      </c>
      <c r="I71" s="12">
        <v>8256.0868141666651</v>
      </c>
      <c r="J71" s="12">
        <v>8274.3681628333343</v>
      </c>
      <c r="K71" s="12">
        <v>8390.39</v>
      </c>
      <c r="L71" s="12" t="s">
        <v>341</v>
      </c>
      <c r="M71" s="12">
        <v>2913.0800161666662</v>
      </c>
      <c r="N71" s="12">
        <v>6725.2748808333336</v>
      </c>
      <c r="O71" s="12">
        <v>8540.2766716666665</v>
      </c>
      <c r="P71" s="12">
        <v>8661.1897000000008</v>
      </c>
      <c r="Q71" s="12">
        <v>8861.1267333333326</v>
      </c>
      <c r="R71" s="12">
        <v>9147.1567333333332</v>
      </c>
      <c r="S71" s="12">
        <v>9374.4598133333329</v>
      </c>
      <c r="T71" s="12">
        <v>9420.4181341666663</v>
      </c>
      <c r="U71" s="12">
        <v>9444.9198668333338</v>
      </c>
      <c r="V71" s="12">
        <v>9679.56</v>
      </c>
      <c r="W71" s="12" t="s">
        <v>342</v>
      </c>
      <c r="Y71" s="12" t="s">
        <v>340</v>
      </c>
      <c r="Z71" s="12">
        <v>7177.0106319999995</v>
      </c>
      <c r="AA71" s="12">
        <v>7195.344493333333</v>
      </c>
      <c r="AB71" s="12">
        <v>7218.2618200000006</v>
      </c>
      <c r="AC71" s="12">
        <v>7401.398266666667</v>
      </c>
      <c r="AD71" s="12">
        <v>7647.8850833333327</v>
      </c>
      <c r="AE71" s="12">
        <v>7855.9802166666668</v>
      </c>
      <c r="AF71" s="12">
        <v>8424.9311766666669</v>
      </c>
      <c r="AG71" s="12">
        <v>8450.6027383333349</v>
      </c>
      <c r="AH71" s="12">
        <v>8471.1399876666674</v>
      </c>
      <c r="AI71" s="12">
        <v>8571.19</v>
      </c>
      <c r="AJ71" s="12" t="s">
        <v>343</v>
      </c>
      <c r="AK71" s="12">
        <v>8206.8661718333333</v>
      </c>
      <c r="AL71" s="12">
        <v>8223.6420591666665</v>
      </c>
      <c r="AM71" s="12">
        <v>8244.611918333334</v>
      </c>
      <c r="AN71" s="12">
        <v>8399.5132583333343</v>
      </c>
      <c r="AO71" s="12">
        <v>8700.0927833333335</v>
      </c>
      <c r="AP71" s="12">
        <v>8956.3150166666674</v>
      </c>
      <c r="AQ71" s="12">
        <v>9480.5311333333339</v>
      </c>
      <c r="AR71" s="12">
        <v>9563.7593333333352</v>
      </c>
      <c r="AS71" s="12">
        <v>9630.3418933333342</v>
      </c>
      <c r="AT71" s="12">
        <v>9756.4500000000007</v>
      </c>
      <c r="AU71" s="12" t="s">
        <v>343</v>
      </c>
      <c r="AW71" s="12">
        <f>IF(A71="","",MAX(0,MIN(1,(((IF(Статистика!$C$4="Параллельный режим (активная мощность)",B71,M71)+Статистика!$J$4))-Статистика!$C$10)/MAX(Статистика!$G$10-Статистика!$C$10,0.000001))))</f>
        <v>0</v>
      </c>
      <c r="AX71" s="12">
        <f>IF(A71="","",MAX(0,MAX(0,MIN(1,(((IF(Статистика!$C$4="Параллельный режим (активная мощность)",D71,O71)+Статистика!$J$4))-Статистика!$C$10)/MAX(Статистика!$G$10-Статистика!$C$10,0.000001)))-MAX(0,MIN(1,(((IF(Статистика!$C$4="Параллельный режим (активная мощность)",B71,M71)+Статистика!$J$4))-Статистика!$C$10)/MAX(Статистика!$G$10-Статистика!$C$10,0.000001)))))</f>
        <v>0.47735642055555549</v>
      </c>
      <c r="AY71" s="12">
        <f>IF(A71="","",MAX(0,MAX(0,MIN(1,(((IF(Статистика!$C$4="Параллельный режим (активная мощность)",E71,P71)+Статистика!$J$4))-Статистика!$C$10)/MAX(Статистика!$G$10-Статистика!$C$10,0.000001)))-MAX(0,MIN(1,(((IF(Статистика!$C$4="Параллельный режим (активная мощность)",D71,O71)+Статистика!$J$4))-Статистика!$C$10)/MAX(Статистика!$G$10-Статистика!$C$10,0.000001)))))</f>
        <v>3.8103026666666651E-2</v>
      </c>
      <c r="AZ71" s="12">
        <f>IF(A71="","",MAX(0,MAX(0,MIN(1,(((IF(Статистика!$C$4="Параллельный режим (активная мощность)",F71,Q71)+Статистика!$J$4))-Статистика!$C$10)/MAX(Статистика!$G$10-Статистика!$C$10,0.000001)))-MAX(0,MIN(1,(((IF(Статистика!$C$4="Параллельный режим (активная мощность)",E71,P71)+Статистика!$J$4))-Статистика!$C$10)/MAX(Статистика!$G$10-Статистика!$C$10,0.000001)))))</f>
        <v>5.8010952777778013E-2</v>
      </c>
      <c r="BA71" s="12">
        <f>IF(A71="","",MAX(0,MAX(0,MIN(1,(((IF(Статистика!$C$4="Параллельный режим (активная мощность)",G71,R71)+Статистика!$J$4))-Статистика!$C$10)/MAX(Статистика!$G$10-Статистика!$C$10,0.000001)))-MAX(0,MIN(1,(((IF(Статистика!$C$4="Параллельный режим (активная мощность)",F71,Q71)+Статистика!$J$4))-Статистика!$C$10)/MAX(Статистика!$G$10-Статистика!$C$10,0.000001)))))</f>
        <v>8.9075663888888768E-2</v>
      </c>
      <c r="BB71" s="12">
        <f>IF(A71="","",MAX(0,MAX(0,MIN(1,(((IF(Статистика!$C$4="Параллельный режим (активная мощность)",H71,S71)+Статистика!$J$4))-Статистика!$C$10)/MAX(Статистика!$G$10-Статистика!$C$10,0.000001)))-MAX(0,MIN(1,(((IF(Статистика!$C$4="Параллельный режим (активная мощность)",G71,R71)+Статистика!$J$4))-Статистика!$C$10)/MAX(Статистика!$G$10-Статистика!$C$10,0.000001)))))</f>
        <v>8.2546170555555354E-2</v>
      </c>
      <c r="BC71" s="12">
        <f>IF(A71="","",MAX(0,MAX(0,MIN(1,(((IF(Статистика!$C$4="Параллельный режим (активная мощность)",J71,U71)+Статистика!$J$4))-Статистика!$C$10)/MAX(Статистика!$G$10-Статистика!$C$10,0.000001)))-MAX(0,MIN(1,(((IF(Статистика!$C$4="Параллельный режим (активная мощность)",H71,S71)+Статистика!$J$4))-Статистика!$C$10)/MAX(Статистика!$G$10-Статистика!$C$10,0.000001)))))</f>
        <v>1.3030486500000493E-2</v>
      </c>
      <c r="BD71" s="12">
        <f>IF(A71="","",MAX(0,1-MAX(0,MIN(1,(((IF(Статистика!$C$4="Параллельный режим (активная мощность)",J71,U71)+Статистика!$J$4))-Статистика!$C$10)/MAX(Статистика!$G$10-Статистика!$C$10,0.000001)))))</f>
        <v>0.24187727905555523</v>
      </c>
      <c r="BE71" s="12">
        <f>IF(A71="",NA(),IF(Статистика!$B$8="Вкл",(((IF(Статистика!$C$4="Параллельный режим (активная мощность)",F71,Q71)+Статистика!$J$4))-Статистика!$C$10)/MAX(Статистика!$G$10-Статистика!$C$10,0.000001),NA()))</f>
        <v>0.57347040000000016</v>
      </c>
      <c r="BF71" s="12">
        <f>IF(A71="",NA(),IF(Статистика!$D$8="Вкл",(((IF(Статистика!$C$4="Параллельный режим (активная мощность)",E71,P71)+Статистика!$J$4))-Статистика!$C$10)/MAX(Статистика!$G$10-Статистика!$C$10,0.000001),NA()))</f>
        <v>0.51545944722222214</v>
      </c>
      <c r="BG71" s="12">
        <f>IF(A71="",NA(),IF(Статистика!$D$8="Вкл",(((IF(Статистика!$C$4="Параллельный режим (активная мощность)",G71,R71)+Статистика!$J$4))-Статистика!$C$10)/MAX(Статистика!$G$10-Статистика!$C$10,0.000001),NA()))</f>
        <v>0.66254606388888893</v>
      </c>
      <c r="BH71" s="12">
        <f>IF(A71="",NA(),IF(Статистика!$F$8="Вкл",(((IF(Статистика!$C$4="Параллельный режим (активная мощность)",D71,O71)+Статистика!$J$4))-Статистика!$C$10)/MAX(Статистика!$G$10-Статистика!$C$10,0.000001),NA()))</f>
        <v>0.47735642055555549</v>
      </c>
      <c r="BI71" s="12">
        <f>IF(A71="",NA(),IF(Статистика!$F$8="Вкл",(((IF(Статистика!$C$4="Параллельный режим (активная мощность)",H71,S71)+Статистика!$J$4))-Статистика!$C$10)/MAX(Статистика!$G$10-Статистика!$C$10,0.000001),NA()))</f>
        <v>0.74509223444444428</v>
      </c>
      <c r="BJ71" s="12">
        <f>IF(A71="",NA(),IF(Статистика!$H$8="Вкл",(((IF(Статистика!$C$4="Параллельный режим (активная мощность)",B71,M71)+Статистика!$J$4))-Статистика!$C$10)/MAX(Статистика!$G$10-Статистика!$C$10,0.000001),NA()))</f>
        <v>-1.2208823689444444</v>
      </c>
      <c r="BK71" s="12">
        <f>IF(A71="",NA(),IF(Статистика!$H$8="Вкл",(((IF(Статистика!$C$4="Параллельный режим (активная мощность)",J71,U71)+Статистика!$J$4))-Статистика!$C$10)/MAX(Статистика!$G$10-Статистика!$C$10,0.000001),NA()))</f>
        <v>0.75812272094444477</v>
      </c>
      <c r="BL71" s="12" t="e">
        <f>IF(A71="",NA(),IF(Статистика!$J$8="Вкл",(((IF(Статистика!$C$4="Параллельный режим (активная мощность)",K71,V71)+Статистика!$J$4))-Статистика!$C$10)/MAX(Статистика!$G$10-Статистика!$C$10,0.000001),NA()))</f>
        <v>#N/A</v>
      </c>
      <c r="BM71" s="12" t="e">
        <f>IF(AND(A71&lt;&gt;"",Статистика!$C$6="Вкл",Статистика!$B$6&gt;0),(Статистика!$B$6-Статистика!$C$10)/MAX(Статистика!$G$10-Статистика!$C$10,0.000001),NA())</f>
        <v>#N/A</v>
      </c>
      <c r="BN71" s="12" t="e">
        <f>IF(AND(A71&lt;&gt;"",Статистика!$F$6="Вкл",Статистика!$E$6&gt;0),(Статистика!$E$6-Статистика!$C$10)/MAX(Статистика!$G$10-Статистика!$C$10,0.000001),NA())</f>
        <v>#N/A</v>
      </c>
      <c r="BO71" s="12" t="e">
        <f>IF(AND(A71&lt;&gt;"",Статистика!$I$6="Вкл",Статистика!$H$6&gt;0),(Статистика!$H$6-Статистика!$C$10)/MAX(Статистика!$G$10-Статистика!$C$10,0.000001),NA())</f>
        <v>#N/A</v>
      </c>
      <c r="BP71" s="12" t="e">
        <f>IF(AND(A71&lt;&gt;"",Статистика!$L$6="Вкл",Статистика!$K$6&gt;0),(Статистика!$K$6-Статистика!$C$10)/MAX(Статистика!$G$10-Статистика!$C$10,0.000001),NA())</f>
        <v>#N/A</v>
      </c>
      <c r="BQ71" s="12" t="e">
        <f>IF(AND(A71&lt;&gt;"",Статистика!$M$6="Вкл",Статистика!$O$6&gt;0),(Статистика!$O$6-Статистика!$C$10)/MAX(Статистика!$G$10-Статистика!$C$10,0.000001),NA())</f>
        <v>#N/A</v>
      </c>
      <c r="BR71" s="12">
        <f t="shared" si="2"/>
        <v>1</v>
      </c>
      <c r="BT71" s="12">
        <f>IF(Y71="","",MAX(0,MIN(1,(((IF(Статистика!$C$4="Параллельный режим (активная мощность)",Z71,AK71)+Статистика!$J$4))-Статистика!$C$10)/MAX(Статистика!$G$10-Статистика!$C$10,0.000001))))</f>
        <v>0.39233687733333317</v>
      </c>
      <c r="BU71" s="12">
        <f>IF(Y71="","",MAX(0,MAX(0,MIN(1,(((IF(Статистика!$C$4="Параллельный режим (активная мощность)",AB71,AM71)+Статистика!$J$4))-Статистика!$C$10)/MAX(Статистика!$G$10-Статистика!$C$10,0.000001)))-MAX(0,MIN(1,(((IF(Статистика!$C$4="Параллельный режим (активная мощность)",Z71,AK71)+Статистика!$J$4))-Статистика!$C$10)/MAX(Статистика!$G$10-Статистика!$C$10,0.000001)))))</f>
        <v>1.3750396000000387E-2</v>
      </c>
      <c r="BV71" s="12">
        <f>IF(Y71="","",MAX(0,MAX(0,MIN(1,(((IF(Статистика!$C$4="Параллельный режим (активная мощность)",AC71,AN71)+Статистика!$J$4))-Статистика!$C$10)/MAX(Статистика!$G$10-Статистика!$C$10,0.000001)))-MAX(0,MIN(1,(((IF(Статистика!$C$4="Параллельный режим (активная мощность)",AB71,AM71)+Статистика!$J$4))-Статистика!$C$10)/MAX(Статистика!$G$10-Статистика!$C$10,0.000001)))))</f>
        <v>6.1045482222222114E-2</v>
      </c>
      <c r="BW71" s="12">
        <f>IF(Y71="","",MAX(0,MAX(0,MIN(1,(((IF(Статистика!$C$4="Параллельный режим (активная мощность)",AD71,AO71)+Статистика!$J$4))-Статистика!$C$10)/MAX(Статистика!$G$10-Статистика!$C$10,0.000001)))-MAX(0,MIN(1,(((IF(Статистика!$C$4="Параллельный режим (активная мощность)",AC71,AN71)+Статистика!$J$4))-Статистика!$C$10)/MAX(Статистика!$G$10-Статистика!$C$10,0.000001)))))</f>
        <v>8.2162272222221833E-2</v>
      </c>
      <c r="BX71" s="12">
        <f>IF(Y71="","",MAX(0,MAX(0,MIN(1,(((IF(Статистика!$C$4="Параллельный режим (активная мощность)",AE71,AP71)+Статистика!$J$4))-Статистика!$C$10)/MAX(Статистика!$G$10-Статистика!$C$10,0.000001)))-MAX(0,MIN(1,(((IF(Статистика!$C$4="Параллельный режим (активная мощность)",AD71,AO71)+Статистика!$J$4))-Статистика!$C$10)/MAX(Статистика!$G$10-Статистика!$C$10,0.000001)))))</f>
        <v>6.9365044444444801E-2</v>
      </c>
      <c r="BY71" s="12">
        <f>IF(Y71="","",MAX(0,MAX(0,MIN(1,(((IF(Статистика!$C$4="Параллельный режим (активная мощность)",AF71,AQ71)+Статистика!$J$4))-Статистика!$C$10)/MAX(Статистика!$G$10-Статистика!$C$10,0.000001)))-MAX(0,MIN(1,(((IF(Статистика!$C$4="Параллельный режим (активная мощность)",AE71,AP71)+Статистика!$J$4))-Статистика!$C$10)/MAX(Статистика!$G$10-Статистика!$C$10,0.000001)))))</f>
        <v>0.18965032000000004</v>
      </c>
      <c r="BZ71" s="12">
        <f>IF(Y71="","",MAX(0,MAX(0,MIN(1,(((IF(Статистика!$C$4="Параллельный режим (активная мощность)",AH71,AS71)+Статистика!$J$4))-Статистика!$C$10)/MAX(Статистика!$G$10-Статистика!$C$10,0.000001)))-MAX(0,MIN(1,(((IF(Статистика!$C$4="Параллельный режим (активная мощность)",AF71,AQ71)+Статистика!$J$4))-Статистика!$C$10)/MAX(Статистика!$G$10-Статистика!$C$10,0.000001)))))</f>
        <v>1.5402937000000061E-2</v>
      </c>
      <c r="CA71" s="12">
        <f>IF(Y71="","",MAX(0,1-MAX(0,MIN(1,(((IF(Статистика!$C$4="Параллельный режим (активная мощность)",AH71,AS71)+Статистика!$J$4))-Статистика!$C$10)/MAX(Статистика!$G$10-Статистика!$C$10,0.000001)))))</f>
        <v>0.1762866707777776</v>
      </c>
      <c r="CB71" s="12">
        <f>IF(Y71="",NA(),IF(Статистика!$B$8="Вкл",(((IF(Статистика!$C$4="Параллельный режим (активная мощность)",AD71,AO71)+Статистика!$J$4))-Статистика!$C$10)/MAX(Статистика!$G$10-Статистика!$C$10,0.000001),NA()))</f>
        <v>0.5492950277777775</v>
      </c>
      <c r="CC71" s="12">
        <f>IF(Y71="",NA(),IF(Статистика!$D$8="Вкл",(((IF(Статистика!$C$4="Параллельный режим (активная мощность)",AC71,AN71)+Статистика!$J$4))-Статистика!$C$10)/MAX(Статистика!$G$10-Статистика!$C$10,0.000001),NA()))</f>
        <v>0.46713275555555567</v>
      </c>
      <c r="CD71" s="12">
        <f>IF(Y71="",NA(),IF(Статистика!$D$8="Вкл",(((IF(Статистика!$C$4="Параллельный режим (активная мощность)",AE71,AP71)+Статистика!$J$4))-Статистика!$C$10)/MAX(Статистика!$G$10-Статистика!$C$10,0.000001),NA()))</f>
        <v>0.6186600722222223</v>
      </c>
      <c r="CE71" s="12">
        <f>IF(Y71="",NA(),IF(Статистика!$F$8="Вкл",(((IF(Статистика!$C$4="Параллельный режим (активная мощность)",AB71,AM71)+Статистика!$J$4))-Статистика!$C$10)/MAX(Статистика!$G$10-Статистика!$C$10,0.000001),NA()))</f>
        <v>0.40608727333333355</v>
      </c>
      <c r="CF71" s="12">
        <f>IF(Y71="",NA(),IF(Статистика!$F$8="Вкл",(((IF(Статистика!$C$4="Параллельный режим (активная мощность)",AF71,AQ71)+Статистика!$J$4))-Статистика!$C$10)/MAX(Статистика!$G$10-Статистика!$C$10,0.000001),NA()))</f>
        <v>0.80831039222222234</v>
      </c>
      <c r="CG71" s="12">
        <f>IF(Y71="",NA(),IF(Статистика!$H$8="Вкл",(((IF(Статистика!$C$4="Параллельный режим (активная мощность)",Z71,AK71)+Статистика!$J$4))-Статистика!$C$10)/MAX(Статистика!$G$10-Статистика!$C$10,0.000001),NA()))</f>
        <v>0.39233687733333317</v>
      </c>
      <c r="CH71" s="12">
        <f>IF(Y71="",NA(),IF(Статистика!$H$8="Вкл",(((IF(Статистика!$C$4="Параллельный режим (активная мощность)",AH71,AS71)+Статистика!$J$4))-Статистика!$C$10)/MAX(Статистика!$G$10-Статистика!$C$10,0.000001),NA()))</f>
        <v>0.8237133292222224</v>
      </c>
      <c r="CI71" s="12" t="e">
        <f>IF(Y71="",NA(),IF(Статистика!$J$8="Вкл",(((IF(Статистика!$C$4="Параллельный режим (активная мощность)",AI71,AT71)+Статистика!$J$4))-Статистика!$C$10)/MAX(Статистика!$G$10-Статистика!$C$10,0.000001),NA()))</f>
        <v>#N/A</v>
      </c>
      <c r="CJ71" s="12" t="e">
        <f>IF(AND(Y71&lt;&gt;"",Статистика!$C$6="Вкл",Статистика!$B$6&gt;0),(Статистика!$B$6-Статистика!$C$10)/MAX(Статистика!$G$10-Статистика!$C$10,0.000001),NA())</f>
        <v>#N/A</v>
      </c>
      <c r="CK71" s="12" t="e">
        <f>IF(AND(Y71&lt;&gt;"",Статистика!$F$6="Вкл",Статистика!$E$6&gt;0),(Статистика!$E$6-Статистика!$C$10)/MAX(Статистика!$G$10-Статистика!$C$10,0.000001),NA())</f>
        <v>#N/A</v>
      </c>
      <c r="CL71" s="12" t="e">
        <f>IF(AND(Y71&lt;&gt;"",Статистика!$I$6="Вкл",Статистика!$H$6&gt;0),(Статистика!$H$6-Статистика!$C$10)/MAX(Статистика!$G$10-Статистика!$C$10,0.000001),NA())</f>
        <v>#N/A</v>
      </c>
      <c r="CM71" s="12" t="e">
        <f>IF(AND(Y71&lt;&gt;"",Статистика!$L$6="Вкл",Статистика!$K$6&gt;0),(Статистика!$K$6-Статистика!$C$10)/MAX(Статистика!$G$10-Статистика!$C$10,0.000001),NA())</f>
        <v>#N/A</v>
      </c>
      <c r="CN71" s="12" t="e">
        <f>IF(AND(Y71&lt;&gt;"",Статистика!$M$6="Вкл",Статистика!$O$6&gt;0),(Статистика!$O$6-Статистика!$C$10)/MAX(Статистика!$G$10-Статистика!$C$10,0.000001),NA())</f>
        <v>#N/A</v>
      </c>
      <c r="CO71" s="12">
        <f t="shared" si="3"/>
        <v>1</v>
      </c>
    </row>
    <row r="72" spans="1:93" ht="15" customHeight="1">
      <c r="A72" s="12" t="s">
        <v>344</v>
      </c>
      <c r="B72" s="12">
        <v>2333.4448421666661</v>
      </c>
      <c r="C72" s="12">
        <v>5777.8610108333323</v>
      </c>
      <c r="D72" s="12">
        <v>7439.6873066666658</v>
      </c>
      <c r="E72" s="12">
        <v>7527.1129999999994</v>
      </c>
      <c r="F72" s="12">
        <v>7696.3337166666661</v>
      </c>
      <c r="G72" s="12">
        <v>7985.678766666666</v>
      </c>
      <c r="H72" s="12">
        <v>8221.3068083333328</v>
      </c>
      <c r="I72" s="12">
        <v>8243.878544166666</v>
      </c>
      <c r="J72" s="12">
        <v>8263.111788833332</v>
      </c>
      <c r="K72" s="12">
        <v>8478.51</v>
      </c>
      <c r="L72" s="12" t="s">
        <v>345</v>
      </c>
      <c r="M72" s="12">
        <v>2905.8443336666664</v>
      </c>
      <c r="N72" s="12">
        <v>6697.4926016666668</v>
      </c>
      <c r="O72" s="12">
        <v>8504.1390266666676</v>
      </c>
      <c r="P72" s="12">
        <v>8633.5316583333333</v>
      </c>
      <c r="Q72" s="12">
        <v>8845.502183333334</v>
      </c>
      <c r="R72" s="12">
        <v>9082.0934916666665</v>
      </c>
      <c r="S72" s="12">
        <v>9368.5155816666665</v>
      </c>
      <c r="T72" s="12">
        <v>9412.3378858333344</v>
      </c>
      <c r="U72" s="12">
        <v>9430.7264571666674</v>
      </c>
      <c r="V72" s="12">
        <v>9607.36</v>
      </c>
      <c r="W72" s="12" t="s">
        <v>346</v>
      </c>
      <c r="Y72" s="12" t="s">
        <v>344</v>
      </c>
      <c r="Z72" s="12">
        <v>7201.6755268333327</v>
      </c>
      <c r="AA72" s="12">
        <v>7203.7351008333335</v>
      </c>
      <c r="AB72" s="12">
        <v>7206.309568333334</v>
      </c>
      <c r="AC72" s="12">
        <v>7487.6274000000003</v>
      </c>
      <c r="AD72" s="12">
        <v>7691.273900000002</v>
      </c>
      <c r="AE72" s="12">
        <v>7802.8964166666656</v>
      </c>
      <c r="AF72" s="12">
        <v>8417.2773816666668</v>
      </c>
      <c r="AG72" s="12">
        <v>8424.0046241666678</v>
      </c>
      <c r="AH72" s="12">
        <v>8429.3864181666668</v>
      </c>
      <c r="AI72" s="12">
        <v>8564.31</v>
      </c>
      <c r="AJ72" s="12" t="s">
        <v>347</v>
      </c>
      <c r="AK72" s="12">
        <v>8205.5420160000012</v>
      </c>
      <c r="AL72" s="12">
        <v>8209.7068800000015</v>
      </c>
      <c r="AM72" s="12">
        <v>8214.9129600000015</v>
      </c>
      <c r="AN72" s="12">
        <v>8537.9177500000005</v>
      </c>
      <c r="AO72" s="12">
        <v>8723.4811499999996</v>
      </c>
      <c r="AP72" s="12">
        <v>8886.8910583333345</v>
      </c>
      <c r="AQ72" s="12">
        <v>9460.4034549999997</v>
      </c>
      <c r="AR72" s="12">
        <v>9512.5991608333334</v>
      </c>
      <c r="AS72" s="12">
        <v>9554.3557254999996</v>
      </c>
      <c r="AT72" s="12">
        <v>9657.14</v>
      </c>
      <c r="AU72" s="12" t="s">
        <v>348</v>
      </c>
      <c r="AW72" s="12">
        <f>IF(A72="","",MAX(0,MIN(1,(((IF(Статистика!$C$4="Параллельный режим (активная мощность)",B72,M72)+Статистика!$J$4))-Статистика!$C$10)/MAX(Статистика!$G$10-Статистика!$C$10,0.000001))))</f>
        <v>0</v>
      </c>
      <c r="AX72" s="12">
        <f>IF(A72="","",MAX(0,MAX(0,MIN(1,(((IF(Статистика!$C$4="Параллельный режим (активная мощность)",D72,O72)+Статистика!$J$4))-Статистика!$C$10)/MAX(Статистика!$G$10-Статистика!$C$10,0.000001)))-MAX(0,MIN(1,(((IF(Статистика!$C$4="Параллельный режим (активная мощность)",B72,M72)+Статистика!$J$4))-Статистика!$C$10)/MAX(Статистика!$G$10-Статистика!$C$10,0.000001)))))</f>
        <v>0.47989576888888857</v>
      </c>
      <c r="AY72" s="12">
        <f>IF(A72="","",MAX(0,MAX(0,MIN(1,(((IF(Статистика!$C$4="Параллельный режим (активная мощность)",E72,P72)+Статистика!$J$4))-Статистика!$C$10)/MAX(Статистика!$G$10-Статистика!$C$10,0.000001)))-MAX(0,MIN(1,(((IF(Статистика!$C$4="Параллельный режим (активная мощность)",D72,O72)+Статистика!$J$4))-Статистика!$C$10)/MAX(Статистика!$G$10-Статистика!$C$10,0.000001)))))</f>
        <v>2.9141897777777925E-2</v>
      </c>
      <c r="AZ72" s="12">
        <f>IF(A72="","",MAX(0,MAX(0,MIN(1,(((IF(Статистика!$C$4="Параллельный режим (активная мощность)",F72,Q72)+Статистика!$J$4))-Статистика!$C$10)/MAX(Статистика!$G$10-Статистика!$C$10,0.000001)))-MAX(0,MIN(1,(((IF(Статистика!$C$4="Параллельный режим (активная мощность)",E72,P72)+Статистика!$J$4))-Статистика!$C$10)/MAX(Статистика!$G$10-Статистика!$C$10,0.000001)))))</f>
        <v>5.6406905555555498E-2</v>
      </c>
      <c r="BA72" s="12">
        <f>IF(A72="","",MAX(0,MAX(0,MIN(1,(((IF(Статистика!$C$4="Параллельный режим (активная мощность)",G72,R72)+Статистика!$J$4))-Статистика!$C$10)/MAX(Статистика!$G$10-Статистика!$C$10,0.000001)))-MAX(0,MIN(1,(((IF(Статистика!$C$4="Параллельный режим (активная мощность)",F72,Q72)+Статистика!$J$4))-Статистика!$C$10)/MAX(Статистика!$G$10-Статистика!$C$10,0.000001)))))</f>
        <v>9.6448349999999961E-2</v>
      </c>
      <c r="BB72" s="12">
        <f>IF(A72="","",MAX(0,MAX(0,MIN(1,(((IF(Статистика!$C$4="Параллельный режим (активная мощность)",H72,S72)+Статистика!$J$4))-Статистика!$C$10)/MAX(Статистика!$G$10-Статистика!$C$10,0.000001)))-MAX(0,MIN(1,(((IF(Статистика!$C$4="Параллельный режим (активная мощность)",G72,R72)+Статистика!$J$4))-Статистика!$C$10)/MAX(Статистика!$G$10-Статистика!$C$10,0.000001)))))</f>
        <v>7.8542680555555688E-2</v>
      </c>
      <c r="BC72" s="12">
        <f>IF(A72="","",MAX(0,MAX(0,MIN(1,(((IF(Статистика!$C$4="Параллельный режим (активная мощность)",J72,U72)+Статистика!$J$4))-Статистика!$C$10)/MAX(Статистика!$G$10-Статистика!$C$10,0.000001)))-MAX(0,MIN(1,(((IF(Статистика!$C$4="Параллельный режим (активная мощность)",H72,S72)+Статистика!$J$4))-Статистика!$C$10)/MAX(Статистика!$G$10-Статистика!$C$10,0.000001)))))</f>
        <v>1.3934993499999715E-2</v>
      </c>
      <c r="BD72" s="12">
        <f>IF(A72="","",MAX(0,1-MAX(0,MIN(1,(((IF(Статистика!$C$4="Параллельный режим (активная мощность)",J72,U72)+Статистика!$J$4))-Статистика!$C$10)/MAX(Статистика!$G$10-Статистика!$C$10,0.000001)))))</f>
        <v>0.24562940372222264</v>
      </c>
      <c r="BE72" s="12">
        <f>IF(A72="",NA(),IF(Статистика!$B$8="Вкл",(((IF(Статистика!$C$4="Параллельный режим (активная мощность)",F72,Q72)+Статистика!$J$4))-Статистика!$C$10)/MAX(Статистика!$G$10-Статистика!$C$10,0.000001),NA()))</f>
        <v>0.565444572222222</v>
      </c>
      <c r="BF72" s="12">
        <f>IF(A72="",NA(),IF(Статистика!$D$8="Вкл",(((IF(Статистика!$C$4="Параллельный режим (активная мощность)",E72,P72)+Статистика!$J$4))-Статистика!$C$10)/MAX(Статистика!$G$10-Статистика!$C$10,0.000001),NA()))</f>
        <v>0.5090376666666665</v>
      </c>
      <c r="BG72" s="12">
        <f>IF(A72="",NA(),IF(Статистика!$D$8="Вкл",(((IF(Статистика!$C$4="Параллельный режим (активная мощность)",G72,R72)+Статистика!$J$4))-Статистика!$C$10)/MAX(Статистика!$G$10-Статистика!$C$10,0.000001),NA()))</f>
        <v>0.66189292222222196</v>
      </c>
      <c r="BH72" s="12">
        <f>IF(A72="",NA(),IF(Статистика!$F$8="Вкл",(((IF(Статистика!$C$4="Параллельный режим (активная мощность)",D72,O72)+Статистика!$J$4))-Статистика!$C$10)/MAX(Статистика!$G$10-Статистика!$C$10,0.000001),NA()))</f>
        <v>0.47989576888888857</v>
      </c>
      <c r="BI72" s="12">
        <f>IF(A72="",NA(),IF(Статистика!$F$8="Вкл",(((IF(Статистика!$C$4="Параллельный режим (активная мощность)",H72,S72)+Статистика!$J$4))-Статистика!$C$10)/MAX(Статистика!$G$10-Статистика!$C$10,0.000001),NA()))</f>
        <v>0.74043560277777765</v>
      </c>
      <c r="BJ72" s="12">
        <f>IF(A72="",NA(),IF(Статистика!$H$8="Вкл",(((IF(Статистика!$C$4="Параллельный режим (активная мощность)",B72,M72)+Статистика!$J$4))-Статистика!$C$10)/MAX(Статистика!$G$10-Статистика!$C$10,0.000001),NA()))</f>
        <v>-1.2221850526111113</v>
      </c>
      <c r="BK72" s="12">
        <f>IF(A72="",NA(),IF(Статистика!$H$8="Вкл",(((IF(Статистика!$C$4="Параллельный режим (активная мощность)",J72,U72)+Статистика!$J$4))-Статистика!$C$10)/MAX(Статистика!$G$10-Статистика!$C$10,0.000001),NA()))</f>
        <v>0.75437059627777736</v>
      </c>
      <c r="BL72" s="12" t="e">
        <f>IF(A72="",NA(),IF(Статистика!$J$8="Вкл",(((IF(Статистика!$C$4="Параллельный режим (активная мощность)",K72,V72)+Статистика!$J$4))-Статистика!$C$10)/MAX(Статистика!$G$10-Статистика!$C$10,0.000001),NA()))</f>
        <v>#N/A</v>
      </c>
      <c r="BM72" s="12" t="e">
        <f>IF(AND(A72&lt;&gt;"",Статистика!$C$6="Вкл",Статистика!$B$6&gt;0),(Статистика!$B$6-Статистика!$C$10)/MAX(Статистика!$G$10-Статистика!$C$10,0.000001),NA())</f>
        <v>#N/A</v>
      </c>
      <c r="BN72" s="12" t="e">
        <f>IF(AND(A72&lt;&gt;"",Статистика!$F$6="Вкл",Статистика!$E$6&gt;0),(Статистика!$E$6-Статистика!$C$10)/MAX(Статистика!$G$10-Статистика!$C$10,0.000001),NA())</f>
        <v>#N/A</v>
      </c>
      <c r="BO72" s="12" t="e">
        <f>IF(AND(A72&lt;&gt;"",Статистика!$I$6="Вкл",Статистика!$H$6&gt;0),(Статистика!$H$6-Статистика!$C$10)/MAX(Статистика!$G$10-Статистика!$C$10,0.000001),NA())</f>
        <v>#N/A</v>
      </c>
      <c r="BP72" s="12" t="e">
        <f>IF(AND(A72&lt;&gt;"",Статистика!$L$6="Вкл",Статистика!$K$6&gt;0),(Статистика!$K$6-Статистика!$C$10)/MAX(Статистика!$G$10-Статистика!$C$10,0.000001),NA())</f>
        <v>#N/A</v>
      </c>
      <c r="BQ72" s="12" t="e">
        <f>IF(AND(A72&lt;&gt;"",Статистика!$M$6="Вкл",Статистика!$O$6&gt;0),(Статистика!$O$6-Статистика!$C$10)/MAX(Статистика!$G$10-Статистика!$C$10,0.000001),NA())</f>
        <v>#N/A</v>
      </c>
      <c r="BR72" s="12">
        <f t="shared" si="2"/>
        <v>1</v>
      </c>
      <c r="BT72" s="12">
        <f>IF(Y72="","",MAX(0,MIN(1,(((IF(Статистика!$C$4="Параллельный режим (активная мощность)",Z72,AK72)+Статистика!$J$4))-Статистика!$C$10)/MAX(Статистика!$G$10-Статистика!$C$10,0.000001))))</f>
        <v>0.40055850894444422</v>
      </c>
      <c r="BU72" s="12">
        <f>IF(Y72="","",MAX(0,MAX(0,MIN(1,(((IF(Статистика!$C$4="Параллельный режим (активная мощность)",AB72,AM72)+Статистика!$J$4))-Статистика!$C$10)/MAX(Статистика!$G$10-Статистика!$C$10,0.000001)))-MAX(0,MIN(1,(((IF(Статистика!$C$4="Параллельный режим (активная мощность)",Z72,AK72)+Статистика!$J$4))-Статистика!$C$10)/MAX(Статистика!$G$10-Статистика!$C$10,0.000001)))))</f>
        <v>1.5446805000004504E-3</v>
      </c>
      <c r="BV72" s="12">
        <f>IF(Y72="","",MAX(0,MAX(0,MIN(1,(((IF(Статистика!$C$4="Параллельный режим (активная мощность)",AC72,AN72)+Статистика!$J$4))-Статистика!$C$10)/MAX(Статистика!$G$10-Статистика!$C$10,0.000001)))-MAX(0,MIN(1,(((IF(Статистика!$C$4="Параллельный режим (активная мощность)",AB72,AM72)+Статистика!$J$4))-Статистика!$C$10)/MAX(Статистика!$G$10-Статистика!$C$10,0.000001)))))</f>
        <v>9.3772610555555413E-2</v>
      </c>
      <c r="BW72" s="12">
        <f>IF(Y72="","",MAX(0,MAX(0,MIN(1,(((IF(Статистика!$C$4="Параллельный режим (активная мощность)",AD72,AO72)+Статистика!$J$4))-Статистика!$C$10)/MAX(Статистика!$G$10-Статистика!$C$10,0.000001)))-MAX(0,MIN(1,(((IF(Статистика!$C$4="Параллельный режим (активная мощность)",AC72,AN72)+Статистика!$J$4))-Статистика!$C$10)/MAX(Статистика!$G$10-Статистика!$C$10,0.000001)))))</f>
        <v>6.7882166666667243E-2</v>
      </c>
      <c r="BX72" s="12">
        <f>IF(Y72="","",MAX(0,MAX(0,MIN(1,(((IF(Статистика!$C$4="Параллельный режим (активная мощность)",AE72,AP72)+Статистика!$J$4))-Статистика!$C$10)/MAX(Статистика!$G$10-Статистика!$C$10,0.000001)))-MAX(0,MIN(1,(((IF(Статистика!$C$4="Параллельный режим (активная мощность)",AD72,AO72)+Статистика!$J$4))-Статистика!$C$10)/MAX(Статистика!$G$10-Статистика!$C$10,0.000001)))))</f>
        <v>3.7207505555554521E-2</v>
      </c>
      <c r="BY72" s="12">
        <f>IF(Y72="","",MAX(0,MAX(0,MIN(1,(((IF(Статистика!$C$4="Параллельный режим (активная мощность)",AF72,AQ72)+Статистика!$J$4))-Статистика!$C$10)/MAX(Статистика!$G$10-Статистика!$C$10,0.000001)))-MAX(0,MIN(1,(((IF(Статистика!$C$4="Параллельный режим (активная мощность)",AE72,AP72)+Статистика!$J$4))-Статистика!$C$10)/MAX(Статистика!$G$10-Статистика!$C$10,0.000001)))))</f>
        <v>0.20479365500000035</v>
      </c>
      <c r="BZ72" s="12">
        <f>IF(Y72="","",MAX(0,MAX(0,MIN(1,(((IF(Статистика!$C$4="Параллельный режим (активная мощность)",AH72,AS72)+Статистика!$J$4))-Статистика!$C$10)/MAX(Статистика!$G$10-Статистика!$C$10,0.000001)))-MAX(0,MIN(1,(((IF(Статистика!$C$4="Параллельный режим (активная мощность)",AF72,AQ72)+Статистика!$J$4))-Статистика!$C$10)/MAX(Статистика!$G$10-Статистика!$C$10,0.000001)))))</f>
        <v>4.0363455000000936E-3</v>
      </c>
      <c r="CA72" s="12">
        <f>IF(Y72="","",MAX(0,1-MAX(0,MIN(1,(((IF(Статистика!$C$4="Параллельный режим (активная мощность)",AH72,AS72)+Статистика!$J$4))-Статистика!$C$10)/MAX(Статистика!$G$10-Статистика!$C$10,0.000001)))))</f>
        <v>0.1902045272777777</v>
      </c>
      <c r="CB72" s="12">
        <f>IF(Y72="",NA(),IF(Статистика!$B$8="Вкл",(((IF(Статистика!$C$4="Параллельный режим (активная мощность)",AD72,AO72)+Статистика!$J$4))-Статистика!$C$10)/MAX(Статистика!$G$10-Статистика!$C$10,0.000001),NA()))</f>
        <v>0.56375796666666733</v>
      </c>
      <c r="CC72" s="12">
        <f>IF(Y72="",NA(),IF(Статистика!$D$8="Вкл",(((IF(Статистика!$C$4="Параллельный режим (активная мощность)",AC72,AN72)+Статистика!$J$4))-Статистика!$C$10)/MAX(Статистика!$G$10-Статистика!$C$10,0.000001),NA()))</f>
        <v>0.49587580000000009</v>
      </c>
      <c r="CD72" s="12">
        <f>IF(Y72="",NA(),IF(Статистика!$D$8="Вкл",(((IF(Статистика!$C$4="Параллельный режим (активная мощность)",AE72,AP72)+Статистика!$J$4))-Статистика!$C$10)/MAX(Статистика!$G$10-Статистика!$C$10,0.000001),NA()))</f>
        <v>0.60096547222222185</v>
      </c>
      <c r="CE72" s="12">
        <f>IF(Y72="",NA(),IF(Статистика!$F$8="Вкл",(((IF(Статистика!$C$4="Параллельный режим (активная мощность)",AB72,AM72)+Статистика!$J$4))-Статистика!$C$10)/MAX(Статистика!$G$10-Статистика!$C$10,0.000001),NA()))</f>
        <v>0.40210318944444468</v>
      </c>
      <c r="CF72" s="12">
        <f>IF(Y72="",NA(),IF(Статистика!$F$8="Вкл",(((IF(Статистика!$C$4="Параллельный режим (активная мощность)",AF72,AQ72)+Статистика!$J$4))-Статистика!$C$10)/MAX(Статистика!$G$10-Статистика!$C$10,0.000001),NA()))</f>
        <v>0.8057591272222222</v>
      </c>
      <c r="CG72" s="12">
        <f>IF(Y72="",NA(),IF(Статистика!$H$8="Вкл",(((IF(Статистика!$C$4="Параллельный режим (активная мощность)",Z72,AK72)+Статистика!$J$4))-Статистика!$C$10)/MAX(Статистика!$G$10-Статистика!$C$10,0.000001),NA()))</f>
        <v>0.40055850894444422</v>
      </c>
      <c r="CH72" s="12">
        <f>IF(Y72="",NA(),IF(Статистика!$H$8="Вкл",(((IF(Статистика!$C$4="Параллельный режим (активная мощность)",AH72,AS72)+Статистика!$J$4))-Статистика!$C$10)/MAX(Статистика!$G$10-Статистика!$C$10,0.000001),NA()))</f>
        <v>0.8097954727222223</v>
      </c>
      <c r="CI72" s="12" t="e">
        <f>IF(Y72="",NA(),IF(Статистика!$J$8="Вкл",(((IF(Статистика!$C$4="Параллельный режим (активная мощность)",AI72,AT72)+Статистика!$J$4))-Статистика!$C$10)/MAX(Статистика!$G$10-Статистика!$C$10,0.000001),NA()))</f>
        <v>#N/A</v>
      </c>
      <c r="CJ72" s="12" t="e">
        <f>IF(AND(Y72&lt;&gt;"",Статистика!$C$6="Вкл",Статистика!$B$6&gt;0),(Статистика!$B$6-Статистика!$C$10)/MAX(Статистика!$G$10-Статистика!$C$10,0.000001),NA())</f>
        <v>#N/A</v>
      </c>
      <c r="CK72" s="12" t="e">
        <f>IF(AND(Y72&lt;&gt;"",Статистика!$F$6="Вкл",Статистика!$E$6&gt;0),(Статистика!$E$6-Статистика!$C$10)/MAX(Статистика!$G$10-Статистика!$C$10,0.000001),NA())</f>
        <v>#N/A</v>
      </c>
      <c r="CL72" s="12" t="e">
        <f>IF(AND(Y72&lt;&gt;"",Статистика!$I$6="Вкл",Статистика!$H$6&gt;0),(Статистика!$H$6-Статистика!$C$10)/MAX(Статистика!$G$10-Статистика!$C$10,0.000001),NA())</f>
        <v>#N/A</v>
      </c>
      <c r="CM72" s="12" t="e">
        <f>IF(AND(Y72&lt;&gt;"",Статистика!$L$6="Вкл",Статистика!$K$6&gt;0),(Статистика!$K$6-Статистика!$C$10)/MAX(Статистика!$G$10-Статистика!$C$10,0.000001),NA())</f>
        <v>#N/A</v>
      </c>
      <c r="CN72" s="12" t="e">
        <f>IF(AND(Y72&lt;&gt;"",Статистика!$M$6="Вкл",Статистика!$O$6&gt;0),(Статистика!$O$6-Статистика!$C$10)/MAX(Статистика!$G$10-Статистика!$C$10,0.000001),NA())</f>
        <v>#N/A</v>
      </c>
      <c r="CO72" s="12">
        <f t="shared" si="3"/>
        <v>1</v>
      </c>
    </row>
    <row r="73" spans="1:93" ht="15" customHeight="1">
      <c r="A73" s="12" t="s">
        <v>349</v>
      </c>
      <c r="B73" s="12">
        <v>2299.6505116666667</v>
      </c>
      <c r="C73" s="12">
        <v>5689.6196250000003</v>
      </c>
      <c r="D73" s="12">
        <v>7330.5454816666661</v>
      </c>
      <c r="E73" s="12">
        <v>7496.067766666667</v>
      </c>
      <c r="F73" s="12">
        <v>7685.4942499999997</v>
      </c>
      <c r="G73" s="12">
        <v>7944.5776250000008</v>
      </c>
      <c r="H73" s="12">
        <v>8167.5082050000001</v>
      </c>
      <c r="I73" s="12">
        <v>8188.213237500001</v>
      </c>
      <c r="J73" s="12">
        <v>8214.0374475000008</v>
      </c>
      <c r="K73" s="12">
        <v>8364.7000000000007</v>
      </c>
      <c r="L73" s="12" t="s">
        <v>350</v>
      </c>
      <c r="M73" s="12">
        <v>2868.8275198333331</v>
      </c>
      <c r="N73" s="12">
        <v>6618.3150658333343</v>
      </c>
      <c r="O73" s="12">
        <v>8401.9048333333321</v>
      </c>
      <c r="P73" s="12">
        <v>8544.9501333333337</v>
      </c>
      <c r="Q73" s="12">
        <v>8787.0607500000006</v>
      </c>
      <c r="R73" s="12">
        <v>9060.9105833333324</v>
      </c>
      <c r="S73" s="12">
        <v>9272.7943183333336</v>
      </c>
      <c r="T73" s="12">
        <v>9285.6890899999999</v>
      </c>
      <c r="U73" s="12">
        <v>9304.8945913333318</v>
      </c>
      <c r="V73" s="12">
        <v>9836.0400000000009</v>
      </c>
      <c r="W73" s="12" t="s">
        <v>351</v>
      </c>
      <c r="Y73" s="12" t="s">
        <v>349</v>
      </c>
      <c r="Z73" s="12">
        <v>7144.393947333333</v>
      </c>
      <c r="AA73" s="12">
        <v>7154.8560033333333</v>
      </c>
      <c r="AB73" s="12">
        <v>7167.9335733333337</v>
      </c>
      <c r="AC73" s="12">
        <v>7491.561099999999</v>
      </c>
      <c r="AD73" s="12">
        <v>7671.7116166666656</v>
      </c>
      <c r="AE73" s="12">
        <v>7793.874350000001</v>
      </c>
      <c r="AF73" s="12">
        <v>8308.205708333333</v>
      </c>
      <c r="AG73" s="12">
        <v>8330.2746874999993</v>
      </c>
      <c r="AH73" s="12">
        <v>8347.9298708333317</v>
      </c>
      <c r="AI73" s="12">
        <v>8464.5</v>
      </c>
      <c r="AJ73" s="12" t="s">
        <v>352</v>
      </c>
      <c r="AK73" s="12">
        <v>8145.8792215000003</v>
      </c>
      <c r="AL73" s="12">
        <v>8166.5822408333333</v>
      </c>
      <c r="AM73" s="12">
        <v>8192.4610150000008</v>
      </c>
      <c r="AN73" s="12">
        <v>8501.937766666666</v>
      </c>
      <c r="AO73" s="12">
        <v>8701.5179333333326</v>
      </c>
      <c r="AP73" s="12">
        <v>8877.7444083333321</v>
      </c>
      <c r="AQ73" s="12">
        <v>9339.0649883333335</v>
      </c>
      <c r="AR73" s="12">
        <v>9351.9455941666674</v>
      </c>
      <c r="AS73" s="12">
        <v>9362.2500788333346</v>
      </c>
      <c r="AT73" s="12">
        <v>9513.5300000000007</v>
      </c>
      <c r="AU73" s="12" t="s">
        <v>353</v>
      </c>
      <c r="AW73" s="12">
        <f>IF(A73="","",MAX(0,MIN(1,(((IF(Статистика!$C$4="Параллельный режим (активная мощность)",B73,M73)+Статистика!$J$4))-Статистика!$C$10)/MAX(Статистика!$G$10-Статистика!$C$10,0.000001))))</f>
        <v>0</v>
      </c>
      <c r="AX73" s="12">
        <f>IF(A73="","",MAX(0,MAX(0,MIN(1,(((IF(Статистика!$C$4="Параллельный режим (активная мощность)",D73,O73)+Статистика!$J$4))-Статистика!$C$10)/MAX(Статистика!$G$10-Статистика!$C$10,0.000001)))-MAX(0,MIN(1,(((IF(Статистика!$C$4="Параллельный режим (активная мощность)",B73,M73)+Статистика!$J$4))-Статистика!$C$10)/MAX(Статистика!$G$10-Статистика!$C$10,0.000001)))))</f>
        <v>0.44351516055555534</v>
      </c>
      <c r="AY73" s="12">
        <f>IF(A73="","",MAX(0,MAX(0,MIN(1,(((IF(Статистика!$C$4="Параллельный режим (активная мощность)",E73,P73)+Статистика!$J$4))-Статистика!$C$10)/MAX(Статистика!$G$10-Статистика!$C$10,0.000001)))-MAX(0,MIN(1,(((IF(Статистика!$C$4="Параллельный режим (активная мощность)",D73,O73)+Статистика!$J$4))-Статистика!$C$10)/MAX(Статистика!$G$10-Статистика!$C$10,0.000001)))))</f>
        <v>5.5174095000000312E-2</v>
      </c>
      <c r="AZ73" s="12">
        <f>IF(A73="","",MAX(0,MAX(0,MIN(1,(((IF(Статистика!$C$4="Параллельный режим (активная мощность)",F73,Q73)+Статистика!$J$4))-Статистика!$C$10)/MAX(Статистика!$G$10-Статистика!$C$10,0.000001)))-MAX(0,MIN(1,(((IF(Статистика!$C$4="Параллельный режим (активная мощность)",E73,P73)+Статистика!$J$4))-Статистика!$C$10)/MAX(Статистика!$G$10-Статистика!$C$10,0.000001)))))</f>
        <v>6.3142161111110928E-2</v>
      </c>
      <c r="BA73" s="12">
        <f>IF(A73="","",MAX(0,MAX(0,MIN(1,(((IF(Статистика!$C$4="Параллельный режим (активная мощность)",G73,R73)+Статистика!$J$4))-Статистика!$C$10)/MAX(Статистика!$G$10-Статистика!$C$10,0.000001)))-MAX(0,MIN(1,(((IF(Статистика!$C$4="Параллельный режим (активная мощность)",F73,Q73)+Статистика!$J$4))-Статистика!$C$10)/MAX(Статистика!$G$10-Статистика!$C$10,0.000001)))))</f>
        <v>8.6361125000000372E-2</v>
      </c>
      <c r="BB73" s="12">
        <f>IF(A73="","",MAX(0,MAX(0,MIN(1,(((IF(Статистика!$C$4="Параллельный режим (активная мощность)",H73,S73)+Статистика!$J$4))-Статистика!$C$10)/MAX(Статистика!$G$10-Статистика!$C$10,0.000001)))-MAX(0,MIN(1,(((IF(Статистика!$C$4="Параллельный режим (активная мощность)",G73,R73)+Статистика!$J$4))-Статистика!$C$10)/MAX(Статистика!$G$10-Статистика!$C$10,0.000001)))))</f>
        <v>7.4310193333333108E-2</v>
      </c>
      <c r="BC73" s="12">
        <f>IF(A73="","",MAX(0,MAX(0,MIN(1,(((IF(Статистика!$C$4="Параллельный режим (активная мощность)",J73,U73)+Статистика!$J$4))-Статистика!$C$10)/MAX(Статистика!$G$10-Статистика!$C$10,0.000001)))-MAX(0,MIN(1,(((IF(Статистика!$C$4="Параллельный режим (активная мощность)",H73,S73)+Статистика!$J$4))-Статистика!$C$10)/MAX(Статистика!$G$10-Статистика!$C$10,0.000001)))))</f>
        <v>1.5509747500000226E-2</v>
      </c>
      <c r="BD73" s="12">
        <f>IF(A73="","",MAX(0,1-MAX(0,MIN(1,(((IF(Статистика!$C$4="Параллельный режим (активная мощность)",J73,U73)+Статистика!$J$4))-Статистика!$C$10)/MAX(Статистика!$G$10-Статистика!$C$10,0.000001)))))</f>
        <v>0.26198751749999971</v>
      </c>
      <c r="BE73" s="12">
        <f>IF(A73="",NA(),IF(Статистика!$B$8="Вкл",(((IF(Статистика!$C$4="Параллельный режим (активная мощность)",F73,Q73)+Статистика!$J$4))-Статистика!$C$10)/MAX(Статистика!$G$10-Статистика!$C$10,0.000001),NA()))</f>
        <v>0.56183141666666658</v>
      </c>
      <c r="BF73" s="12">
        <f>IF(A73="",NA(),IF(Статистика!$D$8="Вкл",(((IF(Статистика!$C$4="Параллельный режим (активная мощность)",E73,P73)+Статистика!$J$4))-Статистика!$C$10)/MAX(Статистика!$G$10-Статистика!$C$10,0.000001),NA()))</f>
        <v>0.49868925555555565</v>
      </c>
      <c r="BG73" s="12">
        <f>IF(A73="",NA(),IF(Статистика!$D$8="Вкл",(((IF(Статистика!$C$4="Параллельный режим (активная мощность)",G73,R73)+Статистика!$J$4))-Статистика!$C$10)/MAX(Статистика!$G$10-Статистика!$C$10,0.000001),NA()))</f>
        <v>0.64819254166666695</v>
      </c>
      <c r="BH73" s="12">
        <f>IF(A73="",NA(),IF(Статистика!$F$8="Вкл",(((IF(Статистика!$C$4="Параллельный режим (активная мощность)",D73,O73)+Статистика!$J$4))-Статистика!$C$10)/MAX(Статистика!$G$10-Статистика!$C$10,0.000001),NA()))</f>
        <v>0.44351516055555534</v>
      </c>
      <c r="BI73" s="12">
        <f>IF(A73="",NA(),IF(Статистика!$F$8="Вкл",(((IF(Статистика!$C$4="Параллельный режим (активная мощность)",H73,S73)+Статистика!$J$4))-Статистика!$C$10)/MAX(Статистика!$G$10-Статистика!$C$10,0.000001),NA()))</f>
        <v>0.72250273500000006</v>
      </c>
      <c r="BJ73" s="12">
        <f>IF(A73="",NA(),IF(Статистика!$H$8="Вкл",(((IF(Статистика!$C$4="Параллельный режим (активная мощность)",B73,M73)+Статистика!$J$4))-Статистика!$C$10)/MAX(Статистика!$G$10-Статистика!$C$10,0.000001),NA()))</f>
        <v>-1.2334498294444445</v>
      </c>
      <c r="BK73" s="12">
        <f>IF(A73="",NA(),IF(Статистика!$H$8="Вкл",(((IF(Статистика!$C$4="Параллельный режим (активная мощность)",J73,U73)+Статистика!$J$4))-Статистика!$C$10)/MAX(Статистика!$G$10-Статистика!$C$10,0.000001),NA()))</f>
        <v>0.73801248250000029</v>
      </c>
      <c r="BL73" s="12" t="e">
        <f>IF(A73="",NA(),IF(Статистика!$J$8="Вкл",(((IF(Статистика!$C$4="Параллельный режим (активная мощность)",K73,V73)+Статистика!$J$4))-Статистика!$C$10)/MAX(Статистика!$G$10-Статистика!$C$10,0.000001),NA()))</f>
        <v>#N/A</v>
      </c>
      <c r="BM73" s="12" t="e">
        <f>IF(AND(A73&lt;&gt;"",Статистика!$C$6="Вкл",Статистика!$B$6&gt;0),(Статистика!$B$6-Статистика!$C$10)/MAX(Статистика!$G$10-Статистика!$C$10,0.000001),NA())</f>
        <v>#N/A</v>
      </c>
      <c r="BN73" s="12" t="e">
        <f>IF(AND(A73&lt;&gt;"",Статистика!$F$6="Вкл",Статистика!$E$6&gt;0),(Статистика!$E$6-Статистика!$C$10)/MAX(Статистика!$G$10-Статистика!$C$10,0.000001),NA())</f>
        <v>#N/A</v>
      </c>
      <c r="BO73" s="12" t="e">
        <f>IF(AND(A73&lt;&gt;"",Статистика!$I$6="Вкл",Статистика!$H$6&gt;0),(Статистика!$H$6-Статистика!$C$10)/MAX(Статистика!$G$10-Статистика!$C$10,0.000001),NA())</f>
        <v>#N/A</v>
      </c>
      <c r="BP73" s="12" t="e">
        <f>IF(AND(A73&lt;&gt;"",Статистика!$L$6="Вкл",Статистика!$K$6&gt;0),(Статистика!$K$6-Статистика!$C$10)/MAX(Статистика!$G$10-Статистика!$C$10,0.000001),NA())</f>
        <v>#N/A</v>
      </c>
      <c r="BQ73" s="12" t="e">
        <f>IF(AND(A73&lt;&gt;"",Статистика!$M$6="Вкл",Статистика!$O$6&gt;0),(Статистика!$O$6-Статистика!$C$10)/MAX(Статистика!$G$10-Статистика!$C$10,0.000001),NA())</f>
        <v>#N/A</v>
      </c>
      <c r="BR73" s="12">
        <f t="shared" si="2"/>
        <v>1</v>
      </c>
      <c r="BT73" s="12">
        <f>IF(Y73="","",MAX(0,MIN(1,(((IF(Статистика!$C$4="Параллельный режим (активная мощность)",Z73,AK73)+Статистика!$J$4))-Статистика!$C$10)/MAX(Статистика!$G$10-Статистика!$C$10,0.000001))))</f>
        <v>0.381464649111111</v>
      </c>
      <c r="BU73" s="12">
        <f>IF(Y73="","",MAX(0,MAX(0,MIN(1,(((IF(Статистика!$C$4="Параллельный режим (активная мощность)",AB73,AM73)+Статистика!$J$4))-Статистика!$C$10)/MAX(Статистика!$G$10-Статистика!$C$10,0.000001)))-MAX(0,MIN(1,(((IF(Статистика!$C$4="Параллельный режим (активная мощность)",Z73,AK73)+Статистика!$J$4))-Статистика!$C$10)/MAX(Статистика!$G$10-Статистика!$C$10,0.000001)))))</f>
        <v>7.8465420000002339E-3</v>
      </c>
      <c r="BV73" s="12">
        <f>IF(Y73="","",MAX(0,MAX(0,MIN(1,(((IF(Статистика!$C$4="Параллельный режим (активная мощность)",AC73,AN73)+Статистика!$J$4))-Статистика!$C$10)/MAX(Статистика!$G$10-Статистика!$C$10,0.000001)))-MAX(0,MIN(1,(((IF(Статистика!$C$4="Параллельный режим (активная мощность)",AB73,AM73)+Статистика!$J$4))-Статистика!$C$10)/MAX(Статистика!$G$10-Статистика!$C$10,0.000001)))))</f>
        <v>0.10787584222222174</v>
      </c>
      <c r="BW73" s="12">
        <f>IF(Y73="","",MAX(0,MAX(0,MIN(1,(((IF(Статистика!$C$4="Параллельный режим (активная мощность)",AD73,AO73)+Статистика!$J$4))-Статистика!$C$10)/MAX(Статистика!$G$10-Статистика!$C$10,0.000001)))-MAX(0,MIN(1,(((IF(Статистика!$C$4="Параллельный режим (активная мощность)",AC73,AN73)+Статистика!$J$4))-Статистика!$C$10)/MAX(Статистика!$G$10-Статистика!$C$10,0.000001)))))</f>
        <v>6.0050172222222253E-2</v>
      </c>
      <c r="BX73" s="12">
        <f>IF(Y73="","",MAX(0,MAX(0,MIN(1,(((IF(Статистика!$C$4="Параллельный режим (активная мощность)",AE73,AP73)+Статистика!$J$4))-Статистика!$C$10)/MAX(Статистика!$G$10-Статистика!$C$10,0.000001)))-MAX(0,MIN(1,(((IF(Статистика!$C$4="Параллельный режим (активная мощность)",AD73,AO73)+Статистика!$J$4))-Статистика!$C$10)/MAX(Статистика!$G$10-Статистика!$C$10,0.000001)))))</f>
        <v>4.0720911111111757E-2</v>
      </c>
      <c r="BY73" s="12">
        <f>IF(Y73="","",MAX(0,MAX(0,MIN(1,(((IF(Статистика!$C$4="Параллельный режим (активная мощность)",AF73,AQ73)+Статистика!$J$4))-Статистика!$C$10)/MAX(Статистика!$G$10-Статистика!$C$10,0.000001)))-MAX(0,MIN(1,(((IF(Статистика!$C$4="Параллельный режим (активная мощность)",AE73,AP73)+Статистика!$J$4))-Статистика!$C$10)/MAX(Статистика!$G$10-Статистика!$C$10,0.000001)))))</f>
        <v>0.17144378611111066</v>
      </c>
      <c r="BZ73" s="12">
        <f>IF(Y73="","",MAX(0,MAX(0,MIN(1,(((IF(Статистика!$C$4="Параллельный режим (активная мощность)",AH73,AS73)+Статистика!$J$4))-Статистика!$C$10)/MAX(Статистика!$G$10-Статистика!$C$10,0.000001)))-MAX(0,MIN(1,(((IF(Статистика!$C$4="Параллельный режим (активная мощность)",AF73,AQ73)+Статистика!$J$4))-Статистика!$C$10)/MAX(Статистика!$G$10-Статистика!$C$10,0.000001)))))</f>
        <v>1.3241387499999591E-2</v>
      </c>
      <c r="CA73" s="12">
        <f>IF(Y73="","",MAX(0,1-MAX(0,MIN(1,(((IF(Статистика!$C$4="Параллельный режим (активная мощность)",AH73,AS73)+Статистика!$J$4))-Статистика!$C$10)/MAX(Статистика!$G$10-Статистика!$C$10,0.000001)))))</f>
        <v>0.21735670972222276</v>
      </c>
      <c r="CB73" s="12">
        <f>IF(Y73="",NA(),IF(Статистика!$B$8="Вкл",(((IF(Статистика!$C$4="Параллельный режим (активная мощность)",AD73,AO73)+Статистика!$J$4))-Статистика!$C$10)/MAX(Статистика!$G$10-Статистика!$C$10,0.000001),NA()))</f>
        <v>0.55723720555555523</v>
      </c>
      <c r="CC73" s="12">
        <f>IF(Y73="",NA(),IF(Статистика!$D$8="Вкл",(((IF(Статистика!$C$4="Параллельный режим (активная мощность)",AC73,AN73)+Статистика!$J$4))-Статистика!$C$10)/MAX(Статистика!$G$10-Статистика!$C$10,0.000001),NA()))</f>
        <v>0.49718703333333297</v>
      </c>
      <c r="CD73" s="12">
        <f>IF(Y73="",NA(),IF(Статистика!$D$8="Вкл",(((IF(Статистика!$C$4="Параллельный режим (активная мощность)",AE73,AP73)+Статистика!$J$4))-Статистика!$C$10)/MAX(Статистика!$G$10-Статистика!$C$10,0.000001),NA()))</f>
        <v>0.59795811666666698</v>
      </c>
      <c r="CE73" s="12">
        <f>IF(Y73="",NA(),IF(Статистика!$F$8="Вкл",(((IF(Статистика!$C$4="Параллельный режим (активная мощность)",AB73,AM73)+Статистика!$J$4))-Статистика!$C$10)/MAX(Статистика!$G$10-Статистика!$C$10,0.000001),NA()))</f>
        <v>0.38931119111111123</v>
      </c>
      <c r="CF73" s="12">
        <f>IF(Y73="",NA(),IF(Статистика!$F$8="Вкл",(((IF(Статистика!$C$4="Параллельный режим (активная мощность)",AF73,AQ73)+Статистика!$J$4))-Статистика!$C$10)/MAX(Статистика!$G$10-Статистика!$C$10,0.000001),NA()))</f>
        <v>0.76940190277777765</v>
      </c>
      <c r="CG73" s="12">
        <f>IF(Y73="",NA(),IF(Статистика!$H$8="Вкл",(((IF(Статистика!$C$4="Параллельный режим (активная мощность)",Z73,AK73)+Статистика!$J$4))-Статистика!$C$10)/MAX(Статистика!$G$10-Статистика!$C$10,0.000001),NA()))</f>
        <v>0.381464649111111</v>
      </c>
      <c r="CH73" s="12">
        <f>IF(Y73="",NA(),IF(Статистика!$H$8="Вкл",(((IF(Статистика!$C$4="Параллельный режим (активная мощность)",AH73,AS73)+Статистика!$J$4))-Статистика!$C$10)/MAX(Статистика!$G$10-Статистика!$C$10,0.000001),NA()))</f>
        <v>0.78264329027777724</v>
      </c>
      <c r="CI73" s="12" t="e">
        <f>IF(Y73="",NA(),IF(Статистика!$J$8="Вкл",(((IF(Статистика!$C$4="Параллельный режим (активная мощность)",AI73,AT73)+Статистика!$J$4))-Статистика!$C$10)/MAX(Статистика!$G$10-Статистика!$C$10,0.000001),NA()))</f>
        <v>#N/A</v>
      </c>
      <c r="CJ73" s="12" t="e">
        <f>IF(AND(Y73&lt;&gt;"",Статистика!$C$6="Вкл",Статистика!$B$6&gt;0),(Статистика!$B$6-Статистика!$C$10)/MAX(Статистика!$G$10-Статистика!$C$10,0.000001),NA())</f>
        <v>#N/A</v>
      </c>
      <c r="CK73" s="12" t="e">
        <f>IF(AND(Y73&lt;&gt;"",Статистика!$F$6="Вкл",Статистика!$E$6&gt;0),(Статистика!$E$6-Статистика!$C$10)/MAX(Статистика!$G$10-Статистика!$C$10,0.000001),NA())</f>
        <v>#N/A</v>
      </c>
      <c r="CL73" s="12" t="e">
        <f>IF(AND(Y73&lt;&gt;"",Статистика!$I$6="Вкл",Статистика!$H$6&gt;0),(Статистика!$H$6-Статистика!$C$10)/MAX(Статистика!$G$10-Статистика!$C$10,0.000001),NA())</f>
        <v>#N/A</v>
      </c>
      <c r="CM73" s="12" t="e">
        <f>IF(AND(Y73&lt;&gt;"",Статистика!$L$6="Вкл",Статистика!$K$6&gt;0),(Статистика!$K$6-Статистика!$C$10)/MAX(Статистика!$G$10-Статистика!$C$10,0.000001),NA())</f>
        <v>#N/A</v>
      </c>
      <c r="CN73" s="12" t="e">
        <f>IF(AND(Y73&lt;&gt;"",Статистика!$M$6="Вкл",Статистика!$O$6&gt;0),(Статистика!$O$6-Статистика!$C$10)/MAX(Статистика!$G$10-Статистика!$C$10,0.000001),NA())</f>
        <v>#N/A</v>
      </c>
      <c r="CO73" s="12">
        <f t="shared" si="3"/>
        <v>1</v>
      </c>
    </row>
    <row r="74" spans="1:93" ht="15" customHeight="1">
      <c r="A74" s="12" t="s">
        <v>354</v>
      </c>
      <c r="B74" s="12">
        <v>2284.4932293333331</v>
      </c>
      <c r="C74" s="12">
        <v>5628.1766800000005</v>
      </c>
      <c r="D74" s="12">
        <v>7254.9915033333327</v>
      </c>
      <c r="E74" s="12">
        <v>7410.356041666666</v>
      </c>
      <c r="F74" s="12">
        <v>7641.2992666666669</v>
      </c>
      <c r="G74" s="12">
        <v>7935.1063916666662</v>
      </c>
      <c r="H74" s="12">
        <v>8120.2074250000014</v>
      </c>
      <c r="I74" s="12">
        <v>8165.3585016666684</v>
      </c>
      <c r="J74" s="12">
        <v>8174.2004470000011</v>
      </c>
      <c r="K74" s="12">
        <v>8271.76</v>
      </c>
      <c r="L74" s="12" t="s">
        <v>355</v>
      </c>
      <c r="M74" s="12">
        <v>2846.7139811666671</v>
      </c>
      <c r="N74" s="12">
        <v>6532.6333725000022</v>
      </c>
      <c r="O74" s="12">
        <v>8302.1645366666671</v>
      </c>
      <c r="P74" s="12">
        <v>8454.267174999999</v>
      </c>
      <c r="Q74" s="12">
        <v>8744.7303833333353</v>
      </c>
      <c r="R74" s="12">
        <v>9005.7032166666668</v>
      </c>
      <c r="S74" s="12">
        <v>9260.6824183333338</v>
      </c>
      <c r="T74" s="12">
        <v>9278.0708225000017</v>
      </c>
      <c r="U74" s="12">
        <v>9304.191257833334</v>
      </c>
      <c r="V74" s="12">
        <v>9380.9500000000007</v>
      </c>
      <c r="W74" s="12" t="s">
        <v>356</v>
      </c>
      <c r="Y74" s="12" t="s">
        <v>354</v>
      </c>
      <c r="Z74" s="12">
        <v>7164.3096183333328</v>
      </c>
      <c r="AA74" s="12">
        <v>7179.4280916666667</v>
      </c>
      <c r="AB74" s="12">
        <v>7198.3261833333327</v>
      </c>
      <c r="AC74" s="12">
        <v>7498.7023833333333</v>
      </c>
      <c r="AD74" s="12">
        <v>7632.5683333333327</v>
      </c>
      <c r="AE74" s="12">
        <v>7833.3869999999997</v>
      </c>
      <c r="AF74" s="12">
        <v>8228.3223500000004</v>
      </c>
      <c r="AG74" s="12">
        <v>8241.2190250000003</v>
      </c>
      <c r="AH74" s="12">
        <v>8251.5363649999999</v>
      </c>
      <c r="AI74" s="12">
        <v>8381.16</v>
      </c>
      <c r="AJ74" s="12" t="s">
        <v>357</v>
      </c>
      <c r="AK74" s="12">
        <v>8149.971483833333</v>
      </c>
      <c r="AL74" s="12">
        <v>8179.200485833333</v>
      </c>
      <c r="AM74" s="12">
        <v>8215.7367383333331</v>
      </c>
      <c r="AN74" s="12">
        <v>8516.0338999999985</v>
      </c>
      <c r="AO74" s="12">
        <v>8674.6576333333323</v>
      </c>
      <c r="AP74" s="12">
        <v>8898.1836750000002</v>
      </c>
      <c r="AQ74" s="12">
        <v>9253.3049116666662</v>
      </c>
      <c r="AR74" s="12">
        <v>9271.1033058333323</v>
      </c>
      <c r="AS74" s="12">
        <v>9285.3420211666653</v>
      </c>
      <c r="AT74" s="12">
        <v>9431.74</v>
      </c>
      <c r="AU74" s="12" t="s">
        <v>358</v>
      </c>
      <c r="AW74" s="12">
        <f>IF(A74="","",MAX(0,MIN(1,(((IF(Статистика!$C$4="Параллельный режим (активная мощность)",B74,M74)+Статистика!$J$4))-Статистика!$C$10)/MAX(Статистика!$G$10-Статистика!$C$10,0.000001))))</f>
        <v>0</v>
      </c>
      <c r="AX74" s="12">
        <f>IF(A74="","",MAX(0,MAX(0,MIN(1,(((IF(Статистика!$C$4="Параллельный режим (активная мощность)",D74,O74)+Статистика!$J$4))-Статистика!$C$10)/MAX(Статистика!$G$10-Статистика!$C$10,0.000001)))-MAX(0,MIN(1,(((IF(Статистика!$C$4="Параллельный режим (активная мощность)",B74,M74)+Статистика!$J$4))-Статистика!$C$10)/MAX(Статистика!$G$10-Статистика!$C$10,0.000001)))))</f>
        <v>0.41833050111111092</v>
      </c>
      <c r="AY74" s="12">
        <f>IF(A74="","",MAX(0,MAX(0,MIN(1,(((IF(Статистика!$C$4="Параллельный режим (активная мощность)",E74,P74)+Статистика!$J$4))-Статистика!$C$10)/MAX(Статистика!$G$10-Статистика!$C$10,0.000001)))-MAX(0,MIN(1,(((IF(Статистика!$C$4="Параллельный режим (активная мощность)",D74,O74)+Статистика!$J$4))-Статистика!$C$10)/MAX(Статистика!$G$10-Статистика!$C$10,0.000001)))))</f>
        <v>5.1788179444444415E-2</v>
      </c>
      <c r="AZ74" s="12">
        <f>IF(A74="","",MAX(0,MAX(0,MIN(1,(((IF(Статистика!$C$4="Параллельный режим (активная мощность)",F74,Q74)+Статистика!$J$4))-Статистика!$C$10)/MAX(Статистика!$G$10-Статистика!$C$10,0.000001)))-MAX(0,MIN(1,(((IF(Статистика!$C$4="Параллельный режим (активная мощность)",E74,P74)+Статистика!$J$4))-Статистика!$C$10)/MAX(Статистика!$G$10-Статистика!$C$10,0.000001)))))</f>
        <v>7.6981075000000343E-2</v>
      </c>
      <c r="BA74" s="12">
        <f>IF(A74="","",MAX(0,MAX(0,MIN(1,(((IF(Статистика!$C$4="Параллельный режим (активная мощность)",G74,R74)+Статистика!$J$4))-Статистика!$C$10)/MAX(Статистика!$G$10-Статистика!$C$10,0.000001)))-MAX(0,MIN(1,(((IF(Статистика!$C$4="Параллельный режим (активная мощность)",F74,Q74)+Статистика!$J$4))-Статистика!$C$10)/MAX(Статистика!$G$10-Статистика!$C$10,0.000001)))))</f>
        <v>9.7935708333333094E-2</v>
      </c>
      <c r="BB74" s="12">
        <f>IF(A74="","",MAX(0,MAX(0,MIN(1,(((IF(Статистика!$C$4="Параллельный режим (активная мощность)",H74,S74)+Статистика!$J$4))-Статистика!$C$10)/MAX(Статистика!$G$10-Статистика!$C$10,0.000001)))-MAX(0,MIN(1,(((IF(Статистика!$C$4="Параллельный режим (активная мощность)",G74,R74)+Статистика!$J$4))-Статистика!$C$10)/MAX(Статистика!$G$10-Статистика!$C$10,0.000001)))))</f>
        <v>6.1700344444445054E-2</v>
      </c>
      <c r="BC74" s="12">
        <f>IF(A74="","",MAX(0,MAX(0,MIN(1,(((IF(Статистика!$C$4="Параллельный режим (активная мощность)",J74,U74)+Статистика!$J$4))-Статистика!$C$10)/MAX(Статистика!$G$10-Статистика!$C$10,0.000001)))-MAX(0,MIN(1,(((IF(Статистика!$C$4="Параллельный режим (активная мощность)",H74,S74)+Статистика!$J$4))-Статистика!$C$10)/MAX(Статистика!$G$10-Статистика!$C$10,0.000001)))))</f>
        <v>1.7997673999999853E-2</v>
      </c>
      <c r="BD74" s="12">
        <f>IF(A74="","",MAX(0,1-MAX(0,MIN(1,(((IF(Статистика!$C$4="Параллельный режим (активная мощность)",J74,U74)+Статистика!$J$4))-Статистика!$C$10)/MAX(Статистика!$G$10-Статистика!$C$10,0.000001)))))</f>
        <v>0.27526651766666632</v>
      </c>
      <c r="BE74" s="12">
        <f>IF(A74="",NA(),IF(Статистика!$B$8="Вкл",(((IF(Статистика!$C$4="Параллельный режим (активная мощность)",F74,Q74)+Статистика!$J$4))-Статистика!$C$10)/MAX(Статистика!$G$10-Статистика!$C$10,0.000001),NA()))</f>
        <v>0.54709975555555568</v>
      </c>
      <c r="BF74" s="12">
        <f>IF(A74="",NA(),IF(Статистика!$D$8="Вкл",(((IF(Статистика!$C$4="Параллельный режим (активная мощность)",E74,P74)+Статистика!$J$4))-Статистика!$C$10)/MAX(Статистика!$G$10-Статистика!$C$10,0.000001),NA()))</f>
        <v>0.47011868055555533</v>
      </c>
      <c r="BG74" s="12">
        <f>IF(A74="",NA(),IF(Статистика!$D$8="Вкл",(((IF(Статистика!$C$4="Параллельный режим (активная мощность)",G74,R74)+Статистика!$J$4))-Статистика!$C$10)/MAX(Статистика!$G$10-Статистика!$C$10,0.000001),NA()))</f>
        <v>0.64503546388888877</v>
      </c>
      <c r="BH74" s="12">
        <f>IF(A74="",NA(),IF(Статистика!$F$8="Вкл",(((IF(Статистика!$C$4="Параллельный режим (активная мощность)",D74,O74)+Статистика!$J$4))-Статистика!$C$10)/MAX(Статистика!$G$10-Статистика!$C$10,0.000001),NA()))</f>
        <v>0.41833050111111092</v>
      </c>
      <c r="BI74" s="12">
        <f>IF(A74="",NA(),IF(Статистика!$F$8="Вкл",(((IF(Статистика!$C$4="Параллельный режим (активная мощность)",H74,S74)+Статистика!$J$4))-Статистика!$C$10)/MAX(Статистика!$G$10-Статистика!$C$10,0.000001),NA()))</f>
        <v>0.70673580833333383</v>
      </c>
      <c r="BJ74" s="12">
        <f>IF(A74="",NA(),IF(Статистика!$H$8="Вкл",(((IF(Статистика!$C$4="Параллельный режим (активная мощность)",B74,M74)+Статистика!$J$4))-Статистика!$C$10)/MAX(Статистика!$G$10-Статистика!$C$10,0.000001),NA()))</f>
        <v>-1.238502256888889</v>
      </c>
      <c r="BK74" s="12">
        <f>IF(A74="",NA(),IF(Статистика!$H$8="Вкл",(((IF(Статистика!$C$4="Параллельный режим (активная мощность)",J74,U74)+Статистика!$J$4))-Статистика!$C$10)/MAX(Статистика!$G$10-Статистика!$C$10,0.000001),NA()))</f>
        <v>0.72473348233333368</v>
      </c>
      <c r="BL74" s="12" t="e">
        <f>IF(A74="",NA(),IF(Статистика!$J$8="Вкл",(((IF(Статистика!$C$4="Параллельный режим (активная мощность)",K74,V74)+Статистика!$J$4))-Статистика!$C$10)/MAX(Статистика!$G$10-Статистика!$C$10,0.000001),NA()))</f>
        <v>#N/A</v>
      </c>
      <c r="BM74" s="12" t="e">
        <f>IF(AND(A74&lt;&gt;"",Статистика!$C$6="Вкл",Статистика!$B$6&gt;0),(Статистика!$B$6-Статистика!$C$10)/MAX(Статистика!$G$10-Статистика!$C$10,0.000001),NA())</f>
        <v>#N/A</v>
      </c>
      <c r="BN74" s="12" t="e">
        <f>IF(AND(A74&lt;&gt;"",Статистика!$F$6="Вкл",Статистика!$E$6&gt;0),(Статистика!$E$6-Статистика!$C$10)/MAX(Статистика!$G$10-Статистика!$C$10,0.000001),NA())</f>
        <v>#N/A</v>
      </c>
      <c r="BO74" s="12" t="e">
        <f>IF(AND(A74&lt;&gt;"",Статистика!$I$6="Вкл",Статистика!$H$6&gt;0),(Статистика!$H$6-Статистика!$C$10)/MAX(Статистика!$G$10-Статистика!$C$10,0.000001),NA())</f>
        <v>#N/A</v>
      </c>
      <c r="BP74" s="12" t="e">
        <f>IF(AND(A74&lt;&gt;"",Статистика!$L$6="Вкл",Статистика!$K$6&gt;0),(Статистика!$K$6-Статистика!$C$10)/MAX(Статистика!$G$10-Статистика!$C$10,0.000001),NA())</f>
        <v>#N/A</v>
      </c>
      <c r="BQ74" s="12" t="e">
        <f>IF(AND(A74&lt;&gt;"",Статистика!$M$6="Вкл",Статистика!$O$6&gt;0),(Статистика!$O$6-Статистика!$C$10)/MAX(Статистика!$G$10-Статистика!$C$10,0.000001),NA())</f>
        <v>#N/A</v>
      </c>
      <c r="BR74" s="12">
        <f t="shared" si="2"/>
        <v>1</v>
      </c>
      <c r="BT74" s="12">
        <f>IF(Y74="","",MAX(0,MIN(1,(((IF(Статистика!$C$4="Параллельный режим (активная мощность)",Z74,AK74)+Статистика!$J$4))-Статистика!$C$10)/MAX(Статистика!$G$10-Статистика!$C$10,0.000001))))</f>
        <v>0.38810320611111093</v>
      </c>
      <c r="BU74" s="12">
        <f>IF(Y74="","",MAX(0,MAX(0,MIN(1,(((IF(Статистика!$C$4="Параллельный режим (активная мощность)",AB74,AM74)+Статистика!$J$4))-Статистика!$C$10)/MAX(Статистика!$G$10-Статистика!$C$10,0.000001)))-MAX(0,MIN(1,(((IF(Статистика!$C$4="Параллельный режим (активная мощность)",Z74,AK74)+Статистика!$J$4))-Статистика!$C$10)/MAX(Статистика!$G$10-Статистика!$C$10,0.000001)))))</f>
        <v>1.1338854999999981E-2</v>
      </c>
      <c r="BV74" s="12">
        <f>IF(Y74="","",MAX(0,MAX(0,MIN(1,(((IF(Статистика!$C$4="Параллельный режим (активная мощность)",AC74,AN74)+Статистика!$J$4))-Статистика!$C$10)/MAX(Статистика!$G$10-Статистика!$C$10,0.000001)))-MAX(0,MIN(1,(((IF(Статистика!$C$4="Параллельный режим (активная мощность)",AB74,AM74)+Статистика!$J$4))-Статистика!$C$10)/MAX(Статистика!$G$10-Статистика!$C$10,0.000001)))))</f>
        <v>0.1001254000000002</v>
      </c>
      <c r="BW74" s="12">
        <f>IF(Y74="","",MAX(0,MAX(0,MIN(1,(((IF(Статистика!$C$4="Параллельный режим (активная мощность)",AD74,AO74)+Статистика!$J$4))-Статистика!$C$10)/MAX(Статистика!$G$10-Статистика!$C$10,0.000001)))-MAX(0,MIN(1,(((IF(Статистика!$C$4="Параллельный режим (активная мощность)",AC74,AN74)+Статистика!$J$4))-Статистика!$C$10)/MAX(Статистика!$G$10-Статистика!$C$10,0.000001)))))</f>
        <v>4.4621983333333171E-2</v>
      </c>
      <c r="BX74" s="12">
        <f>IF(Y74="","",MAX(0,MAX(0,MIN(1,(((IF(Статистика!$C$4="Параллельный режим (активная мощность)",AE74,AP74)+Статистика!$J$4))-Статистика!$C$10)/MAX(Статистика!$G$10-Статистика!$C$10,0.000001)))-MAX(0,MIN(1,(((IF(Статистика!$C$4="Параллельный режим (активная мощность)",AD74,AO74)+Статистика!$J$4))-Статистика!$C$10)/MAX(Статистика!$G$10-Статистика!$C$10,0.000001)))))</f>
        <v>6.6939555555555641E-2</v>
      </c>
      <c r="BY74" s="12">
        <f>IF(Y74="","",MAX(0,MAX(0,MIN(1,(((IF(Статистика!$C$4="Параллельный режим (активная мощность)",AF74,AQ74)+Статистика!$J$4))-Статистика!$C$10)/MAX(Статистика!$G$10-Статистика!$C$10,0.000001)))-MAX(0,MIN(1,(((IF(Статистика!$C$4="Параллельный режим (активная мощность)",AE74,AP74)+Статистика!$J$4))-Статистика!$C$10)/MAX(Статистика!$G$10-Статистика!$C$10,0.000001)))))</f>
        <v>0.13164511666666689</v>
      </c>
      <c r="BZ74" s="12">
        <f>IF(Y74="","",MAX(0,MAX(0,MIN(1,(((IF(Статистика!$C$4="Параллельный режим (активная мощность)",AH74,AS74)+Статистика!$J$4))-Статистика!$C$10)/MAX(Статистика!$G$10-Статистика!$C$10,0.000001)))-MAX(0,MIN(1,(((IF(Статистика!$C$4="Параллельный режим (активная мощность)",AF74,AQ74)+Статистика!$J$4))-Статистика!$C$10)/MAX(Статистика!$G$10-Статистика!$C$10,0.000001)))))</f>
        <v>7.7380049999998812E-3</v>
      </c>
      <c r="CA74" s="12">
        <f>IF(Y74="","",MAX(0,1-MAX(0,MIN(1,(((IF(Статистика!$C$4="Параллельный режим (активная мощность)",AH74,AS74)+Статистика!$J$4))-Статистика!$C$10)/MAX(Статистика!$G$10-Статистика!$C$10,0.000001)))))</f>
        <v>0.2494878783333333</v>
      </c>
      <c r="CB74" s="12">
        <f>IF(Y74="",NA(),IF(Статистика!$B$8="Вкл",(((IF(Статистика!$C$4="Параллельный режим (активная мощность)",AD74,AO74)+Статистика!$J$4))-Статистика!$C$10)/MAX(Статистика!$G$10-Статистика!$C$10,0.000001),NA()))</f>
        <v>0.54418944444444428</v>
      </c>
      <c r="CC74" s="12">
        <f>IF(Y74="",NA(),IF(Статистика!$D$8="Вкл",(((IF(Статистика!$C$4="Параллельный режим (активная мощность)",AC74,AN74)+Статистика!$J$4))-Статистика!$C$10)/MAX(Статистика!$G$10-Статистика!$C$10,0.000001),NA()))</f>
        <v>0.49956746111111111</v>
      </c>
      <c r="CD74" s="12">
        <f>IF(Y74="",NA(),IF(Статистика!$D$8="Вкл",(((IF(Статистика!$C$4="Параллельный режим (активная мощность)",AE74,AP74)+Статистика!$J$4))-Статистика!$C$10)/MAX(Статистика!$G$10-Статистика!$C$10,0.000001),NA()))</f>
        <v>0.61112899999999992</v>
      </c>
      <c r="CE74" s="12">
        <f>IF(Y74="",NA(),IF(Статистика!$F$8="Вкл",(((IF(Статистика!$C$4="Параллельный режим (активная мощность)",AB74,AM74)+Статистика!$J$4))-Статистика!$C$10)/MAX(Статистика!$G$10-Статистика!$C$10,0.000001),NA()))</f>
        <v>0.39944206111111091</v>
      </c>
      <c r="CF74" s="12">
        <f>IF(Y74="",NA(),IF(Статистика!$F$8="Вкл",(((IF(Статистика!$C$4="Параллельный режим (активная мощность)",AF74,AQ74)+Статистика!$J$4))-Статистика!$C$10)/MAX(Статистика!$G$10-Статистика!$C$10,0.000001),NA()))</f>
        <v>0.74277411666666682</v>
      </c>
      <c r="CG74" s="12">
        <f>IF(Y74="",NA(),IF(Статистика!$H$8="Вкл",(((IF(Статистика!$C$4="Параллельный режим (активная мощность)",Z74,AK74)+Статистика!$J$4))-Статистика!$C$10)/MAX(Статистика!$G$10-Статистика!$C$10,0.000001),NA()))</f>
        <v>0.38810320611111093</v>
      </c>
      <c r="CH74" s="12">
        <f>IF(Y74="",NA(),IF(Статистика!$H$8="Вкл",(((IF(Статистика!$C$4="Параллельный режим (активная мощность)",AH74,AS74)+Статистика!$J$4))-Статистика!$C$10)/MAX(Статистика!$G$10-Статистика!$C$10,0.000001),NA()))</f>
        <v>0.7505121216666667</v>
      </c>
      <c r="CI74" s="12" t="e">
        <f>IF(Y74="",NA(),IF(Статистика!$J$8="Вкл",(((IF(Статистика!$C$4="Параллельный режим (активная мощность)",AI74,AT74)+Статистика!$J$4))-Статистика!$C$10)/MAX(Статистика!$G$10-Статистика!$C$10,0.000001),NA()))</f>
        <v>#N/A</v>
      </c>
      <c r="CJ74" s="12" t="e">
        <f>IF(AND(Y74&lt;&gt;"",Статистика!$C$6="Вкл",Статистика!$B$6&gt;0),(Статистика!$B$6-Статистика!$C$10)/MAX(Статистика!$G$10-Статистика!$C$10,0.000001),NA())</f>
        <v>#N/A</v>
      </c>
      <c r="CK74" s="12" t="e">
        <f>IF(AND(Y74&lt;&gt;"",Статистика!$F$6="Вкл",Статистика!$E$6&gt;0),(Статистика!$E$6-Статистика!$C$10)/MAX(Статистика!$G$10-Статистика!$C$10,0.000001),NA())</f>
        <v>#N/A</v>
      </c>
      <c r="CL74" s="12" t="e">
        <f>IF(AND(Y74&lt;&gt;"",Статистика!$I$6="Вкл",Статистика!$H$6&gt;0),(Статистика!$H$6-Статистика!$C$10)/MAX(Статистика!$G$10-Статистика!$C$10,0.000001),NA())</f>
        <v>#N/A</v>
      </c>
      <c r="CM74" s="12" t="e">
        <f>IF(AND(Y74&lt;&gt;"",Статистика!$L$6="Вкл",Статистика!$K$6&gt;0),(Статистика!$K$6-Статистика!$C$10)/MAX(Статистика!$G$10-Статистика!$C$10,0.000001),NA())</f>
        <v>#N/A</v>
      </c>
      <c r="CN74" s="12" t="e">
        <f>IF(AND(Y74&lt;&gt;"",Статистика!$M$6="Вкл",Статистика!$O$6&gt;0),(Статистика!$O$6-Статистика!$C$10)/MAX(Статистика!$G$10-Статистика!$C$10,0.000001),NA())</f>
        <v>#N/A</v>
      </c>
      <c r="CO74" s="12">
        <f t="shared" si="3"/>
        <v>1</v>
      </c>
    </row>
    <row r="75" spans="1:93" ht="15" customHeight="1">
      <c r="A75" s="12" t="s">
        <v>359</v>
      </c>
      <c r="B75" s="12">
        <v>2292.4040303333331</v>
      </c>
      <c r="C75" s="12">
        <v>5613.8273516666668</v>
      </c>
      <c r="D75" s="12">
        <v>7210.5942233333335</v>
      </c>
      <c r="E75" s="12">
        <v>7434.9800500000001</v>
      </c>
      <c r="F75" s="12">
        <v>7639.2025833333337</v>
      </c>
      <c r="G75" s="12">
        <v>7897.3812416666678</v>
      </c>
      <c r="H75" s="12">
        <v>8135.8466216666657</v>
      </c>
      <c r="I75" s="12">
        <v>8145.0034175000001</v>
      </c>
      <c r="J75" s="12">
        <v>8156.9458301666673</v>
      </c>
      <c r="K75" s="12">
        <v>8254.81</v>
      </c>
      <c r="L75" s="12" t="s">
        <v>360</v>
      </c>
      <c r="M75" s="12">
        <v>2845.1843146666665</v>
      </c>
      <c r="N75" s="12">
        <v>6474.7909066666671</v>
      </c>
      <c r="O75" s="12">
        <v>8215.0647166666658</v>
      </c>
      <c r="P75" s="12">
        <v>8477.2675249999993</v>
      </c>
      <c r="Q75" s="12">
        <v>8716.2294166666652</v>
      </c>
      <c r="R75" s="12">
        <v>9007.3991500000011</v>
      </c>
      <c r="S75" s="12">
        <v>9244.2996533333335</v>
      </c>
      <c r="T75" s="12">
        <v>9307.3079225000001</v>
      </c>
      <c r="U75" s="12">
        <v>9365.6972378333339</v>
      </c>
      <c r="V75" s="12">
        <v>9481.58</v>
      </c>
      <c r="W75" s="12" t="s">
        <v>360</v>
      </c>
      <c r="Y75" s="12" t="s">
        <v>359</v>
      </c>
      <c r="Z75" s="12">
        <v>7199.5768136666675</v>
      </c>
      <c r="AA75" s="12">
        <v>7210.0903350000008</v>
      </c>
      <c r="AB75" s="12">
        <v>7223.2322366666667</v>
      </c>
      <c r="AC75" s="12">
        <v>7533.0091916666661</v>
      </c>
      <c r="AD75" s="12">
        <v>7661.2081666666654</v>
      </c>
      <c r="AE75" s="12">
        <v>7791.7685000000001</v>
      </c>
      <c r="AF75" s="12">
        <v>8309.0180033333327</v>
      </c>
      <c r="AG75" s="12">
        <v>8315.8684183333335</v>
      </c>
      <c r="AH75" s="12">
        <v>8321.3487503333326</v>
      </c>
      <c r="AI75" s="12">
        <v>8430.17</v>
      </c>
      <c r="AJ75" s="12" t="s">
        <v>361</v>
      </c>
      <c r="AK75" s="12">
        <v>8225.9430573333339</v>
      </c>
      <c r="AL75" s="12">
        <v>8229.4227533333342</v>
      </c>
      <c r="AM75" s="12">
        <v>8233.7723733333351</v>
      </c>
      <c r="AN75" s="12">
        <v>8537.3623499999994</v>
      </c>
      <c r="AO75" s="12">
        <v>8666.2271333333338</v>
      </c>
      <c r="AP75" s="12">
        <v>8859.3032999999996</v>
      </c>
      <c r="AQ75" s="12">
        <v>9328.8890350000001</v>
      </c>
      <c r="AR75" s="12">
        <v>9350.241217499999</v>
      </c>
      <c r="AS75" s="12">
        <v>9367.3229634999989</v>
      </c>
      <c r="AT75" s="12">
        <v>9498.01</v>
      </c>
      <c r="AU75" s="12" t="s">
        <v>362</v>
      </c>
      <c r="AW75" s="12">
        <f>IF(A75="","",MAX(0,MIN(1,(((IF(Статистика!$C$4="Параллельный режим (активная мощность)",B75,M75)+Статистика!$J$4))-Статистика!$C$10)/MAX(Статистика!$G$10-Статистика!$C$10,0.000001))))</f>
        <v>0</v>
      </c>
      <c r="AX75" s="12">
        <f>IF(A75="","",MAX(0,MAX(0,MIN(1,(((IF(Статистика!$C$4="Параллельный режим (активная мощность)",D75,O75)+Статистика!$J$4))-Статистика!$C$10)/MAX(Статистика!$G$10-Статистика!$C$10,0.000001)))-MAX(0,MIN(1,(((IF(Статистика!$C$4="Параллельный режим (активная мощность)",B75,M75)+Статистика!$J$4))-Статистика!$C$10)/MAX(Статистика!$G$10-Статистика!$C$10,0.000001)))))</f>
        <v>0.40353140777777785</v>
      </c>
      <c r="AY75" s="12">
        <f>IF(A75="","",MAX(0,MAX(0,MIN(1,(((IF(Статистика!$C$4="Параллельный режим (активная мощность)",E75,P75)+Статистика!$J$4))-Статистика!$C$10)/MAX(Статистика!$G$10-Статистика!$C$10,0.000001)))-MAX(0,MIN(1,(((IF(Статистика!$C$4="Параллельный режим (активная мощность)",D75,O75)+Статистика!$J$4))-Статистика!$C$10)/MAX(Статистика!$G$10-Статистика!$C$10,0.000001)))))</f>
        <v>7.479527555555554E-2</v>
      </c>
      <c r="AZ75" s="12">
        <f>IF(A75="","",MAX(0,MAX(0,MIN(1,(((IF(Статистика!$C$4="Параллельный режим (активная мощность)",F75,Q75)+Статистика!$J$4))-Статистика!$C$10)/MAX(Статистика!$G$10-Статистика!$C$10,0.000001)))-MAX(0,MIN(1,(((IF(Статистика!$C$4="Параллельный режим (активная мощность)",E75,P75)+Статистика!$J$4))-Статистика!$C$10)/MAX(Статистика!$G$10-Статистика!$C$10,0.000001)))))</f>
        <v>6.80741777777778E-2</v>
      </c>
      <c r="BA75" s="12">
        <f>IF(A75="","",MAX(0,MAX(0,MIN(1,(((IF(Статистика!$C$4="Параллельный режим (активная мощность)",G75,R75)+Статистика!$J$4))-Статистика!$C$10)/MAX(Статистика!$G$10-Статистика!$C$10,0.000001)))-MAX(0,MIN(1,(((IF(Статистика!$C$4="Параллельный режим (активная мощность)",F75,Q75)+Статистика!$J$4))-Статистика!$C$10)/MAX(Статистика!$G$10-Статистика!$C$10,0.000001)))))</f>
        <v>8.6059552777778103E-2</v>
      </c>
      <c r="BB75" s="12">
        <f>IF(A75="","",MAX(0,MAX(0,MIN(1,(((IF(Статистика!$C$4="Параллельный режим (активная мощность)",H75,S75)+Статистика!$J$4))-Статистика!$C$10)/MAX(Статистика!$G$10-Статистика!$C$10,0.000001)))-MAX(0,MIN(1,(((IF(Статистика!$C$4="Параллельный режим (активная мощность)",G75,R75)+Статистика!$J$4))-Статистика!$C$10)/MAX(Статистика!$G$10-Статистика!$C$10,0.000001)))))</f>
        <v>7.9488459999999317E-2</v>
      </c>
      <c r="BC75" s="12">
        <f>IF(A75="","",MAX(0,MAX(0,MIN(1,(((IF(Статистика!$C$4="Параллельный режим (активная мощность)",J75,U75)+Статистика!$J$4))-Статистика!$C$10)/MAX(Статистика!$G$10-Статистика!$C$10,0.000001)))-MAX(0,MIN(1,(((IF(Статистика!$C$4="Параллельный режим (активная мощность)",H75,S75)+Статистика!$J$4))-Статистика!$C$10)/MAX(Статистика!$G$10-Статистика!$C$10,0.000001)))))</f>
        <v>7.0330695000004884E-3</v>
      </c>
      <c r="BD75" s="12">
        <f>IF(A75="","",MAX(0,1-MAX(0,MIN(1,(((IF(Статистика!$C$4="Параллельный режим (активная мощность)",J75,U75)+Статистика!$J$4))-Статистика!$C$10)/MAX(Статистика!$G$10-Статистика!$C$10,0.000001)))))</f>
        <v>0.2810180566111109</v>
      </c>
      <c r="BE75" s="12">
        <f>IF(A75="",NA(),IF(Статистика!$B$8="Вкл",(((IF(Статистика!$C$4="Параллельный режим (активная мощность)",F75,Q75)+Статистика!$J$4))-Статистика!$C$10)/MAX(Статистика!$G$10-Статистика!$C$10,0.000001),NA()))</f>
        <v>0.54640086111111119</v>
      </c>
      <c r="BF75" s="12">
        <f>IF(A75="",NA(),IF(Статистика!$D$8="Вкл",(((IF(Статистика!$C$4="Параллельный режим (активная мощность)",E75,P75)+Статистика!$J$4))-Статистика!$C$10)/MAX(Статистика!$G$10-Статистика!$C$10,0.000001),NA()))</f>
        <v>0.47832668333333339</v>
      </c>
      <c r="BG75" s="12">
        <f>IF(A75="",NA(),IF(Статистика!$D$8="Вкл",(((IF(Статистика!$C$4="Параллельный режим (активная мощность)",G75,R75)+Статистика!$J$4))-Статистика!$C$10)/MAX(Статистика!$G$10-Статистика!$C$10,0.000001),NA()))</f>
        <v>0.63246041388888929</v>
      </c>
      <c r="BH75" s="12">
        <f>IF(A75="",NA(),IF(Статистика!$F$8="Вкл",(((IF(Статистика!$C$4="Параллельный режим (активная мощность)",D75,O75)+Статистика!$J$4))-Статистика!$C$10)/MAX(Статистика!$G$10-Статистика!$C$10,0.000001),NA()))</f>
        <v>0.40353140777777785</v>
      </c>
      <c r="BI75" s="12">
        <f>IF(A75="",NA(),IF(Статистика!$F$8="Вкл",(((IF(Статистика!$C$4="Параллельный режим (активная мощность)",H75,S75)+Статистика!$J$4))-Статистика!$C$10)/MAX(Статистика!$G$10-Статистика!$C$10,0.000001),NA()))</f>
        <v>0.71194887388888861</v>
      </c>
      <c r="BJ75" s="12">
        <f>IF(A75="",NA(),IF(Статистика!$H$8="Вкл",(((IF(Статистика!$C$4="Параллельный режим (активная мощность)",B75,M75)+Статистика!$J$4))-Статистика!$C$10)/MAX(Статистика!$G$10-Статистика!$C$10,0.000001),NA()))</f>
        <v>-1.2358653232222223</v>
      </c>
      <c r="BK75" s="12">
        <f>IF(A75="",NA(),IF(Статистика!$H$8="Вкл",(((IF(Статистика!$C$4="Параллельный режим (активная мощность)",J75,U75)+Статистика!$J$4))-Статистика!$C$10)/MAX(Статистика!$G$10-Статистика!$C$10,0.000001),NA()))</f>
        <v>0.7189819433888891</v>
      </c>
      <c r="BL75" s="12" t="e">
        <f>IF(A75="",NA(),IF(Статистика!$J$8="Вкл",(((IF(Статистика!$C$4="Параллельный режим (активная мощность)",K75,V75)+Статистика!$J$4))-Статистика!$C$10)/MAX(Статистика!$G$10-Статистика!$C$10,0.000001),NA()))</f>
        <v>#N/A</v>
      </c>
      <c r="BM75" s="12" t="e">
        <f>IF(AND(A75&lt;&gt;"",Статистика!$C$6="Вкл",Статистика!$B$6&gt;0),(Статистика!$B$6-Статистика!$C$10)/MAX(Статистика!$G$10-Статистика!$C$10,0.000001),NA())</f>
        <v>#N/A</v>
      </c>
      <c r="BN75" s="12" t="e">
        <f>IF(AND(A75&lt;&gt;"",Статистика!$F$6="Вкл",Статистика!$E$6&gt;0),(Статистика!$E$6-Статистика!$C$10)/MAX(Статистика!$G$10-Статистика!$C$10,0.000001),NA())</f>
        <v>#N/A</v>
      </c>
      <c r="BO75" s="12" t="e">
        <f>IF(AND(A75&lt;&gt;"",Статистика!$I$6="Вкл",Статистика!$H$6&gt;0),(Статистика!$H$6-Статистика!$C$10)/MAX(Статистика!$G$10-Статистика!$C$10,0.000001),NA())</f>
        <v>#N/A</v>
      </c>
      <c r="BP75" s="12" t="e">
        <f>IF(AND(A75&lt;&gt;"",Статистика!$L$6="Вкл",Статистика!$K$6&gt;0),(Статистика!$K$6-Статистика!$C$10)/MAX(Статистика!$G$10-Статистика!$C$10,0.000001),NA())</f>
        <v>#N/A</v>
      </c>
      <c r="BQ75" s="12" t="e">
        <f>IF(AND(A75&lt;&gt;"",Статистика!$M$6="Вкл",Статистика!$O$6&gt;0),(Статистика!$O$6-Статистика!$C$10)/MAX(Статистика!$G$10-Статистика!$C$10,0.000001),NA())</f>
        <v>#N/A</v>
      </c>
      <c r="BR75" s="12">
        <f t="shared" si="2"/>
        <v>1</v>
      </c>
      <c r="BT75" s="12">
        <f>IF(Y75="","",MAX(0,MIN(1,(((IF(Статистика!$C$4="Параллельный режим (активная мощность)",Z75,AK75)+Статистика!$J$4))-Статистика!$C$10)/MAX(Статистика!$G$10-Статистика!$C$10,0.000001))))</f>
        <v>0.39985893788888915</v>
      </c>
      <c r="BU75" s="12">
        <f>IF(Y75="","",MAX(0,MAX(0,MIN(1,(((IF(Статистика!$C$4="Параллельный режим (активная мощность)",AB75,AM75)+Статистика!$J$4))-Статистика!$C$10)/MAX(Статистика!$G$10-Статистика!$C$10,0.000001)))-MAX(0,MIN(1,(((IF(Статистика!$C$4="Параллельный режим (активная мощность)",Z75,AK75)+Статистика!$J$4))-Статистика!$C$10)/MAX(Статистика!$G$10-Статистика!$C$10,0.000001)))))</f>
        <v>7.8851409999997624E-3</v>
      </c>
      <c r="BV75" s="12">
        <f>IF(Y75="","",MAX(0,MAX(0,MIN(1,(((IF(Статистика!$C$4="Параллельный режим (активная мощность)",AC75,AN75)+Статистика!$J$4))-Статистика!$C$10)/MAX(Статистика!$G$10-Статистика!$C$10,0.000001)))-MAX(0,MIN(1,(((IF(Статистика!$C$4="Параллельный режим (активная мощность)",AB75,AM75)+Статистика!$J$4))-Статистика!$C$10)/MAX(Статистика!$G$10-Статистика!$C$10,0.000001)))))</f>
        <v>0.1032589849999998</v>
      </c>
      <c r="BW75" s="12">
        <f>IF(Y75="","",MAX(0,MAX(0,MIN(1,(((IF(Статистика!$C$4="Параллельный режим (активная мощность)",AD75,AO75)+Статистика!$J$4))-Статистика!$C$10)/MAX(Статистика!$G$10-Статистика!$C$10,0.000001)))-MAX(0,MIN(1,(((IF(Статистика!$C$4="Параллельный режим (активная мощность)",AC75,AN75)+Статистика!$J$4))-Статистика!$C$10)/MAX(Статистика!$G$10-Статистика!$C$10,0.000001)))))</f>
        <v>4.2732991666666442E-2</v>
      </c>
      <c r="BX75" s="12">
        <f>IF(Y75="","",MAX(0,MAX(0,MIN(1,(((IF(Статистика!$C$4="Параллельный режим (активная мощность)",AE75,AP75)+Статистика!$J$4))-Статистика!$C$10)/MAX(Статистика!$G$10-Статистика!$C$10,0.000001)))-MAX(0,MIN(1,(((IF(Статистика!$C$4="Параллельный режим (активная мощность)",AD75,AO75)+Статистика!$J$4))-Статистика!$C$10)/MAX(Статистика!$G$10-Статистика!$C$10,0.000001)))))</f>
        <v>4.3520111111111537E-2</v>
      </c>
      <c r="BY75" s="12">
        <f>IF(Y75="","",MAX(0,MAX(0,MIN(1,(((IF(Статистика!$C$4="Параллельный режим (активная мощность)",AF75,AQ75)+Статистика!$J$4))-Статистика!$C$10)/MAX(Статистика!$G$10-Статистика!$C$10,0.000001)))-MAX(0,MIN(1,(((IF(Статистика!$C$4="Параллельный режим (активная мощность)",AE75,AP75)+Статистика!$J$4))-Статистика!$C$10)/MAX(Статистика!$G$10-Статистика!$C$10,0.000001)))))</f>
        <v>0.17241650111111084</v>
      </c>
      <c r="BZ75" s="12">
        <f>IF(Y75="","",MAX(0,MAX(0,MIN(1,(((IF(Статистика!$C$4="Параллельный режим (активная мощность)",AH75,AS75)+Статистика!$J$4))-Статистика!$C$10)/MAX(Статистика!$G$10-Статистика!$C$10,0.000001)))-MAX(0,MIN(1,(((IF(Статистика!$C$4="Параллельный режим (активная мощность)",AF75,AQ75)+Статистика!$J$4))-Статистика!$C$10)/MAX(Статистика!$G$10-Статистика!$C$10,0.000001)))))</f>
        <v>4.1102490000000103E-3</v>
      </c>
      <c r="CA75" s="12">
        <f>IF(Y75="","",MAX(0,1-MAX(0,MIN(1,(((IF(Статистика!$C$4="Параллельный режим (активная мощность)",AH75,AS75)+Статистика!$J$4))-Статистика!$C$10)/MAX(Статистика!$G$10-Статистика!$C$10,0.000001)))))</f>
        <v>0.22621708322222245</v>
      </c>
      <c r="CB75" s="12">
        <f>IF(Y75="",NA(),IF(Статистика!$B$8="Вкл",(((IF(Статистика!$C$4="Параллельный режим (активная мощность)",AD75,AO75)+Статистика!$J$4))-Статистика!$C$10)/MAX(Статистика!$G$10-Статистика!$C$10,0.000001),NA()))</f>
        <v>0.55373605555555516</v>
      </c>
      <c r="CC75" s="12">
        <f>IF(Y75="",NA(),IF(Статистика!$D$8="Вкл",(((IF(Статистика!$C$4="Параллельный режим (активная мощность)",AC75,AN75)+Статистика!$J$4))-Статистика!$C$10)/MAX(Статистика!$G$10-Статистика!$C$10,0.000001),NA()))</f>
        <v>0.51100306388888872</v>
      </c>
      <c r="CD75" s="12">
        <f>IF(Y75="",NA(),IF(Статистика!$D$8="Вкл",(((IF(Статистика!$C$4="Параллельный режим (активная мощность)",AE75,AP75)+Статистика!$J$4))-Статистика!$C$10)/MAX(Статистика!$G$10-Статистика!$C$10,0.000001),NA()))</f>
        <v>0.5972561666666667</v>
      </c>
      <c r="CE75" s="12">
        <f>IF(Y75="",NA(),IF(Статистика!$F$8="Вкл",(((IF(Статистика!$C$4="Параллельный режим (активная мощность)",AB75,AM75)+Статистика!$J$4))-Статистика!$C$10)/MAX(Статистика!$G$10-Статистика!$C$10,0.000001),NA()))</f>
        <v>0.40774407888888892</v>
      </c>
      <c r="CF75" s="12">
        <f>IF(Y75="",NA(),IF(Статистика!$F$8="Вкл",(((IF(Статистика!$C$4="Параллельный режим (активная мощность)",AF75,AQ75)+Статистика!$J$4))-Статистика!$C$10)/MAX(Статистика!$G$10-Статистика!$C$10,0.000001),NA()))</f>
        <v>0.76967266777777754</v>
      </c>
      <c r="CG75" s="12">
        <f>IF(Y75="",NA(),IF(Статистика!$H$8="Вкл",(((IF(Статистика!$C$4="Параллельный режим (активная мощность)",Z75,AK75)+Статистика!$J$4))-Статистика!$C$10)/MAX(Статистика!$G$10-Статистика!$C$10,0.000001),NA()))</f>
        <v>0.39985893788888915</v>
      </c>
      <c r="CH75" s="12">
        <f>IF(Y75="",NA(),IF(Статистика!$H$8="Вкл",(((IF(Статистика!$C$4="Параллельный режим (активная мощность)",AH75,AS75)+Статистика!$J$4))-Статистика!$C$10)/MAX(Статистика!$G$10-Статистика!$C$10,0.000001),NA()))</f>
        <v>0.77378291677777755</v>
      </c>
      <c r="CI75" s="12" t="e">
        <f>IF(Y75="",NA(),IF(Статистика!$J$8="Вкл",(((IF(Статистика!$C$4="Параллельный режим (активная мощность)",AI75,AT75)+Статистика!$J$4))-Статистика!$C$10)/MAX(Статистика!$G$10-Статистика!$C$10,0.000001),NA()))</f>
        <v>#N/A</v>
      </c>
      <c r="CJ75" s="12" t="e">
        <f>IF(AND(Y75&lt;&gt;"",Статистика!$C$6="Вкл",Статистика!$B$6&gt;0),(Статистика!$B$6-Статистика!$C$10)/MAX(Статистика!$G$10-Статистика!$C$10,0.000001),NA())</f>
        <v>#N/A</v>
      </c>
      <c r="CK75" s="12" t="e">
        <f>IF(AND(Y75&lt;&gt;"",Статистика!$F$6="Вкл",Статистика!$E$6&gt;0),(Статистика!$E$6-Статистика!$C$10)/MAX(Статистика!$G$10-Статистика!$C$10,0.000001),NA())</f>
        <v>#N/A</v>
      </c>
      <c r="CL75" s="12" t="e">
        <f>IF(AND(Y75&lt;&gt;"",Статистика!$I$6="Вкл",Статистика!$H$6&gt;0),(Статистика!$H$6-Статистика!$C$10)/MAX(Статистика!$G$10-Статистика!$C$10,0.000001),NA())</f>
        <v>#N/A</v>
      </c>
      <c r="CM75" s="12" t="e">
        <f>IF(AND(Y75&lt;&gt;"",Статистика!$L$6="Вкл",Статистика!$K$6&gt;0),(Статистика!$K$6-Статистика!$C$10)/MAX(Статистика!$G$10-Статистика!$C$10,0.000001),NA())</f>
        <v>#N/A</v>
      </c>
      <c r="CN75" s="12" t="e">
        <f>IF(AND(Y75&lt;&gt;"",Статистика!$M$6="Вкл",Статистика!$O$6&gt;0),(Статистика!$O$6-Статистика!$C$10)/MAX(Статистика!$G$10-Статистика!$C$10,0.000001),NA())</f>
        <v>#N/A</v>
      </c>
      <c r="CO75" s="12">
        <f t="shared" si="3"/>
        <v>1</v>
      </c>
    </row>
    <row r="76" spans="1:93" ht="15" customHeight="1">
      <c r="A76" s="12" t="s">
        <v>363</v>
      </c>
      <c r="B76" s="12">
        <v>2310.0959771666667</v>
      </c>
      <c r="C76" s="12">
        <v>5603.5398858333338</v>
      </c>
      <c r="D76" s="12">
        <v>7179.8979866666659</v>
      </c>
      <c r="E76" s="12">
        <v>7445.421374999999</v>
      </c>
      <c r="F76" s="12">
        <v>7635.7721499999989</v>
      </c>
      <c r="G76" s="12">
        <v>7858.0557666666664</v>
      </c>
      <c r="H76" s="12">
        <v>8155.4737883333328</v>
      </c>
      <c r="I76" s="12">
        <v>8175.7261016666662</v>
      </c>
      <c r="J76" s="12">
        <v>8178.952100333333</v>
      </c>
      <c r="K76" s="12">
        <v>8271.36</v>
      </c>
      <c r="L76" s="12" t="s">
        <v>364</v>
      </c>
      <c r="M76" s="12">
        <v>2864.8545383333335</v>
      </c>
      <c r="N76" s="12">
        <v>6482.1766916666684</v>
      </c>
      <c r="O76" s="12">
        <v>8204.9872883333337</v>
      </c>
      <c r="P76" s="12">
        <v>8473.1635666666643</v>
      </c>
      <c r="Q76" s="12">
        <v>8704.9321333333337</v>
      </c>
      <c r="R76" s="12">
        <v>9032.1012083333335</v>
      </c>
      <c r="S76" s="12">
        <v>9227.7729333333336</v>
      </c>
      <c r="T76" s="12">
        <v>9239.3654566666664</v>
      </c>
      <c r="U76" s="12">
        <v>9240.280851333333</v>
      </c>
      <c r="V76" s="12">
        <v>9356.2000000000007</v>
      </c>
      <c r="W76" s="12" t="s">
        <v>365</v>
      </c>
      <c r="Y76" s="12" t="s">
        <v>363</v>
      </c>
      <c r="Z76" s="12">
        <v>7283.5841636666673</v>
      </c>
      <c r="AA76" s="12">
        <v>7284.9464183333339</v>
      </c>
      <c r="AB76" s="12">
        <v>7286.6492366666662</v>
      </c>
      <c r="AC76" s="12">
        <v>7458.8369833333327</v>
      </c>
      <c r="AD76" s="12">
        <v>7649.7706000000007</v>
      </c>
      <c r="AE76" s="12">
        <v>7751.1256000000003</v>
      </c>
      <c r="AF76" s="12">
        <v>8318.2201983333343</v>
      </c>
      <c r="AG76" s="12">
        <v>8353.2386158333356</v>
      </c>
      <c r="AH76" s="12">
        <v>8381.253349833336</v>
      </c>
      <c r="AI76" s="12">
        <v>8467.5</v>
      </c>
      <c r="AJ76" s="12" t="s">
        <v>366</v>
      </c>
      <c r="AK76" s="12">
        <v>8251.8422874999997</v>
      </c>
      <c r="AL76" s="12">
        <v>8270.5069041666666</v>
      </c>
      <c r="AM76" s="12">
        <v>8293.8376749999989</v>
      </c>
      <c r="AN76" s="12">
        <v>8477.4014083333332</v>
      </c>
      <c r="AO76" s="12">
        <v>8651.4752166666658</v>
      </c>
      <c r="AP76" s="12">
        <v>8889.5079666666661</v>
      </c>
      <c r="AQ76" s="12">
        <v>9329.8027933333342</v>
      </c>
      <c r="AR76" s="12">
        <v>9392.7967133333332</v>
      </c>
      <c r="AS76" s="12">
        <v>9443.1918493333342</v>
      </c>
      <c r="AT76" s="12">
        <v>9535.94</v>
      </c>
      <c r="AU76" s="12" t="s">
        <v>366</v>
      </c>
      <c r="AW76" s="12">
        <f>IF(A76="","",MAX(0,MIN(1,(((IF(Статистика!$C$4="Параллельный режим (активная мощность)",B76,M76)+Статистика!$J$4))-Статистика!$C$10)/MAX(Статистика!$G$10-Статистика!$C$10,0.000001))))</f>
        <v>0</v>
      </c>
      <c r="AX76" s="12">
        <f>IF(A76="","",MAX(0,MAX(0,MIN(1,(((IF(Статистика!$C$4="Параллельный режим (активная мощность)",D76,O76)+Статистика!$J$4))-Статистика!$C$10)/MAX(Статистика!$G$10-Статистика!$C$10,0.000001)))-MAX(0,MIN(1,(((IF(Статистика!$C$4="Параллельный режим (активная мощность)",B76,M76)+Статистика!$J$4))-Статистика!$C$10)/MAX(Статистика!$G$10-Статистика!$C$10,0.000001)))))</f>
        <v>0.39329932888888863</v>
      </c>
      <c r="AY76" s="12">
        <f>IF(A76="","",MAX(0,MAX(0,MIN(1,(((IF(Статистика!$C$4="Параллельный режим (активная мощность)",E76,P76)+Статистика!$J$4))-Статистика!$C$10)/MAX(Статистика!$G$10-Статистика!$C$10,0.000001)))-MAX(0,MIN(1,(((IF(Статистика!$C$4="Параллельный режим (активная мощность)",D76,O76)+Статистика!$J$4))-Статистика!$C$10)/MAX(Статистика!$G$10-Статистика!$C$10,0.000001)))))</f>
        <v>8.8507796111111037E-2</v>
      </c>
      <c r="AZ76" s="12">
        <f>IF(A76="","",MAX(0,MAX(0,MIN(1,(((IF(Статистика!$C$4="Параллельный режим (активная мощность)",F76,Q76)+Статистика!$J$4))-Статистика!$C$10)/MAX(Статистика!$G$10-Статистика!$C$10,0.000001)))-MAX(0,MIN(1,(((IF(Статистика!$C$4="Параллельный режим (активная мощность)",E76,P76)+Статистика!$J$4))-Статистика!$C$10)/MAX(Статистика!$G$10-Статистика!$C$10,0.000001)))))</f>
        <v>6.3450258333333287E-2</v>
      </c>
      <c r="BA76" s="12">
        <f>IF(A76="","",MAX(0,MAX(0,MIN(1,(((IF(Статистика!$C$4="Параллельный режим (активная мощность)",G76,R76)+Статистика!$J$4))-Статистика!$C$10)/MAX(Статистика!$G$10-Статистика!$C$10,0.000001)))-MAX(0,MIN(1,(((IF(Статистика!$C$4="Параллельный режим (активная мощность)",F76,Q76)+Статистика!$J$4))-Статистика!$C$10)/MAX(Статистика!$G$10-Статистика!$C$10,0.000001)))))</f>
        <v>7.4094538888889172E-2</v>
      </c>
      <c r="BB76" s="12">
        <f>IF(A76="","",MAX(0,MAX(0,MIN(1,(((IF(Статистика!$C$4="Параллельный режим (активная мощность)",H76,S76)+Статистика!$J$4))-Статистика!$C$10)/MAX(Статистика!$G$10-Статистика!$C$10,0.000001)))-MAX(0,MIN(1,(((IF(Статистика!$C$4="Параллельный режим (активная мощность)",G76,R76)+Статистика!$J$4))-Статистика!$C$10)/MAX(Статистика!$G$10-Статистика!$C$10,0.000001)))))</f>
        <v>9.9139340555555511E-2</v>
      </c>
      <c r="BC76" s="12">
        <f>IF(A76="","",MAX(0,MAX(0,MIN(1,(((IF(Статистика!$C$4="Параллельный режим (активная мощность)",J76,U76)+Статистика!$J$4))-Статистика!$C$10)/MAX(Статистика!$G$10-Статистика!$C$10,0.000001)))-MAX(0,MIN(1,(((IF(Статистика!$C$4="Параллельный режим (активная мощность)",H76,S76)+Статистика!$J$4))-Статистика!$C$10)/MAX(Статистика!$G$10-Статистика!$C$10,0.000001)))))</f>
        <v>7.8261040000000559E-3</v>
      </c>
      <c r="BD76" s="12">
        <f>IF(A76="","",MAX(0,1-MAX(0,MIN(1,(((IF(Статистика!$C$4="Параллельный режим (активная мощность)",J76,U76)+Статистика!$J$4))-Статистика!$C$10)/MAX(Статистика!$G$10-Статистика!$C$10,0.000001)))))</f>
        <v>0.2736826332222223</v>
      </c>
      <c r="BE76" s="12">
        <f>IF(A76="",NA(),IF(Статистика!$B$8="Вкл",(((IF(Статистика!$C$4="Параллельный режим (активная мощность)",F76,Q76)+Статистика!$J$4))-Статистика!$C$10)/MAX(Статистика!$G$10-Статистика!$C$10,0.000001),NA()))</f>
        <v>0.54525738333333296</v>
      </c>
      <c r="BF76" s="12">
        <f>IF(A76="",NA(),IF(Статистика!$D$8="Вкл",(((IF(Статистика!$C$4="Параллельный режим (активная мощность)",E76,P76)+Статистика!$J$4))-Статистика!$C$10)/MAX(Статистика!$G$10-Статистика!$C$10,0.000001),NA()))</f>
        <v>0.48180712499999967</v>
      </c>
      <c r="BG76" s="12">
        <f>IF(A76="",NA(),IF(Статистика!$D$8="Вкл",(((IF(Статистика!$C$4="Параллельный режим (активная мощность)",G76,R76)+Статистика!$J$4))-Статистика!$C$10)/MAX(Статистика!$G$10-Статистика!$C$10,0.000001),NA()))</f>
        <v>0.61935192222222213</v>
      </c>
      <c r="BH76" s="12">
        <f>IF(A76="",NA(),IF(Статистика!$F$8="Вкл",(((IF(Статистика!$C$4="Параллельный режим (активная мощность)",D76,O76)+Статистика!$J$4))-Статистика!$C$10)/MAX(Статистика!$G$10-Статистика!$C$10,0.000001),NA()))</f>
        <v>0.39329932888888863</v>
      </c>
      <c r="BI76" s="12">
        <f>IF(A76="",NA(),IF(Статистика!$F$8="Вкл",(((IF(Статистика!$C$4="Параллельный режим (активная мощность)",H76,S76)+Статистика!$J$4))-Статистика!$C$10)/MAX(Статистика!$G$10-Статистика!$C$10,0.000001),NA()))</f>
        <v>0.71849126277777764</v>
      </c>
      <c r="BJ76" s="12">
        <f>IF(A76="",NA(),IF(Статистика!$H$8="Вкл",(((IF(Статистика!$C$4="Параллельный режим (активная мощность)",B76,M76)+Статистика!$J$4))-Статистика!$C$10)/MAX(Статистика!$G$10-Статистика!$C$10,0.000001),NA()))</f>
        <v>-1.229968007611111</v>
      </c>
      <c r="BK76" s="12">
        <f>IF(A76="",NA(),IF(Статистика!$H$8="Вкл",(((IF(Статистика!$C$4="Параллельный режим (активная мощность)",J76,U76)+Статистика!$J$4))-Статистика!$C$10)/MAX(Статистика!$G$10-Статистика!$C$10,0.000001),NA()))</f>
        <v>0.7263173667777777</v>
      </c>
      <c r="BL76" s="12" t="e">
        <f>IF(A76="",NA(),IF(Статистика!$J$8="Вкл",(((IF(Статистика!$C$4="Параллельный режим (активная мощность)",K76,V76)+Статистика!$J$4))-Статистика!$C$10)/MAX(Статистика!$G$10-Статистика!$C$10,0.000001),NA()))</f>
        <v>#N/A</v>
      </c>
      <c r="BM76" s="12" t="e">
        <f>IF(AND(A76&lt;&gt;"",Статистика!$C$6="Вкл",Статистика!$B$6&gt;0),(Статистика!$B$6-Статистика!$C$10)/MAX(Статистика!$G$10-Статистика!$C$10,0.000001),NA())</f>
        <v>#N/A</v>
      </c>
      <c r="BN76" s="12" t="e">
        <f>IF(AND(A76&lt;&gt;"",Статистика!$F$6="Вкл",Статистика!$E$6&gt;0),(Статистика!$E$6-Статистика!$C$10)/MAX(Статистика!$G$10-Статистика!$C$10,0.000001),NA())</f>
        <v>#N/A</v>
      </c>
      <c r="BO76" s="12" t="e">
        <f>IF(AND(A76&lt;&gt;"",Статистика!$I$6="Вкл",Статистика!$H$6&gt;0),(Статистика!$H$6-Статистика!$C$10)/MAX(Статистика!$G$10-Статистика!$C$10,0.000001),NA())</f>
        <v>#N/A</v>
      </c>
      <c r="BP76" s="12" t="e">
        <f>IF(AND(A76&lt;&gt;"",Статистика!$L$6="Вкл",Статистика!$K$6&gt;0),(Статистика!$K$6-Статистика!$C$10)/MAX(Статистика!$G$10-Статистика!$C$10,0.000001),NA())</f>
        <v>#N/A</v>
      </c>
      <c r="BQ76" s="12" t="e">
        <f>IF(AND(A76&lt;&gt;"",Статистика!$M$6="Вкл",Статистика!$O$6&gt;0),(Статистика!$O$6-Статистика!$C$10)/MAX(Статистика!$G$10-Статистика!$C$10,0.000001),NA())</f>
        <v>#N/A</v>
      </c>
      <c r="BR76" s="12">
        <f t="shared" si="2"/>
        <v>1</v>
      </c>
      <c r="BT76" s="12">
        <f>IF(Y76="","",MAX(0,MIN(1,(((IF(Статистика!$C$4="Параллельный режим (активная мощность)",Z76,AK76)+Статистика!$J$4))-Статистика!$C$10)/MAX(Статистика!$G$10-Статистика!$C$10,0.000001))))</f>
        <v>0.42786138788888911</v>
      </c>
      <c r="BU76" s="12">
        <f>IF(Y76="","",MAX(0,MAX(0,MIN(1,(((IF(Статистика!$C$4="Параллельный режим (активная мощность)",AB76,AM76)+Статистика!$J$4))-Статистика!$C$10)/MAX(Статистика!$G$10-Статистика!$C$10,0.000001)))-MAX(0,MIN(1,(((IF(Статистика!$C$4="Параллельный режим (активная мощность)",Z76,AK76)+Статистика!$J$4))-Статистика!$C$10)/MAX(Статистика!$G$10-Статистика!$C$10,0.000001)))))</f>
        <v>1.0216909999996027E-3</v>
      </c>
      <c r="BV76" s="12">
        <f>IF(Y76="","",MAX(0,MAX(0,MIN(1,(((IF(Статистика!$C$4="Параллельный режим (активная мощность)",AC76,AN76)+Статистика!$J$4))-Статистика!$C$10)/MAX(Статистика!$G$10-Статистика!$C$10,0.000001)))-MAX(0,MIN(1,(((IF(Статистика!$C$4="Параллельный режим (активная мощность)",AB76,AM76)+Статистика!$J$4))-Статистика!$C$10)/MAX(Статистика!$G$10-Статистика!$C$10,0.000001)))))</f>
        <v>5.739591555555551E-2</v>
      </c>
      <c r="BW76" s="12">
        <f>IF(Y76="","",MAX(0,MAX(0,MIN(1,(((IF(Статистика!$C$4="Параллельный режим (активная мощность)",AD76,AO76)+Статистика!$J$4))-Статистика!$C$10)/MAX(Статистика!$G$10-Статистика!$C$10,0.000001)))-MAX(0,MIN(1,(((IF(Статистика!$C$4="Параллельный режим (активная мощность)",AC76,AN76)+Статистика!$J$4))-Статистика!$C$10)/MAX(Статистика!$G$10-Статистика!$C$10,0.000001)))))</f>
        <v>6.3644538888889324E-2</v>
      </c>
      <c r="BX76" s="12">
        <f>IF(Y76="","",MAX(0,MAX(0,MIN(1,(((IF(Статистика!$C$4="Параллельный режим (активная мощность)",AE76,AP76)+Статистика!$J$4))-Статистика!$C$10)/MAX(Статистика!$G$10-Статистика!$C$10,0.000001)))-MAX(0,MIN(1,(((IF(Статистика!$C$4="Параллельный режим (активная мощность)",AD76,AO76)+Статистика!$J$4))-Статистика!$C$10)/MAX(Статистика!$G$10-Статистика!$C$10,0.000001)))))</f>
        <v>3.3784999999999843E-2</v>
      </c>
      <c r="BY76" s="12">
        <f>IF(Y76="","",MAX(0,MAX(0,MIN(1,(((IF(Статистика!$C$4="Параллельный режим (активная мощность)",AF76,AQ76)+Статистика!$J$4))-Статистика!$C$10)/MAX(Статистика!$G$10-Статистика!$C$10,0.000001)))-MAX(0,MIN(1,(((IF(Статистика!$C$4="Параллельный режим (активная мощность)",AE76,AP76)+Статистика!$J$4))-Статистика!$C$10)/MAX(Статистика!$G$10-Статистика!$C$10,0.000001)))))</f>
        <v>0.18903153277777807</v>
      </c>
      <c r="BZ76" s="12">
        <f>IF(Y76="","",MAX(0,MAX(0,MIN(1,(((IF(Статистика!$C$4="Параллельный режим (активная мощность)",AH76,AS76)+Статистика!$J$4))-Статистика!$C$10)/MAX(Статистика!$G$10-Статистика!$C$10,0.000001)))-MAX(0,MIN(1,(((IF(Статистика!$C$4="Параллельный режим (активная мощность)",AF76,AQ76)+Статистика!$J$4))-Статистика!$C$10)/MAX(Статистика!$G$10-Статистика!$C$10,0.000001)))))</f>
        <v>2.1011050500000517E-2</v>
      </c>
      <c r="CA76" s="12">
        <f>IF(Y76="","",MAX(0,1-MAX(0,MIN(1,(((IF(Статистика!$C$4="Параллельный режим (активная мощность)",AH76,AS76)+Статистика!$J$4))-Статистика!$C$10)/MAX(Статистика!$G$10-Статистика!$C$10,0.000001)))))</f>
        <v>0.20624888338888803</v>
      </c>
      <c r="CB76" s="12">
        <f>IF(Y76="",NA(),IF(Статистика!$B$8="Вкл",(((IF(Статистика!$C$4="Параллельный режим (активная мощность)",AD76,AO76)+Статистика!$J$4))-Статистика!$C$10)/MAX(Статистика!$G$10-Статистика!$C$10,0.000001),NA()))</f>
        <v>0.54992353333333355</v>
      </c>
      <c r="CC76" s="12">
        <f>IF(Y76="",NA(),IF(Статистика!$D$8="Вкл",(((IF(Статистика!$C$4="Параллельный режим (активная мощность)",AC76,AN76)+Статистика!$J$4))-Статистика!$C$10)/MAX(Статистика!$G$10-Статистика!$C$10,0.000001),NA()))</f>
        <v>0.48627899444444422</v>
      </c>
      <c r="CD76" s="12">
        <f>IF(Y76="",NA(),IF(Статистика!$D$8="Вкл",(((IF(Статистика!$C$4="Параллельный режим (активная мощность)",AE76,AP76)+Статистика!$J$4))-Статистика!$C$10)/MAX(Статистика!$G$10-Статистика!$C$10,0.000001),NA()))</f>
        <v>0.58370853333333339</v>
      </c>
      <c r="CE76" s="12">
        <f>IF(Y76="",NA(),IF(Статистика!$F$8="Вкл",(((IF(Статистика!$C$4="Параллельный режим (активная мощность)",AB76,AM76)+Статистика!$J$4))-Статистика!$C$10)/MAX(Статистика!$G$10-Статистика!$C$10,0.000001),NA()))</f>
        <v>0.42888307888888871</v>
      </c>
      <c r="CF76" s="12">
        <f>IF(Y76="",NA(),IF(Статистика!$F$8="Вкл",(((IF(Статистика!$C$4="Параллельный режим (активная мощность)",AF76,AQ76)+Статистика!$J$4))-Статистика!$C$10)/MAX(Статистика!$G$10-Статистика!$C$10,0.000001),NA()))</f>
        <v>0.77274006611111146</v>
      </c>
      <c r="CG76" s="12">
        <f>IF(Y76="",NA(),IF(Статистика!$H$8="Вкл",(((IF(Статистика!$C$4="Параллельный режим (активная мощность)",Z76,AK76)+Статистика!$J$4))-Статистика!$C$10)/MAX(Статистика!$G$10-Статистика!$C$10,0.000001),NA()))</f>
        <v>0.42786138788888911</v>
      </c>
      <c r="CH76" s="12">
        <f>IF(Y76="",NA(),IF(Статистика!$H$8="Вкл",(((IF(Статистика!$C$4="Параллельный режим (активная мощность)",AH76,AS76)+Статистика!$J$4))-Статистика!$C$10)/MAX(Статистика!$G$10-Статистика!$C$10,0.000001),NA()))</f>
        <v>0.79375111661111197</v>
      </c>
      <c r="CI76" s="12" t="e">
        <f>IF(Y76="",NA(),IF(Статистика!$J$8="Вкл",(((IF(Статистика!$C$4="Параллельный режим (активная мощность)",AI76,AT76)+Статистика!$J$4))-Статистика!$C$10)/MAX(Статистика!$G$10-Статистика!$C$10,0.000001),NA()))</f>
        <v>#N/A</v>
      </c>
      <c r="CJ76" s="12" t="e">
        <f>IF(AND(Y76&lt;&gt;"",Статистика!$C$6="Вкл",Статистика!$B$6&gt;0),(Статистика!$B$6-Статистика!$C$10)/MAX(Статистика!$G$10-Статистика!$C$10,0.000001),NA())</f>
        <v>#N/A</v>
      </c>
      <c r="CK76" s="12" t="e">
        <f>IF(AND(Y76&lt;&gt;"",Статистика!$F$6="Вкл",Статистика!$E$6&gt;0),(Статистика!$E$6-Статистика!$C$10)/MAX(Статистика!$G$10-Статистика!$C$10,0.000001),NA())</f>
        <v>#N/A</v>
      </c>
      <c r="CL76" s="12" t="e">
        <f>IF(AND(Y76&lt;&gt;"",Статистика!$I$6="Вкл",Статистика!$H$6&gt;0),(Статистика!$H$6-Статистика!$C$10)/MAX(Статистика!$G$10-Статистика!$C$10,0.000001),NA())</f>
        <v>#N/A</v>
      </c>
      <c r="CM76" s="12" t="e">
        <f>IF(AND(Y76&lt;&gt;"",Статистика!$L$6="Вкл",Статистика!$K$6&gt;0),(Статистика!$K$6-Статистика!$C$10)/MAX(Статистика!$G$10-Статистика!$C$10,0.000001),NA())</f>
        <v>#N/A</v>
      </c>
      <c r="CN76" s="12" t="e">
        <f>IF(AND(Y76&lt;&gt;"",Статистика!$M$6="Вкл",Статистика!$O$6&gt;0),(Статистика!$O$6-Статистика!$C$10)/MAX(Статистика!$G$10-Статистика!$C$10,0.000001),NA())</f>
        <v>#N/A</v>
      </c>
      <c r="CO76" s="12">
        <f t="shared" si="3"/>
        <v>1</v>
      </c>
    </row>
    <row r="77" spans="1:93" ht="15" customHeight="1">
      <c r="A77" s="12" t="s">
        <v>367</v>
      </c>
      <c r="B77" s="12">
        <v>2278.8802700000001</v>
      </c>
      <c r="C77" s="12">
        <v>5523.8986833333338</v>
      </c>
      <c r="D77" s="12">
        <v>7129.3139150000006</v>
      </c>
      <c r="E77" s="12">
        <v>7442.4686833333326</v>
      </c>
      <c r="F77" s="12">
        <v>7585.5869666666658</v>
      </c>
      <c r="G77" s="12">
        <v>7836.4750749999994</v>
      </c>
      <c r="H77" s="12">
        <v>8159.8594350000003</v>
      </c>
      <c r="I77" s="12">
        <v>8171.7318566666672</v>
      </c>
      <c r="J77" s="12">
        <v>8180.3813580000005</v>
      </c>
      <c r="K77" s="12">
        <v>8284.31</v>
      </c>
      <c r="L77" s="12" t="s">
        <v>368</v>
      </c>
      <c r="M77" s="12">
        <v>2823.5068748333333</v>
      </c>
      <c r="N77" s="12">
        <v>6390.3015741666677</v>
      </c>
      <c r="O77" s="12">
        <v>8144.3194433333338</v>
      </c>
      <c r="P77" s="12">
        <v>8481.7423166666667</v>
      </c>
      <c r="Q77" s="12">
        <v>8660.8768999999993</v>
      </c>
      <c r="R77" s="12">
        <v>9022.5050750000009</v>
      </c>
      <c r="S77" s="12">
        <v>9162.11</v>
      </c>
      <c r="T77" s="12">
        <v>9188.9278058333348</v>
      </c>
      <c r="U77" s="12">
        <v>9234.6193745</v>
      </c>
      <c r="V77" s="12">
        <v>9356.4500000000007</v>
      </c>
      <c r="W77" s="12" t="s">
        <v>368</v>
      </c>
      <c r="Y77" s="12" t="s">
        <v>367</v>
      </c>
      <c r="Z77" s="12">
        <v>7324.4652486666673</v>
      </c>
      <c r="AA77" s="12">
        <v>7334.2799766666667</v>
      </c>
      <c r="AB77" s="12">
        <v>7346.5483866666664</v>
      </c>
      <c r="AC77" s="12">
        <v>7523.2552083333321</v>
      </c>
      <c r="AD77" s="12">
        <v>7623.0717666666669</v>
      </c>
      <c r="AE77" s="12">
        <v>7775.1444000000001</v>
      </c>
      <c r="AF77" s="12">
        <v>8280.8797349999986</v>
      </c>
      <c r="AG77" s="12">
        <v>8334.7990674999983</v>
      </c>
      <c r="AH77" s="12">
        <v>8377.934533499998</v>
      </c>
      <c r="AI77" s="12">
        <v>8473.1299999999992</v>
      </c>
      <c r="AJ77" s="12" t="s">
        <v>369</v>
      </c>
      <c r="AK77" s="12">
        <v>8343.1557303333338</v>
      </c>
      <c r="AL77" s="12">
        <v>8362.1443849999996</v>
      </c>
      <c r="AM77" s="12">
        <v>8385.8802033333341</v>
      </c>
      <c r="AN77" s="12">
        <v>8507.8879583333346</v>
      </c>
      <c r="AO77" s="12">
        <v>8601.4352166666667</v>
      </c>
      <c r="AP77" s="12">
        <v>8917.8334833333338</v>
      </c>
      <c r="AQ77" s="12">
        <v>9270.5049016666653</v>
      </c>
      <c r="AR77" s="12">
        <v>9353.2007841666673</v>
      </c>
      <c r="AS77" s="12">
        <v>9419.357490166667</v>
      </c>
      <c r="AT77" s="12">
        <v>9528.9500000000007</v>
      </c>
      <c r="AU77" s="12" t="s">
        <v>370</v>
      </c>
      <c r="AW77" s="12">
        <f>IF(A77="","",MAX(0,MIN(1,(((IF(Статистика!$C$4="Параллельный режим (активная мощность)",B77,M77)+Статистика!$J$4))-Статистика!$C$10)/MAX(Статистика!$G$10-Статистика!$C$10,0.000001))))</f>
        <v>0</v>
      </c>
      <c r="AX77" s="12">
        <f>IF(A77="","",MAX(0,MAX(0,MIN(1,(((IF(Статистика!$C$4="Параллельный режим (активная мощность)",D77,O77)+Статистика!$J$4))-Статистика!$C$10)/MAX(Статистика!$G$10-Статистика!$C$10,0.000001)))-MAX(0,MIN(1,(((IF(Статистика!$C$4="Параллельный режим (активная мощность)",B77,M77)+Статистика!$J$4))-Статистика!$C$10)/MAX(Статистика!$G$10-Статистика!$C$10,0.000001)))))</f>
        <v>0.37643797166666687</v>
      </c>
      <c r="AY77" s="12">
        <f>IF(A77="","",MAX(0,MAX(0,MIN(1,(((IF(Статистика!$C$4="Параллельный режим (активная мощность)",E77,P77)+Статистика!$J$4))-Статистика!$C$10)/MAX(Статистика!$G$10-Статистика!$C$10,0.000001)))-MAX(0,MIN(1,(((IF(Статистика!$C$4="Параллельный режим (активная мощность)",D77,O77)+Статистика!$J$4))-Статистика!$C$10)/MAX(Статистика!$G$10-Статистика!$C$10,0.000001)))))</f>
        <v>0.10438492277777733</v>
      </c>
      <c r="AZ77" s="12">
        <f>IF(A77="","",MAX(0,MAX(0,MIN(1,(((IF(Статистика!$C$4="Параллельный режим (активная мощность)",F77,Q77)+Статистика!$J$4))-Статистика!$C$10)/MAX(Статистика!$G$10-Статистика!$C$10,0.000001)))-MAX(0,MIN(1,(((IF(Статистика!$C$4="Параллельный режим (активная мощность)",E77,P77)+Статистика!$J$4))-Статистика!$C$10)/MAX(Статистика!$G$10-Статистика!$C$10,0.000001)))))</f>
        <v>4.7706094444444458E-2</v>
      </c>
      <c r="BA77" s="12">
        <f>IF(A77="","",MAX(0,MAX(0,MIN(1,(((IF(Статистика!$C$4="Параллельный режим (активная мощность)",G77,R77)+Статистика!$J$4))-Статистика!$C$10)/MAX(Статистика!$G$10-Статистика!$C$10,0.000001)))-MAX(0,MIN(1,(((IF(Статистика!$C$4="Параллельный режим (активная мощность)",F77,Q77)+Статистика!$J$4))-Статистика!$C$10)/MAX(Статистика!$G$10-Статистика!$C$10,0.000001)))))</f>
        <v>8.3629369444444435E-2</v>
      </c>
      <c r="BB77" s="12">
        <f>IF(A77="","",MAX(0,MAX(0,MIN(1,(((IF(Статистика!$C$4="Параллельный режим (активная мощность)",H77,S77)+Статистика!$J$4))-Статистика!$C$10)/MAX(Статистика!$G$10-Статистика!$C$10,0.000001)))-MAX(0,MIN(1,(((IF(Статистика!$C$4="Параллельный режим (активная мощность)",G77,R77)+Статистика!$J$4))-Статистика!$C$10)/MAX(Статистика!$G$10-Статистика!$C$10,0.000001)))))</f>
        <v>0.10779478666666698</v>
      </c>
      <c r="BC77" s="12">
        <f>IF(A77="","",MAX(0,MAX(0,MIN(1,(((IF(Статистика!$C$4="Параллельный режим (активная мощность)",J77,U77)+Статистика!$J$4))-Статистика!$C$10)/MAX(Статистика!$G$10-Статистика!$C$10,0.000001)))-MAX(0,MIN(1,(((IF(Статистика!$C$4="Параллельный режим (активная мощность)",H77,S77)+Статистика!$J$4))-Статистика!$C$10)/MAX(Статистика!$G$10-Статистика!$C$10,0.000001)))))</f>
        <v>6.8406410000001472E-3</v>
      </c>
      <c r="BD77" s="12">
        <f>IF(A77="","",MAX(0,1-MAX(0,MIN(1,(((IF(Статистика!$C$4="Параллельный режим (активная мощность)",J77,U77)+Статистика!$J$4))-Статистика!$C$10)/MAX(Статистика!$G$10-Статистика!$C$10,0.000001)))))</f>
        <v>0.27320621399999978</v>
      </c>
      <c r="BE77" s="12">
        <f>IF(A77="",NA(),IF(Статистика!$B$8="Вкл",(((IF(Статистика!$C$4="Параллельный режим (активная мощность)",F77,Q77)+Статистика!$J$4))-Статистика!$C$10)/MAX(Статистика!$G$10-Статистика!$C$10,0.000001),NA()))</f>
        <v>0.52852898888888866</v>
      </c>
      <c r="BF77" s="12">
        <f>IF(A77="",NA(),IF(Статистика!$D$8="Вкл",(((IF(Статистика!$C$4="Параллельный режим (активная мощность)",E77,P77)+Статистика!$J$4))-Статистика!$C$10)/MAX(Статистика!$G$10-Статистика!$C$10,0.000001),NA()))</f>
        <v>0.4808228944444442</v>
      </c>
      <c r="BG77" s="12">
        <f>IF(A77="",NA(),IF(Статистика!$D$8="Вкл",(((IF(Статистика!$C$4="Параллельный режим (активная мощность)",G77,R77)+Статистика!$J$4))-Статистика!$C$10)/MAX(Статистика!$G$10-Статистика!$C$10,0.000001),NA()))</f>
        <v>0.6121583583333331</v>
      </c>
      <c r="BH77" s="12">
        <f>IF(A77="",NA(),IF(Статистика!$F$8="Вкл",(((IF(Статистика!$C$4="Параллельный режим (активная мощность)",D77,O77)+Статистика!$J$4))-Статистика!$C$10)/MAX(Статистика!$G$10-Статистика!$C$10,0.000001),NA()))</f>
        <v>0.37643797166666687</v>
      </c>
      <c r="BI77" s="12">
        <f>IF(A77="",NA(),IF(Статистика!$F$8="Вкл",(((IF(Статистика!$C$4="Параллельный режим (активная мощность)",H77,S77)+Статистика!$J$4))-Статистика!$C$10)/MAX(Статистика!$G$10-Статистика!$C$10,0.000001),NA()))</f>
        <v>0.71995314500000007</v>
      </c>
      <c r="BJ77" s="12">
        <f>IF(A77="",NA(),IF(Статистика!$H$8="Вкл",(((IF(Статистика!$C$4="Параллельный режим (активная мощность)",B77,M77)+Статистика!$J$4))-Статистика!$C$10)/MAX(Статистика!$G$10-Статистика!$C$10,0.000001),NA()))</f>
        <v>-1.2403732433333332</v>
      </c>
      <c r="BK77" s="12">
        <f>IF(A77="",NA(),IF(Статистика!$H$8="Вкл",(((IF(Статистика!$C$4="Параллельный режим (активная мощность)",J77,U77)+Статистика!$J$4))-Статистика!$C$10)/MAX(Статистика!$G$10-Статистика!$C$10,0.000001),NA()))</f>
        <v>0.72679378600000022</v>
      </c>
      <c r="BL77" s="12" t="e">
        <f>IF(A77="",NA(),IF(Статистика!$J$8="Вкл",(((IF(Статистика!$C$4="Параллельный режим (активная мощность)",K77,V77)+Статистика!$J$4))-Статистика!$C$10)/MAX(Статистика!$G$10-Статистика!$C$10,0.000001),NA()))</f>
        <v>#N/A</v>
      </c>
      <c r="BM77" s="12" t="e">
        <f>IF(AND(A77&lt;&gt;"",Статистика!$C$6="Вкл",Статистика!$B$6&gt;0),(Статистика!$B$6-Статистика!$C$10)/MAX(Статистика!$G$10-Статистика!$C$10,0.000001),NA())</f>
        <v>#N/A</v>
      </c>
      <c r="BN77" s="12" t="e">
        <f>IF(AND(A77&lt;&gt;"",Статистика!$F$6="Вкл",Статистика!$E$6&gt;0),(Статистика!$E$6-Статистика!$C$10)/MAX(Статистика!$G$10-Статистика!$C$10,0.000001),NA())</f>
        <v>#N/A</v>
      </c>
      <c r="BO77" s="12" t="e">
        <f>IF(AND(A77&lt;&gt;"",Статистика!$I$6="Вкл",Статистика!$H$6&gt;0),(Статистика!$H$6-Статистика!$C$10)/MAX(Статистика!$G$10-Статистика!$C$10,0.000001),NA())</f>
        <v>#N/A</v>
      </c>
      <c r="BP77" s="12" t="e">
        <f>IF(AND(A77&lt;&gt;"",Статистика!$L$6="Вкл",Статистика!$K$6&gt;0),(Статистика!$K$6-Статистика!$C$10)/MAX(Статистика!$G$10-Статистика!$C$10,0.000001),NA())</f>
        <v>#N/A</v>
      </c>
      <c r="BQ77" s="12" t="e">
        <f>IF(AND(A77&lt;&gt;"",Статистика!$M$6="Вкл",Статистика!$O$6&gt;0),(Статистика!$O$6-Статистика!$C$10)/MAX(Статистика!$G$10-Статистика!$C$10,0.000001),NA())</f>
        <v>#N/A</v>
      </c>
      <c r="BR77" s="12">
        <f t="shared" si="2"/>
        <v>1</v>
      </c>
      <c r="BT77" s="12">
        <f>IF(Y77="","",MAX(0,MIN(1,(((IF(Статистика!$C$4="Параллельный режим (активная мощность)",Z77,AK77)+Статистика!$J$4))-Статистика!$C$10)/MAX(Статистика!$G$10-Статистика!$C$10,0.000001))))</f>
        <v>0.44148841622222246</v>
      </c>
      <c r="BU77" s="12">
        <f>IF(Y77="","",MAX(0,MAX(0,MIN(1,(((IF(Статистика!$C$4="Параллельный режим (активная мощность)",AB77,AM77)+Статистика!$J$4))-Статистика!$C$10)/MAX(Статистика!$G$10-Статистика!$C$10,0.000001)))-MAX(0,MIN(1,(((IF(Статистика!$C$4="Параллельный режим (активная мощность)",Z77,AK77)+Статистика!$J$4))-Статистика!$C$10)/MAX(Статистика!$G$10-Статистика!$C$10,0.000001)))))</f>
        <v>7.3610459999996491E-3</v>
      </c>
      <c r="BV77" s="12">
        <f>IF(Y77="","",MAX(0,MAX(0,MIN(1,(((IF(Статистика!$C$4="Параллельный режим (активная мощность)",AC77,AN77)+Статистика!$J$4))-Статистика!$C$10)/MAX(Статистика!$G$10-Статистика!$C$10,0.000001)))-MAX(0,MIN(1,(((IF(Статистика!$C$4="Параллельный режим (активная мощность)",AB77,AM77)+Статистика!$J$4))-Статистика!$C$10)/MAX(Статистика!$G$10-Статистика!$C$10,0.000001)))))</f>
        <v>5.8902273888888579E-2</v>
      </c>
      <c r="BW77" s="12">
        <f>IF(Y77="","",MAX(0,MAX(0,MIN(1,(((IF(Статистика!$C$4="Параллельный режим (активная мощность)",AD77,AO77)+Статистика!$J$4))-Статистика!$C$10)/MAX(Статистика!$G$10-Статистика!$C$10,0.000001)))-MAX(0,MIN(1,(((IF(Статистика!$C$4="Параллельный режим (активная мощность)",AC77,AN77)+Статистика!$J$4))-Статистика!$C$10)/MAX(Статистика!$G$10-Статистика!$C$10,0.000001)))))</f>
        <v>3.3272186111111601E-2</v>
      </c>
      <c r="BX77" s="12">
        <f>IF(Y77="","",MAX(0,MAX(0,MIN(1,(((IF(Статистика!$C$4="Параллельный режим (активная мощность)",AE77,AP77)+Статистика!$J$4))-Статистика!$C$10)/MAX(Статистика!$G$10-Статистика!$C$10,0.000001)))-MAX(0,MIN(1,(((IF(Статистика!$C$4="Параллельный режим (активная мощность)",AD77,AO77)+Статистика!$J$4))-Статистика!$C$10)/MAX(Статистика!$G$10-Статистика!$C$10,0.000001)))))</f>
        <v>5.069087777777781E-2</v>
      </c>
      <c r="BY77" s="12">
        <f>IF(Y77="","",MAX(0,MAX(0,MIN(1,(((IF(Статистика!$C$4="Параллельный режим (активная мощность)",AF77,AQ77)+Статистика!$J$4))-Статистика!$C$10)/MAX(Статистика!$G$10-Статистика!$C$10,0.000001)))-MAX(0,MIN(1,(((IF(Статистика!$C$4="Параллельный режим (активная мощность)",AE77,AP77)+Статистика!$J$4))-Статистика!$C$10)/MAX(Статистика!$G$10-Статистика!$C$10,0.000001)))))</f>
        <v>0.16857844499999941</v>
      </c>
      <c r="BZ77" s="12">
        <f>IF(Y77="","",MAX(0,MAX(0,MIN(1,(((IF(Статистика!$C$4="Параллельный режим (активная мощность)",AH77,AS77)+Статистика!$J$4))-Статистика!$C$10)/MAX(Статистика!$G$10-Статистика!$C$10,0.000001)))-MAX(0,MIN(1,(((IF(Статистика!$C$4="Параллельный режим (активная мощность)",AF77,AQ77)+Статистика!$J$4))-Статистика!$C$10)/MAX(Статистика!$G$10-Статистика!$C$10,0.000001)))))</f>
        <v>3.2351599499999772E-2</v>
      </c>
      <c r="CA77" s="12">
        <f>IF(Y77="","",MAX(0,1-MAX(0,MIN(1,(((IF(Статистика!$C$4="Параллельный режим (активная мощность)",AH77,AS77)+Статистика!$J$4))-Статистика!$C$10)/MAX(Статистика!$G$10-Статистика!$C$10,0.000001)))))</f>
        <v>0.20735515550000072</v>
      </c>
      <c r="CB77" s="12">
        <f>IF(Y77="",NA(),IF(Статистика!$B$8="Вкл",(((IF(Статистика!$C$4="Параллельный режим (активная мощность)",AD77,AO77)+Статистика!$J$4))-Статистика!$C$10)/MAX(Статистика!$G$10-Статистика!$C$10,0.000001),NA()))</f>
        <v>0.54102392222222229</v>
      </c>
      <c r="CC77" s="12">
        <f>IF(Y77="",NA(),IF(Статистика!$D$8="Вкл",(((IF(Статистика!$C$4="Параллельный режим (активная мощность)",AC77,AN77)+Статистика!$J$4))-Статистика!$C$10)/MAX(Статистика!$G$10-Статистика!$C$10,0.000001),NA()))</f>
        <v>0.50775173611111069</v>
      </c>
      <c r="CD77" s="12">
        <f>IF(Y77="",NA(),IF(Статистика!$D$8="Вкл",(((IF(Статистика!$C$4="Параллельный режим (активная мощность)",AE77,AP77)+Статистика!$J$4))-Статистика!$C$10)/MAX(Статистика!$G$10-Статистика!$C$10,0.000001),NA()))</f>
        <v>0.5917148000000001</v>
      </c>
      <c r="CE77" s="12">
        <f>IF(Y77="",NA(),IF(Статистика!$F$8="Вкл",(((IF(Статистика!$C$4="Параллельный режим (активная мощность)",AB77,AM77)+Статистика!$J$4))-Статистика!$C$10)/MAX(Статистика!$G$10-Статистика!$C$10,0.000001),NA()))</f>
        <v>0.44884946222222211</v>
      </c>
      <c r="CF77" s="12">
        <f>IF(Y77="",NA(),IF(Статистика!$F$8="Вкл",(((IF(Статистика!$C$4="Параллельный режим (активная мощность)",AF77,AQ77)+Статистика!$J$4))-Статистика!$C$10)/MAX(Статистика!$G$10-Статистика!$C$10,0.000001),NA()))</f>
        <v>0.76029324499999951</v>
      </c>
      <c r="CG77" s="12">
        <f>IF(Y77="",NA(),IF(Статистика!$H$8="Вкл",(((IF(Статистика!$C$4="Параллельный режим (активная мощность)",Z77,AK77)+Статистика!$J$4))-Статистика!$C$10)/MAX(Статистика!$G$10-Статистика!$C$10,0.000001),NA()))</f>
        <v>0.44148841622222246</v>
      </c>
      <c r="CH77" s="12">
        <f>IF(Y77="",NA(),IF(Статистика!$H$8="Вкл",(((IF(Статистика!$C$4="Параллельный режим (активная мощность)",AH77,AS77)+Статистика!$J$4))-Статистика!$C$10)/MAX(Статистика!$G$10-Статистика!$C$10,0.000001),NA()))</f>
        <v>0.79264484449999928</v>
      </c>
      <c r="CI77" s="12" t="e">
        <f>IF(Y77="",NA(),IF(Статистика!$J$8="Вкл",(((IF(Статистика!$C$4="Параллельный режим (активная мощность)",AI77,AT77)+Статистика!$J$4))-Статистика!$C$10)/MAX(Статистика!$G$10-Статистика!$C$10,0.000001),NA()))</f>
        <v>#N/A</v>
      </c>
      <c r="CJ77" s="12" t="e">
        <f>IF(AND(Y77&lt;&gt;"",Статистика!$C$6="Вкл",Статистика!$B$6&gt;0),(Статистика!$B$6-Статистика!$C$10)/MAX(Статистика!$G$10-Статистика!$C$10,0.000001),NA())</f>
        <v>#N/A</v>
      </c>
      <c r="CK77" s="12" t="e">
        <f>IF(AND(Y77&lt;&gt;"",Статистика!$F$6="Вкл",Статистика!$E$6&gt;0),(Статистика!$E$6-Статистика!$C$10)/MAX(Статистика!$G$10-Статистика!$C$10,0.000001),NA())</f>
        <v>#N/A</v>
      </c>
      <c r="CL77" s="12" t="e">
        <f>IF(AND(Y77&lt;&gt;"",Статистика!$I$6="Вкл",Статистика!$H$6&gt;0),(Статистика!$H$6-Статистика!$C$10)/MAX(Статистика!$G$10-Статистика!$C$10,0.000001),NA())</f>
        <v>#N/A</v>
      </c>
      <c r="CM77" s="12" t="e">
        <f>IF(AND(Y77&lt;&gt;"",Статистика!$L$6="Вкл",Статистика!$K$6&gt;0),(Статистика!$K$6-Статистика!$C$10)/MAX(Статистика!$G$10-Статистика!$C$10,0.000001),NA())</f>
        <v>#N/A</v>
      </c>
      <c r="CN77" s="12" t="e">
        <f>IF(AND(Y77&lt;&gt;"",Статистика!$M$6="Вкл",Статистика!$O$6&gt;0),(Статистика!$O$6-Статистика!$C$10)/MAX(Статистика!$G$10-Статистика!$C$10,0.000001),NA())</f>
        <v>#N/A</v>
      </c>
      <c r="CO77" s="12">
        <f t="shared" si="3"/>
        <v>1</v>
      </c>
    </row>
    <row r="78" spans="1:93" ht="15" customHeight="1">
      <c r="A78" s="12" t="s">
        <v>371</v>
      </c>
      <c r="B78" s="12">
        <v>2279.4575496666666</v>
      </c>
      <c r="C78" s="12">
        <v>5542.625748333332</v>
      </c>
      <c r="D78" s="12">
        <v>7143.9481566666655</v>
      </c>
      <c r="E78" s="12">
        <v>7454.4390083333328</v>
      </c>
      <c r="F78" s="12">
        <v>7580.299133333333</v>
      </c>
      <c r="G78" s="12">
        <v>7837.5014250000004</v>
      </c>
      <c r="H78" s="12">
        <v>8120.5163666666667</v>
      </c>
      <c r="I78" s="12">
        <v>8153.0234808333335</v>
      </c>
      <c r="J78" s="12">
        <v>8163.1237361666663</v>
      </c>
      <c r="K78" s="12">
        <v>8243.7999999999993</v>
      </c>
      <c r="L78" s="12" t="s">
        <v>372</v>
      </c>
      <c r="M78" s="12">
        <v>2826.2122363333328</v>
      </c>
      <c r="N78" s="12">
        <v>6408.2389149999999</v>
      </c>
      <c r="O78" s="12">
        <v>8154.6428533333328</v>
      </c>
      <c r="P78" s="12">
        <v>8495.1978833333342</v>
      </c>
      <c r="Q78" s="12">
        <v>8694.4460500000005</v>
      </c>
      <c r="R78" s="12">
        <v>8956.5787666666674</v>
      </c>
      <c r="S78" s="12">
        <v>9179.6530183333343</v>
      </c>
      <c r="T78" s="12">
        <v>9197.2811775000009</v>
      </c>
      <c r="U78" s="12">
        <v>9197.3086888333328</v>
      </c>
      <c r="V78" s="12">
        <v>9406.81</v>
      </c>
      <c r="W78" s="12" t="s">
        <v>373</v>
      </c>
      <c r="Y78" s="12" t="s">
        <v>371</v>
      </c>
      <c r="Z78" s="12">
        <v>7346.9814660000002</v>
      </c>
      <c r="AA78" s="12">
        <v>7352.4890633333334</v>
      </c>
      <c r="AB78" s="12">
        <v>7359.3735599999991</v>
      </c>
      <c r="AC78" s="12">
        <v>7532.6710916666671</v>
      </c>
      <c r="AD78" s="12">
        <v>7633.6246166666679</v>
      </c>
      <c r="AE78" s="12">
        <v>7758.1203249999999</v>
      </c>
      <c r="AF78" s="12">
        <v>8276.8498049999998</v>
      </c>
      <c r="AG78" s="12">
        <v>8334.2891191666658</v>
      </c>
      <c r="AH78" s="12">
        <v>8380.2405704999983</v>
      </c>
      <c r="AI78" s="12">
        <v>8530.48</v>
      </c>
      <c r="AJ78" s="12" t="s">
        <v>374</v>
      </c>
      <c r="AK78" s="12">
        <v>8350.7559261666684</v>
      </c>
      <c r="AL78" s="12">
        <v>8364.3569641666672</v>
      </c>
      <c r="AM78" s="12">
        <v>8381.3582616666663</v>
      </c>
      <c r="AN78" s="12">
        <v>8535.4447250000012</v>
      </c>
      <c r="AO78" s="12">
        <v>8631.9291833333336</v>
      </c>
      <c r="AP78" s="12">
        <v>8876.0222333333331</v>
      </c>
      <c r="AQ78" s="12">
        <v>9266.5164966666653</v>
      </c>
      <c r="AR78" s="12">
        <v>9358.544715</v>
      </c>
      <c r="AS78" s="12">
        <v>9432.167289666666</v>
      </c>
      <c r="AT78" s="12">
        <v>9635.26</v>
      </c>
      <c r="AU78" s="12" t="s">
        <v>375</v>
      </c>
      <c r="AW78" s="12">
        <f>IF(A78="","",MAX(0,MIN(1,(((IF(Статистика!$C$4="Параллельный режим (активная мощность)",B78,M78)+Статистика!$J$4))-Статистика!$C$10)/MAX(Статистика!$G$10-Статистика!$C$10,0.000001))))</f>
        <v>0</v>
      </c>
      <c r="AX78" s="12">
        <f>IF(A78="","",MAX(0,MAX(0,MIN(1,(((IF(Статистика!$C$4="Параллельный режим (активная мощность)",D78,O78)+Статистика!$J$4))-Статистика!$C$10)/MAX(Статистика!$G$10-Статистика!$C$10,0.000001)))-MAX(0,MIN(1,(((IF(Статистика!$C$4="Параллельный режим (активная мощность)",B78,M78)+Статистика!$J$4))-Статистика!$C$10)/MAX(Статистика!$G$10-Статистика!$C$10,0.000001)))))</f>
        <v>0.38131605222222181</v>
      </c>
      <c r="AY78" s="12">
        <f>IF(A78="","",MAX(0,MAX(0,MIN(1,(((IF(Статистика!$C$4="Параллельный режим (активная мощность)",E78,P78)+Статистика!$J$4))-Статистика!$C$10)/MAX(Статистика!$G$10-Статистика!$C$10,0.000001)))-MAX(0,MIN(1,(((IF(Статистика!$C$4="Параллельный режим (активная мощность)",D78,O78)+Статистика!$J$4))-Статистика!$C$10)/MAX(Статистика!$G$10-Статистика!$C$10,0.000001)))))</f>
        <v>0.1034969505555558</v>
      </c>
      <c r="AZ78" s="12">
        <f>IF(A78="","",MAX(0,MAX(0,MIN(1,(((IF(Статистика!$C$4="Параллельный режим (активная мощность)",F78,Q78)+Статистика!$J$4))-Статистика!$C$10)/MAX(Статистика!$G$10-Статистика!$C$10,0.000001)))-MAX(0,MIN(1,(((IF(Статистика!$C$4="Параллельный режим (активная мощность)",E78,P78)+Статистика!$J$4))-Статистика!$C$10)/MAX(Статистика!$G$10-Статистика!$C$10,0.000001)))))</f>
        <v>4.195337500000007E-2</v>
      </c>
      <c r="BA78" s="12">
        <f>IF(A78="","",MAX(0,MAX(0,MIN(1,(((IF(Статистика!$C$4="Параллельный режим (активная мощность)",G78,R78)+Статистика!$J$4))-Статистика!$C$10)/MAX(Статистика!$G$10-Статистика!$C$10,0.000001)))-MAX(0,MIN(1,(((IF(Статистика!$C$4="Параллельный режим (активная мощность)",F78,Q78)+Статистика!$J$4))-Статистика!$C$10)/MAX(Статистика!$G$10-Статистика!$C$10,0.000001)))))</f>
        <v>8.5734097222222472E-2</v>
      </c>
      <c r="BB78" s="12">
        <f>IF(A78="","",MAX(0,MAX(0,MIN(1,(((IF(Статистика!$C$4="Параллельный режим (активная мощность)",H78,S78)+Статистика!$J$4))-Статистика!$C$10)/MAX(Статистика!$G$10-Статистика!$C$10,0.000001)))-MAX(0,MIN(1,(((IF(Статистика!$C$4="Параллельный режим (активная мощность)",G78,R78)+Статистика!$J$4))-Статистика!$C$10)/MAX(Статистика!$G$10-Статистика!$C$10,0.000001)))))</f>
        <v>9.4338313888888803E-2</v>
      </c>
      <c r="BC78" s="12">
        <f>IF(A78="","",MAX(0,MAX(0,MIN(1,(((IF(Статистика!$C$4="Параллельный режим (активная мощность)",J78,U78)+Статистика!$J$4))-Статистика!$C$10)/MAX(Статистика!$G$10-Статистика!$C$10,0.000001)))-MAX(0,MIN(1,(((IF(Статистика!$C$4="Параллельный режим (активная мощность)",H78,S78)+Статистика!$J$4))-Статистика!$C$10)/MAX(Статистика!$G$10-Статистика!$C$10,0.000001)))))</f>
        <v>1.4202456499999849E-2</v>
      </c>
      <c r="BD78" s="12">
        <f>IF(A78="","",MAX(0,1-MAX(0,MIN(1,(((IF(Статистика!$C$4="Параллельный режим (активная мощность)",J78,U78)+Статистика!$J$4))-Статистика!$C$10)/MAX(Статистика!$G$10-Статистика!$C$10,0.000001)))))</f>
        <v>0.27895875461111119</v>
      </c>
      <c r="BE78" s="12">
        <f>IF(A78="",NA(),IF(Статистика!$B$8="Вкл",(((IF(Статистика!$C$4="Параллельный режим (активная мощность)",F78,Q78)+Статистика!$J$4))-Статистика!$C$10)/MAX(Статистика!$G$10-Статистика!$C$10,0.000001),NA()))</f>
        <v>0.52676637777777768</v>
      </c>
      <c r="BF78" s="12">
        <f>IF(A78="",NA(),IF(Статистика!$D$8="Вкл",(((IF(Статистика!$C$4="Параллельный режим (активная мощность)",E78,P78)+Статистика!$J$4))-Статистика!$C$10)/MAX(Статистика!$G$10-Статистика!$C$10,0.000001),NA()))</f>
        <v>0.48481300277777761</v>
      </c>
      <c r="BG78" s="12">
        <f>IF(A78="",NA(),IF(Статистика!$D$8="Вкл",(((IF(Статистика!$C$4="Параллельный режим (активная мощность)",G78,R78)+Статистика!$J$4))-Статистика!$C$10)/MAX(Статистика!$G$10-Статистика!$C$10,0.000001),NA()))</f>
        <v>0.61250047500000016</v>
      </c>
      <c r="BH78" s="12">
        <f>IF(A78="",NA(),IF(Статистика!$F$8="Вкл",(((IF(Статистика!$C$4="Параллельный режим (активная мощность)",D78,O78)+Статистика!$J$4))-Статистика!$C$10)/MAX(Статистика!$G$10-Статистика!$C$10,0.000001),NA()))</f>
        <v>0.38131605222222181</v>
      </c>
      <c r="BI78" s="12">
        <f>IF(A78="",NA(),IF(Статистика!$F$8="Вкл",(((IF(Статистика!$C$4="Параллельный режим (активная мощность)",H78,S78)+Статистика!$J$4))-Статистика!$C$10)/MAX(Статистика!$G$10-Статистика!$C$10,0.000001),NA()))</f>
        <v>0.70683878888888896</v>
      </c>
      <c r="BJ78" s="12">
        <f>IF(A78="",NA(),IF(Статистика!$H$8="Вкл",(((IF(Статистика!$C$4="Параллельный режим (активная мощность)",B78,M78)+Статистика!$J$4))-Статистика!$C$10)/MAX(Статистика!$G$10-Статистика!$C$10,0.000001),NA()))</f>
        <v>-1.2401808167777777</v>
      </c>
      <c r="BK78" s="12">
        <f>IF(A78="",NA(),IF(Статистика!$H$8="Вкл",(((IF(Статистика!$C$4="Параллельный режим (активная мощность)",J78,U78)+Статистика!$J$4))-Статистика!$C$10)/MAX(Статистика!$G$10-Статистика!$C$10,0.000001),NA()))</f>
        <v>0.72104124538888881</v>
      </c>
      <c r="BL78" s="12" t="e">
        <f>IF(A78="",NA(),IF(Статистика!$J$8="Вкл",(((IF(Статистика!$C$4="Параллельный режим (активная мощность)",K78,V78)+Статистика!$J$4))-Статистика!$C$10)/MAX(Статистика!$G$10-Статистика!$C$10,0.000001),NA()))</f>
        <v>#N/A</v>
      </c>
      <c r="BM78" s="12" t="e">
        <f>IF(AND(A78&lt;&gt;"",Статистика!$C$6="Вкл",Статистика!$B$6&gt;0),(Статистика!$B$6-Статистика!$C$10)/MAX(Статистика!$G$10-Статистика!$C$10,0.000001),NA())</f>
        <v>#N/A</v>
      </c>
      <c r="BN78" s="12" t="e">
        <f>IF(AND(A78&lt;&gt;"",Статистика!$F$6="Вкл",Статистика!$E$6&gt;0),(Статистика!$E$6-Статистика!$C$10)/MAX(Статистика!$G$10-Статистика!$C$10,0.000001),NA())</f>
        <v>#N/A</v>
      </c>
      <c r="BO78" s="12" t="e">
        <f>IF(AND(A78&lt;&gt;"",Статистика!$I$6="Вкл",Статистика!$H$6&gt;0),(Статистика!$H$6-Статистика!$C$10)/MAX(Статистика!$G$10-Статистика!$C$10,0.000001),NA())</f>
        <v>#N/A</v>
      </c>
      <c r="BP78" s="12" t="e">
        <f>IF(AND(A78&lt;&gt;"",Статистика!$L$6="Вкл",Статистика!$K$6&gt;0),(Статистика!$K$6-Статистика!$C$10)/MAX(Статистика!$G$10-Статистика!$C$10,0.000001),NA())</f>
        <v>#N/A</v>
      </c>
      <c r="BQ78" s="12" t="e">
        <f>IF(AND(A78&lt;&gt;"",Статистика!$M$6="Вкл",Статистика!$O$6&gt;0),(Статистика!$O$6-Статистика!$C$10)/MAX(Статистика!$G$10-Статистика!$C$10,0.000001),NA())</f>
        <v>#N/A</v>
      </c>
      <c r="BR78" s="12">
        <f t="shared" si="2"/>
        <v>1</v>
      </c>
      <c r="BT78" s="12">
        <f>IF(Y78="","",MAX(0,MIN(1,(((IF(Статистика!$C$4="Параллельный режим (активная мощность)",Z78,AK78)+Статистика!$J$4))-Статистика!$C$10)/MAX(Статистика!$G$10-Статистика!$C$10,0.000001))))</f>
        <v>0.44899382200000004</v>
      </c>
      <c r="BU78" s="12">
        <f>IF(Y78="","",MAX(0,MAX(0,MIN(1,(((IF(Статистика!$C$4="Параллельный режим (активная мощность)",AB78,AM78)+Статистика!$J$4))-Статистика!$C$10)/MAX(Статистика!$G$10-Статистика!$C$10,0.000001)))-MAX(0,MIN(1,(((IF(Статистика!$C$4="Параллельный режим (активная мощность)",Z78,AK78)+Статистика!$J$4))-Статистика!$C$10)/MAX(Статистика!$G$10-Статистика!$C$10,0.000001)))))</f>
        <v>4.1306979999996551E-3</v>
      </c>
      <c r="BV78" s="12">
        <f>IF(Y78="","",MAX(0,MAX(0,MIN(1,(((IF(Статистика!$C$4="Параллельный режим (активная мощность)",AC78,AN78)+Статистика!$J$4))-Статистика!$C$10)/MAX(Статистика!$G$10-Статистика!$C$10,0.000001)))-MAX(0,MIN(1,(((IF(Статистика!$C$4="Параллельный режим (активная мощность)",AB78,AM78)+Статистика!$J$4))-Статистика!$C$10)/MAX(Статистика!$G$10-Статистика!$C$10,0.000001)))))</f>
        <v>5.7765843888889279E-2</v>
      </c>
      <c r="BW78" s="12">
        <f>IF(Y78="","",MAX(0,MAX(0,MIN(1,(((IF(Статистика!$C$4="Параллельный режим (активная мощность)",AD78,AO78)+Статистика!$J$4))-Статистика!$C$10)/MAX(Статистика!$G$10-Статистика!$C$10,0.000001)))-MAX(0,MIN(1,(((IF(Статистика!$C$4="Параллельный режим (активная мощность)",AC78,AN78)+Статистика!$J$4))-Статистика!$C$10)/MAX(Статистика!$G$10-Статистика!$C$10,0.000001)))))</f>
        <v>3.3651175000000366E-2</v>
      </c>
      <c r="BX78" s="12">
        <f>IF(Y78="","",MAX(0,MAX(0,MIN(1,(((IF(Статистика!$C$4="Параллельный режим (активная мощность)",AE78,AP78)+Статистика!$J$4))-Статистика!$C$10)/MAX(Статистика!$G$10-Статистика!$C$10,0.000001)))-MAX(0,MIN(1,(((IF(Статистика!$C$4="Параллельный режим (активная мощность)",AD78,AO78)+Статистика!$J$4))-Статистика!$C$10)/MAX(Статистика!$G$10-Статистика!$C$10,0.000001)))))</f>
        <v>4.1498569444443967E-2</v>
      </c>
      <c r="BY78" s="12">
        <f>IF(Y78="","",MAX(0,MAX(0,MIN(1,(((IF(Статистика!$C$4="Параллельный режим (активная мощность)",AF78,AQ78)+Статистика!$J$4))-Статистика!$C$10)/MAX(Статистика!$G$10-Статистика!$C$10,0.000001)))-MAX(0,MIN(1,(((IF(Статистика!$C$4="Параллельный режим (активная мощность)",AE78,AP78)+Статистика!$J$4))-Статистика!$C$10)/MAX(Статистика!$G$10-Статистика!$C$10,0.000001)))))</f>
        <v>0.17290982666666666</v>
      </c>
      <c r="BZ78" s="12">
        <f>IF(Y78="","",MAX(0,MAX(0,MIN(1,(((IF(Статистика!$C$4="Параллельный режим (активная мощность)",AH78,AS78)+Статистика!$J$4))-Статистика!$C$10)/MAX(Статистика!$G$10-Статистика!$C$10,0.000001)))-MAX(0,MIN(1,(((IF(Статистика!$C$4="Параллельный режим (активная мощность)",AF78,AQ78)+Статистика!$J$4))-Статистика!$C$10)/MAX(Статистика!$G$10-Статистика!$C$10,0.000001)))))</f>
        <v>3.446358849999942E-2</v>
      </c>
      <c r="CA78" s="12">
        <f>IF(Y78="","",MAX(0,1-MAX(0,MIN(1,(((IF(Статистика!$C$4="Параллельный режим (активная мощность)",AH78,AS78)+Статистика!$J$4))-Статистика!$C$10)/MAX(Статистика!$G$10-Статистика!$C$10,0.000001)))))</f>
        <v>0.20658647650000062</v>
      </c>
      <c r="CB78" s="12">
        <f>IF(Y78="",NA(),IF(Статистика!$B$8="Вкл",(((IF(Статистика!$C$4="Параллельный режим (активная мощность)",AD78,AO78)+Статистика!$J$4))-Статистика!$C$10)/MAX(Статистика!$G$10-Статистика!$C$10,0.000001),NA()))</f>
        <v>0.54454153888888934</v>
      </c>
      <c r="CC78" s="12">
        <f>IF(Y78="",NA(),IF(Статистика!$D$8="Вкл",(((IF(Статистика!$C$4="Параллельный режим (активная мощность)",AC78,AN78)+Статистика!$J$4))-Статистика!$C$10)/MAX(Статистика!$G$10-Статистика!$C$10,0.000001),NA()))</f>
        <v>0.51089036388888898</v>
      </c>
      <c r="CD78" s="12">
        <f>IF(Y78="",NA(),IF(Статистика!$D$8="Вкл",(((IF(Статистика!$C$4="Параллельный режим (активная мощность)",AE78,AP78)+Статистика!$J$4))-Статистика!$C$10)/MAX(Статистика!$G$10-Статистика!$C$10,0.000001),NA()))</f>
        <v>0.58604010833333331</v>
      </c>
      <c r="CE78" s="12">
        <f>IF(Y78="",NA(),IF(Статистика!$F$8="Вкл",(((IF(Статистика!$C$4="Параллельный режим (активная мощность)",AB78,AM78)+Статистика!$J$4))-Статистика!$C$10)/MAX(Статистика!$G$10-Статистика!$C$10,0.000001),NA()))</f>
        <v>0.4531245199999997</v>
      </c>
      <c r="CF78" s="12">
        <f>IF(Y78="",NA(),IF(Статистика!$F$8="Вкл",(((IF(Статистика!$C$4="Параллельный режим (активная мощность)",AF78,AQ78)+Статистика!$J$4))-Статистика!$C$10)/MAX(Статистика!$G$10-Статистика!$C$10,0.000001),NA()))</f>
        <v>0.75894993499999996</v>
      </c>
      <c r="CG78" s="12">
        <f>IF(Y78="",NA(),IF(Статистика!$H$8="Вкл",(((IF(Статистика!$C$4="Параллельный режим (активная мощность)",Z78,AK78)+Статистика!$J$4))-Статистика!$C$10)/MAX(Статистика!$G$10-Статистика!$C$10,0.000001),NA()))</f>
        <v>0.44899382200000004</v>
      </c>
      <c r="CH78" s="12">
        <f>IF(Y78="",NA(),IF(Статистика!$H$8="Вкл",(((IF(Статистика!$C$4="Параллельный режим (активная мощность)",AH78,AS78)+Статистика!$J$4))-Статистика!$C$10)/MAX(Статистика!$G$10-Статистика!$C$10,0.000001),NA()))</f>
        <v>0.79341352349999938</v>
      </c>
      <c r="CI78" s="12" t="e">
        <f>IF(Y78="",NA(),IF(Статистика!$J$8="Вкл",(((IF(Статистика!$C$4="Параллельный режим (активная мощность)",AI78,AT78)+Статистика!$J$4))-Статистика!$C$10)/MAX(Статистика!$G$10-Статистика!$C$10,0.000001),NA()))</f>
        <v>#N/A</v>
      </c>
      <c r="CJ78" s="12" t="e">
        <f>IF(AND(Y78&lt;&gt;"",Статистика!$C$6="Вкл",Статистика!$B$6&gt;0),(Статистика!$B$6-Статистика!$C$10)/MAX(Статистика!$G$10-Статистика!$C$10,0.000001),NA())</f>
        <v>#N/A</v>
      </c>
      <c r="CK78" s="12" t="e">
        <f>IF(AND(Y78&lt;&gt;"",Статистика!$F$6="Вкл",Статистика!$E$6&gt;0),(Статистика!$E$6-Статистика!$C$10)/MAX(Статистика!$G$10-Статистика!$C$10,0.000001),NA())</f>
        <v>#N/A</v>
      </c>
      <c r="CL78" s="12" t="e">
        <f>IF(AND(Y78&lt;&gt;"",Статистика!$I$6="Вкл",Статистика!$H$6&gt;0),(Статистика!$H$6-Статистика!$C$10)/MAX(Статистика!$G$10-Статистика!$C$10,0.000001),NA())</f>
        <v>#N/A</v>
      </c>
      <c r="CM78" s="12" t="e">
        <f>IF(AND(Y78&lt;&gt;"",Статистика!$L$6="Вкл",Статистика!$K$6&gt;0),(Статистика!$K$6-Статистика!$C$10)/MAX(Статистика!$G$10-Статистика!$C$10,0.000001),NA())</f>
        <v>#N/A</v>
      </c>
      <c r="CN78" s="12" t="e">
        <f>IF(AND(Y78&lt;&gt;"",Статистика!$M$6="Вкл",Статистика!$O$6&gt;0),(Статистика!$O$6-Статистика!$C$10)/MAX(Статистика!$G$10-Статистика!$C$10,0.000001),NA())</f>
        <v>#N/A</v>
      </c>
      <c r="CO78" s="12">
        <f t="shared" si="3"/>
        <v>1</v>
      </c>
    </row>
    <row r="79" spans="1:93" ht="15" customHeight="1">
      <c r="A79" s="12" t="s">
        <v>376</v>
      </c>
      <c r="B79" s="12">
        <v>2294.1045378333329</v>
      </c>
      <c r="C79" s="12">
        <v>5577.2692225000001</v>
      </c>
      <c r="D79" s="12">
        <v>7174.1353383333326</v>
      </c>
      <c r="E79" s="12">
        <v>7462.5546666666669</v>
      </c>
      <c r="F79" s="12">
        <v>7600.1214</v>
      </c>
      <c r="G79" s="12">
        <v>7833.9088250000004</v>
      </c>
      <c r="H79" s="12">
        <v>8118.8759533333332</v>
      </c>
      <c r="I79" s="12">
        <v>8156.0556258333336</v>
      </c>
      <c r="J79" s="12">
        <v>8197.2453118333342</v>
      </c>
      <c r="K79" s="12">
        <v>8302.43</v>
      </c>
      <c r="L79" s="12" t="s">
        <v>377</v>
      </c>
      <c r="M79" s="12">
        <v>2847.6812826666669</v>
      </c>
      <c r="N79" s="12">
        <v>6444.6754800000008</v>
      </c>
      <c r="O79" s="12">
        <v>8183.5412766666668</v>
      </c>
      <c r="P79" s="12">
        <v>8479.2587749999984</v>
      </c>
      <c r="Q79" s="12">
        <v>8697.6088</v>
      </c>
      <c r="R79" s="12">
        <v>8916.689183333332</v>
      </c>
      <c r="S79" s="12">
        <v>9176.2068966666666</v>
      </c>
      <c r="T79" s="12">
        <v>9190.4327058333347</v>
      </c>
      <c r="U79" s="12">
        <v>9207.5039811666666</v>
      </c>
      <c r="V79" s="12">
        <v>9287.7999999999993</v>
      </c>
      <c r="W79" s="12" t="s">
        <v>378</v>
      </c>
      <c r="Y79" s="12" t="s">
        <v>376</v>
      </c>
      <c r="Z79" s="12">
        <v>7348.1134791666655</v>
      </c>
      <c r="AA79" s="12">
        <v>7355.5276624999988</v>
      </c>
      <c r="AB79" s="12">
        <v>7364.7953916666656</v>
      </c>
      <c r="AC79" s="12">
        <v>7519.9411416666671</v>
      </c>
      <c r="AD79" s="12">
        <v>7624.0636166666663</v>
      </c>
      <c r="AE79" s="12">
        <v>7762.1289750000014</v>
      </c>
      <c r="AF79" s="12">
        <v>8287.1251566666651</v>
      </c>
      <c r="AG79" s="12">
        <v>8345.1817449999999</v>
      </c>
      <c r="AH79" s="12">
        <v>8391.6270156666669</v>
      </c>
      <c r="AI79" s="12">
        <v>8530.3799999999992</v>
      </c>
      <c r="AJ79" s="12" t="s">
        <v>379</v>
      </c>
      <c r="AK79" s="12">
        <v>8370.9908726666654</v>
      </c>
      <c r="AL79" s="12">
        <v>8386.1831633333331</v>
      </c>
      <c r="AM79" s="12">
        <v>8405.1735266666656</v>
      </c>
      <c r="AN79" s="12">
        <v>8505.2321250000023</v>
      </c>
      <c r="AO79" s="12">
        <v>8622.4021833333336</v>
      </c>
      <c r="AP79" s="12">
        <v>8864.4813083333338</v>
      </c>
      <c r="AQ79" s="12">
        <v>9278.6471783333327</v>
      </c>
      <c r="AR79" s="12">
        <v>9364.6338391666668</v>
      </c>
      <c r="AS79" s="12">
        <v>9433.4231678333344</v>
      </c>
      <c r="AT79" s="12">
        <v>9580.1299999999992</v>
      </c>
      <c r="AU79" s="12" t="s">
        <v>379</v>
      </c>
      <c r="AW79" s="12">
        <f>IF(A79="","",MAX(0,MIN(1,(((IF(Статистика!$C$4="Параллельный режим (активная мощность)",B79,M79)+Статистика!$J$4))-Статистика!$C$10)/MAX(Статистика!$G$10-Статистика!$C$10,0.000001))))</f>
        <v>0</v>
      </c>
      <c r="AX79" s="12">
        <f>IF(A79="","",MAX(0,MAX(0,MIN(1,(((IF(Статистика!$C$4="Параллельный режим (активная мощность)",D79,O79)+Статистика!$J$4))-Статистика!$C$10)/MAX(Статистика!$G$10-Статистика!$C$10,0.000001)))-MAX(0,MIN(1,(((IF(Статистика!$C$4="Параллельный режим (активная мощность)",B79,M79)+Статистика!$J$4))-Статистика!$C$10)/MAX(Статистика!$G$10-Статистика!$C$10,0.000001)))))</f>
        <v>0.39137844611111083</v>
      </c>
      <c r="AY79" s="12">
        <f>IF(A79="","",MAX(0,MAX(0,MIN(1,(((IF(Статистика!$C$4="Параллельный режим (активная мощность)",E79,P79)+Статистика!$J$4))-Статистика!$C$10)/MAX(Статистика!$G$10-Статистика!$C$10,0.000001)))-MAX(0,MIN(1,(((IF(Статистика!$C$4="Параллельный режим (активная мощность)",D79,O79)+Статистика!$J$4))-Статистика!$C$10)/MAX(Статистика!$G$10-Статистика!$C$10,0.000001)))))</f>
        <v>9.6139776111111463E-2</v>
      </c>
      <c r="AZ79" s="12">
        <f>IF(A79="","",MAX(0,MAX(0,MIN(1,(((IF(Статистика!$C$4="Параллельный режим (активная мощность)",F79,Q79)+Статистика!$J$4))-Статистика!$C$10)/MAX(Статистика!$G$10-Статистика!$C$10,0.000001)))-MAX(0,MIN(1,(((IF(Статистика!$C$4="Параллельный режим (активная мощность)",E79,P79)+Статистика!$J$4))-Статистика!$C$10)/MAX(Статистика!$G$10-Статистика!$C$10,0.000001)))))</f>
        <v>4.5855577777777712E-2</v>
      </c>
      <c r="BA79" s="12">
        <f>IF(A79="","",MAX(0,MAX(0,MIN(1,(((IF(Статистика!$C$4="Параллельный режим (активная мощность)",G79,R79)+Статистика!$J$4))-Статистика!$C$10)/MAX(Статистика!$G$10-Статистика!$C$10,0.000001)))-MAX(0,MIN(1,(((IF(Статистика!$C$4="Параллельный режим (активная мощность)",F79,Q79)+Статистика!$J$4))-Статистика!$C$10)/MAX(Статистика!$G$10-Статистика!$C$10,0.000001)))))</f>
        <v>7.7929141666666757E-2</v>
      </c>
      <c r="BB79" s="12">
        <f>IF(A79="","",MAX(0,MAX(0,MIN(1,(((IF(Статистика!$C$4="Параллельный режим (активная мощность)",H79,S79)+Статистика!$J$4))-Статистика!$C$10)/MAX(Статистика!$G$10-Статистика!$C$10,0.000001)))-MAX(0,MIN(1,(((IF(Статистика!$C$4="Параллельный режим (активная мощность)",G79,R79)+Статистика!$J$4))-Статистика!$C$10)/MAX(Статистика!$G$10-Статистика!$C$10,0.000001)))))</f>
        <v>9.4989042777777644E-2</v>
      </c>
      <c r="BC79" s="12">
        <f>IF(A79="","",MAX(0,MAX(0,MIN(1,(((IF(Статистика!$C$4="Параллельный режим (активная мощность)",J79,U79)+Статистика!$J$4))-Статистика!$C$10)/MAX(Статистика!$G$10-Статистика!$C$10,0.000001)))-MAX(0,MIN(1,(((IF(Статистика!$C$4="Параллельный режим (активная мощность)",H79,S79)+Статистика!$J$4))-Статистика!$C$10)/MAX(Статистика!$G$10-Статистика!$C$10,0.000001)))))</f>
        <v>2.6123119500000347E-2</v>
      </c>
      <c r="BD79" s="12">
        <f>IF(A79="","",MAX(0,1-MAX(0,MIN(1,(((IF(Статистика!$C$4="Параллельный режим (активная мощность)",J79,U79)+Статистика!$J$4))-Статистика!$C$10)/MAX(Статистика!$G$10-Статистика!$C$10,0.000001)))))</f>
        <v>0.26758489605555524</v>
      </c>
      <c r="BE79" s="12">
        <f>IF(A79="",NA(),IF(Статистика!$B$8="Вкл",(((IF(Статистика!$C$4="Параллельный режим (активная мощность)",F79,Q79)+Статистика!$J$4))-Статистика!$C$10)/MAX(Статистика!$G$10-Статистика!$C$10,0.000001),NA()))</f>
        <v>0.53337380000000001</v>
      </c>
      <c r="BF79" s="12">
        <f>IF(A79="",NA(),IF(Статистика!$D$8="Вкл",(((IF(Статистика!$C$4="Параллельный режим (активная мощность)",E79,P79)+Статистика!$J$4))-Статистика!$C$10)/MAX(Статистика!$G$10-Статистика!$C$10,0.000001),NA()))</f>
        <v>0.4875182222222223</v>
      </c>
      <c r="BG79" s="12">
        <f>IF(A79="",NA(),IF(Статистика!$D$8="Вкл",(((IF(Статистика!$C$4="Параллельный режим (активная мощность)",G79,R79)+Статистика!$J$4))-Статистика!$C$10)/MAX(Статистика!$G$10-Статистика!$C$10,0.000001),NA()))</f>
        <v>0.61130294166666677</v>
      </c>
      <c r="BH79" s="12">
        <f>IF(A79="",NA(),IF(Статистика!$F$8="Вкл",(((IF(Статистика!$C$4="Параллельный режим (активная мощность)",D79,O79)+Статистика!$J$4))-Статистика!$C$10)/MAX(Статистика!$G$10-Статистика!$C$10,0.000001),NA()))</f>
        <v>0.39137844611111083</v>
      </c>
      <c r="BI79" s="12">
        <f>IF(A79="",NA(),IF(Статистика!$F$8="Вкл",(((IF(Статистика!$C$4="Параллельный режим (активная мощность)",H79,S79)+Статистика!$J$4))-Статистика!$C$10)/MAX(Статистика!$G$10-Статистика!$C$10,0.000001),NA()))</f>
        <v>0.70629198444444441</v>
      </c>
      <c r="BJ79" s="12">
        <f>IF(A79="",NA(),IF(Статистика!$H$8="Вкл",(((IF(Статистика!$C$4="Параллельный режим (активная мощность)",B79,M79)+Статистика!$J$4))-Статистика!$C$10)/MAX(Статистика!$G$10-Статистика!$C$10,0.000001),NA()))</f>
        <v>-1.235298487388889</v>
      </c>
      <c r="BK79" s="12">
        <f>IF(A79="",NA(),IF(Статистика!$H$8="Вкл",(((IF(Статистика!$C$4="Параллельный режим (активная мощность)",J79,U79)+Статистика!$J$4))-Статистика!$C$10)/MAX(Статистика!$G$10-Статистика!$C$10,0.000001),NA()))</f>
        <v>0.73241510394444476</v>
      </c>
      <c r="BL79" s="12" t="e">
        <f>IF(A79="",NA(),IF(Статистика!$J$8="Вкл",(((IF(Статистика!$C$4="Параллельный режим (активная мощность)",K79,V79)+Статистика!$J$4))-Статистика!$C$10)/MAX(Статистика!$G$10-Статистика!$C$10,0.000001),NA()))</f>
        <v>#N/A</v>
      </c>
      <c r="BM79" s="12" t="e">
        <f>IF(AND(A79&lt;&gt;"",Статистика!$C$6="Вкл",Статистика!$B$6&gt;0),(Статистика!$B$6-Статистика!$C$10)/MAX(Статистика!$G$10-Статистика!$C$10,0.000001),NA())</f>
        <v>#N/A</v>
      </c>
      <c r="BN79" s="12" t="e">
        <f>IF(AND(A79&lt;&gt;"",Статистика!$F$6="Вкл",Статистика!$E$6&gt;0),(Статистика!$E$6-Статистика!$C$10)/MAX(Статистика!$G$10-Статистика!$C$10,0.000001),NA())</f>
        <v>#N/A</v>
      </c>
      <c r="BO79" s="12" t="e">
        <f>IF(AND(A79&lt;&gt;"",Статистика!$I$6="Вкл",Статистика!$H$6&gt;0),(Статистика!$H$6-Статистика!$C$10)/MAX(Статистика!$G$10-Статистика!$C$10,0.000001),NA())</f>
        <v>#N/A</v>
      </c>
      <c r="BP79" s="12" t="e">
        <f>IF(AND(A79&lt;&gt;"",Статистика!$L$6="Вкл",Статистика!$K$6&gt;0),(Статистика!$K$6-Статистика!$C$10)/MAX(Статистика!$G$10-Статистика!$C$10,0.000001),NA())</f>
        <v>#N/A</v>
      </c>
      <c r="BQ79" s="12" t="e">
        <f>IF(AND(A79&lt;&gt;"",Статистика!$M$6="Вкл",Статистика!$O$6&gt;0),(Статистика!$O$6-Статистика!$C$10)/MAX(Статистика!$G$10-Статистика!$C$10,0.000001),NA())</f>
        <v>#N/A</v>
      </c>
      <c r="BR79" s="12">
        <f t="shared" si="2"/>
        <v>1</v>
      </c>
      <c r="BT79" s="12">
        <f>IF(Y79="","",MAX(0,MIN(1,(((IF(Статистика!$C$4="Параллельный режим (активная мощность)",Z79,AK79)+Статистика!$J$4))-Статистика!$C$10)/MAX(Статистика!$G$10-Статистика!$C$10,0.000001))))</f>
        <v>0.4493711597222218</v>
      </c>
      <c r="BU79" s="12">
        <f>IF(Y79="","",MAX(0,MAX(0,MIN(1,(((IF(Статистика!$C$4="Параллельный режим (активная мощность)",AB79,AM79)+Статистика!$J$4))-Статистика!$C$10)/MAX(Статистика!$G$10-Статистика!$C$10,0.000001)))-MAX(0,MIN(1,(((IF(Статистика!$C$4="Параллельный режим (активная мощность)",Z79,AK79)+Статистика!$J$4))-Статистика!$C$10)/MAX(Статистика!$G$10-Статистика!$C$10,0.000001)))))</f>
        <v>5.5606375000000763E-3</v>
      </c>
      <c r="BV79" s="12">
        <f>IF(Y79="","",MAX(0,MAX(0,MIN(1,(((IF(Статистика!$C$4="Параллельный режим (активная мощность)",AC79,AN79)+Статистика!$J$4))-Статистика!$C$10)/MAX(Статистика!$G$10-Статистика!$C$10,0.000001)))-MAX(0,MIN(1,(((IF(Статистика!$C$4="Параллельный режим (активная мощность)",AB79,AM79)+Статистика!$J$4))-Статистика!$C$10)/MAX(Статистика!$G$10-Статистика!$C$10,0.000001)))))</f>
        <v>5.1715250000000546E-2</v>
      </c>
      <c r="BW79" s="12">
        <f>IF(Y79="","",MAX(0,MAX(0,MIN(1,(((IF(Статистика!$C$4="Параллельный режим (активная мощность)",AD79,AO79)+Статистика!$J$4))-Статистика!$C$10)/MAX(Статистика!$G$10-Статистика!$C$10,0.000001)))-MAX(0,MIN(1,(((IF(Статистика!$C$4="Параллельный режим (активная мощность)",AC79,AN79)+Статистика!$J$4))-Статистика!$C$10)/MAX(Статистика!$G$10-Статистика!$C$10,0.000001)))))</f>
        <v>3.4707491666666312E-2</v>
      </c>
      <c r="BX79" s="12">
        <f>IF(Y79="","",MAX(0,MAX(0,MIN(1,(((IF(Статистика!$C$4="Параллельный режим (активная мощность)",AE79,AP79)+Статистика!$J$4))-Статистика!$C$10)/MAX(Статистика!$G$10-Статистика!$C$10,0.000001)))-MAX(0,MIN(1,(((IF(Статистика!$C$4="Параллельный режим (активная мощность)",AD79,AO79)+Статистика!$J$4))-Статистика!$C$10)/MAX(Статистика!$G$10-Статистика!$C$10,0.000001)))))</f>
        <v>4.602178611111174E-2</v>
      </c>
      <c r="BY79" s="12">
        <f>IF(Y79="","",MAX(0,MAX(0,MIN(1,(((IF(Статистика!$C$4="Параллельный режим (активная мощность)",AF79,AQ79)+Статистика!$J$4))-Статистика!$C$10)/MAX(Статистика!$G$10-Статистика!$C$10,0.000001)))-MAX(0,MIN(1,(((IF(Статистика!$C$4="Параллельный режим (активная мощность)",AE79,AP79)+Статистика!$J$4))-Статистика!$C$10)/MAX(Статистика!$G$10-Статистика!$C$10,0.000001)))))</f>
        <v>0.17499872722222121</v>
      </c>
      <c r="BZ79" s="12">
        <f>IF(Y79="","",MAX(0,MAX(0,MIN(1,(((IF(Статистика!$C$4="Параллельный режим (активная мощность)",AH79,AS79)+Статистика!$J$4))-Статистика!$C$10)/MAX(Статистика!$G$10-Статистика!$C$10,0.000001)))-MAX(0,MIN(1,(((IF(Статистика!$C$4="Параллельный режим (активная мощность)",AF79,AQ79)+Статистика!$J$4))-Статистика!$C$10)/MAX(Статистика!$G$10-Статистика!$C$10,0.000001)))))</f>
        <v>3.4833953000000584E-2</v>
      </c>
      <c r="CA79" s="12">
        <f>IF(Y79="","",MAX(0,1-MAX(0,MIN(1,(((IF(Статистика!$C$4="Параллельный режим (активная мощность)",AH79,AS79)+Статистика!$J$4))-Статистика!$C$10)/MAX(Статистика!$G$10-Статистика!$C$10,0.000001)))))</f>
        <v>0.20279099477777773</v>
      </c>
      <c r="CB79" s="12">
        <f>IF(Y79="",NA(),IF(Статистика!$B$8="Вкл",(((IF(Статистика!$C$4="Параллельный режим (активная мощность)",AD79,AO79)+Статистика!$J$4))-Статистика!$C$10)/MAX(Статистика!$G$10-Статистика!$C$10,0.000001),NA()))</f>
        <v>0.54135453888888874</v>
      </c>
      <c r="CC79" s="12">
        <f>IF(Y79="",NA(),IF(Статистика!$D$8="Вкл",(((IF(Статистика!$C$4="Параллельный режим (активная мощность)",AC79,AN79)+Статистика!$J$4))-Статистика!$C$10)/MAX(Статистика!$G$10-Статистика!$C$10,0.000001),NA()))</f>
        <v>0.50664704722222242</v>
      </c>
      <c r="CD79" s="12">
        <f>IF(Y79="",NA(),IF(Статистика!$D$8="Вкл",(((IF(Статистика!$C$4="Параллельный режим (активная мощность)",AE79,AP79)+Статистика!$J$4))-Статистика!$C$10)/MAX(Статистика!$G$10-Статистика!$C$10,0.000001),NA()))</f>
        <v>0.58737632500000048</v>
      </c>
      <c r="CE79" s="12">
        <f>IF(Y79="",NA(),IF(Статистика!$F$8="Вкл",(((IF(Статистика!$C$4="Параллельный режим (активная мощность)",AB79,AM79)+Статистика!$J$4))-Статистика!$C$10)/MAX(Статистика!$G$10-Статистика!$C$10,0.000001),NA()))</f>
        <v>0.45493179722222188</v>
      </c>
      <c r="CF79" s="12">
        <f>IF(Y79="",NA(),IF(Статистика!$F$8="Вкл",(((IF(Статистика!$C$4="Параллельный режим (активная мощность)",AF79,AQ79)+Статистика!$J$4))-Статистика!$C$10)/MAX(Статистика!$G$10-Статистика!$C$10,0.000001),NA()))</f>
        <v>0.76237505222222168</v>
      </c>
      <c r="CG79" s="12">
        <f>IF(Y79="",NA(),IF(Статистика!$H$8="Вкл",(((IF(Статистика!$C$4="Параллельный режим (активная мощность)",Z79,AK79)+Статистика!$J$4))-Статистика!$C$10)/MAX(Статистика!$G$10-Статистика!$C$10,0.000001),NA()))</f>
        <v>0.4493711597222218</v>
      </c>
      <c r="CH79" s="12">
        <f>IF(Y79="",NA(),IF(Статистика!$H$8="Вкл",(((IF(Статистика!$C$4="Параллельный режим (активная мощность)",AH79,AS79)+Статистика!$J$4))-Статистика!$C$10)/MAX(Статистика!$G$10-Статистика!$C$10,0.000001),NA()))</f>
        <v>0.79720900522222227</v>
      </c>
      <c r="CI79" s="12" t="e">
        <f>IF(Y79="",NA(),IF(Статистика!$J$8="Вкл",(((IF(Статистика!$C$4="Параллельный режим (активная мощность)",AI79,AT79)+Статистика!$J$4))-Статистика!$C$10)/MAX(Статистика!$G$10-Статистика!$C$10,0.000001),NA()))</f>
        <v>#N/A</v>
      </c>
      <c r="CJ79" s="12" t="e">
        <f>IF(AND(Y79&lt;&gt;"",Статистика!$C$6="Вкл",Статистика!$B$6&gt;0),(Статистика!$B$6-Статистика!$C$10)/MAX(Статистика!$G$10-Статистика!$C$10,0.000001),NA())</f>
        <v>#N/A</v>
      </c>
      <c r="CK79" s="12" t="e">
        <f>IF(AND(Y79&lt;&gt;"",Статистика!$F$6="Вкл",Статистика!$E$6&gt;0),(Статистика!$E$6-Статистика!$C$10)/MAX(Статистика!$G$10-Статистика!$C$10,0.000001),NA())</f>
        <v>#N/A</v>
      </c>
      <c r="CL79" s="12" t="e">
        <f>IF(AND(Y79&lt;&gt;"",Статистика!$I$6="Вкл",Статистика!$H$6&gt;0),(Статистика!$H$6-Статистика!$C$10)/MAX(Статистика!$G$10-Статистика!$C$10,0.000001),NA())</f>
        <v>#N/A</v>
      </c>
      <c r="CM79" s="12" t="e">
        <f>IF(AND(Y79&lt;&gt;"",Статистика!$L$6="Вкл",Статистика!$K$6&gt;0),(Статистика!$K$6-Статистика!$C$10)/MAX(Статистика!$G$10-Статистика!$C$10,0.000001),NA())</f>
        <v>#N/A</v>
      </c>
      <c r="CN79" s="12" t="e">
        <f>IF(AND(Y79&lt;&gt;"",Статистика!$M$6="Вкл",Статистика!$O$6&gt;0),(Статистика!$O$6-Статистика!$C$10)/MAX(Статистика!$G$10-Статистика!$C$10,0.000001),NA())</f>
        <v>#N/A</v>
      </c>
      <c r="CO79" s="12">
        <f t="shared" si="3"/>
        <v>1</v>
      </c>
    </row>
    <row r="80" spans="1:93" ht="15" customHeight="1">
      <c r="A80" s="12" t="s">
        <v>380</v>
      </c>
      <c r="B80" s="12">
        <v>2320.3645529999999</v>
      </c>
      <c r="C80" s="12">
        <v>5635.0634316666674</v>
      </c>
      <c r="D80" s="12">
        <v>7231.2537600000005</v>
      </c>
      <c r="E80" s="12">
        <v>7459.0410083333336</v>
      </c>
      <c r="F80" s="12">
        <v>7602.2786333333333</v>
      </c>
      <c r="G80" s="12">
        <v>7810.0594583333332</v>
      </c>
      <c r="H80" s="12">
        <v>8061.364305000001</v>
      </c>
      <c r="I80" s="12">
        <v>8117.6735775000006</v>
      </c>
      <c r="J80" s="12">
        <v>8212.8388755000014</v>
      </c>
      <c r="K80" s="12">
        <v>8297.85</v>
      </c>
      <c r="L80" s="12" t="s">
        <v>381</v>
      </c>
      <c r="M80" s="12">
        <v>2885.1126651666664</v>
      </c>
      <c r="N80" s="12">
        <v>6508.8633258333339</v>
      </c>
      <c r="O80" s="12">
        <v>8259.3212916666671</v>
      </c>
      <c r="P80" s="12">
        <v>8497.1580750000012</v>
      </c>
      <c r="Q80" s="12">
        <v>8632.7612166666659</v>
      </c>
      <c r="R80" s="12">
        <v>8901.2500749999999</v>
      </c>
      <c r="S80" s="12">
        <v>9146.1614250000002</v>
      </c>
      <c r="T80" s="12">
        <v>9172.306330833333</v>
      </c>
      <c r="U80" s="12">
        <v>9195.2056395</v>
      </c>
      <c r="V80" s="12">
        <v>9387.25</v>
      </c>
      <c r="W80" s="12" t="s">
        <v>382</v>
      </c>
      <c r="Y80" s="12" t="s">
        <v>380</v>
      </c>
      <c r="Z80" s="12">
        <v>7325.1679846666657</v>
      </c>
      <c r="AA80" s="12">
        <v>7337.7947233333325</v>
      </c>
      <c r="AB80" s="12">
        <v>7353.5781466666658</v>
      </c>
      <c r="AC80" s="12">
        <v>7529.97865</v>
      </c>
      <c r="AD80" s="12">
        <v>7643.9050333333325</v>
      </c>
      <c r="AE80" s="12">
        <v>7769.4439083333327</v>
      </c>
      <c r="AF80" s="12">
        <v>8304.2379700000001</v>
      </c>
      <c r="AG80" s="12">
        <v>8354.0514516666663</v>
      </c>
      <c r="AH80" s="12">
        <v>8393.9022369999984</v>
      </c>
      <c r="AI80" s="12">
        <v>8521.27</v>
      </c>
      <c r="AJ80" s="12" t="s">
        <v>383</v>
      </c>
      <c r="AK80" s="12">
        <v>8363.4892290000007</v>
      </c>
      <c r="AL80" s="12">
        <v>8371.8934783333334</v>
      </c>
      <c r="AM80" s="12">
        <v>8382.3987899999993</v>
      </c>
      <c r="AN80" s="12">
        <v>8525.461283333334</v>
      </c>
      <c r="AO80" s="12">
        <v>8639.8914000000004</v>
      </c>
      <c r="AP80" s="12">
        <v>8872.6808166666669</v>
      </c>
      <c r="AQ80" s="12">
        <v>9295.592176666667</v>
      </c>
      <c r="AR80" s="12">
        <v>9370.5598716666682</v>
      </c>
      <c r="AS80" s="12">
        <v>9430.5340276666684</v>
      </c>
      <c r="AT80" s="12">
        <v>9567.67</v>
      </c>
      <c r="AU80" s="12" t="s">
        <v>383</v>
      </c>
      <c r="AW80" s="12">
        <f>IF(A80="","",MAX(0,MIN(1,(((IF(Статистика!$C$4="Параллельный режим (активная мощность)",B80,M80)+Статистика!$J$4))-Статистика!$C$10)/MAX(Статистика!$G$10-Статистика!$C$10,0.000001))))</f>
        <v>0</v>
      </c>
      <c r="AX80" s="12">
        <f>IF(A80="","",MAX(0,MAX(0,MIN(1,(((IF(Статистика!$C$4="Параллельный режим (активная мощность)",D80,O80)+Статистика!$J$4))-Статистика!$C$10)/MAX(Статистика!$G$10-Статистика!$C$10,0.000001)))-MAX(0,MIN(1,(((IF(Статистика!$C$4="Параллельный режим (активная мощность)",B80,M80)+Статистика!$J$4))-Статистика!$C$10)/MAX(Статистика!$G$10-Статистика!$C$10,0.000001)))))</f>
        <v>0.41041792000000016</v>
      </c>
      <c r="AY80" s="12">
        <f>IF(A80="","",MAX(0,MAX(0,MIN(1,(((IF(Статистика!$C$4="Параллельный режим (активная мощность)",E80,P80)+Статистика!$J$4))-Статистика!$C$10)/MAX(Статистика!$G$10-Статистика!$C$10,0.000001)))-MAX(0,MIN(1,(((IF(Статистика!$C$4="Параллельный режим (активная мощность)",D80,O80)+Статистика!$J$4))-Статистика!$C$10)/MAX(Статистика!$G$10-Статистика!$C$10,0.000001)))))</f>
        <v>7.5929082777777712E-2</v>
      </c>
      <c r="AZ80" s="12">
        <f>IF(A80="","",MAX(0,MAX(0,MIN(1,(((IF(Статистика!$C$4="Параллельный режим (активная мощность)",F80,Q80)+Статистика!$J$4))-Статистика!$C$10)/MAX(Статистика!$G$10-Статистика!$C$10,0.000001)))-MAX(0,MIN(1,(((IF(Статистика!$C$4="Параллельный режим (активная мощность)",E80,P80)+Статистика!$J$4))-Статистика!$C$10)/MAX(Статистика!$G$10-Статистика!$C$10,0.000001)))))</f>
        <v>4.7745874999999938E-2</v>
      </c>
      <c r="BA80" s="12">
        <f>IF(A80="","",MAX(0,MAX(0,MIN(1,(((IF(Статистика!$C$4="Параллельный режим (активная мощность)",G80,R80)+Статистика!$J$4))-Статистика!$C$10)/MAX(Статистика!$G$10-Статистика!$C$10,0.000001)))-MAX(0,MIN(1,(((IF(Статистика!$C$4="Параллельный режим (активная мощность)",F80,Q80)+Статистика!$J$4))-Статистика!$C$10)/MAX(Статистика!$G$10-Статистика!$C$10,0.000001)))))</f>
        <v>6.9260274999999871E-2</v>
      </c>
      <c r="BB80" s="12">
        <f>IF(A80="","",MAX(0,MAX(0,MIN(1,(((IF(Статистика!$C$4="Параллельный режим (активная мощность)",H80,S80)+Статистика!$J$4))-Статистика!$C$10)/MAX(Статистика!$G$10-Статистика!$C$10,0.000001)))-MAX(0,MIN(1,(((IF(Статистика!$C$4="Параллельный режим (активная мощность)",G80,R80)+Статистика!$J$4))-Статистика!$C$10)/MAX(Статистика!$G$10-Статистика!$C$10,0.000001)))))</f>
        <v>8.3768282222222656E-2</v>
      </c>
      <c r="BC80" s="12">
        <f>IF(A80="","",MAX(0,MAX(0,MIN(1,(((IF(Статистика!$C$4="Параллельный режим (активная мощность)",J80,U80)+Статистика!$J$4))-Статистика!$C$10)/MAX(Статистика!$G$10-Статистика!$C$10,0.000001)))-MAX(0,MIN(1,(((IF(Статистика!$C$4="Параллельный режим (активная мощность)",H80,S80)+Статистика!$J$4))-Статистика!$C$10)/MAX(Статистика!$G$10-Статистика!$C$10,0.000001)))))</f>
        <v>5.0491523500000191E-2</v>
      </c>
      <c r="BD80" s="12">
        <f>IF(A80="","",MAX(0,1-MAX(0,MIN(1,(((IF(Статистика!$C$4="Параллельный режим (активная мощность)",J80,U80)+Статистика!$J$4))-Статистика!$C$10)/MAX(Статистика!$G$10-Статистика!$C$10,0.000001)))))</f>
        <v>0.26238704149999947</v>
      </c>
      <c r="BE80" s="12">
        <f>IF(A80="",NA(),IF(Статистика!$B$8="Вкл",(((IF(Статистика!$C$4="Параллельный режим (активная мощность)",F80,Q80)+Статистика!$J$4))-Статистика!$C$10)/MAX(Статистика!$G$10-Статистика!$C$10,0.000001),NA()))</f>
        <v>0.53409287777777781</v>
      </c>
      <c r="BF80" s="12">
        <f>IF(A80="",NA(),IF(Статистика!$D$8="Вкл",(((IF(Статистика!$C$4="Параллельный режим (активная мощность)",E80,P80)+Статистика!$J$4))-Статистика!$C$10)/MAX(Статистика!$G$10-Статистика!$C$10,0.000001),NA()))</f>
        <v>0.48634700277777787</v>
      </c>
      <c r="BG80" s="12">
        <f>IF(A80="",NA(),IF(Статистика!$D$8="Вкл",(((IF(Статистика!$C$4="Параллельный режим (активная мощность)",G80,R80)+Статистика!$J$4))-Статистика!$C$10)/MAX(Статистика!$G$10-Статистика!$C$10,0.000001),NA()))</f>
        <v>0.60335315277777768</v>
      </c>
      <c r="BH80" s="12">
        <f>IF(A80="",NA(),IF(Статистика!$F$8="Вкл",(((IF(Статистика!$C$4="Параллельный режим (активная мощность)",D80,O80)+Статистика!$J$4))-Статистика!$C$10)/MAX(Статистика!$G$10-Статистика!$C$10,0.000001),NA()))</f>
        <v>0.41041792000000016</v>
      </c>
      <c r="BI80" s="12">
        <f>IF(A80="",NA(),IF(Статистика!$F$8="Вкл",(((IF(Статистика!$C$4="Параллельный режим (активная мощность)",H80,S80)+Статистика!$J$4))-Статистика!$C$10)/MAX(Статистика!$G$10-Статистика!$C$10,0.000001),NA()))</f>
        <v>0.68712143500000034</v>
      </c>
      <c r="BJ80" s="12">
        <f>IF(A80="",NA(),IF(Статистика!$H$8="Вкл",(((IF(Статистика!$C$4="Параллельный режим (активная мощность)",B80,M80)+Статистика!$J$4))-Статистика!$C$10)/MAX(Статистика!$G$10-Статистика!$C$10,0.000001),NA()))</f>
        <v>-1.2265451490000001</v>
      </c>
      <c r="BK80" s="12">
        <f>IF(A80="",NA(),IF(Статистика!$H$8="Вкл",(((IF(Статистика!$C$4="Параллельный режим (активная мощность)",J80,U80)+Статистика!$J$4))-Статистика!$C$10)/MAX(Статистика!$G$10-Статистика!$C$10,0.000001),NA()))</f>
        <v>0.73761295850000053</v>
      </c>
      <c r="BL80" s="12" t="e">
        <f>IF(A80="",NA(),IF(Статистика!$J$8="Вкл",(((IF(Статистика!$C$4="Параллельный режим (активная мощность)",K80,V80)+Статистика!$J$4))-Статистика!$C$10)/MAX(Статистика!$G$10-Статистика!$C$10,0.000001),NA()))</f>
        <v>#N/A</v>
      </c>
      <c r="BM80" s="12" t="e">
        <f>IF(AND(A80&lt;&gt;"",Статистика!$C$6="Вкл",Статистика!$B$6&gt;0),(Статистика!$B$6-Статистика!$C$10)/MAX(Статистика!$G$10-Статистика!$C$10,0.000001),NA())</f>
        <v>#N/A</v>
      </c>
      <c r="BN80" s="12" t="e">
        <f>IF(AND(A80&lt;&gt;"",Статистика!$F$6="Вкл",Статистика!$E$6&gt;0),(Статистика!$E$6-Статистика!$C$10)/MAX(Статистика!$G$10-Статистика!$C$10,0.000001),NA())</f>
        <v>#N/A</v>
      </c>
      <c r="BO80" s="12" t="e">
        <f>IF(AND(A80&lt;&gt;"",Статистика!$I$6="Вкл",Статистика!$H$6&gt;0),(Статистика!$H$6-Статистика!$C$10)/MAX(Статистика!$G$10-Статистика!$C$10,0.000001),NA())</f>
        <v>#N/A</v>
      </c>
      <c r="BP80" s="12" t="e">
        <f>IF(AND(A80&lt;&gt;"",Статистика!$L$6="Вкл",Статистика!$K$6&gt;0),(Статистика!$K$6-Статистика!$C$10)/MAX(Статистика!$G$10-Статистика!$C$10,0.000001),NA())</f>
        <v>#N/A</v>
      </c>
      <c r="BQ80" s="12" t="e">
        <f>IF(AND(A80&lt;&gt;"",Статистика!$M$6="Вкл",Статистика!$O$6&gt;0),(Статистика!$O$6-Статистика!$C$10)/MAX(Статистика!$G$10-Статистика!$C$10,0.000001),NA())</f>
        <v>#N/A</v>
      </c>
      <c r="BR80" s="12">
        <f t="shared" si="2"/>
        <v>1</v>
      </c>
      <c r="BT80" s="12">
        <f>IF(Y80="","",MAX(0,MIN(1,(((IF(Статистика!$C$4="Параллельный режим (активная мощность)",Z80,AK80)+Статистика!$J$4))-Статистика!$C$10)/MAX(Статистика!$G$10-Статистика!$C$10,0.000001))))</f>
        <v>0.44172266155555523</v>
      </c>
      <c r="BU80" s="12">
        <f>IF(Y80="","",MAX(0,MAX(0,MIN(1,(((IF(Статистика!$C$4="Параллельный режим (активная мощность)",AB80,AM80)+Статистика!$J$4))-Статистика!$C$10)/MAX(Статистика!$G$10-Статистика!$C$10,0.000001)))-MAX(0,MIN(1,(((IF(Статистика!$C$4="Параллельный режим (активная мощность)",Z80,AK80)+Статистика!$J$4))-Статистика!$C$10)/MAX(Статистика!$G$10-Статистика!$C$10,0.000001)))))</f>
        <v>9.470054000000061E-3</v>
      </c>
      <c r="BV80" s="12">
        <f>IF(Y80="","",MAX(0,MAX(0,MIN(1,(((IF(Статистика!$C$4="Параллельный режим (активная мощность)",AC80,AN80)+Статистика!$J$4))-Статистика!$C$10)/MAX(Статистика!$G$10-Статистика!$C$10,0.000001)))-MAX(0,MIN(1,(((IF(Статистика!$C$4="Параллельный режим (активная мощность)",AB80,AM80)+Статистика!$J$4))-Статистика!$C$10)/MAX(Статистика!$G$10-Статистика!$C$10,0.000001)))))</f>
        <v>5.8800167777778078E-2</v>
      </c>
      <c r="BW80" s="12">
        <f>IF(Y80="","",MAX(0,MAX(0,MIN(1,(((IF(Статистика!$C$4="Параллельный режим (активная мощность)",AD80,AO80)+Статистика!$J$4))-Статистика!$C$10)/MAX(Статистика!$G$10-Статистика!$C$10,0.000001)))-MAX(0,MIN(1,(((IF(Статистика!$C$4="Параллельный режим (активная мощность)",AC80,AN80)+Статистика!$J$4))-Статистика!$C$10)/MAX(Статистика!$G$10-Статистика!$C$10,0.000001)))))</f>
        <v>3.7975461111110831E-2</v>
      </c>
      <c r="BX80" s="12">
        <f>IF(Y80="","",MAX(0,MAX(0,MIN(1,(((IF(Статистика!$C$4="Параллельный режим (активная мощность)",AE80,AP80)+Статистика!$J$4))-Статистика!$C$10)/MAX(Статистика!$G$10-Статистика!$C$10,0.000001)))-MAX(0,MIN(1,(((IF(Статистика!$C$4="Параллельный режим (активная мощность)",AD80,AO80)+Статистика!$J$4))-Статистика!$C$10)/MAX(Статистика!$G$10-Статистика!$C$10,0.000001)))))</f>
        <v>4.1846291666666757E-2</v>
      </c>
      <c r="BY80" s="12">
        <f>IF(Y80="","",MAX(0,MAX(0,MIN(1,(((IF(Статистика!$C$4="Параллельный режим (активная мощность)",AF80,AQ80)+Статистика!$J$4))-Статистика!$C$10)/MAX(Статистика!$G$10-Статистика!$C$10,0.000001)))-MAX(0,MIN(1,(((IF(Статистика!$C$4="Параллельный режим (активная мощность)",AE80,AP80)+Статистика!$J$4))-Статистика!$C$10)/MAX(Статистика!$G$10-Статистика!$C$10,0.000001)))))</f>
        <v>0.17826468722222244</v>
      </c>
      <c r="BZ80" s="12">
        <f>IF(Y80="","",MAX(0,MAX(0,MIN(1,(((IF(Статистика!$C$4="Параллельный режим (активная мощность)",AH80,AS80)+Статистика!$J$4))-Статистика!$C$10)/MAX(Статистика!$G$10-Статистика!$C$10,0.000001)))-MAX(0,MIN(1,(((IF(Статистика!$C$4="Параллельный режим (активная мощность)",AF80,AQ80)+Статистика!$J$4))-Статистика!$C$10)/MAX(Статистика!$G$10-Статистика!$C$10,0.000001)))))</f>
        <v>2.9888088999999396E-2</v>
      </c>
      <c r="CA80" s="12">
        <f>IF(Y80="","",MAX(0,1-MAX(0,MIN(1,(((IF(Статистика!$C$4="Параллельный режим (активная мощность)",AH80,AS80)+Статистика!$J$4))-Статистика!$C$10)/MAX(Статистика!$G$10-Статистика!$C$10,0.000001)))))</f>
        <v>0.20203258766666721</v>
      </c>
      <c r="CB80" s="12">
        <f>IF(Y80="",NA(),IF(Статистика!$B$8="Вкл",(((IF(Статистика!$C$4="Параллельный режим (активная мощность)",AD80,AO80)+Статистика!$J$4))-Статистика!$C$10)/MAX(Статистика!$G$10-Статистика!$C$10,0.000001),NA()))</f>
        <v>0.5479683444444442</v>
      </c>
      <c r="CC80" s="12">
        <f>IF(Y80="",NA(),IF(Статистика!$D$8="Вкл",(((IF(Статистика!$C$4="Параллельный режим (активная мощность)",AC80,AN80)+Статистика!$J$4))-Статистика!$C$10)/MAX(Статистика!$G$10-Статистика!$C$10,0.000001),NA()))</f>
        <v>0.50999288333333337</v>
      </c>
      <c r="CD80" s="12">
        <f>IF(Y80="",NA(),IF(Статистика!$D$8="Вкл",(((IF(Статистика!$C$4="Параллельный режим (активная мощность)",AE80,AP80)+Статистика!$J$4))-Статистика!$C$10)/MAX(Статистика!$G$10-Статистика!$C$10,0.000001),NA()))</f>
        <v>0.58981463611111096</v>
      </c>
      <c r="CE80" s="12">
        <f>IF(Y80="",NA(),IF(Статистика!$F$8="Вкл",(((IF(Статистика!$C$4="Параллельный режим (активная мощность)",AB80,AM80)+Статистика!$J$4))-Статистика!$C$10)/MAX(Статистика!$G$10-Статистика!$C$10,0.000001),NA()))</f>
        <v>0.45119271555555529</v>
      </c>
      <c r="CF80" s="12">
        <f>IF(Y80="",NA(),IF(Статистика!$F$8="Вкл",(((IF(Статистика!$C$4="Параллельный режим (активная мощность)",AF80,AQ80)+Статистика!$J$4))-Статистика!$C$10)/MAX(Статистика!$G$10-Статистика!$C$10,0.000001),NA()))</f>
        <v>0.7680793233333334</v>
      </c>
      <c r="CG80" s="12">
        <f>IF(Y80="",NA(),IF(Статистика!$H$8="Вкл",(((IF(Статистика!$C$4="Параллельный режим (активная мощность)",Z80,AK80)+Статистика!$J$4))-Статистика!$C$10)/MAX(Статистика!$G$10-Статистика!$C$10,0.000001),NA()))</f>
        <v>0.44172266155555523</v>
      </c>
      <c r="CH80" s="12">
        <f>IF(Y80="",NA(),IF(Статистика!$H$8="Вкл",(((IF(Статистика!$C$4="Параллельный режим (активная мощность)",AH80,AS80)+Статистика!$J$4))-Статистика!$C$10)/MAX(Статистика!$G$10-Статистика!$C$10,0.000001),NA()))</f>
        <v>0.79796741233333279</v>
      </c>
      <c r="CI80" s="12" t="e">
        <f>IF(Y80="",NA(),IF(Статистика!$J$8="Вкл",(((IF(Статистика!$C$4="Параллельный режим (активная мощность)",AI80,AT80)+Статистика!$J$4))-Статистика!$C$10)/MAX(Статистика!$G$10-Статистика!$C$10,0.000001),NA()))</f>
        <v>#N/A</v>
      </c>
      <c r="CJ80" s="12" t="e">
        <f>IF(AND(Y80&lt;&gt;"",Статистика!$C$6="Вкл",Статистика!$B$6&gt;0),(Статистика!$B$6-Статистика!$C$10)/MAX(Статистика!$G$10-Статистика!$C$10,0.000001),NA())</f>
        <v>#N/A</v>
      </c>
      <c r="CK80" s="12" t="e">
        <f>IF(AND(Y80&lt;&gt;"",Статистика!$F$6="Вкл",Статистика!$E$6&gt;0),(Статистика!$E$6-Статистика!$C$10)/MAX(Статистика!$G$10-Статистика!$C$10,0.000001),NA())</f>
        <v>#N/A</v>
      </c>
      <c r="CL80" s="12" t="e">
        <f>IF(AND(Y80&lt;&gt;"",Статистика!$I$6="Вкл",Статистика!$H$6&gt;0),(Статистика!$H$6-Статистика!$C$10)/MAX(Статистика!$G$10-Статистика!$C$10,0.000001),NA())</f>
        <v>#N/A</v>
      </c>
      <c r="CM80" s="12" t="e">
        <f>IF(AND(Y80&lt;&gt;"",Статистика!$L$6="Вкл",Статистика!$K$6&gt;0),(Статистика!$K$6-Статистика!$C$10)/MAX(Статистика!$G$10-Статистика!$C$10,0.000001),NA())</f>
        <v>#N/A</v>
      </c>
      <c r="CN80" s="12" t="e">
        <f>IF(AND(Y80&lt;&gt;"",Статистика!$M$6="Вкл",Статистика!$O$6&gt;0),(Статистика!$O$6-Статистика!$C$10)/MAX(Статистика!$G$10-Статистика!$C$10,0.000001),NA())</f>
        <v>#N/A</v>
      </c>
      <c r="CO80" s="12">
        <f t="shared" si="3"/>
        <v>1</v>
      </c>
    </row>
    <row r="81" spans="1:93" ht="15" customHeight="1">
      <c r="A81" s="12" t="s">
        <v>384</v>
      </c>
      <c r="B81" s="12">
        <v>2304.0827759999997</v>
      </c>
      <c r="C81" s="12">
        <v>5634.9776133333335</v>
      </c>
      <c r="D81" s="12">
        <v>7218.2266799999998</v>
      </c>
      <c r="E81" s="12">
        <v>7448.5198</v>
      </c>
      <c r="F81" s="12">
        <v>7600.8287</v>
      </c>
      <c r="G81" s="12">
        <v>7795.0435333333326</v>
      </c>
      <c r="H81" s="12">
        <v>8026.8664999999992</v>
      </c>
      <c r="I81" s="12">
        <v>8082.0526466666652</v>
      </c>
      <c r="J81" s="12">
        <v>8192.7842359999977</v>
      </c>
      <c r="K81" s="12">
        <v>8426.7099999999991</v>
      </c>
      <c r="L81" s="12" t="s">
        <v>385</v>
      </c>
      <c r="M81" s="12">
        <v>2861.5095528333331</v>
      </c>
      <c r="N81" s="12">
        <v>6512.328697500001</v>
      </c>
      <c r="O81" s="12">
        <v>8247.7441833333341</v>
      </c>
      <c r="P81" s="12">
        <v>8484.5836499999987</v>
      </c>
      <c r="Q81" s="12">
        <v>8600.3189666666658</v>
      </c>
      <c r="R81" s="12">
        <v>8910.9859416666659</v>
      </c>
      <c r="S81" s="12">
        <v>9055.9826100000009</v>
      </c>
      <c r="T81" s="12">
        <v>9105.0244025000011</v>
      </c>
      <c r="U81" s="12">
        <v>9156.1578405</v>
      </c>
      <c r="V81" s="12">
        <v>9356.09</v>
      </c>
      <c r="W81" s="12" t="s">
        <v>385</v>
      </c>
      <c r="Y81" s="12" t="s">
        <v>384</v>
      </c>
      <c r="Z81" s="12">
        <v>7313.1375596666667</v>
      </c>
      <c r="AA81" s="12">
        <v>7316.5957983333337</v>
      </c>
      <c r="AB81" s="12">
        <v>7320.9185966666673</v>
      </c>
      <c r="AC81" s="12">
        <v>7504.5393916666671</v>
      </c>
      <c r="AD81" s="12">
        <v>7586.3201999999992</v>
      </c>
      <c r="AE81" s="12">
        <v>7749.9207166666665</v>
      </c>
      <c r="AF81" s="12">
        <v>8257.938180000001</v>
      </c>
      <c r="AG81" s="12">
        <v>8304.5341066666679</v>
      </c>
      <c r="AH81" s="12">
        <v>8341.810848000001</v>
      </c>
      <c r="AI81" s="12">
        <v>8551.9</v>
      </c>
      <c r="AJ81" s="12" t="s">
        <v>386</v>
      </c>
      <c r="AK81" s="12">
        <v>8366.6540201666667</v>
      </c>
      <c r="AL81" s="12">
        <v>8381.9734341666681</v>
      </c>
      <c r="AM81" s="12">
        <v>8401.1227016666671</v>
      </c>
      <c r="AN81" s="12">
        <v>8478.5425749999995</v>
      </c>
      <c r="AO81" s="12">
        <v>8552.0576333333338</v>
      </c>
      <c r="AP81" s="12">
        <v>8816.7464916666668</v>
      </c>
      <c r="AQ81" s="12">
        <v>9250.284901666666</v>
      </c>
      <c r="AR81" s="12">
        <v>9313.4524841666644</v>
      </c>
      <c r="AS81" s="12">
        <v>9363.9865501666645</v>
      </c>
      <c r="AT81" s="12">
        <v>9542.09</v>
      </c>
      <c r="AU81" s="12" t="s">
        <v>386</v>
      </c>
      <c r="AW81" s="12">
        <f>IF(A81="","",MAX(0,MIN(1,(((IF(Статистика!$C$4="Параллельный режим (активная мощность)",B81,M81)+Статистика!$J$4))-Статистика!$C$10)/MAX(Статистика!$G$10-Статистика!$C$10,0.000001))))</f>
        <v>0</v>
      </c>
      <c r="AX81" s="12">
        <f>IF(A81="","",MAX(0,MAX(0,MIN(1,(((IF(Статистика!$C$4="Параллельный режим (активная мощность)",D81,O81)+Статистика!$J$4))-Статистика!$C$10)/MAX(Статистика!$G$10-Статистика!$C$10,0.000001)))-MAX(0,MIN(1,(((IF(Статистика!$C$4="Параллельный режим (активная мощность)",B81,M81)+Статистика!$J$4))-Статистика!$C$10)/MAX(Статистика!$G$10-Статистика!$C$10,0.000001)))))</f>
        <v>0.40607555999999995</v>
      </c>
      <c r="AY81" s="12">
        <f>IF(A81="","",MAX(0,MAX(0,MIN(1,(((IF(Статистика!$C$4="Параллельный режим (активная мощность)",E81,P81)+Статистика!$J$4))-Статистика!$C$10)/MAX(Статистика!$G$10-Статистика!$C$10,0.000001)))-MAX(0,MIN(1,(((IF(Статистика!$C$4="Параллельный режим (активная мощность)",D81,O81)+Статистика!$J$4))-Статистика!$C$10)/MAX(Статистика!$G$10-Статистика!$C$10,0.000001)))))</f>
        <v>7.6764373333333413E-2</v>
      </c>
      <c r="AZ81" s="12">
        <f>IF(A81="","",MAX(0,MAX(0,MIN(1,(((IF(Статистика!$C$4="Параллельный режим (активная мощность)",F81,Q81)+Статистика!$J$4))-Статистика!$C$10)/MAX(Статистика!$G$10-Статистика!$C$10,0.000001)))-MAX(0,MIN(1,(((IF(Статистика!$C$4="Параллельный режим (активная мощность)",E81,P81)+Статистика!$J$4))-Статистика!$C$10)/MAX(Статистика!$G$10-Статистика!$C$10,0.000001)))))</f>
        <v>5.0769633333333342E-2</v>
      </c>
      <c r="BA81" s="12">
        <f>IF(A81="","",MAX(0,MAX(0,MIN(1,(((IF(Статистика!$C$4="Параллельный режим (активная мощность)",G81,R81)+Статистика!$J$4))-Статистика!$C$10)/MAX(Статистика!$G$10-Статистика!$C$10,0.000001)))-MAX(0,MIN(1,(((IF(Статистика!$C$4="Параллельный режим (активная мощность)",F81,Q81)+Статистика!$J$4))-Статистика!$C$10)/MAX(Статистика!$G$10-Статистика!$C$10,0.000001)))))</f>
        <v>6.473827777777752E-2</v>
      </c>
      <c r="BB81" s="12">
        <f>IF(A81="","",MAX(0,MAX(0,MIN(1,(((IF(Статистика!$C$4="Параллельный режим (активная мощность)",H81,S81)+Статистика!$J$4))-Статистика!$C$10)/MAX(Статистика!$G$10-Статистика!$C$10,0.000001)))-MAX(0,MIN(1,(((IF(Статистика!$C$4="Параллельный режим (активная мощность)",G81,R81)+Статистика!$J$4))-Статистика!$C$10)/MAX(Статистика!$G$10-Статистика!$C$10,0.000001)))))</f>
        <v>7.7274322222222191E-2</v>
      </c>
      <c r="BC81" s="12">
        <f>IF(A81="","",MAX(0,MAX(0,MIN(1,(((IF(Статистика!$C$4="Параллельный режим (активная мощность)",J81,U81)+Статистика!$J$4))-Статистика!$C$10)/MAX(Статистика!$G$10-Статистика!$C$10,0.000001)))-MAX(0,MIN(1,(((IF(Статистика!$C$4="Параллельный режим (активная мощность)",H81,S81)+Статистика!$J$4))-Статистика!$C$10)/MAX(Статистика!$G$10-Статистика!$C$10,0.000001)))))</f>
        <v>5.5305911999999458E-2</v>
      </c>
      <c r="BD81" s="12">
        <f>IF(A81="","",MAX(0,1-MAX(0,MIN(1,(((IF(Статистика!$C$4="Параллельный режим (активная мощность)",J81,U81)+Статистика!$J$4))-Статистика!$C$10)/MAX(Статистика!$G$10-Статистика!$C$10,0.000001)))))</f>
        <v>0.26907192133333413</v>
      </c>
      <c r="BE81" s="12">
        <f>IF(A81="",NA(),IF(Статистика!$B$8="Вкл",(((IF(Статистика!$C$4="Параллельный режим (активная мощность)",F81,Q81)+Статистика!$J$4))-Статистика!$C$10)/MAX(Статистика!$G$10-Статистика!$C$10,0.000001),NA()))</f>
        <v>0.5336095666666667</v>
      </c>
      <c r="BF81" s="12">
        <f>IF(A81="",NA(),IF(Статистика!$D$8="Вкл",(((IF(Статистика!$C$4="Параллельный режим (активная мощность)",E81,P81)+Статистика!$J$4))-Статистика!$C$10)/MAX(Статистика!$G$10-Статистика!$C$10,0.000001),NA()))</f>
        <v>0.48283993333333336</v>
      </c>
      <c r="BG81" s="12">
        <f>IF(A81="",NA(),IF(Статистика!$D$8="Вкл",(((IF(Статистика!$C$4="Параллельный режим (активная мощность)",G81,R81)+Статистика!$J$4))-Статистика!$C$10)/MAX(Статистика!$G$10-Статистика!$C$10,0.000001),NA()))</f>
        <v>0.59834784444444422</v>
      </c>
      <c r="BH81" s="12">
        <f>IF(A81="",NA(),IF(Статистика!$F$8="Вкл",(((IF(Статистика!$C$4="Параллельный режим (активная мощность)",D81,O81)+Статистика!$J$4))-Статистика!$C$10)/MAX(Статистика!$G$10-Статистика!$C$10,0.000001),NA()))</f>
        <v>0.40607555999999995</v>
      </c>
      <c r="BI81" s="12">
        <f>IF(A81="",NA(),IF(Статистика!$F$8="Вкл",(((IF(Статистика!$C$4="Параллельный режим (активная мощность)",H81,S81)+Статистика!$J$4))-Статистика!$C$10)/MAX(Статистика!$G$10-Статистика!$C$10,0.000001),NA()))</f>
        <v>0.67562216666666641</v>
      </c>
      <c r="BJ81" s="12">
        <f>IF(A81="",NA(),IF(Статистика!$H$8="Вкл",(((IF(Статистика!$C$4="Параллельный режим (активная мощность)",B81,M81)+Статистика!$J$4))-Статистика!$C$10)/MAX(Статистика!$G$10-Статистика!$C$10,0.000001),NA()))</f>
        <v>-1.2319724080000001</v>
      </c>
      <c r="BK81" s="12">
        <f>IF(A81="",NA(),IF(Статистика!$H$8="Вкл",(((IF(Статистика!$C$4="Параллельный режим (активная мощность)",J81,U81)+Статистика!$J$4))-Статистика!$C$10)/MAX(Статистика!$G$10-Статистика!$C$10,0.000001),NA()))</f>
        <v>0.73092807866666587</v>
      </c>
      <c r="BL81" s="12" t="e">
        <f>IF(A81="",NA(),IF(Статистика!$J$8="Вкл",(((IF(Статистика!$C$4="Параллельный режим (активная мощность)",K81,V81)+Статистика!$J$4))-Статистика!$C$10)/MAX(Статистика!$G$10-Статистика!$C$10,0.000001),NA()))</f>
        <v>#N/A</v>
      </c>
      <c r="BM81" s="12" t="e">
        <f>IF(AND(A81&lt;&gt;"",Статистика!$C$6="Вкл",Статистика!$B$6&gt;0),(Статистика!$B$6-Статистика!$C$10)/MAX(Статистика!$G$10-Статистика!$C$10,0.000001),NA())</f>
        <v>#N/A</v>
      </c>
      <c r="BN81" s="12" t="e">
        <f>IF(AND(A81&lt;&gt;"",Статистика!$F$6="Вкл",Статистика!$E$6&gt;0),(Статистика!$E$6-Статистика!$C$10)/MAX(Статистика!$G$10-Статистика!$C$10,0.000001),NA())</f>
        <v>#N/A</v>
      </c>
      <c r="BO81" s="12" t="e">
        <f>IF(AND(A81&lt;&gt;"",Статистика!$I$6="Вкл",Статистика!$H$6&gt;0),(Статистика!$H$6-Статистика!$C$10)/MAX(Статистика!$G$10-Статистика!$C$10,0.000001),NA())</f>
        <v>#N/A</v>
      </c>
      <c r="BP81" s="12" t="e">
        <f>IF(AND(A81&lt;&gt;"",Статистика!$L$6="Вкл",Статистика!$K$6&gt;0),(Статистика!$K$6-Статистика!$C$10)/MAX(Статистика!$G$10-Статистика!$C$10,0.000001),NA())</f>
        <v>#N/A</v>
      </c>
      <c r="BQ81" s="12" t="e">
        <f>IF(AND(A81&lt;&gt;"",Статистика!$M$6="Вкл",Статистика!$O$6&gt;0),(Статистика!$O$6-Статистика!$C$10)/MAX(Статистика!$G$10-Статистика!$C$10,0.000001),NA())</f>
        <v>#N/A</v>
      </c>
      <c r="BR81" s="12">
        <f t="shared" si="2"/>
        <v>1</v>
      </c>
      <c r="BT81" s="12">
        <f>IF(Y81="","",MAX(0,MIN(1,(((IF(Статистика!$C$4="Параллельный режим (активная мощность)",Z81,AK81)+Статистика!$J$4))-Статистика!$C$10)/MAX(Статистика!$G$10-Статистика!$C$10,0.000001))))</f>
        <v>0.43771251988888887</v>
      </c>
      <c r="BU81" s="12">
        <f>IF(Y81="","",MAX(0,MAX(0,MIN(1,(((IF(Статистика!$C$4="Параллельный режим (активная мощность)",AB81,AM81)+Статистика!$J$4))-Статистика!$C$10)/MAX(Статистика!$G$10-Статистика!$C$10,0.000001)))-MAX(0,MIN(1,(((IF(Статистика!$C$4="Параллельный режим (активная мощность)",Z81,AK81)+Статистика!$J$4))-Статистика!$C$10)/MAX(Статистика!$G$10-Статистика!$C$10,0.000001)))))</f>
        <v>2.5936790000002374E-3</v>
      </c>
      <c r="BV81" s="12">
        <f>IF(Y81="","",MAX(0,MAX(0,MIN(1,(((IF(Статистика!$C$4="Параллельный режим (активная мощность)",AC81,AN81)+Статистика!$J$4))-Статистика!$C$10)/MAX(Статистика!$G$10-Статистика!$C$10,0.000001)))-MAX(0,MIN(1,(((IF(Статистика!$C$4="Параллельный режим (активная мощность)",AB81,AM81)+Статистика!$J$4))-Статистика!$C$10)/MAX(Статистика!$G$10-Статистика!$C$10,0.000001)))))</f>
        <v>6.1206931666666575E-2</v>
      </c>
      <c r="BW81" s="12">
        <f>IF(Y81="","",MAX(0,MAX(0,MIN(1,(((IF(Статистика!$C$4="Параллельный режим (активная мощность)",AD81,AO81)+Статистика!$J$4))-Статистика!$C$10)/MAX(Статистика!$G$10-Статистика!$C$10,0.000001)))-MAX(0,MIN(1,(((IF(Статистика!$C$4="Параллельный режим (активная мощность)",AC81,AN81)+Статистика!$J$4))-Статистика!$C$10)/MAX(Статистика!$G$10-Статистика!$C$10,0.000001)))))</f>
        <v>2.7260269444444041E-2</v>
      </c>
      <c r="BX81" s="12">
        <f>IF(Y81="","",MAX(0,MAX(0,MIN(1,(((IF(Статистика!$C$4="Параллельный режим (активная мощность)",AE81,AP81)+Статистика!$J$4))-Статистика!$C$10)/MAX(Статистика!$G$10-Статистика!$C$10,0.000001)))-MAX(0,MIN(1,(((IF(Статистика!$C$4="Параллельный режим (активная мощность)",AD81,AO81)+Статистика!$J$4))-Статистика!$C$10)/MAX(Статистика!$G$10-Статистика!$C$10,0.000001)))))</f>
        <v>5.4533505555555806E-2</v>
      </c>
      <c r="BY81" s="12">
        <f>IF(Y81="","",MAX(0,MAX(0,MIN(1,(((IF(Статистика!$C$4="Параллельный режим (активная мощность)",AF81,AQ81)+Статистика!$J$4))-Статистика!$C$10)/MAX(Статистика!$G$10-Статистика!$C$10,0.000001)))-MAX(0,MIN(1,(((IF(Статистика!$C$4="Параллельный режим (активная мощность)",AE81,AP81)+Статистика!$J$4))-Статистика!$C$10)/MAX(Статистика!$G$10-Статистика!$C$10,0.000001)))))</f>
        <v>0.16933915444444481</v>
      </c>
      <c r="BZ81" s="12">
        <f>IF(Y81="","",MAX(0,MAX(0,MIN(1,(((IF(Статистика!$C$4="Параллельный режим (активная мощность)",AH81,AS81)+Статистика!$J$4))-Статистика!$C$10)/MAX(Статистика!$G$10-Статистика!$C$10,0.000001)))-MAX(0,MIN(1,(((IF(Статистика!$C$4="Параллельный режим (активная мощность)",AF81,AQ81)+Статистика!$J$4))-Статистика!$C$10)/MAX(Статистика!$G$10-Статистика!$C$10,0.000001)))))</f>
        <v>2.7957555999999939E-2</v>
      </c>
      <c r="CA81" s="12">
        <f>IF(Y81="","",MAX(0,1-MAX(0,MIN(1,(((IF(Статистика!$C$4="Параллельный режим (активная мощность)",AH81,AS81)+Статистика!$J$4))-Статистика!$C$10)/MAX(Статистика!$G$10-Статистика!$C$10,0.000001)))))</f>
        <v>0.21939638399999972</v>
      </c>
      <c r="CB81" s="12">
        <f>IF(Y81="",NA(),IF(Статистика!$B$8="Вкл",(((IF(Статистика!$C$4="Параллельный режим (активная мощность)",AD81,AO81)+Статистика!$J$4))-Статистика!$C$10)/MAX(Статистика!$G$10-Статистика!$C$10,0.000001),NA()))</f>
        <v>0.52877339999999973</v>
      </c>
      <c r="CC81" s="12">
        <f>IF(Y81="",NA(),IF(Статистика!$D$8="Вкл",(((IF(Статистика!$C$4="Параллельный режим (активная мощность)",AC81,AN81)+Статистика!$J$4))-Статистика!$C$10)/MAX(Статистика!$G$10-Статистика!$C$10,0.000001),NA()))</f>
        <v>0.50151313055555569</v>
      </c>
      <c r="CD81" s="12">
        <f>IF(Y81="",NA(),IF(Статистика!$D$8="Вкл",(((IF(Статистика!$C$4="Параллельный режим (активная мощность)",AE81,AP81)+Статистика!$J$4))-Статистика!$C$10)/MAX(Статистика!$G$10-Статистика!$C$10,0.000001),NA()))</f>
        <v>0.58330690555555553</v>
      </c>
      <c r="CE81" s="12">
        <f>IF(Y81="",NA(),IF(Статистика!$F$8="Вкл",(((IF(Статистика!$C$4="Параллельный режим (активная мощность)",AB81,AM81)+Статистика!$J$4))-Статистика!$C$10)/MAX(Статистика!$G$10-Статистика!$C$10,0.000001),NA()))</f>
        <v>0.44030619888888911</v>
      </c>
      <c r="CF81" s="12">
        <f>IF(Y81="",NA(),IF(Статистика!$F$8="Вкл",(((IF(Статистика!$C$4="Параллельный режим (активная мощность)",AF81,AQ81)+Статистика!$J$4))-Статистика!$C$10)/MAX(Статистика!$G$10-Статистика!$C$10,0.000001),NA()))</f>
        <v>0.75264606000000034</v>
      </c>
      <c r="CG81" s="12">
        <f>IF(Y81="",NA(),IF(Статистика!$H$8="Вкл",(((IF(Статистика!$C$4="Параллельный режим (активная мощность)",Z81,AK81)+Статистика!$J$4))-Статистика!$C$10)/MAX(Статистика!$G$10-Статистика!$C$10,0.000001),NA()))</f>
        <v>0.43771251988888887</v>
      </c>
      <c r="CH81" s="12">
        <f>IF(Y81="",NA(),IF(Статистика!$H$8="Вкл",(((IF(Статистика!$C$4="Параллельный режим (активная мощность)",AH81,AS81)+Статистика!$J$4))-Статистика!$C$10)/MAX(Статистика!$G$10-Статистика!$C$10,0.000001),NA()))</f>
        <v>0.78060361600000028</v>
      </c>
      <c r="CI81" s="12" t="e">
        <f>IF(Y81="",NA(),IF(Статистика!$J$8="Вкл",(((IF(Статистика!$C$4="Параллельный режим (активная мощность)",AI81,AT81)+Статистика!$J$4))-Статистика!$C$10)/MAX(Статистика!$G$10-Статистика!$C$10,0.000001),NA()))</f>
        <v>#N/A</v>
      </c>
      <c r="CJ81" s="12" t="e">
        <f>IF(AND(Y81&lt;&gt;"",Статистика!$C$6="Вкл",Статистика!$B$6&gt;0),(Статистика!$B$6-Статистика!$C$10)/MAX(Статистика!$G$10-Статистика!$C$10,0.000001),NA())</f>
        <v>#N/A</v>
      </c>
      <c r="CK81" s="12" t="e">
        <f>IF(AND(Y81&lt;&gt;"",Статистика!$F$6="Вкл",Статистика!$E$6&gt;0),(Статистика!$E$6-Статистика!$C$10)/MAX(Статистика!$G$10-Статистика!$C$10,0.000001),NA())</f>
        <v>#N/A</v>
      </c>
      <c r="CL81" s="12" t="e">
        <f>IF(AND(Y81&lt;&gt;"",Статистика!$I$6="Вкл",Статистика!$H$6&gt;0),(Статистика!$H$6-Статистика!$C$10)/MAX(Статистика!$G$10-Статистика!$C$10,0.000001),NA())</f>
        <v>#N/A</v>
      </c>
      <c r="CM81" s="12" t="e">
        <f>IF(AND(Y81&lt;&gt;"",Статистика!$L$6="Вкл",Статистика!$K$6&gt;0),(Статистика!$K$6-Статистика!$C$10)/MAX(Статистика!$G$10-Статистика!$C$10,0.000001),NA())</f>
        <v>#N/A</v>
      </c>
      <c r="CN81" s="12" t="e">
        <f>IF(AND(Y81&lt;&gt;"",Статистика!$M$6="Вкл",Статистика!$O$6&gt;0),(Статистика!$O$6-Статистика!$C$10)/MAX(Статистика!$G$10-Статистика!$C$10,0.000001),NA())</f>
        <v>#N/A</v>
      </c>
      <c r="CO81" s="12">
        <f t="shared" si="3"/>
        <v>1</v>
      </c>
    </row>
    <row r="82" spans="1:93" ht="15" customHeight="1">
      <c r="A82" s="12" t="s">
        <v>387</v>
      </c>
      <c r="B82" s="12">
        <v>2308.8931226666664</v>
      </c>
      <c r="C82" s="12">
        <v>5721.554813333335</v>
      </c>
      <c r="D82" s="12">
        <v>7342.3384916666682</v>
      </c>
      <c r="E82" s="12">
        <v>7552.1394666666665</v>
      </c>
      <c r="F82" s="12">
        <v>7722.3541833333338</v>
      </c>
      <c r="G82" s="12">
        <v>7942.9883416666671</v>
      </c>
      <c r="H82" s="12">
        <v>8165.1084099999989</v>
      </c>
      <c r="I82" s="12">
        <v>8236.5677058333331</v>
      </c>
      <c r="J82" s="12">
        <v>8314.2497544999987</v>
      </c>
      <c r="K82" s="12">
        <v>8443.4500000000007</v>
      </c>
      <c r="L82" s="12" t="s">
        <v>388</v>
      </c>
      <c r="M82" s="12">
        <v>2846.6703243333332</v>
      </c>
      <c r="N82" s="12">
        <v>6563.9458883333336</v>
      </c>
      <c r="O82" s="12">
        <v>8334.4214283333331</v>
      </c>
      <c r="P82" s="12">
        <v>8542.7428333333319</v>
      </c>
      <c r="Q82" s="12">
        <v>8725.2509499999996</v>
      </c>
      <c r="R82" s="12">
        <v>9024.8702166666662</v>
      </c>
      <c r="S82" s="12">
        <v>9157.7338483333333</v>
      </c>
      <c r="T82" s="12">
        <v>9199.1751841666664</v>
      </c>
      <c r="U82" s="12">
        <v>9252.9587968333344</v>
      </c>
      <c r="V82" s="12">
        <v>9523.4</v>
      </c>
      <c r="W82" s="12" t="s">
        <v>389</v>
      </c>
      <c r="Y82" s="12" t="s">
        <v>387</v>
      </c>
      <c r="Z82" s="12">
        <v>7443.6369853333326</v>
      </c>
      <c r="AA82" s="12">
        <v>7448.0442599999988</v>
      </c>
      <c r="AB82" s="12">
        <v>7453.5533533333328</v>
      </c>
      <c r="AC82" s="12">
        <v>7496.6304999999993</v>
      </c>
      <c r="AD82" s="12">
        <v>7696.7242999999999</v>
      </c>
      <c r="AE82" s="12">
        <v>7896.9845250000008</v>
      </c>
      <c r="AF82" s="12">
        <v>8348.8857200000002</v>
      </c>
      <c r="AG82" s="12">
        <v>8381.7933933333352</v>
      </c>
      <c r="AH82" s="12">
        <v>8408.1195320000024</v>
      </c>
      <c r="AI82" s="12">
        <v>8579.68</v>
      </c>
      <c r="AJ82" s="12" t="s">
        <v>390</v>
      </c>
      <c r="AK82" s="12">
        <v>8398.0883804999994</v>
      </c>
      <c r="AL82" s="12">
        <v>8410.0105691666668</v>
      </c>
      <c r="AM82" s="12">
        <v>8424.913305</v>
      </c>
      <c r="AN82" s="12">
        <v>8503.6256333333331</v>
      </c>
      <c r="AO82" s="12">
        <v>8637.2081666666672</v>
      </c>
      <c r="AP82" s="12">
        <v>8950.221125</v>
      </c>
      <c r="AQ82" s="12">
        <v>9322.9251416666648</v>
      </c>
      <c r="AR82" s="12">
        <v>9374.8646208333321</v>
      </c>
      <c r="AS82" s="12">
        <v>9416.4162041666641</v>
      </c>
      <c r="AT82" s="12">
        <v>9586.25</v>
      </c>
      <c r="AU82" s="12" t="s">
        <v>391</v>
      </c>
      <c r="AW82" s="12">
        <f>IF(A82="","",MAX(0,MIN(1,(((IF(Статистика!$C$4="Параллельный режим (активная мощность)",B82,M82)+Статистика!$J$4))-Статистика!$C$10)/MAX(Статистика!$G$10-Статистика!$C$10,0.000001))))</f>
        <v>0</v>
      </c>
      <c r="AX82" s="12">
        <f>IF(A82="","",MAX(0,MAX(0,MIN(1,(((IF(Статистика!$C$4="Параллельный режим (активная мощность)",D82,O82)+Статистика!$J$4))-Статистика!$C$10)/MAX(Статистика!$G$10-Статистика!$C$10,0.000001)))-MAX(0,MIN(1,(((IF(Статистика!$C$4="Параллельный режим (активная мощность)",B82,M82)+Статистика!$J$4))-Статистика!$C$10)/MAX(Статистика!$G$10-Статистика!$C$10,0.000001)))))</f>
        <v>0.44744616388888941</v>
      </c>
      <c r="AY82" s="12">
        <f>IF(A82="","",MAX(0,MAX(0,MIN(1,(((IF(Статистика!$C$4="Параллельный режим (активная мощность)",E82,P82)+Статистика!$J$4))-Статистика!$C$10)/MAX(Статистика!$G$10-Статистика!$C$10,0.000001)))-MAX(0,MIN(1,(((IF(Статистика!$C$4="Параллельный режим (активная мощность)",D82,O82)+Статистика!$J$4))-Статистика!$C$10)/MAX(Статистика!$G$10-Статистика!$C$10,0.000001)))))</f>
        <v>6.9933658333332704E-2</v>
      </c>
      <c r="AZ82" s="12">
        <f>IF(A82="","",MAX(0,MAX(0,MIN(1,(((IF(Статистика!$C$4="Параллельный режим (активная мощность)",F82,Q82)+Статистика!$J$4))-Статистика!$C$10)/MAX(Статистика!$G$10-Статистика!$C$10,0.000001)))-MAX(0,MIN(1,(((IF(Статистика!$C$4="Параллельный режим (активная мощность)",E82,P82)+Статистика!$J$4))-Статистика!$C$10)/MAX(Статистика!$G$10-Статистика!$C$10,0.000001)))))</f>
        <v>5.6738238888889181E-2</v>
      </c>
      <c r="BA82" s="12">
        <f>IF(A82="","",MAX(0,MAX(0,MIN(1,(((IF(Статистика!$C$4="Параллельный режим (активная мощность)",G82,R82)+Статистика!$J$4))-Статистика!$C$10)/MAX(Статистика!$G$10-Статистика!$C$10,0.000001)))-MAX(0,MIN(1,(((IF(Статистика!$C$4="Параллельный режим (активная мощность)",F82,Q82)+Статистика!$J$4))-Статистика!$C$10)/MAX(Статистика!$G$10-Статистика!$C$10,0.000001)))))</f>
        <v>7.3544719444444406E-2</v>
      </c>
      <c r="BB82" s="12">
        <f>IF(A82="","",MAX(0,MAX(0,MIN(1,(((IF(Статистика!$C$4="Параллельный режим (активная мощность)",H82,S82)+Статистика!$J$4))-Статистика!$C$10)/MAX(Статистика!$G$10-Статистика!$C$10,0.000001)))-MAX(0,MIN(1,(((IF(Статистика!$C$4="Параллельный режим (активная мощность)",G82,R82)+Статистика!$J$4))-Статистика!$C$10)/MAX(Статистика!$G$10-Статистика!$C$10,0.000001)))))</f>
        <v>7.4040022777777215E-2</v>
      </c>
      <c r="BC82" s="12">
        <f>IF(A82="","",MAX(0,MAX(0,MIN(1,(((IF(Статистика!$C$4="Параллельный режим (активная мощность)",J82,U82)+Статистика!$J$4))-Статистика!$C$10)/MAX(Статистика!$G$10-Статистика!$C$10,0.000001)))-MAX(0,MIN(1,(((IF(Статистика!$C$4="Параллельный режим (активная мощность)",H82,S82)+Статистика!$J$4))-Статистика!$C$10)/MAX(Статистика!$G$10-Статистика!$C$10,0.000001)))))</f>
        <v>4.9713781499999943E-2</v>
      </c>
      <c r="BD82" s="12">
        <f>IF(A82="","",MAX(0,1-MAX(0,MIN(1,(((IF(Статистика!$C$4="Параллельный режим (активная мощность)",J82,U82)+Статистика!$J$4))-Статистика!$C$10)/MAX(Статистика!$G$10-Статистика!$C$10,0.000001)))))</f>
        <v>0.22858341516666714</v>
      </c>
      <c r="BE82" s="12">
        <f>IF(A82="",NA(),IF(Статистика!$B$8="Вкл",(((IF(Статистика!$C$4="Параллельный режим (активная мощность)",F82,Q82)+Статистика!$J$4))-Статистика!$C$10)/MAX(Статистика!$G$10-Статистика!$C$10,0.000001),NA()))</f>
        <v>0.5741180611111113</v>
      </c>
      <c r="BF82" s="12">
        <f>IF(A82="",NA(),IF(Статистика!$D$8="Вкл",(((IF(Статистика!$C$4="Параллельный режим (активная мощность)",E82,P82)+Статистика!$J$4))-Статистика!$C$10)/MAX(Статистика!$G$10-Статистика!$C$10,0.000001),NA()))</f>
        <v>0.51737982222222212</v>
      </c>
      <c r="BG82" s="12">
        <f>IF(A82="",NA(),IF(Статистика!$D$8="Вкл",(((IF(Статистика!$C$4="Параллельный режим (активная мощность)",G82,R82)+Статистика!$J$4))-Статистика!$C$10)/MAX(Статистика!$G$10-Статистика!$C$10,0.000001),NA()))</f>
        <v>0.64766278055555571</v>
      </c>
      <c r="BH82" s="12">
        <f>IF(A82="",NA(),IF(Статистика!$F$8="Вкл",(((IF(Статистика!$C$4="Параллельный режим (активная мощность)",D82,O82)+Статистика!$J$4))-Статистика!$C$10)/MAX(Статистика!$G$10-Статистика!$C$10,0.000001),NA()))</f>
        <v>0.44744616388888941</v>
      </c>
      <c r="BI82" s="12">
        <f>IF(A82="",NA(),IF(Статистика!$F$8="Вкл",(((IF(Статистика!$C$4="Параллельный режим (активная мощность)",H82,S82)+Статистика!$J$4))-Статистика!$C$10)/MAX(Статистика!$G$10-Статистика!$C$10,0.000001),NA()))</f>
        <v>0.72170280333333292</v>
      </c>
      <c r="BJ82" s="12">
        <f>IF(A82="",NA(),IF(Статистика!$H$8="Вкл",(((IF(Статистика!$C$4="Параллельный режим (активная мощность)",B82,M82)+Статистика!$J$4))-Статистика!$C$10)/MAX(Статистика!$G$10-Статистика!$C$10,0.000001),NA()))</f>
        <v>-1.2303689591111111</v>
      </c>
      <c r="BK82" s="12">
        <f>IF(A82="",NA(),IF(Статистика!$H$8="Вкл",(((IF(Статистика!$C$4="Параллельный режим (активная мощность)",J82,U82)+Статистика!$J$4))-Статистика!$C$10)/MAX(Статистика!$G$10-Статистика!$C$10,0.000001),NA()))</f>
        <v>0.77141658483333286</v>
      </c>
      <c r="BL82" s="12" t="e">
        <f>IF(A82="",NA(),IF(Статистика!$J$8="Вкл",(((IF(Статистика!$C$4="Параллельный режим (активная мощность)",K82,V82)+Статистика!$J$4))-Статистика!$C$10)/MAX(Статистика!$G$10-Статистика!$C$10,0.000001),NA()))</f>
        <v>#N/A</v>
      </c>
      <c r="BM82" s="12" t="e">
        <f>IF(AND(A82&lt;&gt;"",Статистика!$C$6="Вкл",Статистика!$B$6&gt;0),(Статистика!$B$6-Статистика!$C$10)/MAX(Статистика!$G$10-Статистика!$C$10,0.000001),NA())</f>
        <v>#N/A</v>
      </c>
      <c r="BN82" s="12" t="e">
        <f>IF(AND(A82&lt;&gt;"",Статистика!$F$6="Вкл",Статистика!$E$6&gt;0),(Статистика!$E$6-Статистика!$C$10)/MAX(Статистика!$G$10-Статистика!$C$10,0.000001),NA())</f>
        <v>#N/A</v>
      </c>
      <c r="BO82" s="12" t="e">
        <f>IF(AND(A82&lt;&gt;"",Статистика!$I$6="Вкл",Статистика!$H$6&gt;0),(Статистика!$H$6-Статистика!$C$10)/MAX(Статистика!$G$10-Статистика!$C$10,0.000001),NA())</f>
        <v>#N/A</v>
      </c>
      <c r="BP82" s="12" t="e">
        <f>IF(AND(A82&lt;&gt;"",Статистика!$L$6="Вкл",Статистика!$K$6&gt;0),(Статистика!$K$6-Статистика!$C$10)/MAX(Статистика!$G$10-Статистика!$C$10,0.000001),NA())</f>
        <v>#N/A</v>
      </c>
      <c r="BQ82" s="12" t="e">
        <f>IF(AND(A82&lt;&gt;"",Статистика!$M$6="Вкл",Статистика!$O$6&gt;0),(Статистика!$O$6-Статистика!$C$10)/MAX(Статистика!$G$10-Статистика!$C$10,0.000001),NA())</f>
        <v>#N/A</v>
      </c>
      <c r="BR82" s="12">
        <f t="shared" si="2"/>
        <v>1</v>
      </c>
      <c r="BT82" s="12">
        <f>IF(Y82="","",MAX(0,MIN(1,(((IF(Статистика!$C$4="Параллельный режим (активная мощность)",Z82,AK82)+Статистика!$J$4))-Статистика!$C$10)/MAX(Статистика!$G$10-Статистика!$C$10,0.000001))))</f>
        <v>0.48121232844444423</v>
      </c>
      <c r="BU82" s="12">
        <f>IF(Y82="","",MAX(0,MAX(0,MIN(1,(((IF(Статистика!$C$4="Параллельный режим (активная мощность)",AB82,AM82)+Статистика!$J$4))-Статистика!$C$10)/MAX(Статистика!$G$10-Статистика!$C$10,0.000001)))-MAX(0,MIN(1,(((IF(Статистика!$C$4="Параллельный режим (активная мощность)",Z82,AK82)+Статистика!$J$4))-Статистика!$C$10)/MAX(Статистика!$G$10-Статистика!$C$10,0.000001)))))</f>
        <v>3.3054560000000399E-3</v>
      </c>
      <c r="BV82" s="12">
        <f>IF(Y82="","",MAX(0,MAX(0,MIN(1,(((IF(Статистика!$C$4="Параллельный режим (активная мощность)",AC82,AN82)+Статистика!$J$4))-Статистика!$C$10)/MAX(Статистика!$G$10-Статистика!$C$10,0.000001)))-MAX(0,MIN(1,(((IF(Статистика!$C$4="Параллельный режим (активная мощность)",AB82,AM82)+Статистика!$J$4))-Статистика!$C$10)/MAX(Статистика!$G$10-Статистика!$C$10,0.000001)))))</f>
        <v>1.4359048888888837E-2</v>
      </c>
      <c r="BW82" s="12">
        <f>IF(Y82="","",MAX(0,MAX(0,MIN(1,(((IF(Статистика!$C$4="Параллельный режим (активная мощность)",AD82,AO82)+Статистика!$J$4))-Статистика!$C$10)/MAX(Статистика!$G$10-Статистика!$C$10,0.000001)))-MAX(0,MIN(1,(((IF(Статистика!$C$4="Параллельный режим (активная мощность)",AC82,AN82)+Статистика!$J$4))-Статистика!$C$10)/MAX(Статистика!$G$10-Статистика!$C$10,0.000001)))))</f>
        <v>6.6697933333333514E-2</v>
      </c>
      <c r="BX82" s="12">
        <f>IF(Y82="","",MAX(0,MAX(0,MIN(1,(((IF(Статистика!$C$4="Параллельный режим (активная мощность)",AE82,AP82)+Статистика!$J$4))-Статистика!$C$10)/MAX(Статистика!$G$10-Статистика!$C$10,0.000001)))-MAX(0,MIN(1,(((IF(Статистика!$C$4="Параллельный режим (активная мощность)",AD82,AO82)+Статистика!$J$4))-Статистика!$C$10)/MAX(Статистика!$G$10-Статистика!$C$10,0.000001)))))</f>
        <v>6.6753408333333653E-2</v>
      </c>
      <c r="BY82" s="12">
        <f>IF(Y82="","",MAX(0,MAX(0,MIN(1,(((IF(Статистика!$C$4="Параллельный режим (активная мощность)",AF82,AQ82)+Статистика!$J$4))-Статистика!$C$10)/MAX(Статистика!$G$10-Статистика!$C$10,0.000001)))-MAX(0,MIN(1,(((IF(Статистика!$C$4="Параллельный режим (активная мощность)",AE82,AP82)+Статистика!$J$4))-Статистика!$C$10)/MAX(Статистика!$G$10-Статистика!$C$10,0.000001)))))</f>
        <v>0.15063373166666649</v>
      </c>
      <c r="BZ82" s="12">
        <f>IF(Y82="","",MAX(0,MAX(0,MIN(1,(((IF(Статистика!$C$4="Параллельный режим (активная мощность)",AH82,AS82)+Статистика!$J$4))-Статистика!$C$10)/MAX(Статистика!$G$10-Статистика!$C$10,0.000001)))-MAX(0,MIN(1,(((IF(Статистика!$C$4="Параллельный режим (активная мощность)",AF82,AQ82)+Статистика!$J$4))-Статистика!$C$10)/MAX(Статистика!$G$10-Статистика!$C$10,0.000001)))))</f>
        <v>1.9744604000000665E-2</v>
      </c>
      <c r="CA82" s="12">
        <f>IF(Y82="","",MAX(0,1-MAX(0,MIN(1,(((IF(Статистика!$C$4="Параллельный режим (активная мощность)",AH82,AS82)+Статистика!$J$4))-Статистика!$C$10)/MAX(Статистика!$G$10-Статистика!$C$10,0.000001)))))</f>
        <v>0.19729348933333257</v>
      </c>
      <c r="CB82" s="12">
        <f>IF(Y82="",NA(),IF(Статистика!$B$8="Вкл",(((IF(Статистика!$C$4="Параллельный режим (активная мощность)",AD82,AO82)+Статистика!$J$4))-Статистика!$C$10)/MAX(Статистика!$G$10-Статистика!$C$10,0.000001),NA()))</f>
        <v>0.56557476666666662</v>
      </c>
      <c r="CC82" s="12">
        <f>IF(Y82="",NA(),IF(Статистика!$D$8="Вкл",(((IF(Статистика!$C$4="Параллельный режим (активная мощность)",AC82,AN82)+Статистика!$J$4))-Статистика!$C$10)/MAX(Статистика!$G$10-Статистика!$C$10,0.000001),NA()))</f>
        <v>0.4988768333333331</v>
      </c>
      <c r="CD82" s="12">
        <f>IF(Y82="",NA(),IF(Статистика!$D$8="Вкл",(((IF(Статистика!$C$4="Параллельный режим (активная мощность)",AE82,AP82)+Статистика!$J$4))-Статистика!$C$10)/MAX(Статистика!$G$10-Статистика!$C$10,0.000001),NA()))</f>
        <v>0.63232817500000027</v>
      </c>
      <c r="CE82" s="12">
        <f>IF(Y82="",NA(),IF(Статистика!$F$8="Вкл",(((IF(Статистика!$C$4="Параллельный режим (активная мощность)",AB82,AM82)+Статистика!$J$4))-Статистика!$C$10)/MAX(Статистика!$G$10-Статистика!$C$10,0.000001),NA()))</f>
        <v>0.48451778444444427</v>
      </c>
      <c r="CF82" s="12">
        <f>IF(Y82="",NA(),IF(Статистика!$F$8="Вкл",(((IF(Статистика!$C$4="Параллельный режим (активная мощность)",AF82,AQ82)+Статистика!$J$4))-Статистика!$C$10)/MAX(Статистика!$G$10-Статистика!$C$10,0.000001),NA()))</f>
        <v>0.78296190666666676</v>
      </c>
      <c r="CG82" s="12">
        <f>IF(Y82="",NA(),IF(Статистика!$H$8="Вкл",(((IF(Статистика!$C$4="Параллельный режим (активная мощность)",Z82,AK82)+Статистика!$J$4))-Статистика!$C$10)/MAX(Статистика!$G$10-Статистика!$C$10,0.000001),NA()))</f>
        <v>0.48121232844444423</v>
      </c>
      <c r="CH82" s="12">
        <f>IF(Y82="",NA(),IF(Статистика!$H$8="Вкл",(((IF(Статистика!$C$4="Параллельный режим (активная мощность)",AH82,AS82)+Статистика!$J$4))-Статистика!$C$10)/MAX(Статистика!$G$10-Статистика!$C$10,0.000001),NA()))</f>
        <v>0.80270651066666743</v>
      </c>
      <c r="CI82" s="12" t="e">
        <f>IF(Y82="",NA(),IF(Статистика!$J$8="Вкл",(((IF(Статистика!$C$4="Параллельный режим (активная мощность)",AI82,AT82)+Статистика!$J$4))-Статистика!$C$10)/MAX(Статистика!$G$10-Статистика!$C$10,0.000001),NA()))</f>
        <v>#N/A</v>
      </c>
      <c r="CJ82" s="12" t="e">
        <f>IF(AND(Y82&lt;&gt;"",Статистика!$C$6="Вкл",Статистика!$B$6&gt;0),(Статистика!$B$6-Статистика!$C$10)/MAX(Статистика!$G$10-Статистика!$C$10,0.000001),NA())</f>
        <v>#N/A</v>
      </c>
      <c r="CK82" s="12" t="e">
        <f>IF(AND(Y82&lt;&gt;"",Статистика!$F$6="Вкл",Статистика!$E$6&gt;0),(Статистика!$E$6-Статистика!$C$10)/MAX(Статистика!$G$10-Статистика!$C$10,0.000001),NA())</f>
        <v>#N/A</v>
      </c>
      <c r="CL82" s="12" t="e">
        <f>IF(AND(Y82&lt;&gt;"",Статистика!$I$6="Вкл",Статистика!$H$6&gt;0),(Статистика!$H$6-Статистика!$C$10)/MAX(Статистика!$G$10-Статистика!$C$10,0.000001),NA())</f>
        <v>#N/A</v>
      </c>
      <c r="CM82" s="12" t="e">
        <f>IF(AND(Y82&lt;&gt;"",Статистика!$L$6="Вкл",Статистика!$K$6&gt;0),(Статистика!$K$6-Статистика!$C$10)/MAX(Статистика!$G$10-Статистика!$C$10,0.000001),NA())</f>
        <v>#N/A</v>
      </c>
      <c r="CN82" s="12" t="e">
        <f>IF(AND(Y82&lt;&gt;"",Статистика!$M$6="Вкл",Статистика!$O$6&gt;0),(Статистика!$O$6-Статистика!$C$10)/MAX(Статистика!$G$10-Статистика!$C$10,0.000001),NA())</f>
        <v>#N/A</v>
      </c>
      <c r="CO82" s="12">
        <f t="shared" si="3"/>
        <v>1</v>
      </c>
    </row>
    <row r="83" spans="1:93" ht="15" customHeight="1">
      <c r="A83" s="12" t="s">
        <v>392</v>
      </c>
      <c r="B83" s="12">
        <v>2319.6066901666663</v>
      </c>
      <c r="C83" s="12">
        <v>5715.2423841666678</v>
      </c>
      <c r="D83" s="12">
        <v>7351.8351016666666</v>
      </c>
      <c r="E83" s="12">
        <v>7552.6985083333329</v>
      </c>
      <c r="F83" s="12">
        <v>7742.6960333333327</v>
      </c>
      <c r="G83" s="12">
        <v>7942.3543916666667</v>
      </c>
      <c r="H83" s="12">
        <v>8198.8656016666664</v>
      </c>
      <c r="I83" s="12">
        <v>8265.0484683333325</v>
      </c>
      <c r="J83" s="12">
        <v>8334.9806536666674</v>
      </c>
      <c r="K83" s="12">
        <v>8555.6200000000008</v>
      </c>
      <c r="L83" s="12" t="s">
        <v>393</v>
      </c>
      <c r="M83" s="12">
        <v>2870.0269519999997</v>
      </c>
      <c r="N83" s="12">
        <v>6586.8163600000007</v>
      </c>
      <c r="O83" s="12">
        <v>8351.8227050000005</v>
      </c>
      <c r="P83" s="12">
        <v>8527.2428416666662</v>
      </c>
      <c r="Q83" s="12">
        <v>8766.5222500000018</v>
      </c>
      <c r="R83" s="12">
        <v>8994.8501333333334</v>
      </c>
      <c r="S83" s="12">
        <v>9215.257943333334</v>
      </c>
      <c r="T83" s="12">
        <v>9248.0132183333335</v>
      </c>
      <c r="U83" s="12">
        <v>9280.0880303333342</v>
      </c>
      <c r="V83" s="12">
        <v>9554.7999999999993</v>
      </c>
      <c r="W83" s="12" t="s">
        <v>393</v>
      </c>
      <c r="Y83" s="12" t="s">
        <v>392</v>
      </c>
      <c r="Z83" s="12">
        <v>7386.8794075000005</v>
      </c>
      <c r="AA83" s="12">
        <v>7387.9405041666669</v>
      </c>
      <c r="AB83" s="12">
        <v>7389.2668749999993</v>
      </c>
      <c r="AC83" s="12">
        <v>7441.8653749999994</v>
      </c>
      <c r="AD83" s="12">
        <v>7666.064699999999</v>
      </c>
      <c r="AE83" s="12">
        <v>7899.3618750000005</v>
      </c>
      <c r="AF83" s="12">
        <v>8320.9621116666676</v>
      </c>
      <c r="AG83" s="12">
        <v>8341.2477891666676</v>
      </c>
      <c r="AH83" s="12">
        <v>8357.4763311666684</v>
      </c>
      <c r="AI83" s="12">
        <v>8523.67</v>
      </c>
      <c r="AJ83" s="12" t="s">
        <v>394</v>
      </c>
      <c r="AK83" s="12">
        <v>8340.1082285000011</v>
      </c>
      <c r="AL83" s="12">
        <v>8351.421809166668</v>
      </c>
      <c r="AM83" s="12">
        <v>8365.5637850000003</v>
      </c>
      <c r="AN83" s="12">
        <v>8451.7061583333343</v>
      </c>
      <c r="AO83" s="12">
        <v>8616.2934666666661</v>
      </c>
      <c r="AP83" s="12">
        <v>8954.7615333333342</v>
      </c>
      <c r="AQ83" s="12">
        <v>9300.0851366666666</v>
      </c>
      <c r="AR83" s="12">
        <v>9345.226001666666</v>
      </c>
      <c r="AS83" s="12">
        <v>9381.3386936666648</v>
      </c>
      <c r="AT83" s="12">
        <v>9559.44</v>
      </c>
      <c r="AU83" s="12" t="s">
        <v>395</v>
      </c>
      <c r="AW83" s="12">
        <f>IF(A83="","",MAX(0,MIN(1,(((IF(Статистика!$C$4="Параллельный режим (активная мощность)",B83,M83)+Статистика!$J$4))-Статистика!$C$10)/MAX(Статистика!$G$10-Статистика!$C$10,0.000001))))</f>
        <v>0</v>
      </c>
      <c r="AX83" s="12">
        <f>IF(A83="","",MAX(0,MAX(0,MIN(1,(((IF(Статистика!$C$4="Параллельный режим (активная мощность)",D83,O83)+Статистика!$J$4))-Статистика!$C$10)/MAX(Статистика!$G$10-Статистика!$C$10,0.000001)))-MAX(0,MIN(1,(((IF(Статистика!$C$4="Параллельный режим (активная мощность)",B83,M83)+Статистика!$J$4))-Статистика!$C$10)/MAX(Статистика!$G$10-Статистика!$C$10,0.000001)))))</f>
        <v>0.45061170055555549</v>
      </c>
      <c r="AY83" s="12">
        <f>IF(A83="","",MAX(0,MAX(0,MIN(1,(((IF(Статистика!$C$4="Параллельный режим (активная мощность)",E83,P83)+Статистика!$J$4))-Статистика!$C$10)/MAX(Статистика!$G$10-Статистика!$C$10,0.000001)))-MAX(0,MIN(1,(((IF(Статистика!$C$4="Параллельный режим (активная мощность)",D83,O83)+Статистика!$J$4))-Статистика!$C$10)/MAX(Статистика!$G$10-Статистика!$C$10,0.000001)))))</f>
        <v>6.6954468888888841E-2</v>
      </c>
      <c r="AZ83" s="12">
        <f>IF(A83="","",MAX(0,MAX(0,MIN(1,(((IF(Статистика!$C$4="Параллельный режим (активная мощность)",F83,Q83)+Статистика!$J$4))-Статистика!$C$10)/MAX(Статистика!$G$10-Статистика!$C$10,0.000001)))-MAX(0,MIN(1,(((IF(Статистика!$C$4="Параллельный режим (активная мощность)",E83,P83)+Статистика!$J$4))-Статистика!$C$10)/MAX(Статистика!$G$10-Статистика!$C$10,0.000001)))))</f>
        <v>6.3332508333333259E-2</v>
      </c>
      <c r="BA83" s="12">
        <f>IF(A83="","",MAX(0,MAX(0,MIN(1,(((IF(Статистика!$C$4="Параллельный режим (активная мощность)",G83,R83)+Статистика!$J$4))-Статистика!$C$10)/MAX(Статистика!$G$10-Статистика!$C$10,0.000001)))-MAX(0,MIN(1,(((IF(Статистика!$C$4="Параллельный режим (активная мощность)",F83,Q83)+Статистика!$J$4))-Статистика!$C$10)/MAX(Статистика!$G$10-Статистика!$C$10,0.000001)))))</f>
        <v>6.6552786111111373E-2</v>
      </c>
      <c r="BB83" s="12">
        <f>IF(A83="","",MAX(0,MAX(0,MIN(1,(((IF(Статистика!$C$4="Параллельный режим (активная мощность)",H83,S83)+Статистика!$J$4))-Статистика!$C$10)/MAX(Статистика!$G$10-Статистика!$C$10,0.000001)))-MAX(0,MIN(1,(((IF(Статистика!$C$4="Параллельный режим (активная мощность)",G83,R83)+Статистика!$J$4))-Статистика!$C$10)/MAX(Статистика!$G$10-Статистика!$C$10,0.000001)))))</f>
        <v>8.5503736666666552E-2</v>
      </c>
      <c r="BC83" s="12">
        <f>IF(A83="","",MAX(0,MAX(0,MIN(1,(((IF(Статистика!$C$4="Параллельный режим (активная мощность)",J83,U83)+Статистика!$J$4))-Статистика!$C$10)/MAX(Статистика!$G$10-Статистика!$C$10,0.000001)))-MAX(0,MIN(1,(((IF(Статистика!$C$4="Параллельный режим (активная мощность)",H83,S83)+Статистика!$J$4))-Статистика!$C$10)/MAX(Статистика!$G$10-Статистика!$C$10,0.000001)))))</f>
        <v>4.5371684000000245E-2</v>
      </c>
      <c r="BD83" s="12">
        <f>IF(A83="","",MAX(0,1-MAX(0,MIN(1,(((IF(Статистика!$C$4="Параллельный режим (активная мощность)",J83,U83)+Статистика!$J$4))-Статистика!$C$10)/MAX(Статистика!$G$10-Статистика!$C$10,0.000001)))))</f>
        <v>0.22167311544444424</v>
      </c>
      <c r="BE83" s="12">
        <f>IF(A83="",NA(),IF(Статистика!$B$8="Вкл",(((IF(Статистика!$C$4="Параллельный режим (активная мощность)",F83,Q83)+Статистика!$J$4))-Статистика!$C$10)/MAX(Статистика!$G$10-Статистика!$C$10,0.000001),NA()))</f>
        <v>0.58089867777777759</v>
      </c>
      <c r="BF83" s="12">
        <f>IF(A83="",NA(),IF(Статистика!$D$8="Вкл",(((IF(Статистика!$C$4="Параллельный режим (активная мощность)",E83,P83)+Статистика!$J$4))-Статистика!$C$10)/MAX(Статистика!$G$10-Статистика!$C$10,0.000001),NA()))</f>
        <v>0.51756616944444434</v>
      </c>
      <c r="BG83" s="12">
        <f>IF(A83="",NA(),IF(Статистика!$D$8="Вкл",(((IF(Статистика!$C$4="Параллельный режим (активная мощность)",G83,R83)+Статистика!$J$4))-Статистика!$C$10)/MAX(Статистика!$G$10-Статистика!$C$10,0.000001),NA()))</f>
        <v>0.64745146388888897</v>
      </c>
      <c r="BH83" s="12">
        <f>IF(A83="",NA(),IF(Статистика!$F$8="Вкл",(((IF(Статистика!$C$4="Параллельный режим (активная мощность)",D83,O83)+Статистика!$J$4))-Статистика!$C$10)/MAX(Статистика!$G$10-Статистика!$C$10,0.000001),NA()))</f>
        <v>0.45061170055555549</v>
      </c>
      <c r="BI83" s="12">
        <f>IF(A83="",NA(),IF(Статистика!$F$8="Вкл",(((IF(Статистика!$C$4="Параллельный режим (активная мощность)",H83,S83)+Статистика!$J$4))-Статистика!$C$10)/MAX(Статистика!$G$10-Статистика!$C$10,0.000001),NA()))</f>
        <v>0.73295520055555552</v>
      </c>
      <c r="BJ83" s="12">
        <f>IF(A83="",NA(),IF(Статистика!$H$8="Вкл",(((IF(Статистика!$C$4="Параллельный режим (активная мощность)",B83,M83)+Статистика!$J$4))-Статистика!$C$10)/MAX(Статистика!$G$10-Статистика!$C$10,0.000001),NA()))</f>
        <v>-1.2267977699444446</v>
      </c>
      <c r="BK83" s="12">
        <f>IF(A83="",NA(),IF(Статистика!$H$8="Вкл",(((IF(Статистика!$C$4="Параллельный режим (активная мощность)",J83,U83)+Статистика!$J$4))-Статистика!$C$10)/MAX(Статистика!$G$10-Статистика!$C$10,0.000001),NA()))</f>
        <v>0.77832688455555576</v>
      </c>
      <c r="BL83" s="12" t="e">
        <f>IF(A83="",NA(),IF(Статистика!$J$8="Вкл",(((IF(Статистика!$C$4="Параллельный режим (активная мощность)",K83,V83)+Статистика!$J$4))-Статистика!$C$10)/MAX(Статистика!$G$10-Статистика!$C$10,0.000001),NA()))</f>
        <v>#N/A</v>
      </c>
      <c r="BM83" s="12" t="e">
        <f>IF(AND(A83&lt;&gt;"",Статистика!$C$6="Вкл",Статистика!$B$6&gt;0),(Статистика!$B$6-Статистика!$C$10)/MAX(Статистика!$G$10-Статистика!$C$10,0.000001),NA())</f>
        <v>#N/A</v>
      </c>
      <c r="BN83" s="12" t="e">
        <f>IF(AND(A83&lt;&gt;"",Статистика!$F$6="Вкл",Статистика!$E$6&gt;0),(Статистика!$E$6-Статистика!$C$10)/MAX(Статистика!$G$10-Статистика!$C$10,0.000001),NA())</f>
        <v>#N/A</v>
      </c>
      <c r="BO83" s="12" t="e">
        <f>IF(AND(A83&lt;&gt;"",Статистика!$I$6="Вкл",Статистика!$H$6&gt;0),(Статистика!$H$6-Статистика!$C$10)/MAX(Статистика!$G$10-Статистика!$C$10,0.000001),NA())</f>
        <v>#N/A</v>
      </c>
      <c r="BP83" s="12" t="e">
        <f>IF(AND(A83&lt;&gt;"",Статистика!$L$6="Вкл",Статистика!$K$6&gt;0),(Статистика!$K$6-Статистика!$C$10)/MAX(Статистика!$G$10-Статистика!$C$10,0.000001),NA())</f>
        <v>#N/A</v>
      </c>
      <c r="BQ83" s="12" t="e">
        <f>IF(AND(A83&lt;&gt;"",Статистика!$M$6="Вкл",Статистика!$O$6&gt;0),(Статистика!$O$6-Статистика!$C$10)/MAX(Статистика!$G$10-Статистика!$C$10,0.000001),NA())</f>
        <v>#N/A</v>
      </c>
      <c r="BR83" s="12">
        <f t="shared" si="2"/>
        <v>1</v>
      </c>
      <c r="BT83" s="12">
        <f>IF(Y83="","",MAX(0,MIN(1,(((IF(Статистика!$C$4="Параллельный режим (активная мощность)",Z83,AK83)+Статистика!$J$4))-Статистика!$C$10)/MAX(Статистика!$G$10-Статистика!$C$10,0.000001))))</f>
        <v>0.46229313583333353</v>
      </c>
      <c r="BU83" s="12">
        <f>IF(Y83="","",MAX(0,MAX(0,MIN(1,(((IF(Статистика!$C$4="Параллельный режим (активная мощность)",AB83,AM83)+Статистика!$J$4))-Статистика!$C$10)/MAX(Статистика!$G$10-Статистика!$C$10,0.000001)))-MAX(0,MIN(1,(((IF(Статистика!$C$4="Параллельный режим (активная мощность)",Z83,AK83)+Статистика!$J$4))-Статистика!$C$10)/MAX(Статистика!$G$10-Статистика!$C$10,0.000001)))))</f>
        <v>7.9582249999959886E-4</v>
      </c>
      <c r="BV83" s="12">
        <f>IF(Y83="","",MAX(0,MAX(0,MIN(1,(((IF(Статистика!$C$4="Параллельный режим (активная мощность)",AC83,AN83)+Статистика!$J$4))-Статистика!$C$10)/MAX(Статистика!$G$10-Статистика!$C$10,0.000001)))-MAX(0,MIN(1,(((IF(Статистика!$C$4="Параллельный режим (активная мощность)",AB83,AM83)+Статистика!$J$4))-Статистика!$C$10)/MAX(Статистика!$G$10-Статистика!$C$10,0.000001)))))</f>
        <v>1.7532833333333331E-2</v>
      </c>
      <c r="BW83" s="12">
        <f>IF(Y83="","",MAX(0,MAX(0,MIN(1,(((IF(Статистика!$C$4="Параллельный режим (активная мощность)",AD83,AO83)+Статистика!$J$4))-Статистика!$C$10)/MAX(Статистика!$G$10-Статистика!$C$10,0.000001)))-MAX(0,MIN(1,(((IF(Статистика!$C$4="Параллельный режим (активная мощность)",AC83,AN83)+Статистика!$J$4))-Статистика!$C$10)/MAX(Статистика!$G$10-Статистика!$C$10,0.000001)))))</f>
        <v>7.4733108333333187E-2</v>
      </c>
      <c r="BX83" s="12">
        <f>IF(Y83="","",MAX(0,MAX(0,MIN(1,(((IF(Статистика!$C$4="Параллельный режим (активная мощность)",AE83,AP83)+Статистика!$J$4))-Статистика!$C$10)/MAX(Статистика!$G$10-Статистика!$C$10,0.000001)))-MAX(0,MIN(1,(((IF(Статистика!$C$4="Параллельный режим (активная мощность)",AD83,AO83)+Статистика!$J$4))-Статистика!$C$10)/MAX(Статистика!$G$10-Статистика!$C$10,0.000001)))))</f>
        <v>7.7765725000000563E-2</v>
      </c>
      <c r="BY83" s="12">
        <f>IF(Y83="","",MAX(0,MAX(0,MIN(1,(((IF(Статистика!$C$4="Параллельный режим (активная мощность)",AF83,AQ83)+Статистика!$J$4))-Статистика!$C$10)/MAX(Статистика!$G$10-Статистика!$C$10,0.000001)))-MAX(0,MIN(1,(((IF(Статистика!$C$4="Параллельный режим (активная мощность)",AE83,AP83)+Статистика!$J$4))-Статистика!$C$10)/MAX(Статистика!$G$10-Статистика!$C$10,0.000001)))))</f>
        <v>0.14053341222222238</v>
      </c>
      <c r="BZ83" s="12">
        <f>IF(Y83="","",MAX(0,MAX(0,MIN(1,(((IF(Статистика!$C$4="Параллельный режим (активная мощность)",AH83,AS83)+Статистика!$J$4))-Статистика!$C$10)/MAX(Статистика!$G$10-Статистика!$C$10,0.000001)))-MAX(0,MIN(1,(((IF(Статистика!$C$4="Параллельный режим (активная мощность)",AF83,AQ83)+Статистика!$J$4))-Статистика!$C$10)/MAX(Статистика!$G$10-Статистика!$C$10,0.000001)))))</f>
        <v>1.2171406500000259E-2</v>
      </c>
      <c r="CA83" s="12">
        <f>IF(Y83="","",MAX(0,1-MAX(0,MIN(1,(((IF(Статистика!$C$4="Параллельный режим (активная мощность)",AH83,AS83)+Статистика!$J$4))-Статистика!$C$10)/MAX(Статистика!$G$10-Статистика!$C$10,0.000001)))))</f>
        <v>0.21417455627777715</v>
      </c>
      <c r="CB83" s="12">
        <f>IF(Y83="",NA(),IF(Статистика!$B$8="Вкл",(((IF(Статистика!$C$4="Параллельный режим (активная мощность)",AD83,AO83)+Статистика!$J$4))-Статистика!$C$10)/MAX(Статистика!$G$10-Статистика!$C$10,0.000001),NA()))</f>
        <v>0.55535489999999965</v>
      </c>
      <c r="CC83" s="12">
        <f>IF(Y83="",NA(),IF(Статистика!$D$8="Вкл",(((IF(Статистика!$C$4="Параллельный режим (активная мощность)",AC83,AN83)+Статистика!$J$4))-Статистика!$C$10)/MAX(Статистика!$G$10-Статистика!$C$10,0.000001),NA()))</f>
        <v>0.48062179166666646</v>
      </c>
      <c r="CD83" s="12">
        <f>IF(Y83="",NA(),IF(Статистика!$D$8="Вкл",(((IF(Статистика!$C$4="Параллельный режим (активная мощность)",AE83,AP83)+Статистика!$J$4))-Статистика!$C$10)/MAX(Статистика!$G$10-Статистика!$C$10,0.000001),NA()))</f>
        <v>0.63312062500000021</v>
      </c>
      <c r="CE83" s="12">
        <f>IF(Y83="",NA(),IF(Статистика!$F$8="Вкл",(((IF(Статистика!$C$4="Параллельный режим (активная мощность)",AB83,AM83)+Статистика!$J$4))-Статистика!$C$10)/MAX(Статистика!$G$10-Статистика!$C$10,0.000001),NA()))</f>
        <v>0.46308895833333313</v>
      </c>
      <c r="CF83" s="12">
        <f>IF(Y83="",NA(),IF(Статистика!$F$8="Вкл",(((IF(Статистика!$C$4="Параллельный режим (активная мощность)",AF83,AQ83)+Статистика!$J$4))-Статистика!$C$10)/MAX(Статистика!$G$10-Статистика!$C$10,0.000001),NA()))</f>
        <v>0.77365403722222259</v>
      </c>
      <c r="CG83" s="12">
        <f>IF(Y83="",NA(),IF(Статистика!$H$8="Вкл",(((IF(Статистика!$C$4="Параллельный режим (активная мощность)",Z83,AK83)+Статистика!$J$4))-Статистика!$C$10)/MAX(Статистика!$G$10-Статистика!$C$10,0.000001),NA()))</f>
        <v>0.46229313583333353</v>
      </c>
      <c r="CH83" s="12">
        <f>IF(Y83="",NA(),IF(Статистика!$H$8="Вкл",(((IF(Статистика!$C$4="Параллельный режим (активная мощность)",AH83,AS83)+Статистика!$J$4))-Статистика!$C$10)/MAX(Статистика!$G$10-Статистика!$C$10,0.000001),NA()))</f>
        <v>0.78582544372222285</v>
      </c>
      <c r="CI83" s="12" t="e">
        <f>IF(Y83="",NA(),IF(Статистика!$J$8="Вкл",(((IF(Статистика!$C$4="Параллельный режим (активная мощность)",AI83,AT83)+Статистика!$J$4))-Статистика!$C$10)/MAX(Статистика!$G$10-Статистика!$C$10,0.000001),NA()))</f>
        <v>#N/A</v>
      </c>
      <c r="CJ83" s="12" t="e">
        <f>IF(AND(Y83&lt;&gt;"",Статистика!$C$6="Вкл",Статистика!$B$6&gt;0),(Статистика!$B$6-Статистика!$C$10)/MAX(Статистика!$G$10-Статистика!$C$10,0.000001),NA())</f>
        <v>#N/A</v>
      </c>
      <c r="CK83" s="12" t="e">
        <f>IF(AND(Y83&lt;&gt;"",Статистика!$F$6="Вкл",Статистика!$E$6&gt;0),(Статистика!$E$6-Статистика!$C$10)/MAX(Статистика!$G$10-Статистика!$C$10,0.000001),NA())</f>
        <v>#N/A</v>
      </c>
      <c r="CL83" s="12" t="e">
        <f>IF(AND(Y83&lt;&gt;"",Статистика!$I$6="Вкл",Статистика!$H$6&gt;0),(Статистика!$H$6-Статистика!$C$10)/MAX(Статистика!$G$10-Статистика!$C$10,0.000001),NA())</f>
        <v>#N/A</v>
      </c>
      <c r="CM83" s="12" t="e">
        <f>IF(AND(Y83&lt;&gt;"",Статистика!$L$6="Вкл",Статистика!$K$6&gt;0),(Статистика!$K$6-Статистика!$C$10)/MAX(Статистика!$G$10-Статистика!$C$10,0.000001),NA())</f>
        <v>#N/A</v>
      </c>
      <c r="CN83" s="12" t="e">
        <f>IF(AND(Y83&lt;&gt;"",Статистика!$M$6="Вкл",Статистика!$O$6&gt;0),(Статистика!$O$6-Статистика!$C$10)/MAX(Статистика!$G$10-Статистика!$C$10,0.000001),NA())</f>
        <v>#N/A</v>
      </c>
      <c r="CO83" s="12">
        <f t="shared" si="3"/>
        <v>1</v>
      </c>
    </row>
    <row r="84" spans="1:93" ht="15" customHeight="1">
      <c r="A84" s="12" t="s">
        <v>396</v>
      </c>
      <c r="B84" s="12">
        <v>2322.1659498333329</v>
      </c>
      <c r="C84" s="12">
        <v>5722.5209491666665</v>
      </c>
      <c r="D84" s="12">
        <v>7351.327068333333</v>
      </c>
      <c r="E84" s="12">
        <v>7498.5402583333325</v>
      </c>
      <c r="F84" s="12">
        <v>7705.7729166666668</v>
      </c>
      <c r="G84" s="12">
        <v>7925.8006750000004</v>
      </c>
      <c r="H84" s="12">
        <v>8219.0652483333324</v>
      </c>
      <c r="I84" s="12">
        <v>8310.5425483333329</v>
      </c>
      <c r="J84" s="12">
        <v>8368.5069363333332</v>
      </c>
      <c r="K84" s="12">
        <v>8496.23</v>
      </c>
      <c r="L84" s="12" t="s">
        <v>397</v>
      </c>
      <c r="M84" s="12">
        <v>2881.161452833333</v>
      </c>
      <c r="N84" s="12">
        <v>6590.2241975000006</v>
      </c>
      <c r="O84" s="12">
        <v>8349.8956933333338</v>
      </c>
      <c r="P84" s="12">
        <v>8458.2441750000016</v>
      </c>
      <c r="Q84" s="12">
        <v>8733.4230833333349</v>
      </c>
      <c r="R84" s="12">
        <v>8995.9900916666666</v>
      </c>
      <c r="S84" s="12">
        <v>9217.9401749999997</v>
      </c>
      <c r="T84" s="12">
        <v>9264.4339325000001</v>
      </c>
      <c r="U84" s="12">
        <v>9304.4251064999989</v>
      </c>
      <c r="V84" s="12">
        <v>9433.6200000000008</v>
      </c>
      <c r="W84" s="12" t="s">
        <v>398</v>
      </c>
      <c r="Y84" s="12" t="s">
        <v>396</v>
      </c>
      <c r="Z84" s="12">
        <v>7376.0248961666666</v>
      </c>
      <c r="AA84" s="12">
        <v>7386.8086141666663</v>
      </c>
      <c r="AB84" s="12">
        <v>7400.2882616666666</v>
      </c>
      <c r="AC84" s="12">
        <v>7424.7601250000007</v>
      </c>
      <c r="AD84" s="12">
        <v>7593.3138666666664</v>
      </c>
      <c r="AE84" s="12">
        <v>7832.7458916666674</v>
      </c>
      <c r="AF84" s="12">
        <v>8318.5616516666669</v>
      </c>
      <c r="AG84" s="12">
        <v>8329.1412591666685</v>
      </c>
      <c r="AH84" s="12">
        <v>8337.6049451666677</v>
      </c>
      <c r="AI84" s="12">
        <v>8509.1</v>
      </c>
      <c r="AJ84" s="12" t="s">
        <v>399</v>
      </c>
      <c r="AK84" s="12">
        <v>8357.0491948333347</v>
      </c>
      <c r="AL84" s="12">
        <v>8363.8851741666676</v>
      </c>
      <c r="AM84" s="12">
        <v>8372.4301483333347</v>
      </c>
      <c r="AN84" s="12">
        <v>8420.1551249999993</v>
      </c>
      <c r="AO84" s="12">
        <v>8571.8289833333329</v>
      </c>
      <c r="AP84" s="12">
        <v>8908.6057583333331</v>
      </c>
      <c r="AQ84" s="12">
        <v>9296.0162049999999</v>
      </c>
      <c r="AR84" s="12">
        <v>9331.8133858333331</v>
      </c>
      <c r="AS84" s="12">
        <v>9360.4511304999996</v>
      </c>
      <c r="AT84" s="12">
        <v>9539.4599999999991</v>
      </c>
      <c r="AU84" s="12" t="s">
        <v>399</v>
      </c>
      <c r="AW84" s="12">
        <f>IF(A84="","",MAX(0,MIN(1,(((IF(Статистика!$C$4="Параллельный режим (активная мощность)",B84,M84)+Статистика!$J$4))-Статистика!$C$10)/MAX(Статистика!$G$10-Статистика!$C$10,0.000001))))</f>
        <v>0</v>
      </c>
      <c r="AX84" s="12">
        <f>IF(A84="","",MAX(0,MAX(0,MIN(1,(((IF(Статистика!$C$4="Параллельный режим (активная мощность)",D84,O84)+Статистика!$J$4))-Статистика!$C$10)/MAX(Статистика!$G$10-Статистика!$C$10,0.000001)))-MAX(0,MIN(1,(((IF(Статистика!$C$4="Параллельный режим (активная мощность)",B84,M84)+Статистика!$J$4))-Статистика!$C$10)/MAX(Статистика!$G$10-Статистика!$C$10,0.000001)))))</f>
        <v>0.450442356111111</v>
      </c>
      <c r="AY84" s="12">
        <f>IF(A84="","",MAX(0,MAX(0,MIN(1,(((IF(Статистика!$C$4="Параллельный режим (активная мощность)",E84,P84)+Статистика!$J$4))-Статистика!$C$10)/MAX(Статистика!$G$10-Статистика!$C$10,0.000001)))-MAX(0,MIN(1,(((IF(Статистика!$C$4="Параллельный режим (активная мощность)",D84,O84)+Статистика!$J$4))-Статистика!$C$10)/MAX(Статистика!$G$10-Статистика!$C$10,0.000001)))))</f>
        <v>4.9071063333333165E-2</v>
      </c>
      <c r="AZ84" s="12">
        <f>IF(A84="","",MAX(0,MAX(0,MIN(1,(((IF(Статистика!$C$4="Параллельный режим (активная мощность)",F84,Q84)+Статистика!$J$4))-Статистика!$C$10)/MAX(Статистика!$G$10-Статистика!$C$10,0.000001)))-MAX(0,MIN(1,(((IF(Статистика!$C$4="Параллельный режим (активная мощность)",E84,P84)+Статистика!$J$4))-Статистика!$C$10)/MAX(Статистика!$G$10-Статистика!$C$10,0.000001)))))</f>
        <v>6.9077552777778051E-2</v>
      </c>
      <c r="BA84" s="12">
        <f>IF(A84="","",MAX(0,MAX(0,MIN(1,(((IF(Статистика!$C$4="Параллельный режим (активная мощность)",G84,R84)+Статистика!$J$4))-Статистика!$C$10)/MAX(Статистика!$G$10-Статистика!$C$10,0.000001)))-MAX(0,MIN(1,(((IF(Статистика!$C$4="Параллельный режим (активная мощность)",F84,Q84)+Статистика!$J$4))-Статистика!$C$10)/MAX(Статистика!$G$10-Статистика!$C$10,0.000001)))))</f>
        <v>7.3342586111111219E-2</v>
      </c>
      <c r="BB84" s="12">
        <f>IF(A84="","",MAX(0,MAX(0,MIN(1,(((IF(Статистика!$C$4="Параллельный режим (активная мощность)",H84,S84)+Статистика!$J$4))-Статистика!$C$10)/MAX(Статистика!$G$10-Статистика!$C$10,0.000001)))-MAX(0,MIN(1,(((IF(Статистика!$C$4="Параллельный режим (активная мощность)",G84,R84)+Статистика!$J$4))-Статистика!$C$10)/MAX(Статистика!$G$10-Статистика!$C$10,0.000001)))))</f>
        <v>9.7754857777777371E-2</v>
      </c>
      <c r="BC84" s="12">
        <f>IF(A84="","",MAX(0,MAX(0,MIN(1,(((IF(Статистика!$C$4="Параллельный режим (активная мощность)",J84,U84)+Статистика!$J$4))-Статистика!$C$10)/MAX(Статистика!$G$10-Статистика!$C$10,0.000001)))-MAX(0,MIN(1,(((IF(Статистика!$C$4="Параллельный режим (активная мощность)",H84,S84)+Статистика!$J$4))-Статистика!$C$10)/MAX(Статистика!$G$10-Статистика!$C$10,0.000001)))))</f>
        <v>4.9813896000000302E-2</v>
      </c>
      <c r="BD84" s="12">
        <f>IF(A84="","",MAX(0,1-MAX(0,MIN(1,(((IF(Статистика!$C$4="Параллельный режим (активная мощность)",J84,U84)+Статистика!$J$4))-Статистика!$C$10)/MAX(Статистика!$G$10-Статистика!$C$10,0.000001)))))</f>
        <v>0.2104976878888889</v>
      </c>
      <c r="BE84" s="12">
        <f>IF(A84="",NA(),IF(Статистика!$B$8="Вкл",(((IF(Статистика!$C$4="Параллельный режим (активная мощность)",F84,Q84)+Статистика!$J$4))-Статистика!$C$10)/MAX(Статистика!$G$10-Статистика!$C$10,0.000001),NA()))</f>
        <v>0.56859097222222221</v>
      </c>
      <c r="BF84" s="12">
        <f>IF(A84="",NA(),IF(Статистика!$D$8="Вкл",(((IF(Статистика!$C$4="Параллельный режим (активная мощность)",E84,P84)+Статистика!$J$4))-Статистика!$C$10)/MAX(Статистика!$G$10-Статистика!$C$10,0.000001),NA()))</f>
        <v>0.49951341944444416</v>
      </c>
      <c r="BG84" s="12">
        <f>IF(A84="",NA(),IF(Статистика!$D$8="Вкл",(((IF(Статистика!$C$4="Параллельный режим (активная мощность)",G84,R84)+Статистика!$J$4))-Статистика!$C$10)/MAX(Статистика!$G$10-Статистика!$C$10,0.000001),NA()))</f>
        <v>0.64193355833333343</v>
      </c>
      <c r="BH84" s="12">
        <f>IF(A84="",NA(),IF(Статистика!$F$8="Вкл",(((IF(Статистика!$C$4="Параллельный режим (активная мощность)",D84,O84)+Статистика!$J$4))-Статистика!$C$10)/MAX(Статистика!$G$10-Статистика!$C$10,0.000001),NA()))</f>
        <v>0.450442356111111</v>
      </c>
      <c r="BI84" s="12">
        <f>IF(A84="",NA(),IF(Статистика!$F$8="Вкл",(((IF(Статистика!$C$4="Параллельный режим (активная мощность)",H84,S84)+Статистика!$J$4))-Статистика!$C$10)/MAX(Статистика!$G$10-Статистика!$C$10,0.000001),NA()))</f>
        <v>0.7396884161111108</v>
      </c>
      <c r="BJ84" s="12">
        <f>IF(A84="",NA(),IF(Статистика!$H$8="Вкл",(((IF(Статистика!$C$4="Параллельный режим (активная мощность)",B84,M84)+Статистика!$J$4))-Статистика!$C$10)/MAX(Статистика!$G$10-Статистика!$C$10,0.000001),NA()))</f>
        <v>-1.225944683388889</v>
      </c>
      <c r="BK84" s="12">
        <f>IF(A84="",NA(),IF(Статистика!$H$8="Вкл",(((IF(Статистика!$C$4="Параллельный режим (активная мощность)",J84,U84)+Статистика!$J$4))-Статистика!$C$10)/MAX(Статистика!$G$10-Статистика!$C$10,0.000001),NA()))</f>
        <v>0.7895023121111111</v>
      </c>
      <c r="BL84" s="12" t="e">
        <f>IF(A84="",NA(),IF(Статистика!$J$8="Вкл",(((IF(Статистика!$C$4="Параллельный режим (активная мощность)",K84,V84)+Статистика!$J$4))-Статистика!$C$10)/MAX(Статистика!$G$10-Статистика!$C$10,0.000001),NA()))</f>
        <v>#N/A</v>
      </c>
      <c r="BM84" s="12" t="e">
        <f>IF(AND(A84&lt;&gt;"",Статистика!$C$6="Вкл",Статистика!$B$6&gt;0),(Статистика!$B$6-Статистика!$C$10)/MAX(Статистика!$G$10-Статистика!$C$10,0.000001),NA())</f>
        <v>#N/A</v>
      </c>
      <c r="BN84" s="12" t="e">
        <f>IF(AND(A84&lt;&gt;"",Статистика!$F$6="Вкл",Статистика!$E$6&gt;0),(Статистика!$E$6-Статистика!$C$10)/MAX(Статистика!$G$10-Статистика!$C$10,0.000001),NA())</f>
        <v>#N/A</v>
      </c>
      <c r="BO84" s="12" t="e">
        <f>IF(AND(A84&lt;&gt;"",Статистика!$I$6="Вкл",Статистика!$H$6&gt;0),(Статистика!$H$6-Статистика!$C$10)/MAX(Статистика!$G$10-Статистика!$C$10,0.000001),NA())</f>
        <v>#N/A</v>
      </c>
      <c r="BP84" s="12" t="e">
        <f>IF(AND(A84&lt;&gt;"",Статистика!$L$6="Вкл",Статистика!$K$6&gt;0),(Статистика!$K$6-Статистика!$C$10)/MAX(Статистика!$G$10-Статистика!$C$10,0.000001),NA())</f>
        <v>#N/A</v>
      </c>
      <c r="BQ84" s="12" t="e">
        <f>IF(AND(A84&lt;&gt;"",Статистика!$M$6="Вкл",Статистика!$O$6&gt;0),(Статистика!$O$6-Статистика!$C$10)/MAX(Статистика!$G$10-Статистика!$C$10,0.000001),NA())</f>
        <v>#N/A</v>
      </c>
      <c r="BR84" s="12">
        <f t="shared" si="2"/>
        <v>1</v>
      </c>
      <c r="BT84" s="12">
        <f>IF(Y84="","",MAX(0,MIN(1,(((IF(Статистика!$C$4="Параллельный режим (активная мощность)",Z84,AK84)+Статистика!$J$4))-Статистика!$C$10)/MAX(Статистика!$G$10-Статистика!$C$10,0.000001))))</f>
        <v>0.45867496538888886</v>
      </c>
      <c r="BU84" s="12">
        <f>IF(Y84="","",MAX(0,MAX(0,MIN(1,(((IF(Статистика!$C$4="Параллельный режим (активная мощность)",AB84,AM84)+Статистика!$J$4))-Статистика!$C$10)/MAX(Статистика!$G$10-Статистика!$C$10,0.000001)))-MAX(0,MIN(1,(((IF(Статистика!$C$4="Параллельный режим (активная мощность)",Z84,AK84)+Статистика!$J$4))-Статистика!$C$10)/MAX(Статистика!$G$10-Статистика!$C$10,0.000001)))))</f>
        <v>8.087788500000026E-3</v>
      </c>
      <c r="BV84" s="12">
        <f>IF(Y84="","",MAX(0,MAX(0,MIN(1,(((IF(Статистика!$C$4="Параллельный режим (активная мощность)",AC84,AN84)+Статистика!$J$4))-Статистика!$C$10)/MAX(Статистика!$G$10-Статистика!$C$10,0.000001)))-MAX(0,MIN(1,(((IF(Статистика!$C$4="Параллельный режим (активная мощность)",AB84,AM84)+Статистика!$J$4))-Статистика!$C$10)/MAX(Статистика!$G$10-Статистика!$C$10,0.000001)))))</f>
        <v>8.1572877777780217E-3</v>
      </c>
      <c r="BW84" s="12">
        <f>IF(Y84="","",MAX(0,MAX(0,MIN(1,(((IF(Статистика!$C$4="Параллельный режим (активная мощность)",AD84,AO84)+Статистика!$J$4))-Статистика!$C$10)/MAX(Статистика!$G$10-Статистика!$C$10,0.000001)))-MAX(0,MIN(1,(((IF(Статистика!$C$4="Параллельный режим (активная мощность)",AC84,AN84)+Статистика!$J$4))-Статистика!$C$10)/MAX(Статистика!$G$10-Статистика!$C$10,0.000001)))))</f>
        <v>5.6184580555555197E-2</v>
      </c>
      <c r="BX84" s="12">
        <f>IF(Y84="","",MAX(0,MAX(0,MIN(1,(((IF(Статистика!$C$4="Параллельный режим (активная мощность)",AE84,AP84)+Статистика!$J$4))-Статистика!$C$10)/MAX(Статистика!$G$10-Статистика!$C$10,0.000001)))-MAX(0,MIN(1,(((IF(Статистика!$C$4="Параллельный режим (активная мощность)",AD84,AO84)+Статистика!$J$4))-Статистика!$C$10)/MAX(Статистика!$G$10-Статистика!$C$10,0.000001)))))</f>
        <v>7.9810675000000386E-2</v>
      </c>
      <c r="BY84" s="12">
        <f>IF(Y84="","",MAX(0,MAX(0,MIN(1,(((IF(Статистика!$C$4="Параллельный режим (активная мощность)",AF84,AQ84)+Статистика!$J$4))-Статистика!$C$10)/MAX(Статистика!$G$10-Статистика!$C$10,0.000001)))-MAX(0,MIN(1,(((IF(Статистика!$C$4="Параллельный режим (активная мощность)",AE84,AP84)+Статистика!$J$4))-Статистика!$C$10)/MAX(Статистика!$G$10-Статистика!$C$10,0.000001)))))</f>
        <v>0.1619385866666665</v>
      </c>
      <c r="BZ84" s="12">
        <f>IF(Y84="","",MAX(0,MAX(0,MIN(1,(((IF(Статистика!$C$4="Параллельный режим (активная мощность)",AH84,AS84)+Статистика!$J$4))-Статистика!$C$10)/MAX(Статистика!$G$10-Статистика!$C$10,0.000001)))-MAX(0,MIN(1,(((IF(Статистика!$C$4="Параллельный режим (активная мощность)",AF84,AQ84)+Статистика!$J$4))-Статистика!$C$10)/MAX(Статистика!$G$10-Статистика!$C$10,0.000001)))))</f>
        <v>6.3477645000002969E-3</v>
      </c>
      <c r="CA84" s="12">
        <f>IF(Y84="","",MAX(0,1-MAX(0,MIN(1,(((IF(Статистика!$C$4="Параллельный режим (активная мощность)",AH84,AS84)+Статистика!$J$4))-Статистика!$C$10)/MAX(Статистика!$G$10-Статистика!$C$10,0.000001)))))</f>
        <v>0.22079835161111072</v>
      </c>
      <c r="CB84" s="12">
        <f>IF(Y84="",NA(),IF(Статистика!$B$8="Вкл",(((IF(Статистика!$C$4="Параллельный режим (активная мощность)",AD84,AO84)+Статистика!$J$4))-Статистика!$C$10)/MAX(Статистика!$G$10-Статистика!$C$10,0.000001),NA()))</f>
        <v>0.5311046222222221</v>
      </c>
      <c r="CC84" s="12">
        <f>IF(Y84="",NA(),IF(Статистика!$D$8="Вкл",(((IF(Статистика!$C$4="Параллельный режим (активная мощность)",AC84,AN84)+Статистика!$J$4))-Статистика!$C$10)/MAX(Статистика!$G$10-Статистика!$C$10,0.000001),NA()))</f>
        <v>0.4749200416666669</v>
      </c>
      <c r="CD84" s="12">
        <f>IF(Y84="",NA(),IF(Статистика!$D$8="Вкл",(((IF(Статистика!$C$4="Параллельный режим (активная мощность)",AE84,AP84)+Статистика!$J$4))-Статистика!$C$10)/MAX(Статистика!$G$10-Статистика!$C$10,0.000001),NA()))</f>
        <v>0.61091529722222249</v>
      </c>
      <c r="CE84" s="12">
        <f>IF(Y84="",NA(),IF(Статистика!$F$8="Вкл",(((IF(Статистика!$C$4="Параллельный режим (активная мощность)",AB84,AM84)+Статистика!$J$4))-Статистика!$C$10)/MAX(Статистика!$G$10-Статистика!$C$10,0.000001),NA()))</f>
        <v>0.46676275388888888</v>
      </c>
      <c r="CF84" s="12">
        <f>IF(Y84="",NA(),IF(Статистика!$F$8="Вкл",(((IF(Статистика!$C$4="Параллельный режим (активная мощность)",AF84,AQ84)+Статистика!$J$4))-Статистика!$C$10)/MAX(Статистика!$G$10-Статистика!$C$10,0.000001),NA()))</f>
        <v>0.77285388388888898</v>
      </c>
      <c r="CG84" s="12">
        <f>IF(Y84="",NA(),IF(Статистика!$H$8="Вкл",(((IF(Статистика!$C$4="Параллельный режим (активная мощность)",Z84,AK84)+Статистика!$J$4))-Статистика!$C$10)/MAX(Статистика!$G$10-Статистика!$C$10,0.000001),NA()))</f>
        <v>0.45867496538888886</v>
      </c>
      <c r="CH84" s="12">
        <f>IF(Y84="",NA(),IF(Статистика!$H$8="Вкл",(((IF(Статистика!$C$4="Параллельный режим (активная мощность)",AH84,AS84)+Статистика!$J$4))-Статистика!$C$10)/MAX(Статистика!$G$10-Статистика!$C$10,0.000001),NA()))</f>
        <v>0.77920164838888928</v>
      </c>
      <c r="CI84" s="12" t="e">
        <f>IF(Y84="",NA(),IF(Статистика!$J$8="Вкл",(((IF(Статистика!$C$4="Параллельный режим (активная мощность)",AI84,AT84)+Статистика!$J$4))-Статистика!$C$10)/MAX(Статистика!$G$10-Статистика!$C$10,0.000001),NA()))</f>
        <v>#N/A</v>
      </c>
      <c r="CJ84" s="12" t="e">
        <f>IF(AND(Y84&lt;&gt;"",Статистика!$C$6="Вкл",Статистика!$B$6&gt;0),(Статистика!$B$6-Статистика!$C$10)/MAX(Статистика!$G$10-Статистика!$C$10,0.000001),NA())</f>
        <v>#N/A</v>
      </c>
      <c r="CK84" s="12" t="e">
        <f>IF(AND(Y84&lt;&gt;"",Статистика!$F$6="Вкл",Статистика!$E$6&gt;0),(Статистика!$E$6-Статистика!$C$10)/MAX(Статистика!$G$10-Статистика!$C$10,0.000001),NA())</f>
        <v>#N/A</v>
      </c>
      <c r="CL84" s="12" t="e">
        <f>IF(AND(Y84&lt;&gt;"",Статистика!$I$6="Вкл",Статистика!$H$6&gt;0),(Статистика!$H$6-Статистика!$C$10)/MAX(Статистика!$G$10-Статистика!$C$10,0.000001),NA())</f>
        <v>#N/A</v>
      </c>
      <c r="CM84" s="12" t="e">
        <f>IF(AND(Y84&lt;&gt;"",Статистика!$L$6="Вкл",Статистика!$K$6&gt;0),(Статистика!$K$6-Статистика!$C$10)/MAX(Статистика!$G$10-Статистика!$C$10,0.000001),NA())</f>
        <v>#N/A</v>
      </c>
      <c r="CN84" s="12" t="e">
        <f>IF(AND(Y84&lt;&gt;"",Статистика!$M$6="Вкл",Статистика!$O$6&gt;0),(Статистика!$O$6-Статистика!$C$10)/MAX(Статистика!$G$10-Статистика!$C$10,0.000001),NA())</f>
        <v>#N/A</v>
      </c>
      <c r="CO84" s="12">
        <f t="shared" si="3"/>
        <v>1</v>
      </c>
    </row>
    <row r="85" spans="1:93" ht="15" customHeight="1">
      <c r="A85" s="12" t="s">
        <v>400</v>
      </c>
      <c r="B85" s="12">
        <v>2302.8270956666665</v>
      </c>
      <c r="C85" s="12">
        <v>5691.4733450000003</v>
      </c>
      <c r="D85" s="12">
        <v>7332.3695216666656</v>
      </c>
      <c r="E85" s="12">
        <v>7487.9634833333339</v>
      </c>
      <c r="F85" s="12">
        <v>7662.8166333333338</v>
      </c>
      <c r="G85" s="12">
        <v>7935.5486250000013</v>
      </c>
      <c r="H85" s="12">
        <v>8256.6119199999994</v>
      </c>
      <c r="I85" s="12">
        <v>8339.4235983333347</v>
      </c>
      <c r="J85" s="12">
        <v>8351.7562930000022</v>
      </c>
      <c r="K85" s="12">
        <v>8492.5300000000007</v>
      </c>
      <c r="L85" s="12" t="s">
        <v>401</v>
      </c>
      <c r="M85" s="12">
        <v>2845.3932380000001</v>
      </c>
      <c r="N85" s="12">
        <v>6551.5609900000009</v>
      </c>
      <c r="O85" s="12">
        <v>8325.1723099999999</v>
      </c>
      <c r="P85" s="12">
        <v>8461.9107583333334</v>
      </c>
      <c r="Q85" s="12">
        <v>8708.0649166666662</v>
      </c>
      <c r="R85" s="12">
        <v>8985.5378666666656</v>
      </c>
      <c r="S85" s="12">
        <v>9208.7128899999989</v>
      </c>
      <c r="T85" s="12">
        <v>9284.9199116666659</v>
      </c>
      <c r="U85" s="12">
        <v>9290.115049</v>
      </c>
      <c r="V85" s="12">
        <v>9427.1299999999992</v>
      </c>
      <c r="W85" s="12" t="s">
        <v>402</v>
      </c>
      <c r="Y85" s="12" t="s">
        <v>400</v>
      </c>
      <c r="Z85" s="12">
        <v>7317.7632014999999</v>
      </c>
      <c r="AA85" s="12">
        <v>7336.2389408333329</v>
      </c>
      <c r="AB85" s="12">
        <v>7359.3336150000005</v>
      </c>
      <c r="AC85" s="12">
        <v>7399.931716666666</v>
      </c>
      <c r="AD85" s="12">
        <v>7591.5464666666667</v>
      </c>
      <c r="AE85" s="12">
        <v>7795.8896166666655</v>
      </c>
      <c r="AF85" s="12">
        <v>8314.3608299999996</v>
      </c>
      <c r="AG85" s="12">
        <v>8328.2540316666673</v>
      </c>
      <c r="AH85" s="12">
        <v>8339.3685929999992</v>
      </c>
      <c r="AI85" s="12">
        <v>8483.35</v>
      </c>
      <c r="AJ85" s="12" t="s">
        <v>403</v>
      </c>
      <c r="AK85" s="12">
        <v>8326.6433608333336</v>
      </c>
      <c r="AL85" s="12">
        <v>8327.6129375</v>
      </c>
      <c r="AM85" s="12">
        <v>8328.824908333334</v>
      </c>
      <c r="AN85" s="12">
        <v>8402.6395166666662</v>
      </c>
      <c r="AO85" s="12">
        <v>8550.6713</v>
      </c>
      <c r="AP85" s="12">
        <v>8848.1618166666667</v>
      </c>
      <c r="AQ85" s="12">
        <v>9297.0751716666673</v>
      </c>
      <c r="AR85" s="12">
        <v>9334.2865858333334</v>
      </c>
      <c r="AS85" s="12">
        <v>9364.055717166666</v>
      </c>
      <c r="AT85" s="12">
        <v>9496.5499999999993</v>
      </c>
      <c r="AU85" s="12" t="s">
        <v>403</v>
      </c>
      <c r="AW85" s="12">
        <f>IF(A85="","",MAX(0,MIN(1,(((IF(Статистика!$C$4="Параллельный режим (активная мощность)",B85,M85)+Статистика!$J$4))-Статистика!$C$10)/MAX(Статистика!$G$10-Статистика!$C$10,0.000001))))</f>
        <v>0</v>
      </c>
      <c r="AX85" s="12">
        <f>IF(A85="","",MAX(0,MAX(0,MIN(1,(((IF(Статистика!$C$4="Параллельный режим (активная мощность)",D85,O85)+Статистика!$J$4))-Статистика!$C$10)/MAX(Статистика!$G$10-Статистика!$C$10,0.000001)))-MAX(0,MIN(1,(((IF(Статистика!$C$4="Параллельный режим (активная мощность)",B85,M85)+Статистика!$J$4))-Статистика!$C$10)/MAX(Статистика!$G$10-Статистика!$C$10,0.000001)))))</f>
        <v>0.44412317388888856</v>
      </c>
      <c r="AY85" s="12">
        <f>IF(A85="","",MAX(0,MAX(0,MIN(1,(((IF(Статистика!$C$4="Параллельный режим (активная мощность)",E85,P85)+Статистика!$J$4))-Статистика!$C$10)/MAX(Статистика!$G$10-Статистика!$C$10,0.000001)))-MAX(0,MIN(1,(((IF(Статистика!$C$4="Параллельный режим (активная мощность)",D85,O85)+Статистика!$J$4))-Статистика!$C$10)/MAX(Статистика!$G$10-Статистика!$C$10,0.000001)))))</f>
        <v>5.1864653888889389E-2</v>
      </c>
      <c r="AZ85" s="12">
        <f>IF(A85="","",MAX(0,MAX(0,MIN(1,(((IF(Статистика!$C$4="Параллельный режим (активная мощность)",F85,Q85)+Статистика!$J$4))-Статистика!$C$10)/MAX(Статистика!$G$10-Статистика!$C$10,0.000001)))-MAX(0,MIN(1,(((IF(Статистика!$C$4="Параллельный режим (активная мощность)",E85,P85)+Статистика!$J$4))-Статистика!$C$10)/MAX(Статистика!$G$10-Статистика!$C$10,0.000001)))))</f>
        <v>5.8284383333333301E-2</v>
      </c>
      <c r="BA85" s="12">
        <f>IF(A85="","",MAX(0,MAX(0,MIN(1,(((IF(Статистика!$C$4="Параллельный режим (активная мощность)",G85,R85)+Статистика!$J$4))-Статистика!$C$10)/MAX(Статистика!$G$10-Статистика!$C$10,0.000001)))-MAX(0,MIN(1,(((IF(Статистика!$C$4="Параллельный режим (активная мощность)",F85,Q85)+Статистика!$J$4))-Статистика!$C$10)/MAX(Статистика!$G$10-Статистика!$C$10,0.000001)))))</f>
        <v>9.0910663888889132E-2</v>
      </c>
      <c r="BB85" s="12">
        <f>IF(A85="","",MAX(0,MAX(0,MIN(1,(((IF(Статистика!$C$4="Параллельный режим (активная мощность)",H85,S85)+Статистика!$J$4))-Статистика!$C$10)/MAX(Статистика!$G$10-Статистика!$C$10,0.000001)))-MAX(0,MIN(1,(((IF(Статистика!$C$4="Параллельный режим (активная мощность)",G85,R85)+Статистика!$J$4))-Статистика!$C$10)/MAX(Статистика!$G$10-Статистика!$C$10,0.000001)))))</f>
        <v>0.10702109833333273</v>
      </c>
      <c r="BC85" s="12">
        <f>IF(A85="","",MAX(0,MAX(0,MIN(1,(((IF(Статистика!$C$4="Параллельный режим (активная мощность)",J85,U85)+Статистика!$J$4))-Статистика!$C$10)/MAX(Статистика!$G$10-Статистика!$C$10,0.000001)))-MAX(0,MIN(1,(((IF(Статистика!$C$4="Параллельный режим (активная мощность)",H85,S85)+Статистика!$J$4))-Статистика!$C$10)/MAX(Статистика!$G$10-Статистика!$C$10,0.000001)))))</f>
        <v>3.1714791000000964E-2</v>
      </c>
      <c r="BD85" s="12">
        <f>IF(A85="","",MAX(0,1-MAX(0,MIN(1,(((IF(Статистика!$C$4="Параллельный режим (активная мощность)",J85,U85)+Статистика!$J$4))-Статистика!$C$10)/MAX(Статистика!$G$10-Статистика!$C$10,0.000001)))))</f>
        <v>0.21608123566666593</v>
      </c>
      <c r="BE85" s="12">
        <f>IF(A85="",NA(),IF(Статистика!$B$8="Вкл",(((IF(Статистика!$C$4="Параллельный режим (активная мощность)",F85,Q85)+Статистика!$J$4))-Статистика!$C$10)/MAX(Статистика!$G$10-Статистика!$C$10,0.000001),NA()))</f>
        <v>0.55427221111111125</v>
      </c>
      <c r="BF85" s="12">
        <f>IF(A85="",NA(),IF(Статистика!$D$8="Вкл",(((IF(Статистика!$C$4="Параллельный режим (активная мощность)",E85,P85)+Статистика!$J$4))-Статистика!$C$10)/MAX(Статистика!$G$10-Статистика!$C$10,0.000001),NA()))</f>
        <v>0.49598782777777795</v>
      </c>
      <c r="BG85" s="12">
        <f>IF(A85="",NA(),IF(Статистика!$D$8="Вкл",(((IF(Статистика!$C$4="Параллельный режим (активная мощность)",G85,R85)+Статистика!$J$4))-Статистика!$C$10)/MAX(Статистика!$G$10-Статистика!$C$10,0.000001),NA()))</f>
        <v>0.64518287500000038</v>
      </c>
      <c r="BH85" s="12">
        <f>IF(A85="",NA(),IF(Статистика!$F$8="Вкл",(((IF(Статистика!$C$4="Параллельный режим (активная мощность)",D85,O85)+Статистика!$J$4))-Статистика!$C$10)/MAX(Статистика!$G$10-Статистика!$C$10,0.000001),NA()))</f>
        <v>0.44412317388888856</v>
      </c>
      <c r="BI85" s="12">
        <f>IF(A85="",NA(),IF(Статистика!$F$8="Вкл",(((IF(Статистика!$C$4="Параллельный режим (активная мощность)",H85,S85)+Статистика!$J$4))-Статистика!$C$10)/MAX(Статистика!$G$10-Статистика!$C$10,0.000001),NA()))</f>
        <v>0.75220397333333311</v>
      </c>
      <c r="BJ85" s="12">
        <f>IF(A85="",NA(),IF(Статистика!$H$8="Вкл",(((IF(Статистика!$C$4="Параллельный режим (активная мощность)",B85,M85)+Статистика!$J$4))-Статистика!$C$10)/MAX(Статистика!$G$10-Статистика!$C$10,0.000001),NA()))</f>
        <v>-1.2323909681111112</v>
      </c>
      <c r="BK85" s="12">
        <f>IF(A85="",NA(),IF(Статистика!$H$8="Вкл",(((IF(Статистика!$C$4="Параллельный режим (активная мощность)",J85,U85)+Статистика!$J$4))-Статистика!$C$10)/MAX(Статистика!$G$10-Статистика!$C$10,0.000001),NA()))</f>
        <v>0.78391876433333407</v>
      </c>
      <c r="BL85" s="12" t="e">
        <f>IF(A85="",NA(),IF(Статистика!$J$8="Вкл",(((IF(Статистика!$C$4="Параллельный режим (активная мощность)",K85,V85)+Статистика!$J$4))-Статистика!$C$10)/MAX(Статистика!$G$10-Статистика!$C$10,0.000001),NA()))</f>
        <v>#N/A</v>
      </c>
      <c r="BM85" s="12" t="e">
        <f>IF(AND(A85&lt;&gt;"",Статистика!$C$6="Вкл",Статистика!$B$6&gt;0),(Статистика!$B$6-Статистика!$C$10)/MAX(Статистика!$G$10-Статистика!$C$10,0.000001),NA())</f>
        <v>#N/A</v>
      </c>
      <c r="BN85" s="12" t="e">
        <f>IF(AND(A85&lt;&gt;"",Статистика!$F$6="Вкл",Статистика!$E$6&gt;0),(Статистика!$E$6-Статистика!$C$10)/MAX(Статистика!$G$10-Статистика!$C$10,0.000001),NA())</f>
        <v>#N/A</v>
      </c>
      <c r="BO85" s="12" t="e">
        <f>IF(AND(A85&lt;&gt;"",Статистика!$I$6="Вкл",Статистика!$H$6&gt;0),(Статистика!$H$6-Статистика!$C$10)/MAX(Статистика!$G$10-Статистика!$C$10,0.000001),NA())</f>
        <v>#N/A</v>
      </c>
      <c r="BP85" s="12" t="e">
        <f>IF(AND(A85&lt;&gt;"",Статистика!$L$6="Вкл",Статистика!$K$6&gt;0),(Статистика!$K$6-Статистика!$C$10)/MAX(Статистика!$G$10-Статистика!$C$10,0.000001),NA())</f>
        <v>#N/A</v>
      </c>
      <c r="BQ85" s="12" t="e">
        <f>IF(AND(A85&lt;&gt;"",Статистика!$M$6="Вкл",Статистика!$O$6&gt;0),(Статистика!$O$6-Статистика!$C$10)/MAX(Статистика!$G$10-Статистика!$C$10,0.000001),NA())</f>
        <v>#N/A</v>
      </c>
      <c r="BR85" s="12">
        <f t="shared" si="2"/>
        <v>1</v>
      </c>
      <c r="BT85" s="12">
        <f>IF(Y85="","",MAX(0,MIN(1,(((IF(Статистика!$C$4="Параллельный режим (активная мощность)",Z85,AK85)+Статистика!$J$4))-Статистика!$C$10)/MAX(Статистика!$G$10-Статистика!$C$10,0.000001))))</f>
        <v>0.43925440049999998</v>
      </c>
      <c r="BU85" s="12">
        <f>IF(Y85="","",MAX(0,MAX(0,MIN(1,(((IF(Статистика!$C$4="Параллельный режим (активная мощность)",AB85,AM85)+Статистика!$J$4))-Статистика!$C$10)/MAX(Статистика!$G$10-Статистика!$C$10,0.000001)))-MAX(0,MIN(1,(((IF(Статистика!$C$4="Параллельный режим (активная мощность)",Z85,AK85)+Статистика!$J$4))-Статистика!$C$10)/MAX(Статистика!$G$10-Статистика!$C$10,0.000001)))))</f>
        <v>1.3856804500000153E-2</v>
      </c>
      <c r="BV85" s="12">
        <f>IF(Y85="","",MAX(0,MAX(0,MIN(1,(((IF(Статистика!$C$4="Параллельный режим (активная мощность)",AC85,AN85)+Статистика!$J$4))-Статистика!$C$10)/MAX(Статистика!$G$10-Статистика!$C$10,0.000001)))-MAX(0,MIN(1,(((IF(Статистика!$C$4="Параллельный режим (активная мощность)",AB85,AM85)+Статистика!$J$4))-Статистика!$C$10)/MAX(Статистика!$G$10-Статистика!$C$10,0.000001)))))</f>
        <v>1.3532700555555222E-2</v>
      </c>
      <c r="BW85" s="12">
        <f>IF(Y85="","",MAX(0,MAX(0,MIN(1,(((IF(Статистика!$C$4="Параллельный режим (активная мощность)",AD85,AO85)+Статистика!$J$4))-Статистика!$C$10)/MAX(Статистика!$G$10-Статистика!$C$10,0.000001)))-MAX(0,MIN(1,(((IF(Статистика!$C$4="Параллельный режим (активная мощность)",AC85,AN85)+Статистика!$J$4))-Статистика!$C$10)/MAX(Статистика!$G$10-Статистика!$C$10,0.000001)))))</f>
        <v>6.3871583333333537E-2</v>
      </c>
      <c r="BX85" s="12">
        <f>IF(Y85="","",MAX(0,MAX(0,MIN(1,(((IF(Статистика!$C$4="Параллельный режим (активная мощность)",AE85,AP85)+Статистика!$J$4))-Статистика!$C$10)/MAX(Статистика!$G$10-Статистика!$C$10,0.000001)))-MAX(0,MIN(1,(((IF(Статистика!$C$4="Параллельный режим (активная мощность)",AD85,AO85)+Статистика!$J$4))-Статистика!$C$10)/MAX(Статистика!$G$10-Статистика!$C$10,0.000001)))))</f>
        <v>6.8114383333332973E-2</v>
      </c>
      <c r="BY85" s="12">
        <f>IF(Y85="","",MAX(0,MAX(0,MIN(1,(((IF(Статистика!$C$4="Параллельный режим (активная мощность)",AF85,AQ85)+Статистика!$J$4))-Статистика!$C$10)/MAX(Статистика!$G$10-Статистика!$C$10,0.000001)))-MAX(0,MIN(1,(((IF(Статистика!$C$4="Параллельный режим (активная мощность)",AE85,AP85)+Статистика!$J$4))-Статистика!$C$10)/MAX(Статистика!$G$10-Статистика!$C$10,0.000001)))))</f>
        <v>0.17282373777777804</v>
      </c>
      <c r="BZ85" s="12">
        <f>IF(Y85="","",MAX(0,MAX(0,MIN(1,(((IF(Статистика!$C$4="Параллельный режим (активная мощность)",AH85,AS85)+Статистика!$J$4))-Статистика!$C$10)/MAX(Статистика!$G$10-Статистика!$C$10,0.000001)))-MAX(0,MIN(1,(((IF(Статистика!$C$4="Параллельный режим (активная мощность)",AF85,AQ85)+Статистика!$J$4))-Статистика!$C$10)/MAX(Статистика!$G$10-Статистика!$C$10,0.000001)))))</f>
        <v>8.3359209999998019E-3</v>
      </c>
      <c r="CA85" s="12">
        <f>IF(Y85="","",MAX(0,1-MAX(0,MIN(1,(((IF(Статистика!$C$4="Параллельный режим (активная мощность)",AH85,AS85)+Статистика!$J$4))-Статистика!$C$10)/MAX(Статистика!$G$10-Статистика!$C$10,0.000001)))))</f>
        <v>0.2202104690000003</v>
      </c>
      <c r="CB85" s="12">
        <f>IF(Y85="",NA(),IF(Статистика!$B$8="Вкл",(((IF(Статистика!$C$4="Параллельный режим (активная мощность)",AD85,AO85)+Статистика!$J$4))-Статистика!$C$10)/MAX(Статистика!$G$10-Статистика!$C$10,0.000001),NA()))</f>
        <v>0.53051548888888889</v>
      </c>
      <c r="CC85" s="12">
        <f>IF(Y85="",NA(),IF(Статистика!$D$8="Вкл",(((IF(Статистика!$C$4="Параллельный режим (активная мощность)",AC85,AN85)+Статистика!$J$4))-Статистика!$C$10)/MAX(Статистика!$G$10-Статистика!$C$10,0.000001),NA()))</f>
        <v>0.46664390555555535</v>
      </c>
      <c r="CD85" s="12">
        <f>IF(Y85="",NA(),IF(Статистика!$D$8="Вкл",(((IF(Статистика!$C$4="Параллельный режим (активная мощность)",AE85,AP85)+Статистика!$J$4))-Статистика!$C$10)/MAX(Статистика!$G$10-Статистика!$C$10,0.000001),NA()))</f>
        <v>0.59862987222222186</v>
      </c>
      <c r="CE85" s="12">
        <f>IF(Y85="",NA(),IF(Статистика!$F$8="Вкл",(((IF(Статистика!$C$4="Параллельный режим (активная мощность)",AB85,AM85)+Статистика!$J$4))-Статистика!$C$10)/MAX(Статистика!$G$10-Статистика!$C$10,0.000001),NA()))</f>
        <v>0.45311120500000013</v>
      </c>
      <c r="CF85" s="12">
        <f>IF(Y85="",NA(),IF(Статистика!$F$8="Вкл",(((IF(Статистика!$C$4="Параллельный режим (активная мощность)",AF85,AQ85)+Статистика!$J$4))-Статистика!$C$10)/MAX(Статистика!$G$10-Статистика!$C$10,0.000001),NA()))</f>
        <v>0.7714536099999999</v>
      </c>
      <c r="CG85" s="12">
        <f>IF(Y85="",NA(),IF(Статистика!$H$8="Вкл",(((IF(Статистика!$C$4="Параллельный режим (активная мощность)",Z85,AK85)+Статистика!$J$4))-Статистика!$C$10)/MAX(Статистика!$G$10-Статистика!$C$10,0.000001),NA()))</f>
        <v>0.43925440049999998</v>
      </c>
      <c r="CH85" s="12">
        <f>IF(Y85="",NA(),IF(Статистика!$H$8="Вкл",(((IF(Статистика!$C$4="Параллельный режим (активная мощность)",AH85,AS85)+Статистика!$J$4))-Статистика!$C$10)/MAX(Статистика!$G$10-Статистика!$C$10,0.000001),NA()))</f>
        <v>0.7797895309999997</v>
      </c>
      <c r="CI85" s="12" t="e">
        <f>IF(Y85="",NA(),IF(Статистика!$J$8="Вкл",(((IF(Статистика!$C$4="Параллельный режим (активная мощность)",AI85,AT85)+Статистика!$J$4))-Статистика!$C$10)/MAX(Статистика!$G$10-Статистика!$C$10,0.000001),NA()))</f>
        <v>#N/A</v>
      </c>
      <c r="CJ85" s="12" t="e">
        <f>IF(AND(Y85&lt;&gt;"",Статистика!$C$6="Вкл",Статистика!$B$6&gt;0),(Статистика!$B$6-Статистика!$C$10)/MAX(Статистика!$G$10-Статистика!$C$10,0.000001),NA())</f>
        <v>#N/A</v>
      </c>
      <c r="CK85" s="12" t="e">
        <f>IF(AND(Y85&lt;&gt;"",Статистика!$F$6="Вкл",Статистика!$E$6&gt;0),(Статистика!$E$6-Статистика!$C$10)/MAX(Статистика!$G$10-Статистика!$C$10,0.000001),NA())</f>
        <v>#N/A</v>
      </c>
      <c r="CL85" s="12" t="e">
        <f>IF(AND(Y85&lt;&gt;"",Статистика!$I$6="Вкл",Статистика!$H$6&gt;0),(Статистика!$H$6-Статистика!$C$10)/MAX(Статистика!$G$10-Статистика!$C$10,0.000001),NA())</f>
        <v>#N/A</v>
      </c>
      <c r="CM85" s="12" t="e">
        <f>IF(AND(Y85&lt;&gt;"",Статистика!$L$6="Вкл",Статистика!$K$6&gt;0),(Статистика!$K$6-Статистика!$C$10)/MAX(Статистика!$G$10-Статистика!$C$10,0.000001),NA())</f>
        <v>#N/A</v>
      </c>
      <c r="CN85" s="12" t="e">
        <f>IF(AND(Y85&lt;&gt;"",Статистика!$M$6="Вкл",Статистика!$O$6&gt;0),(Статистика!$O$6-Статистика!$C$10)/MAX(Статистика!$G$10-Статистика!$C$10,0.000001),NA())</f>
        <v>#N/A</v>
      </c>
      <c r="CO85" s="12">
        <f t="shared" si="3"/>
        <v>1</v>
      </c>
    </row>
    <row r="86" spans="1:93" ht="15" customHeight="1">
      <c r="A86" s="12" t="s">
        <v>404</v>
      </c>
      <c r="B86" s="12">
        <v>2304.439472333333</v>
      </c>
      <c r="C86" s="12">
        <v>5688.166161666667</v>
      </c>
      <c r="D86" s="12">
        <v>7302.955418333333</v>
      </c>
      <c r="E86" s="12">
        <v>7495.7610333333341</v>
      </c>
      <c r="F86" s="12">
        <v>7649.9740166666679</v>
      </c>
      <c r="G86" s="12">
        <v>7916.0873916666669</v>
      </c>
      <c r="H86" s="12">
        <v>8188.2117516666667</v>
      </c>
      <c r="I86" s="12">
        <v>8260.604138333334</v>
      </c>
      <c r="J86" s="12">
        <v>8342.054427666666</v>
      </c>
      <c r="K86" s="12">
        <v>8475.85</v>
      </c>
      <c r="L86" s="12" t="s">
        <v>405</v>
      </c>
      <c r="M86" s="12">
        <v>2838.6173870000002</v>
      </c>
      <c r="N86" s="12">
        <v>6522.9092016666682</v>
      </c>
      <c r="O86" s="12">
        <v>8281.8675800000001</v>
      </c>
      <c r="P86" s="12">
        <v>8444.3861499999985</v>
      </c>
      <c r="Q86" s="12">
        <v>8642.5083666666669</v>
      </c>
      <c r="R86" s="12">
        <v>8930.5174916666674</v>
      </c>
      <c r="S86" s="12">
        <v>9130.2055433333317</v>
      </c>
      <c r="T86" s="12">
        <v>9194.0816499999983</v>
      </c>
      <c r="U86" s="12">
        <v>9271.0890233333321</v>
      </c>
      <c r="V86" s="12">
        <v>9445.7999999999993</v>
      </c>
      <c r="W86" s="12" t="s">
        <v>406</v>
      </c>
      <c r="Y86" s="12" t="s">
        <v>404</v>
      </c>
      <c r="Z86" s="12">
        <v>7276.4334311666662</v>
      </c>
      <c r="AA86" s="12">
        <v>7302.0356891666661</v>
      </c>
      <c r="AB86" s="12">
        <v>7334.0385116666666</v>
      </c>
      <c r="AC86" s="12">
        <v>7403.5869083333337</v>
      </c>
      <c r="AD86" s="12">
        <v>7586.1518499999984</v>
      </c>
      <c r="AE86" s="12">
        <v>7879.269683333333</v>
      </c>
      <c r="AF86" s="12">
        <v>8298.1310466666655</v>
      </c>
      <c r="AG86" s="12">
        <v>8312.4032899999984</v>
      </c>
      <c r="AH86" s="12">
        <v>8323.8210846666661</v>
      </c>
      <c r="AI86" s="12">
        <v>8460.25</v>
      </c>
      <c r="AJ86" s="12" t="s">
        <v>407</v>
      </c>
      <c r="AK86" s="12">
        <v>8292.3402376666654</v>
      </c>
      <c r="AL86" s="12">
        <v>8302.728388333333</v>
      </c>
      <c r="AM86" s="12">
        <v>8315.713576666667</v>
      </c>
      <c r="AN86" s="12">
        <v>8393.5869249999996</v>
      </c>
      <c r="AO86" s="12">
        <v>8546.0058833333333</v>
      </c>
      <c r="AP86" s="12">
        <v>8818.5469666666668</v>
      </c>
      <c r="AQ86" s="12">
        <v>9267.230826666666</v>
      </c>
      <c r="AR86" s="12">
        <v>9307.8811800000003</v>
      </c>
      <c r="AS86" s="12">
        <v>9340.4014626666667</v>
      </c>
      <c r="AT86" s="12">
        <v>9472.48</v>
      </c>
      <c r="AU86" s="12" t="s">
        <v>408</v>
      </c>
      <c r="AW86" s="12">
        <f>IF(A86="","",MAX(0,MIN(1,(((IF(Статистика!$C$4="Параллельный режим (активная мощность)",B86,M86)+Статистика!$J$4))-Статистика!$C$10)/MAX(Статистика!$G$10-Статистика!$C$10,0.000001))))</f>
        <v>0</v>
      </c>
      <c r="AX86" s="12">
        <f>IF(A86="","",MAX(0,MAX(0,MIN(1,(((IF(Статистика!$C$4="Параллельный режим (активная мощность)",D86,O86)+Статистика!$J$4))-Статистика!$C$10)/MAX(Статистика!$G$10-Статистика!$C$10,0.000001)))-MAX(0,MIN(1,(((IF(Статистика!$C$4="Параллельный режим (активная мощность)",B86,M86)+Статистика!$J$4))-Статистика!$C$10)/MAX(Статистика!$G$10-Статистика!$C$10,0.000001)))))</f>
        <v>0.43431847277777769</v>
      </c>
      <c r="AY86" s="12">
        <f>IF(A86="","",MAX(0,MAX(0,MIN(1,(((IF(Статистика!$C$4="Параллельный режим (активная мощность)",E86,P86)+Статистика!$J$4))-Статистика!$C$10)/MAX(Статистика!$G$10-Статистика!$C$10,0.000001)))-MAX(0,MIN(1,(((IF(Статистика!$C$4="Параллельный режим (активная мощность)",D86,O86)+Статистика!$J$4))-Статистика!$C$10)/MAX(Статистика!$G$10-Статистика!$C$10,0.000001)))))</f>
        <v>6.426853833333368E-2</v>
      </c>
      <c r="AZ86" s="12">
        <f>IF(A86="","",MAX(0,MAX(0,MIN(1,(((IF(Статистика!$C$4="Параллельный режим (активная мощность)",F86,Q86)+Статистика!$J$4))-Статистика!$C$10)/MAX(Статистика!$G$10-Статистика!$C$10,0.000001)))-MAX(0,MIN(1,(((IF(Статистика!$C$4="Параллельный режим (активная мощность)",E86,P86)+Статистика!$J$4))-Статистика!$C$10)/MAX(Статистика!$G$10-Статистика!$C$10,0.000001)))))</f>
        <v>5.1404327777777925E-2</v>
      </c>
      <c r="BA86" s="12">
        <f>IF(A86="","",MAX(0,MAX(0,MIN(1,(((IF(Статистика!$C$4="Параллельный режим (активная мощность)",G86,R86)+Статистика!$J$4))-Статистика!$C$10)/MAX(Статистика!$G$10-Статистика!$C$10,0.000001)))-MAX(0,MIN(1,(((IF(Статистика!$C$4="Параллельный режим (активная мощность)",F86,Q86)+Статистика!$J$4))-Статистика!$C$10)/MAX(Статистика!$G$10-Статистика!$C$10,0.000001)))))</f>
        <v>8.8704458333333069E-2</v>
      </c>
      <c r="BB86" s="12">
        <f>IF(A86="","",MAX(0,MAX(0,MIN(1,(((IF(Статистика!$C$4="Параллельный режим (активная мощность)",H86,S86)+Статистика!$J$4))-Статистика!$C$10)/MAX(Статистика!$G$10-Статистика!$C$10,0.000001)))-MAX(0,MIN(1,(((IF(Статистика!$C$4="Параллельный режим (активная мощность)",G86,R86)+Статистика!$J$4))-Статистика!$C$10)/MAX(Статистика!$G$10-Статистика!$C$10,0.000001)))))</f>
        <v>9.0708119999999837E-2</v>
      </c>
      <c r="BC86" s="12">
        <f>IF(A86="","",MAX(0,MAX(0,MIN(1,(((IF(Статистика!$C$4="Параллельный режим (активная мощность)",J86,U86)+Статистика!$J$4))-Статистика!$C$10)/MAX(Статистика!$G$10-Статистика!$C$10,0.000001)))-MAX(0,MIN(1,(((IF(Статистика!$C$4="Параллельный режим (активная мощность)",H86,S86)+Статистика!$J$4))-Статистика!$C$10)/MAX(Статистика!$G$10-Статистика!$C$10,0.000001)))))</f>
        <v>5.1280891999999856E-2</v>
      </c>
      <c r="BD86" s="12">
        <f>IF(A86="","",MAX(0,1-MAX(0,MIN(1,(((IF(Статистика!$C$4="Параллельный режим (активная мощность)",J86,U86)+Статистика!$J$4))-Статистика!$C$10)/MAX(Статистика!$G$10-Статистика!$C$10,0.000001)))))</f>
        <v>0.21931519077777795</v>
      </c>
      <c r="BE86" s="12">
        <f>IF(A86="",NA(),IF(Статистика!$B$8="Вкл",(((IF(Статистика!$C$4="Параллельный режим (активная мощность)",F86,Q86)+Статистика!$J$4))-Статистика!$C$10)/MAX(Статистика!$G$10-Статистика!$C$10,0.000001),NA()))</f>
        <v>0.54999133888888929</v>
      </c>
      <c r="BF86" s="12">
        <f>IF(A86="",NA(),IF(Статистика!$D$8="Вкл",(((IF(Статистика!$C$4="Параллельный режим (активная мощность)",E86,P86)+Статистика!$J$4))-Статистика!$C$10)/MAX(Статистика!$G$10-Статистика!$C$10,0.000001),NA()))</f>
        <v>0.49858701111111137</v>
      </c>
      <c r="BG86" s="12">
        <f>IF(A86="",NA(),IF(Статистика!$D$8="Вкл",(((IF(Статистика!$C$4="Параллельный режим (активная мощность)",G86,R86)+Статистика!$J$4))-Статистика!$C$10)/MAX(Статистика!$G$10-Статистика!$C$10,0.000001),NA()))</f>
        <v>0.63869579722222236</v>
      </c>
      <c r="BH86" s="12">
        <f>IF(A86="",NA(),IF(Статистика!$F$8="Вкл",(((IF(Статистика!$C$4="Параллельный режим (активная мощность)",D86,O86)+Статистика!$J$4))-Статистика!$C$10)/MAX(Статистика!$G$10-Статистика!$C$10,0.000001),NA()))</f>
        <v>0.43431847277777769</v>
      </c>
      <c r="BI86" s="12">
        <f>IF(A86="",NA(),IF(Статистика!$F$8="Вкл",(((IF(Статистика!$C$4="Параллельный режим (активная мощность)",H86,S86)+Статистика!$J$4))-Статистика!$C$10)/MAX(Статистика!$G$10-Статистика!$C$10,0.000001),NA()))</f>
        <v>0.7294039172222222</v>
      </c>
      <c r="BJ86" s="12">
        <f>IF(A86="",NA(),IF(Статистика!$H$8="Вкл",(((IF(Статистика!$C$4="Параллельный режим (активная мощность)",B86,M86)+Статистика!$J$4))-Статистика!$C$10)/MAX(Статистика!$G$10-Статистика!$C$10,0.000001),NA()))</f>
        <v>-1.2318535092222223</v>
      </c>
      <c r="BK86" s="12">
        <f>IF(A86="",NA(),IF(Статистика!$H$8="Вкл",(((IF(Статистика!$C$4="Параллельный режим (активная мощность)",J86,U86)+Статистика!$J$4))-Статистика!$C$10)/MAX(Статистика!$G$10-Статистика!$C$10,0.000001),NA()))</f>
        <v>0.78068480922222205</v>
      </c>
      <c r="BL86" s="12" t="e">
        <f>IF(A86="",NA(),IF(Статистика!$J$8="Вкл",(((IF(Статистика!$C$4="Параллельный режим (активная мощность)",K86,V86)+Статистика!$J$4))-Статистика!$C$10)/MAX(Статистика!$G$10-Статистика!$C$10,0.000001),NA()))</f>
        <v>#N/A</v>
      </c>
      <c r="BM86" s="12" t="e">
        <f>IF(AND(A86&lt;&gt;"",Статистика!$C$6="Вкл",Статистика!$B$6&gt;0),(Статистика!$B$6-Статистика!$C$10)/MAX(Статистика!$G$10-Статистика!$C$10,0.000001),NA())</f>
        <v>#N/A</v>
      </c>
      <c r="BN86" s="12" t="e">
        <f>IF(AND(A86&lt;&gt;"",Статистика!$F$6="Вкл",Статистика!$E$6&gt;0),(Статистика!$E$6-Статистика!$C$10)/MAX(Статистика!$G$10-Статистика!$C$10,0.000001),NA())</f>
        <v>#N/A</v>
      </c>
      <c r="BO86" s="12" t="e">
        <f>IF(AND(A86&lt;&gt;"",Статистика!$I$6="Вкл",Статистика!$H$6&gt;0),(Статистика!$H$6-Статистика!$C$10)/MAX(Статистика!$G$10-Статистика!$C$10,0.000001),NA())</f>
        <v>#N/A</v>
      </c>
      <c r="BP86" s="12" t="e">
        <f>IF(AND(A86&lt;&gt;"",Статистика!$L$6="Вкл",Статистика!$K$6&gt;0),(Статистика!$K$6-Статистика!$C$10)/MAX(Статистика!$G$10-Статистика!$C$10,0.000001),NA())</f>
        <v>#N/A</v>
      </c>
      <c r="BQ86" s="12" t="e">
        <f>IF(AND(A86&lt;&gt;"",Статистика!$M$6="Вкл",Статистика!$O$6&gt;0),(Статистика!$O$6-Статистика!$C$10)/MAX(Статистика!$G$10-Статистика!$C$10,0.000001),NA())</f>
        <v>#N/A</v>
      </c>
      <c r="BR86" s="12">
        <f t="shared" si="2"/>
        <v>1</v>
      </c>
      <c r="BT86" s="12">
        <f>IF(Y86="","",MAX(0,MIN(1,(((IF(Статистика!$C$4="Параллельный режим (активная мощность)",Z86,AK86)+Статистика!$J$4))-Статистика!$C$10)/MAX(Статистика!$G$10-Статистика!$C$10,0.000001))))</f>
        <v>0.42547781038888871</v>
      </c>
      <c r="BU86" s="12">
        <f>IF(Y86="","",MAX(0,MAX(0,MIN(1,(((IF(Статистика!$C$4="Параллельный режим (активная мощность)",AB86,AM86)+Статистика!$J$4))-Статистика!$C$10)/MAX(Статистика!$G$10-Статистика!$C$10,0.000001)))-MAX(0,MIN(1,(((IF(Статистика!$C$4="Параллельный режим (активная мощность)",Z86,AK86)+Статистика!$J$4))-Статистика!$C$10)/MAX(Статистика!$G$10-Статистика!$C$10,0.000001)))))</f>
        <v>1.9201693500000172E-2</v>
      </c>
      <c r="BV86" s="12">
        <f>IF(Y86="","",MAX(0,MAX(0,MIN(1,(((IF(Статистика!$C$4="Параллельный режим (активная мощность)",AC86,AN86)+Статистика!$J$4))-Статистика!$C$10)/MAX(Статистика!$G$10-Статистика!$C$10,0.000001)))-MAX(0,MIN(1,(((IF(Статистика!$C$4="Параллельный режим (активная мощность)",AB86,AM86)+Статистика!$J$4))-Статистика!$C$10)/MAX(Статистика!$G$10-Статистика!$C$10,0.000001)))))</f>
        <v>2.3182798888889022E-2</v>
      </c>
      <c r="BW86" s="12">
        <f>IF(Y86="","",MAX(0,MAX(0,MIN(1,(((IF(Статистика!$C$4="Параллельный режим (активная мощность)",AD86,AO86)+Статистика!$J$4))-Статистика!$C$10)/MAX(Статистика!$G$10-Статистика!$C$10,0.000001)))-MAX(0,MIN(1,(((IF(Статистика!$C$4="Параллельный режим (активная мощность)",AC86,AN86)+Статистика!$J$4))-Статистика!$C$10)/MAX(Статистика!$G$10-Статистика!$C$10,0.000001)))))</f>
        <v>6.0854980555554883E-2</v>
      </c>
      <c r="BX86" s="12">
        <f>IF(Y86="","",MAX(0,MAX(0,MIN(1,(((IF(Статистика!$C$4="Параллельный режим (активная мощность)",AE86,AP86)+Статистика!$J$4))-Статистика!$C$10)/MAX(Статистика!$G$10-Статистика!$C$10,0.000001)))-MAX(0,MIN(1,(((IF(Статистика!$C$4="Параллельный режим (активная мощность)",AD86,AO86)+Статистика!$J$4))-Статистика!$C$10)/MAX(Статистика!$G$10-Статистика!$C$10,0.000001)))))</f>
        <v>9.7705944444444914E-2</v>
      </c>
      <c r="BY86" s="12">
        <f>IF(Y86="","",MAX(0,MAX(0,MIN(1,(((IF(Статистика!$C$4="Параллельный режим (активная мощность)",AF86,AQ86)+Статистика!$J$4))-Статистика!$C$10)/MAX(Статистика!$G$10-Статистика!$C$10,0.000001)))-MAX(0,MIN(1,(((IF(Статистика!$C$4="Параллельный режим (активная мощность)",AE86,AP86)+Статистика!$J$4))-Статистика!$C$10)/MAX(Статистика!$G$10-Статистика!$C$10,0.000001)))))</f>
        <v>0.13962045444444415</v>
      </c>
      <c r="BZ86" s="12">
        <f>IF(Y86="","",MAX(0,MAX(0,MIN(1,(((IF(Статистика!$C$4="Параллельный режим (активная мощность)",AH86,AS86)+Статистика!$J$4))-Статистика!$C$10)/MAX(Статистика!$G$10-Статистика!$C$10,0.000001)))-MAX(0,MIN(1,(((IF(Статистика!$C$4="Параллельный режим (активная мощность)",AF86,AQ86)+Статистика!$J$4))-Статистика!$C$10)/MAX(Статистика!$G$10-Статистика!$C$10,0.000001)))))</f>
        <v>8.5633460000001937E-3</v>
      </c>
      <c r="CA86" s="12">
        <f>IF(Y86="","",MAX(0,1-MAX(0,MIN(1,(((IF(Статистика!$C$4="Параллельный режим (активная мощность)",AH86,AS86)+Статистика!$J$4))-Статистика!$C$10)/MAX(Статистика!$G$10-Статистика!$C$10,0.000001)))))</f>
        <v>0.22539297177777795</v>
      </c>
      <c r="CB86" s="12">
        <f>IF(Y86="",NA(),IF(Статистика!$B$8="Вкл",(((IF(Статистика!$C$4="Параллельный режим (активная мощность)",AD86,AO86)+Статистика!$J$4))-Статистика!$C$10)/MAX(Статистика!$G$10-Статистика!$C$10,0.000001),NA()))</f>
        <v>0.52871728333333279</v>
      </c>
      <c r="CC86" s="12">
        <f>IF(Y86="",NA(),IF(Статистика!$D$8="Вкл",(((IF(Статистика!$C$4="Параллельный режим (активная мощность)",AC86,AN86)+Статистика!$J$4))-Статистика!$C$10)/MAX(Статистика!$G$10-Статистика!$C$10,0.000001),NA()))</f>
        <v>0.46786230277777791</v>
      </c>
      <c r="CD86" s="12">
        <f>IF(Y86="",NA(),IF(Статистика!$D$8="Вкл",(((IF(Статистика!$C$4="Параллельный режим (активная мощность)",AE86,AP86)+Статистика!$J$4))-Статистика!$C$10)/MAX(Статистика!$G$10-Статистика!$C$10,0.000001),NA()))</f>
        <v>0.6264232277777777</v>
      </c>
      <c r="CE86" s="12">
        <f>IF(Y86="",NA(),IF(Статистика!$F$8="Вкл",(((IF(Статистика!$C$4="Параллельный режим (активная мощность)",AB86,AM86)+Статистика!$J$4))-Статистика!$C$10)/MAX(Статистика!$G$10-Статистика!$C$10,0.000001),NA()))</f>
        <v>0.44467950388888888</v>
      </c>
      <c r="CF86" s="12">
        <f>IF(Y86="",NA(),IF(Статистика!$F$8="Вкл",(((IF(Статистика!$C$4="Параллельный режим (активная мощность)",AF86,AQ86)+Статистика!$J$4))-Статистика!$C$10)/MAX(Статистика!$G$10-Статистика!$C$10,0.000001),NA()))</f>
        <v>0.76604368222222186</v>
      </c>
      <c r="CG86" s="12">
        <f>IF(Y86="",NA(),IF(Статистика!$H$8="Вкл",(((IF(Статистика!$C$4="Параллельный режим (активная мощность)",Z86,AK86)+Статистика!$J$4))-Статистика!$C$10)/MAX(Статистика!$G$10-Статистика!$C$10,0.000001),NA()))</f>
        <v>0.42547781038888871</v>
      </c>
      <c r="CH86" s="12">
        <f>IF(Y86="",NA(),IF(Статистика!$H$8="Вкл",(((IF(Статистика!$C$4="Параллельный режим (активная мощность)",AH86,AS86)+Статистика!$J$4))-Статистика!$C$10)/MAX(Статистика!$G$10-Статистика!$C$10,0.000001),NA()))</f>
        <v>0.77460702822222205</v>
      </c>
      <c r="CI86" s="12" t="e">
        <f>IF(Y86="",NA(),IF(Статистика!$J$8="Вкл",(((IF(Статистика!$C$4="Параллельный режим (активная мощность)",AI86,AT86)+Статистика!$J$4))-Статистика!$C$10)/MAX(Статистика!$G$10-Статистика!$C$10,0.000001),NA()))</f>
        <v>#N/A</v>
      </c>
      <c r="CJ86" s="12" t="e">
        <f>IF(AND(Y86&lt;&gt;"",Статистика!$C$6="Вкл",Статистика!$B$6&gt;0),(Статистика!$B$6-Статистика!$C$10)/MAX(Статистика!$G$10-Статистика!$C$10,0.000001),NA())</f>
        <v>#N/A</v>
      </c>
      <c r="CK86" s="12" t="e">
        <f>IF(AND(Y86&lt;&gt;"",Статистика!$F$6="Вкл",Статистика!$E$6&gt;0),(Статистика!$E$6-Статистика!$C$10)/MAX(Статистика!$G$10-Статистика!$C$10,0.000001),NA())</f>
        <v>#N/A</v>
      </c>
      <c r="CL86" s="12" t="e">
        <f>IF(AND(Y86&lt;&gt;"",Статистика!$I$6="Вкл",Статистика!$H$6&gt;0),(Статистика!$H$6-Статистика!$C$10)/MAX(Статистика!$G$10-Статистика!$C$10,0.000001),NA())</f>
        <v>#N/A</v>
      </c>
      <c r="CM86" s="12" t="e">
        <f>IF(AND(Y86&lt;&gt;"",Статистика!$L$6="Вкл",Статистика!$K$6&gt;0),(Статистика!$K$6-Статистика!$C$10)/MAX(Статистика!$G$10-Статистика!$C$10,0.000001),NA())</f>
        <v>#N/A</v>
      </c>
      <c r="CN86" s="12" t="e">
        <f>IF(AND(Y86&lt;&gt;"",Статистика!$M$6="Вкл",Статистика!$O$6&gt;0),(Статистика!$O$6-Статистика!$C$10)/MAX(Статистика!$G$10-Статистика!$C$10,0.000001),NA())</f>
        <v>#N/A</v>
      </c>
      <c r="CO86" s="12">
        <f t="shared" si="3"/>
        <v>1</v>
      </c>
    </row>
    <row r="87" spans="1:93" ht="15" customHeight="1">
      <c r="A87" s="12" t="s">
        <v>409</v>
      </c>
      <c r="B87" s="12">
        <v>2307.412769</v>
      </c>
      <c r="C87" s="12">
        <v>5698.6721116666677</v>
      </c>
      <c r="D87" s="12">
        <v>7321.4928500000005</v>
      </c>
      <c r="E87" s="12">
        <v>7512.3603083333328</v>
      </c>
      <c r="F87" s="12">
        <v>7619.6058166666671</v>
      </c>
      <c r="G87" s="12">
        <v>7891.6320750000004</v>
      </c>
      <c r="H87" s="12">
        <v>8208.9304883333316</v>
      </c>
      <c r="I87" s="12">
        <v>8308.5519083333329</v>
      </c>
      <c r="J87" s="12">
        <v>8379.4934483333345</v>
      </c>
      <c r="K87" s="12">
        <v>8513.5</v>
      </c>
      <c r="L87" s="12" t="s">
        <v>410</v>
      </c>
      <c r="M87" s="12">
        <v>2841.934398833333</v>
      </c>
      <c r="N87" s="12">
        <v>6533.0025274999998</v>
      </c>
      <c r="O87" s="12">
        <v>8288.1775283333336</v>
      </c>
      <c r="P87" s="12">
        <v>8476.9164499999988</v>
      </c>
      <c r="Q87" s="12">
        <v>8596.2927333333319</v>
      </c>
      <c r="R87" s="12">
        <v>8933.3701249999995</v>
      </c>
      <c r="S87" s="12">
        <v>9170.6912649999995</v>
      </c>
      <c r="T87" s="12">
        <v>9244.3746883333333</v>
      </c>
      <c r="U87" s="12">
        <v>9305.3436309999997</v>
      </c>
      <c r="V87" s="12">
        <v>9431.77</v>
      </c>
      <c r="W87" s="12" t="s">
        <v>411</v>
      </c>
      <c r="Y87" s="12" t="s">
        <v>409</v>
      </c>
      <c r="Z87" s="12">
        <v>7291.7711831666675</v>
      </c>
      <c r="AA87" s="12">
        <v>7319.6643158333336</v>
      </c>
      <c r="AB87" s="12">
        <v>7354.5307316666667</v>
      </c>
      <c r="AC87" s="12">
        <v>7436.2034583333334</v>
      </c>
      <c r="AD87" s="12">
        <v>7589.2273833333329</v>
      </c>
      <c r="AE87" s="12">
        <v>7876.0323666666673</v>
      </c>
      <c r="AF87" s="12">
        <v>8289.0124866666665</v>
      </c>
      <c r="AG87" s="12">
        <v>8302.5401766666673</v>
      </c>
      <c r="AH87" s="12">
        <v>8313.362328666668</v>
      </c>
      <c r="AI87" s="12">
        <v>8479.9</v>
      </c>
      <c r="AJ87" s="12" t="s">
        <v>412</v>
      </c>
      <c r="AK87" s="12">
        <v>8303.1714074999982</v>
      </c>
      <c r="AL87" s="12">
        <v>8316.7285041666655</v>
      </c>
      <c r="AM87" s="12">
        <v>8333.6748750000006</v>
      </c>
      <c r="AN87" s="12">
        <v>8372.6453250000013</v>
      </c>
      <c r="AO87" s="12">
        <v>8549.7310333333335</v>
      </c>
      <c r="AP87" s="12">
        <v>8871.3594583333343</v>
      </c>
      <c r="AQ87" s="12">
        <v>9251.8744499999993</v>
      </c>
      <c r="AR87" s="12">
        <v>9290.690791666666</v>
      </c>
      <c r="AS87" s="12">
        <v>9321.7438649999986</v>
      </c>
      <c r="AT87" s="12">
        <v>9478.85</v>
      </c>
      <c r="AU87" s="12" t="s">
        <v>413</v>
      </c>
      <c r="AW87" s="12">
        <f>IF(A87="","",MAX(0,MIN(1,(((IF(Статистика!$C$4="Параллельный режим (активная мощность)",B87,M87)+Статистика!$J$4))-Статистика!$C$10)/MAX(Статистика!$G$10-Статистика!$C$10,0.000001))))</f>
        <v>0</v>
      </c>
      <c r="AX87" s="12">
        <f>IF(A87="","",MAX(0,MAX(0,MIN(1,(((IF(Статистика!$C$4="Параллельный режим (активная мощность)",D87,O87)+Статистика!$J$4))-Статистика!$C$10)/MAX(Статистика!$G$10-Статистика!$C$10,0.000001)))-MAX(0,MIN(1,(((IF(Статистика!$C$4="Параллельный режим (активная мощность)",B87,M87)+Статистика!$J$4))-Статистика!$C$10)/MAX(Статистика!$G$10-Статистика!$C$10,0.000001)))))</f>
        <v>0.44049761666666687</v>
      </c>
      <c r="AY87" s="12">
        <f>IF(A87="","",MAX(0,MAX(0,MIN(1,(((IF(Статистика!$C$4="Параллельный режим (активная мощность)",E87,P87)+Статистика!$J$4))-Статистика!$C$10)/MAX(Статистика!$G$10-Статистика!$C$10,0.000001)))-MAX(0,MIN(1,(((IF(Статистика!$C$4="Параллельный режим (активная мощность)",D87,O87)+Статистика!$J$4))-Статистика!$C$10)/MAX(Статистика!$G$10-Статистика!$C$10,0.000001)))))</f>
        <v>6.3622486111110765E-2</v>
      </c>
      <c r="AZ87" s="12">
        <f>IF(A87="","",MAX(0,MAX(0,MIN(1,(((IF(Статистика!$C$4="Параллельный режим (активная мощность)",F87,Q87)+Статистика!$J$4))-Статистика!$C$10)/MAX(Статистика!$G$10-Статистика!$C$10,0.000001)))-MAX(0,MIN(1,(((IF(Статистика!$C$4="Параллельный режим (активная мощность)",E87,P87)+Статистика!$J$4))-Статистика!$C$10)/MAX(Статистика!$G$10-Статистика!$C$10,0.000001)))))</f>
        <v>3.5748502777778079E-2</v>
      </c>
      <c r="BA87" s="12">
        <f>IF(A87="","",MAX(0,MAX(0,MIN(1,(((IF(Статистика!$C$4="Параллельный режим (активная мощность)",G87,R87)+Статистика!$J$4))-Статистика!$C$10)/MAX(Статистика!$G$10-Статистика!$C$10,0.000001)))-MAX(0,MIN(1,(((IF(Статистика!$C$4="Параллельный режим (активная мощность)",F87,Q87)+Статистика!$J$4))-Статистика!$C$10)/MAX(Статистика!$G$10-Статистика!$C$10,0.000001)))))</f>
        <v>9.0675419444444461E-2</v>
      </c>
      <c r="BB87" s="12">
        <f>IF(A87="","",MAX(0,MAX(0,MIN(1,(((IF(Статистика!$C$4="Параллельный режим (активная мощность)",H87,S87)+Статистика!$J$4))-Статистика!$C$10)/MAX(Статистика!$G$10-Статистика!$C$10,0.000001)))-MAX(0,MIN(1,(((IF(Статистика!$C$4="Параллельный режим (активная мощность)",G87,R87)+Статистика!$J$4))-Статистика!$C$10)/MAX(Статистика!$G$10-Статистика!$C$10,0.000001)))))</f>
        <v>0.10576613777777699</v>
      </c>
      <c r="BC87" s="12">
        <f>IF(A87="","",MAX(0,MAX(0,MIN(1,(((IF(Статистика!$C$4="Параллельный режим (активная мощность)",J87,U87)+Статистика!$J$4))-Статистика!$C$10)/MAX(Статистика!$G$10-Статистика!$C$10,0.000001)))-MAX(0,MIN(1,(((IF(Статистика!$C$4="Параллельный режим (активная мощность)",H87,S87)+Статистика!$J$4))-Статистика!$C$10)/MAX(Статистика!$G$10-Статистика!$C$10,0.000001)))))</f>
        <v>5.6854320000001013E-2</v>
      </c>
      <c r="BD87" s="12">
        <f>IF(A87="","",MAX(0,1-MAX(0,MIN(1,(((IF(Статистика!$C$4="Параллельный режим (активная мощность)",J87,U87)+Статистика!$J$4))-Статистика!$C$10)/MAX(Статистика!$G$10-Статистика!$C$10,0.000001)))))</f>
        <v>0.20683551722222182</v>
      </c>
      <c r="BE87" s="12">
        <f>IF(A87="",NA(),IF(Статистика!$B$8="Вкл",(((IF(Статистика!$C$4="Параллельный режим (активная мощность)",F87,Q87)+Статистика!$J$4))-Статистика!$C$10)/MAX(Статистика!$G$10-Статистика!$C$10,0.000001),NA()))</f>
        <v>0.53986860555555571</v>
      </c>
      <c r="BF87" s="12">
        <f>IF(A87="",NA(),IF(Статистика!$D$8="Вкл",(((IF(Статистика!$C$4="Параллельный режим (активная мощность)",E87,P87)+Статистика!$J$4))-Статистика!$C$10)/MAX(Статистика!$G$10-Статистика!$C$10,0.000001),NA()))</f>
        <v>0.50412010277777763</v>
      </c>
      <c r="BG87" s="12">
        <f>IF(A87="",NA(),IF(Статистика!$D$8="Вкл",(((IF(Статистика!$C$4="Параллельный режим (активная мощность)",G87,R87)+Статистика!$J$4))-Статистика!$C$10)/MAX(Статистика!$G$10-Статистика!$C$10,0.000001),NA()))</f>
        <v>0.63054402500000017</v>
      </c>
      <c r="BH87" s="12">
        <f>IF(A87="",NA(),IF(Статистика!$F$8="Вкл",(((IF(Статистика!$C$4="Параллельный режим (активная мощность)",D87,O87)+Статистика!$J$4))-Статистика!$C$10)/MAX(Статистика!$G$10-Статистика!$C$10,0.000001),NA()))</f>
        <v>0.44049761666666687</v>
      </c>
      <c r="BI87" s="12">
        <f>IF(A87="",NA(),IF(Статистика!$F$8="Вкл",(((IF(Статистика!$C$4="Параллельный режим (активная мощность)",H87,S87)+Статистика!$J$4))-Статистика!$C$10)/MAX(Статистика!$G$10-Статистика!$C$10,0.000001),NA()))</f>
        <v>0.73631016277777717</v>
      </c>
      <c r="BJ87" s="12">
        <f>IF(A87="",NA(),IF(Статистика!$H$8="Вкл",(((IF(Статистика!$C$4="Параллельный режим (активная мощность)",B87,M87)+Статистика!$J$4))-Статистика!$C$10)/MAX(Статистика!$G$10-Статистика!$C$10,0.000001),NA()))</f>
        <v>-1.2308624103333334</v>
      </c>
      <c r="BK87" s="12">
        <f>IF(A87="",NA(),IF(Статистика!$H$8="Вкл",(((IF(Статистика!$C$4="Параллельный режим (активная мощность)",J87,U87)+Статистика!$J$4))-Статистика!$C$10)/MAX(Статистика!$G$10-Статистика!$C$10,0.000001),NA()))</f>
        <v>0.79316448277777818</v>
      </c>
      <c r="BL87" s="12" t="e">
        <f>IF(A87="",NA(),IF(Статистика!$J$8="Вкл",(((IF(Статистика!$C$4="Параллельный режим (активная мощность)",K87,V87)+Статистика!$J$4))-Статистика!$C$10)/MAX(Статистика!$G$10-Статистика!$C$10,0.000001),NA()))</f>
        <v>#N/A</v>
      </c>
      <c r="BM87" s="12" t="e">
        <f>IF(AND(A87&lt;&gt;"",Статистика!$C$6="Вкл",Статистика!$B$6&gt;0),(Статистика!$B$6-Статистика!$C$10)/MAX(Статистика!$G$10-Статистика!$C$10,0.000001),NA())</f>
        <v>#N/A</v>
      </c>
      <c r="BN87" s="12" t="e">
        <f>IF(AND(A87&lt;&gt;"",Статистика!$F$6="Вкл",Статистика!$E$6&gt;0),(Статистика!$E$6-Статистика!$C$10)/MAX(Статистика!$G$10-Статистика!$C$10,0.000001),NA())</f>
        <v>#N/A</v>
      </c>
      <c r="BO87" s="12" t="e">
        <f>IF(AND(A87&lt;&gt;"",Статистика!$I$6="Вкл",Статистика!$H$6&gt;0),(Статистика!$H$6-Статистика!$C$10)/MAX(Статистика!$G$10-Статистика!$C$10,0.000001),NA())</f>
        <v>#N/A</v>
      </c>
      <c r="BP87" s="12" t="e">
        <f>IF(AND(A87&lt;&gt;"",Статистика!$L$6="Вкл",Статистика!$K$6&gt;0),(Статистика!$K$6-Статистика!$C$10)/MAX(Статистика!$G$10-Статистика!$C$10,0.000001),NA())</f>
        <v>#N/A</v>
      </c>
      <c r="BQ87" s="12" t="e">
        <f>IF(AND(A87&lt;&gt;"",Статистика!$M$6="Вкл",Статистика!$O$6&gt;0),(Статистика!$O$6-Статистика!$C$10)/MAX(Статистика!$G$10-Статистика!$C$10,0.000001),NA())</f>
        <v>#N/A</v>
      </c>
      <c r="BR87" s="12">
        <f t="shared" si="2"/>
        <v>1</v>
      </c>
      <c r="BT87" s="12">
        <f>IF(Y87="","",MAX(0,MIN(1,(((IF(Статистика!$C$4="Параллельный режим (активная мощность)",Z87,AK87)+Статистика!$J$4))-Статистика!$C$10)/MAX(Статистика!$G$10-Статистика!$C$10,0.000001))))</f>
        <v>0.43059039438888913</v>
      </c>
      <c r="BU87" s="12">
        <f>IF(Y87="","",MAX(0,MAX(0,MIN(1,(((IF(Статистика!$C$4="Параллельный режим (активная мощность)",AB87,AM87)+Статистика!$J$4))-Статистика!$C$10)/MAX(Статистика!$G$10-Статистика!$C$10,0.000001)))-MAX(0,MIN(1,(((IF(Статистика!$C$4="Параллельный режим (активная мощность)",Z87,AK87)+Статистика!$J$4))-Статистика!$C$10)/MAX(Статистика!$G$10-Статистика!$C$10,0.000001)))))</f>
        <v>2.0919849499999754E-2</v>
      </c>
      <c r="BV87" s="12">
        <f>IF(Y87="","",MAX(0,MAX(0,MIN(1,(((IF(Статистика!$C$4="Параллельный режим (активная мощность)",AC87,AN87)+Статистика!$J$4))-Статистика!$C$10)/MAX(Статистика!$G$10-Статистика!$C$10,0.000001)))-MAX(0,MIN(1,(((IF(Статистика!$C$4="Параллельный режим (активная мощность)",AB87,AM87)+Статистика!$J$4))-Статистика!$C$10)/MAX(Статистика!$G$10-Статистика!$C$10,0.000001)))))</f>
        <v>2.722424222222225E-2</v>
      </c>
      <c r="BW87" s="12">
        <f>IF(Y87="","",MAX(0,MAX(0,MIN(1,(((IF(Статистика!$C$4="Параллельный режим (активная мощность)",AD87,AO87)+Статистика!$J$4))-Статистика!$C$10)/MAX(Статистика!$G$10-Статистика!$C$10,0.000001)))-MAX(0,MIN(1,(((IF(Статистика!$C$4="Параллельный режим (активная мощность)",AC87,AN87)+Статистика!$J$4))-Статистика!$C$10)/MAX(Статистика!$G$10-Статистика!$C$10,0.000001)))))</f>
        <v>5.1007974999999872E-2</v>
      </c>
      <c r="BX87" s="12">
        <f>IF(Y87="","",MAX(0,MAX(0,MIN(1,(((IF(Статистика!$C$4="Параллельный режим (активная мощность)",AE87,AP87)+Статистика!$J$4))-Статистика!$C$10)/MAX(Статистика!$G$10-Статистика!$C$10,0.000001)))-MAX(0,MIN(1,(((IF(Статистика!$C$4="Параллельный режим (активная мощность)",AD87,AO87)+Статистика!$J$4))-Статистика!$C$10)/MAX(Статистика!$G$10-Статистика!$C$10,0.000001)))))</f>
        <v>9.5601661111111458E-2</v>
      </c>
      <c r="BY87" s="12">
        <f>IF(Y87="","",MAX(0,MAX(0,MIN(1,(((IF(Статистика!$C$4="Параллельный режим (активная мощность)",AF87,AQ87)+Статистика!$J$4))-Статистика!$C$10)/MAX(Статистика!$G$10-Статистика!$C$10,0.000001)))-MAX(0,MIN(1,(((IF(Статистика!$C$4="Параллельный режим (активная мощность)",AE87,AP87)+Статистика!$J$4))-Статистика!$C$10)/MAX(Статистика!$G$10-Статистика!$C$10,0.000001)))))</f>
        <v>0.13766003999999976</v>
      </c>
      <c r="BZ87" s="12">
        <f>IF(Y87="","",MAX(0,MAX(0,MIN(1,(((IF(Статистика!$C$4="Параллельный режим (активная мощность)",AH87,AS87)+Статистика!$J$4))-Статистика!$C$10)/MAX(Статистика!$G$10-Статистика!$C$10,0.000001)))-MAX(0,MIN(1,(((IF(Статистика!$C$4="Параллельный режим (активная мощность)",AF87,AQ87)+Статистика!$J$4))-Статистика!$C$10)/MAX(Статистика!$G$10-Статистика!$C$10,0.000001)))))</f>
        <v>8.1166140000004106E-3</v>
      </c>
      <c r="CA87" s="12">
        <f>IF(Y87="","",MAX(0,1-MAX(0,MIN(1,(((IF(Статистика!$C$4="Параллельный режим (активная мощность)",AH87,AS87)+Статистика!$J$4))-Статистика!$C$10)/MAX(Статистика!$G$10-Статистика!$C$10,0.000001)))))</f>
        <v>0.22887922377777736</v>
      </c>
      <c r="CB87" s="12">
        <f>IF(Y87="",NA(),IF(Статистика!$B$8="Вкл",(((IF(Статистика!$C$4="Параллельный режим (активная мощность)",AD87,AO87)+Статистика!$J$4))-Статистика!$C$10)/MAX(Статистика!$G$10-Статистика!$C$10,0.000001),NA()))</f>
        <v>0.52974246111111101</v>
      </c>
      <c r="CC87" s="12">
        <f>IF(Y87="",NA(),IF(Статистика!$D$8="Вкл",(((IF(Статистика!$C$4="Параллельный режим (активная мощность)",AC87,AN87)+Статистика!$J$4))-Статистика!$C$10)/MAX(Статистика!$G$10-Статистика!$C$10,0.000001),NA()))</f>
        <v>0.47873448611111113</v>
      </c>
      <c r="CD87" s="12">
        <f>IF(Y87="",NA(),IF(Статистика!$D$8="Вкл",(((IF(Статистика!$C$4="Параллельный режим (активная мощность)",AE87,AP87)+Статистика!$J$4))-Статистика!$C$10)/MAX(Статистика!$G$10-Статистика!$C$10,0.000001),NA()))</f>
        <v>0.62534412222222246</v>
      </c>
      <c r="CE87" s="12">
        <f>IF(Y87="",NA(),IF(Статистика!$F$8="Вкл",(((IF(Статистика!$C$4="Параллельный режим (активная мощность)",AB87,AM87)+Статистика!$J$4))-Статистика!$C$10)/MAX(Статистика!$G$10-Статистика!$C$10,0.000001),NA()))</f>
        <v>0.45151024388888888</v>
      </c>
      <c r="CF87" s="12">
        <f>IF(Y87="",NA(),IF(Статистика!$F$8="Вкл",(((IF(Статистика!$C$4="Параллельный режим (активная мощность)",AF87,AQ87)+Статистика!$J$4))-Статистика!$C$10)/MAX(Статистика!$G$10-Статистика!$C$10,0.000001),NA()))</f>
        <v>0.76300416222222223</v>
      </c>
      <c r="CG87" s="12">
        <f>IF(Y87="",NA(),IF(Статистика!$H$8="Вкл",(((IF(Статистика!$C$4="Параллельный режим (активная мощность)",Z87,AK87)+Статистика!$J$4))-Статистика!$C$10)/MAX(Статистика!$G$10-Статистика!$C$10,0.000001),NA()))</f>
        <v>0.43059039438888913</v>
      </c>
      <c r="CH87" s="12">
        <f>IF(Y87="",NA(),IF(Статистика!$H$8="Вкл",(((IF(Статистика!$C$4="Параллельный режим (активная мощность)",AH87,AS87)+Статистика!$J$4))-Статистика!$C$10)/MAX(Статистика!$G$10-Статистика!$C$10,0.000001),NA()))</f>
        <v>0.77112077622222264</v>
      </c>
      <c r="CI87" s="12" t="e">
        <f>IF(Y87="",NA(),IF(Статистика!$J$8="Вкл",(((IF(Статистика!$C$4="Параллельный режим (активная мощность)",AI87,AT87)+Статистика!$J$4))-Статистика!$C$10)/MAX(Статистика!$G$10-Статистика!$C$10,0.000001),NA()))</f>
        <v>#N/A</v>
      </c>
      <c r="CJ87" s="12" t="e">
        <f>IF(AND(Y87&lt;&gt;"",Статистика!$C$6="Вкл",Статистика!$B$6&gt;0),(Статистика!$B$6-Статистика!$C$10)/MAX(Статистика!$G$10-Статистика!$C$10,0.000001),NA())</f>
        <v>#N/A</v>
      </c>
      <c r="CK87" s="12" t="e">
        <f>IF(AND(Y87&lt;&gt;"",Статистика!$F$6="Вкл",Статистика!$E$6&gt;0),(Статистика!$E$6-Статистика!$C$10)/MAX(Статистика!$G$10-Статистика!$C$10,0.000001),NA())</f>
        <v>#N/A</v>
      </c>
      <c r="CL87" s="12" t="e">
        <f>IF(AND(Y87&lt;&gt;"",Статистика!$I$6="Вкл",Статистика!$H$6&gt;0),(Статистика!$H$6-Статистика!$C$10)/MAX(Статистика!$G$10-Статистика!$C$10,0.000001),NA())</f>
        <v>#N/A</v>
      </c>
      <c r="CM87" s="12" t="e">
        <f>IF(AND(Y87&lt;&gt;"",Статистика!$L$6="Вкл",Статистика!$K$6&gt;0),(Статистика!$K$6-Статистика!$C$10)/MAX(Статистика!$G$10-Статистика!$C$10,0.000001),NA())</f>
        <v>#N/A</v>
      </c>
      <c r="CN87" s="12" t="e">
        <f>IF(AND(Y87&lt;&gt;"",Статистика!$M$6="Вкл",Статистика!$O$6&gt;0),(Статистика!$O$6-Статистика!$C$10)/MAX(Статистика!$G$10-Статистика!$C$10,0.000001),NA())</f>
        <v>#N/A</v>
      </c>
      <c r="CO87" s="12">
        <f t="shared" si="3"/>
        <v>1</v>
      </c>
    </row>
    <row r="88" spans="1:93" ht="15" customHeight="1">
      <c r="A88" s="12" t="s">
        <v>414</v>
      </c>
      <c r="B88" s="12">
        <v>2325.7956483333337</v>
      </c>
      <c r="C88" s="12">
        <v>5704.5742416666681</v>
      </c>
      <c r="D88" s="12">
        <v>7340.8816383333333</v>
      </c>
      <c r="E88" s="12">
        <v>7466.9606333333331</v>
      </c>
      <c r="F88" s="12">
        <v>7602.9421499999999</v>
      </c>
      <c r="G88" s="12">
        <v>7943.5061333333324</v>
      </c>
      <c r="H88" s="12">
        <v>8189.4682633333341</v>
      </c>
      <c r="I88" s="12">
        <v>8237.4023883333339</v>
      </c>
      <c r="J88" s="12">
        <v>8268.7480243333339</v>
      </c>
      <c r="K88" s="12">
        <v>8555.8700000000008</v>
      </c>
      <c r="L88" s="12" t="s">
        <v>415</v>
      </c>
      <c r="M88" s="12">
        <v>2860.6775925000002</v>
      </c>
      <c r="N88" s="12">
        <v>6548.0874291666678</v>
      </c>
      <c r="O88" s="12">
        <v>8303.0079900000019</v>
      </c>
      <c r="P88" s="12">
        <v>8454.509383333334</v>
      </c>
      <c r="Q88" s="12">
        <v>8596.3869666666669</v>
      </c>
      <c r="R88" s="12">
        <v>8958.3406749999995</v>
      </c>
      <c r="S88" s="12">
        <v>9131.6152683333348</v>
      </c>
      <c r="T88" s="12">
        <v>9156.1345099999999</v>
      </c>
      <c r="U88" s="12">
        <v>9178.0270353333326</v>
      </c>
      <c r="V88" s="12">
        <v>9421.3799999999992</v>
      </c>
      <c r="W88" s="12" t="s">
        <v>415</v>
      </c>
      <c r="Y88" s="12" t="s">
        <v>414</v>
      </c>
      <c r="Z88" s="12">
        <v>7301.4488249999995</v>
      </c>
      <c r="AA88" s="12">
        <v>7325.002391666666</v>
      </c>
      <c r="AB88" s="12">
        <v>7354.4443499999998</v>
      </c>
      <c r="AC88" s="12">
        <v>7435.9369000000006</v>
      </c>
      <c r="AD88" s="12">
        <v>7565.9361500000014</v>
      </c>
      <c r="AE88" s="12">
        <v>7934.5090916666677</v>
      </c>
      <c r="AF88" s="12">
        <v>8309.8980683333339</v>
      </c>
      <c r="AG88" s="12">
        <v>8319.9459174999993</v>
      </c>
      <c r="AH88" s="12">
        <v>8327.984196833333</v>
      </c>
      <c r="AI88" s="12">
        <v>8462.68</v>
      </c>
      <c r="AJ88" s="12" t="s">
        <v>416</v>
      </c>
      <c r="AK88" s="12">
        <v>8308.4428445000012</v>
      </c>
      <c r="AL88" s="12">
        <v>8317.3462225000003</v>
      </c>
      <c r="AM88" s="12">
        <v>8328.475445</v>
      </c>
      <c r="AN88" s="12">
        <v>8389.9071416666666</v>
      </c>
      <c r="AO88" s="12">
        <v>8539.3493833333341</v>
      </c>
      <c r="AP88" s="12">
        <v>8918.3319666666684</v>
      </c>
      <c r="AQ88" s="12">
        <v>9266.6926449999992</v>
      </c>
      <c r="AR88" s="12">
        <v>9300.1543058333336</v>
      </c>
      <c r="AS88" s="12">
        <v>9326.923634499999</v>
      </c>
      <c r="AT88" s="12">
        <v>9459.2199999999993</v>
      </c>
      <c r="AU88" s="12" t="s">
        <v>416</v>
      </c>
      <c r="AW88" s="12">
        <f>IF(A88="","",MAX(0,MIN(1,(((IF(Статистика!$C$4="Параллельный режим (активная мощность)",B88,M88)+Статистика!$J$4))-Статистика!$C$10)/MAX(Статистика!$G$10-Статистика!$C$10,0.000001))))</f>
        <v>0</v>
      </c>
      <c r="AX88" s="12">
        <f>IF(A88="","",MAX(0,MAX(0,MIN(1,(((IF(Статистика!$C$4="Параллельный режим (активная мощность)",D88,O88)+Статистика!$J$4))-Статистика!$C$10)/MAX(Статистика!$G$10-Статистика!$C$10,0.000001)))-MAX(0,MIN(1,(((IF(Статистика!$C$4="Параллельный режим (активная мощность)",B88,M88)+Статистика!$J$4))-Статистика!$C$10)/MAX(Статистика!$G$10-Статистика!$C$10,0.000001)))))</f>
        <v>0.44696054611111108</v>
      </c>
      <c r="AY88" s="12">
        <f>IF(A88="","",MAX(0,MAX(0,MIN(1,(((IF(Статистика!$C$4="Параллельный режим (активная мощность)",E88,P88)+Статистика!$J$4))-Статистика!$C$10)/MAX(Статистика!$G$10-Статистика!$C$10,0.000001)))-MAX(0,MIN(1,(((IF(Статистика!$C$4="Параллельный режим (активная мощность)",D88,O88)+Статистика!$J$4))-Статистика!$C$10)/MAX(Статистика!$G$10-Статистика!$C$10,0.000001)))))</f>
        <v>4.2026331666666639E-2</v>
      </c>
      <c r="AZ88" s="12">
        <f>IF(A88="","",MAX(0,MAX(0,MIN(1,(((IF(Статистика!$C$4="Параллельный режим (активная мощность)",F88,Q88)+Статистика!$J$4))-Статистика!$C$10)/MAX(Статистика!$G$10-Статистика!$C$10,0.000001)))-MAX(0,MIN(1,(((IF(Статистика!$C$4="Параллельный режим (активная мощность)",E88,P88)+Статистика!$J$4))-Статистика!$C$10)/MAX(Статистика!$G$10-Статистика!$C$10,0.000001)))))</f>
        <v>4.5327172222222267E-2</v>
      </c>
      <c r="BA88" s="12">
        <f>IF(A88="","",MAX(0,MAX(0,MIN(1,(((IF(Статистика!$C$4="Параллельный режим (активная мощность)",G88,R88)+Статистика!$J$4))-Статистика!$C$10)/MAX(Статистика!$G$10-Статистика!$C$10,0.000001)))-MAX(0,MIN(1,(((IF(Статистика!$C$4="Параллельный режим (активная мощность)",F88,Q88)+Статистика!$J$4))-Статистика!$C$10)/MAX(Статистика!$G$10-Статистика!$C$10,0.000001)))))</f>
        <v>0.11352132777777746</v>
      </c>
      <c r="BB88" s="12">
        <f>IF(A88="","",MAX(0,MAX(0,MIN(1,(((IF(Статистика!$C$4="Параллельный режим (активная мощность)",H88,S88)+Статистика!$J$4))-Статистика!$C$10)/MAX(Статистика!$G$10-Статистика!$C$10,0.000001)))-MAX(0,MIN(1,(((IF(Статистика!$C$4="Параллельный режим (активная мощность)",G88,R88)+Статистика!$J$4))-Статистика!$C$10)/MAX(Статистика!$G$10-Статистика!$C$10,0.000001)))))</f>
        <v>8.1987376666667222E-2</v>
      </c>
      <c r="BC88" s="12">
        <f>IF(A88="","",MAX(0,MAX(0,MIN(1,(((IF(Статистика!$C$4="Параллельный режим (активная мощность)",J88,U88)+Статистика!$J$4))-Статистика!$C$10)/MAX(Статистика!$G$10-Статистика!$C$10,0.000001)))-MAX(0,MIN(1,(((IF(Статистика!$C$4="Параллельный режим (активная мощность)",H88,S88)+Статистика!$J$4))-Статистика!$C$10)/MAX(Статистика!$G$10-Статистика!$C$10,0.000001)))))</f>
        <v>2.6426587000000001E-2</v>
      </c>
      <c r="BD88" s="12">
        <f>IF(A88="","",MAX(0,1-MAX(0,MIN(1,(((IF(Статистика!$C$4="Параллельный режим (активная мощность)",J88,U88)+Статистика!$J$4))-Статистика!$C$10)/MAX(Статистика!$G$10-Статистика!$C$10,0.000001)))))</f>
        <v>0.24375065855555533</v>
      </c>
      <c r="BE88" s="12">
        <f>IF(A88="",NA(),IF(Статистика!$B$8="Вкл",(((IF(Статистика!$C$4="Параллельный режим (активная мощность)",F88,Q88)+Статистика!$J$4))-Статистика!$C$10)/MAX(Статистика!$G$10-Статистика!$C$10,0.000001),NA()))</f>
        <v>0.53431404999999998</v>
      </c>
      <c r="BF88" s="12">
        <f>IF(A88="",NA(),IF(Статистика!$D$8="Вкл",(((IF(Статистика!$C$4="Параллельный режим (активная мощность)",E88,P88)+Статистика!$J$4))-Статистика!$C$10)/MAX(Статистика!$G$10-Статистика!$C$10,0.000001),NA()))</f>
        <v>0.48898687777777772</v>
      </c>
      <c r="BG88" s="12">
        <f>IF(A88="",NA(),IF(Статистика!$D$8="Вкл",(((IF(Статистика!$C$4="Параллельный режим (активная мощность)",G88,R88)+Статистика!$J$4))-Статистика!$C$10)/MAX(Статистика!$G$10-Статистика!$C$10,0.000001),NA()))</f>
        <v>0.64783537777777744</v>
      </c>
      <c r="BH88" s="12">
        <f>IF(A88="",NA(),IF(Статистика!$F$8="Вкл",(((IF(Статистика!$C$4="Параллельный режим (активная мощность)",D88,O88)+Статистика!$J$4))-Статистика!$C$10)/MAX(Статистика!$G$10-Статистика!$C$10,0.000001),NA()))</f>
        <v>0.44696054611111108</v>
      </c>
      <c r="BI88" s="12">
        <f>IF(A88="",NA(),IF(Статистика!$F$8="Вкл",(((IF(Статистика!$C$4="Параллельный режим (активная мощность)",H88,S88)+Статистика!$J$4))-Статистика!$C$10)/MAX(Статистика!$G$10-Статистика!$C$10,0.000001),NA()))</f>
        <v>0.72982275444444467</v>
      </c>
      <c r="BJ88" s="12">
        <f>IF(A88="",NA(),IF(Статистика!$H$8="Вкл",(((IF(Статистика!$C$4="Параллельный режим (активная мощность)",B88,M88)+Статистика!$J$4))-Статистика!$C$10)/MAX(Статистика!$G$10-Статистика!$C$10,0.000001),NA()))</f>
        <v>-1.2247347838888887</v>
      </c>
      <c r="BK88" s="12">
        <f>IF(A88="",NA(),IF(Статистика!$H$8="Вкл",(((IF(Статистика!$C$4="Параллельный режим (активная мощность)",J88,U88)+Статистика!$J$4))-Статистика!$C$10)/MAX(Статистика!$G$10-Статистика!$C$10,0.000001),NA()))</f>
        <v>0.75624934144444467</v>
      </c>
      <c r="BL88" s="12" t="e">
        <f>IF(A88="",NA(),IF(Статистика!$J$8="Вкл",(((IF(Статистика!$C$4="Параллельный режим (активная мощность)",K88,V88)+Статистика!$J$4))-Статистика!$C$10)/MAX(Статистика!$G$10-Статистика!$C$10,0.000001),NA()))</f>
        <v>#N/A</v>
      </c>
      <c r="BM88" s="12" t="e">
        <f>IF(AND(A88&lt;&gt;"",Статистика!$C$6="Вкл",Статистика!$B$6&gt;0),(Статистика!$B$6-Статистика!$C$10)/MAX(Статистика!$G$10-Статистика!$C$10,0.000001),NA())</f>
        <v>#N/A</v>
      </c>
      <c r="BN88" s="12" t="e">
        <f>IF(AND(A88&lt;&gt;"",Статистика!$F$6="Вкл",Статистика!$E$6&gt;0),(Статистика!$E$6-Статистика!$C$10)/MAX(Статистика!$G$10-Статистика!$C$10,0.000001),NA())</f>
        <v>#N/A</v>
      </c>
      <c r="BO88" s="12" t="e">
        <f>IF(AND(A88&lt;&gt;"",Статистика!$I$6="Вкл",Статистика!$H$6&gt;0),(Статистика!$H$6-Статистика!$C$10)/MAX(Статистика!$G$10-Статистика!$C$10,0.000001),NA())</f>
        <v>#N/A</v>
      </c>
      <c r="BP88" s="12" t="e">
        <f>IF(AND(A88&lt;&gt;"",Статистика!$L$6="Вкл",Статистика!$K$6&gt;0),(Статистика!$K$6-Статистика!$C$10)/MAX(Статистика!$G$10-Статистика!$C$10,0.000001),NA())</f>
        <v>#N/A</v>
      </c>
      <c r="BQ88" s="12" t="e">
        <f>IF(AND(A88&lt;&gt;"",Статистика!$M$6="Вкл",Статистика!$O$6&gt;0),(Статистика!$O$6-Статистика!$C$10)/MAX(Статистика!$G$10-Статистика!$C$10,0.000001),NA())</f>
        <v>#N/A</v>
      </c>
      <c r="BR88" s="12">
        <f t="shared" si="2"/>
        <v>1</v>
      </c>
      <c r="BT88" s="12">
        <f>IF(Y88="","",MAX(0,MIN(1,(((IF(Статистика!$C$4="Параллельный режим (активная мощность)",Z88,AK88)+Статистика!$J$4))-Статистика!$C$10)/MAX(Статистика!$G$10-Статистика!$C$10,0.000001))))</f>
        <v>0.43381627499999981</v>
      </c>
      <c r="BU88" s="12">
        <f>IF(Y88="","",MAX(0,MAX(0,MIN(1,(((IF(Статистика!$C$4="Параллельный режим (активная мощность)",AB88,AM88)+Статистика!$J$4))-Статистика!$C$10)/MAX(Статистика!$G$10-Статистика!$C$10,0.000001)))-MAX(0,MIN(1,(((IF(Статистика!$C$4="Параллельный режим (активная мощность)",Z88,AK88)+Статистика!$J$4))-Статистика!$C$10)/MAX(Статистика!$G$10-Статистика!$C$10,0.000001)))))</f>
        <v>1.7665175000000088E-2</v>
      </c>
      <c r="BV88" s="12">
        <f>IF(Y88="","",MAX(0,MAX(0,MIN(1,(((IF(Статистика!$C$4="Параллельный режим (активная мощность)",AC88,AN88)+Статистика!$J$4))-Статистика!$C$10)/MAX(Статистика!$G$10-Статистика!$C$10,0.000001)))-MAX(0,MIN(1,(((IF(Статистика!$C$4="Параллельный режим (активная мощность)",AB88,AM88)+Статистика!$J$4))-Статистика!$C$10)/MAX(Статистика!$G$10-Статистика!$C$10,0.000001)))))</f>
        <v>2.7164183333333647E-2</v>
      </c>
      <c r="BW88" s="12">
        <f>IF(Y88="","",MAX(0,MAX(0,MIN(1,(((IF(Статистика!$C$4="Параллельный режим (активная мощность)",AD88,AO88)+Статистика!$J$4))-Статистика!$C$10)/MAX(Статистика!$G$10-Статистика!$C$10,0.000001)))-MAX(0,MIN(1,(((IF(Статистика!$C$4="Параллельный режим (активная мощность)",AC88,AN88)+Статистика!$J$4))-Статистика!$C$10)/MAX(Статистика!$G$10-Статистика!$C$10,0.000001)))))</f>
        <v>4.3333083333333633E-2</v>
      </c>
      <c r="BX88" s="12">
        <f>IF(Y88="","",MAX(0,MAX(0,MIN(1,(((IF(Статистика!$C$4="Параллельный режим (активная мощность)",AE88,AP88)+Статистика!$J$4))-Статистика!$C$10)/MAX(Статистика!$G$10-Статистика!$C$10,0.000001)))-MAX(0,MIN(1,(((IF(Статистика!$C$4="Параллельный режим (активная мощность)",AD88,AO88)+Статистика!$J$4))-Статистика!$C$10)/MAX(Статистика!$G$10-Статистика!$C$10,0.000001)))))</f>
        <v>0.12285764722222203</v>
      </c>
      <c r="BY88" s="12">
        <f>IF(Y88="","",MAX(0,MAX(0,MIN(1,(((IF(Статистика!$C$4="Параллельный режим (активная мощность)",AF88,AQ88)+Статистика!$J$4))-Статистика!$C$10)/MAX(Статистика!$G$10-Статистика!$C$10,0.000001)))-MAX(0,MIN(1,(((IF(Статистика!$C$4="Параллельный режим (активная мощность)",AE88,AP88)+Статистика!$J$4))-Статистика!$C$10)/MAX(Статистика!$G$10-Статистика!$C$10,0.000001)))))</f>
        <v>0.12512965888888872</v>
      </c>
      <c r="BZ88" s="12">
        <f>IF(Y88="","",MAX(0,MAX(0,MIN(1,(((IF(Статистика!$C$4="Параллельный режим (активная мощность)",AH88,AS88)+Статистика!$J$4))-Статистика!$C$10)/MAX(Статистика!$G$10-Статистика!$C$10,0.000001)))-MAX(0,MIN(1,(((IF(Статистика!$C$4="Параллельный режим (активная мощность)",AF88,AQ88)+Статистика!$J$4))-Статистика!$C$10)/MAX(Статистика!$G$10-Статистика!$C$10,0.000001)))))</f>
        <v>6.0287094999997848E-3</v>
      </c>
      <c r="CA88" s="12">
        <f>IF(Y88="","",MAX(0,1-MAX(0,MIN(1,(((IF(Статистика!$C$4="Параллельный режим (активная мощность)",AH88,AS88)+Статистика!$J$4))-Статистика!$C$10)/MAX(Статистика!$G$10-Статистика!$C$10,0.000001)))))</f>
        <v>0.22400526772222229</v>
      </c>
      <c r="CB88" s="12">
        <f>IF(Y88="",NA(),IF(Статистика!$B$8="Вкл",(((IF(Статистика!$C$4="Параллельный режим (активная мощность)",AD88,AO88)+Статистика!$J$4))-Статистика!$C$10)/MAX(Статистика!$G$10-Статистика!$C$10,0.000001),NA()))</f>
        <v>0.52197871666666718</v>
      </c>
      <c r="CC88" s="12">
        <f>IF(Y88="",NA(),IF(Статистика!$D$8="Вкл",(((IF(Статистика!$C$4="Параллельный режим (активная мощность)",AC88,AN88)+Статистика!$J$4))-Статистика!$C$10)/MAX(Статистика!$G$10-Статистика!$C$10,0.000001),NA()))</f>
        <v>0.47864563333333354</v>
      </c>
      <c r="CD88" s="12">
        <f>IF(Y88="",NA(),IF(Статистика!$D$8="Вкл",(((IF(Статистика!$C$4="Параллельный режим (активная мощность)",AE88,AP88)+Статистика!$J$4))-Статистика!$C$10)/MAX(Статистика!$G$10-Статистика!$C$10,0.000001),NA()))</f>
        <v>0.64483636388888921</v>
      </c>
      <c r="CE88" s="12">
        <f>IF(Y88="",NA(),IF(Статистика!$F$8="Вкл",(((IF(Статистика!$C$4="Параллельный режим (активная мощность)",AB88,AM88)+Статистика!$J$4))-Статистика!$C$10)/MAX(Статистика!$G$10-Статистика!$C$10,0.000001),NA()))</f>
        <v>0.4514814499999999</v>
      </c>
      <c r="CF88" s="12">
        <f>IF(Y88="",NA(),IF(Статистика!$F$8="Вкл",(((IF(Статистика!$C$4="Параллельный режим (активная мощность)",AF88,AQ88)+Статистика!$J$4))-Статистика!$C$10)/MAX(Статистика!$G$10-Статистика!$C$10,0.000001),NA()))</f>
        <v>0.76996602277777793</v>
      </c>
      <c r="CG88" s="12">
        <f>IF(Y88="",NA(),IF(Статистика!$H$8="Вкл",(((IF(Статистика!$C$4="Параллельный режим (активная мощность)",Z88,AK88)+Статистика!$J$4))-Статистика!$C$10)/MAX(Статистика!$G$10-Статистика!$C$10,0.000001),NA()))</f>
        <v>0.43381627499999981</v>
      </c>
      <c r="CH88" s="12">
        <f>IF(Y88="",NA(),IF(Статистика!$H$8="Вкл",(((IF(Статистика!$C$4="Параллельный режим (активная мощность)",AH88,AS88)+Статистика!$J$4))-Статистика!$C$10)/MAX(Статистика!$G$10-Статистика!$C$10,0.000001),NA()))</f>
        <v>0.77599473227777771</v>
      </c>
      <c r="CI88" s="12" t="e">
        <f>IF(Y88="",NA(),IF(Статистика!$J$8="Вкл",(((IF(Статистика!$C$4="Параллельный режим (активная мощность)",AI88,AT88)+Статистика!$J$4))-Статистика!$C$10)/MAX(Статистика!$G$10-Статистика!$C$10,0.000001),NA()))</f>
        <v>#N/A</v>
      </c>
      <c r="CJ88" s="12" t="e">
        <f>IF(AND(Y88&lt;&gt;"",Статистика!$C$6="Вкл",Статистика!$B$6&gt;0),(Статистика!$B$6-Статистика!$C$10)/MAX(Статистика!$G$10-Статистика!$C$10,0.000001),NA())</f>
        <v>#N/A</v>
      </c>
      <c r="CK88" s="12" t="e">
        <f>IF(AND(Y88&lt;&gt;"",Статистика!$F$6="Вкл",Статистика!$E$6&gt;0),(Статистика!$E$6-Статистика!$C$10)/MAX(Статистика!$G$10-Статистика!$C$10,0.000001),NA())</f>
        <v>#N/A</v>
      </c>
      <c r="CL88" s="12" t="e">
        <f>IF(AND(Y88&lt;&gt;"",Статистика!$I$6="Вкл",Статистика!$H$6&gt;0),(Статистика!$H$6-Статистика!$C$10)/MAX(Статистика!$G$10-Статистика!$C$10,0.000001),NA())</f>
        <v>#N/A</v>
      </c>
      <c r="CM88" s="12" t="e">
        <f>IF(AND(Y88&lt;&gt;"",Статистика!$L$6="Вкл",Статистика!$K$6&gt;0),(Статистика!$K$6-Статистика!$C$10)/MAX(Статистика!$G$10-Статистика!$C$10,0.000001),NA())</f>
        <v>#N/A</v>
      </c>
      <c r="CN88" s="12" t="e">
        <f>IF(AND(Y88&lt;&gt;"",Статистика!$M$6="Вкл",Статистика!$O$6&gt;0),(Статистика!$O$6-Статистика!$C$10)/MAX(Статистика!$G$10-Статистика!$C$10,0.000001),NA())</f>
        <v>#N/A</v>
      </c>
      <c r="CO88" s="12">
        <f t="shared" si="3"/>
        <v>1</v>
      </c>
    </row>
    <row r="89" spans="1:93" ht="15" customHeight="1">
      <c r="A89" s="12" t="s">
        <v>417</v>
      </c>
      <c r="B89" s="12">
        <v>2340.2799026666667</v>
      </c>
      <c r="C89" s="12">
        <v>5738.4284466666677</v>
      </c>
      <c r="D89" s="12">
        <v>7349.814851666667</v>
      </c>
      <c r="E89" s="12">
        <v>7469.2759500000002</v>
      </c>
      <c r="F89" s="12">
        <v>7622.6857833333324</v>
      </c>
      <c r="G89" s="12">
        <v>7892.1992499999997</v>
      </c>
      <c r="H89" s="12">
        <v>8083.9213033333335</v>
      </c>
      <c r="I89" s="12">
        <v>8160.063149999999</v>
      </c>
      <c r="J89" s="12">
        <v>8204.8178833333313</v>
      </c>
      <c r="K89" s="12">
        <v>8484.3700000000008</v>
      </c>
      <c r="L89" s="12" t="s">
        <v>418</v>
      </c>
      <c r="M89" s="12">
        <v>2852.6365471666668</v>
      </c>
      <c r="N89" s="12">
        <v>6531.1652691666668</v>
      </c>
      <c r="O89" s="12">
        <v>8290.3620616666667</v>
      </c>
      <c r="P89" s="12">
        <v>8416.8589583333323</v>
      </c>
      <c r="Q89" s="12">
        <v>8601.9226833333341</v>
      </c>
      <c r="R89" s="12">
        <v>8908.3990249999988</v>
      </c>
      <c r="S89" s="12">
        <v>9032.5848783333331</v>
      </c>
      <c r="T89" s="12">
        <v>9105.6665424999992</v>
      </c>
      <c r="U89" s="12">
        <v>9133.3070418333336</v>
      </c>
      <c r="V89" s="12">
        <v>9390.86</v>
      </c>
      <c r="W89" s="12" t="s">
        <v>418</v>
      </c>
      <c r="Y89" s="12" t="s">
        <v>417</v>
      </c>
      <c r="Z89" s="12">
        <v>7259.148130333333</v>
      </c>
      <c r="AA89" s="12">
        <v>7282.3945183333335</v>
      </c>
      <c r="AB89" s="12">
        <v>7311.4525033333339</v>
      </c>
      <c r="AC89" s="12">
        <v>7428.8328333333347</v>
      </c>
      <c r="AD89" s="12">
        <v>7586.9827000000005</v>
      </c>
      <c r="AE89" s="12">
        <v>7974.8853249999993</v>
      </c>
      <c r="AF89" s="12">
        <v>8281.6996616666656</v>
      </c>
      <c r="AG89" s="12">
        <v>8294.1732308333339</v>
      </c>
      <c r="AH89" s="12">
        <v>8304.1520861666668</v>
      </c>
      <c r="AI89" s="12">
        <v>8457.08</v>
      </c>
      <c r="AJ89" s="12" t="s">
        <v>419</v>
      </c>
      <c r="AK89" s="12">
        <v>8246.540672000001</v>
      </c>
      <c r="AL89" s="12">
        <v>8258.7206933333327</v>
      </c>
      <c r="AM89" s="12">
        <v>8273.9457199999997</v>
      </c>
      <c r="AN89" s="12">
        <v>8422.188341666666</v>
      </c>
      <c r="AO89" s="12">
        <v>8545.1428833333339</v>
      </c>
      <c r="AP89" s="12">
        <v>8906.4054000000015</v>
      </c>
      <c r="AQ89" s="12">
        <v>9233.221711666667</v>
      </c>
      <c r="AR89" s="12">
        <v>9269.2962391666679</v>
      </c>
      <c r="AS89" s="12">
        <v>9298.1558611666678</v>
      </c>
      <c r="AT89" s="12">
        <v>9442.44</v>
      </c>
      <c r="AU89" s="12" t="s">
        <v>420</v>
      </c>
      <c r="AW89" s="12">
        <f>IF(A89="","",MAX(0,MIN(1,(((IF(Статистика!$C$4="Параллельный режим (активная мощность)",B89,M89)+Статистика!$J$4))-Статистика!$C$10)/MAX(Статистика!$G$10-Статистика!$C$10,0.000001))))</f>
        <v>0</v>
      </c>
      <c r="AX89" s="12">
        <f>IF(A89="","",MAX(0,MAX(0,MIN(1,(((IF(Статистика!$C$4="Параллельный режим (активная мощность)",D89,O89)+Статистика!$J$4))-Статистика!$C$10)/MAX(Статистика!$G$10-Статистика!$C$10,0.000001)))-MAX(0,MIN(1,(((IF(Статистика!$C$4="Параллельный режим (активная мощность)",B89,M89)+Статистика!$J$4))-Статистика!$C$10)/MAX(Статистика!$G$10-Статистика!$C$10,0.000001)))))</f>
        <v>0.44993828388888901</v>
      </c>
      <c r="AY89" s="12">
        <f>IF(A89="","",MAX(0,MAX(0,MIN(1,(((IF(Статистика!$C$4="Параллельный режим (активная мощность)",E89,P89)+Статистика!$J$4))-Статистика!$C$10)/MAX(Статистика!$G$10-Статистика!$C$10,0.000001)))-MAX(0,MIN(1,(((IF(Статистика!$C$4="Параллельный режим (активная мощность)",D89,O89)+Статистика!$J$4))-Статистика!$C$10)/MAX(Статистика!$G$10-Статистика!$C$10,0.000001)))))</f>
        <v>3.9820366111111061E-2</v>
      </c>
      <c r="AZ89" s="12">
        <f>IF(A89="","",MAX(0,MAX(0,MIN(1,(((IF(Статистика!$C$4="Параллельный режим (активная мощность)",F89,Q89)+Статистика!$J$4))-Статистика!$C$10)/MAX(Статистика!$G$10-Статистика!$C$10,0.000001)))-MAX(0,MIN(1,(((IF(Статистика!$C$4="Параллельный режим (активная мощность)",E89,P89)+Статистика!$J$4))-Статистика!$C$10)/MAX(Статистика!$G$10-Статистика!$C$10,0.000001)))))</f>
        <v>5.1136611111110786E-2</v>
      </c>
      <c r="BA89" s="12">
        <f>IF(A89="","",MAX(0,MAX(0,MIN(1,(((IF(Статистика!$C$4="Параллельный режим (активная мощность)",G89,R89)+Статистика!$J$4))-Статистика!$C$10)/MAX(Статистика!$G$10-Статистика!$C$10,0.000001)))-MAX(0,MIN(1,(((IF(Статистика!$C$4="Параллельный режим (активная мощность)",F89,Q89)+Статистика!$J$4))-Статистика!$C$10)/MAX(Статистика!$G$10-Статистика!$C$10,0.000001)))))</f>
        <v>8.9837822222222363E-2</v>
      </c>
      <c r="BB89" s="12">
        <f>IF(A89="","",MAX(0,MAX(0,MIN(1,(((IF(Статистика!$C$4="Параллельный режим (активная мощность)",H89,S89)+Статистика!$J$4))-Статистика!$C$10)/MAX(Статистика!$G$10-Статистика!$C$10,0.000001)))-MAX(0,MIN(1,(((IF(Статистика!$C$4="Параллельный режим (активная мощность)",G89,R89)+Статистика!$J$4))-Статистика!$C$10)/MAX(Статистика!$G$10-Статистика!$C$10,0.000001)))))</f>
        <v>6.3907351111111232E-2</v>
      </c>
      <c r="BC89" s="12">
        <f>IF(A89="","",MAX(0,MAX(0,MIN(1,(((IF(Статистика!$C$4="Параллельный режим (активная мощность)",J89,U89)+Статистика!$J$4))-Статистика!$C$10)/MAX(Статистика!$G$10-Статистика!$C$10,0.000001)))-MAX(0,MIN(1,(((IF(Статистика!$C$4="Параллельный режим (активная мощность)",H89,S89)+Статистика!$J$4))-Статистика!$C$10)/MAX(Статистика!$G$10-Статистика!$C$10,0.000001)))))</f>
        <v>4.029885999999927E-2</v>
      </c>
      <c r="BD89" s="12">
        <f>IF(A89="","",MAX(0,1-MAX(0,MIN(1,(((IF(Статистика!$C$4="Параллельный режим (активная мощность)",J89,U89)+Статистика!$J$4))-Статистика!$C$10)/MAX(Статистика!$G$10-Статистика!$C$10,0.000001)))))</f>
        <v>0.26506070555555628</v>
      </c>
      <c r="BE89" s="12">
        <f>IF(A89="",NA(),IF(Статистика!$B$8="Вкл",(((IF(Статистика!$C$4="Параллельный режим (активная мощность)",F89,Q89)+Статистика!$J$4))-Статистика!$C$10)/MAX(Статистика!$G$10-Статистика!$C$10,0.000001),NA()))</f>
        <v>0.54089526111111086</v>
      </c>
      <c r="BF89" s="12">
        <f>IF(A89="",NA(),IF(Статистика!$D$8="Вкл",(((IF(Статистика!$C$4="Параллельный режим (активная мощность)",E89,P89)+Статистика!$J$4))-Статистика!$C$10)/MAX(Статистика!$G$10-Статистика!$C$10,0.000001),NA()))</f>
        <v>0.48975865000000007</v>
      </c>
      <c r="BG89" s="12">
        <f>IF(A89="",NA(),IF(Статистика!$D$8="Вкл",(((IF(Статистика!$C$4="Параллельный режим (активная мощность)",G89,R89)+Статистика!$J$4))-Статистика!$C$10)/MAX(Статистика!$G$10-Статистика!$C$10,0.000001),NA()))</f>
        <v>0.63073308333333322</v>
      </c>
      <c r="BH89" s="12">
        <f>IF(A89="",NA(),IF(Статистика!$F$8="Вкл",(((IF(Статистика!$C$4="Параллельный режим (активная мощность)",D89,O89)+Статистика!$J$4))-Статистика!$C$10)/MAX(Статистика!$G$10-Статистика!$C$10,0.000001),NA()))</f>
        <v>0.44993828388888901</v>
      </c>
      <c r="BI89" s="12">
        <f>IF(A89="",NA(),IF(Статистика!$F$8="Вкл",(((IF(Статистика!$C$4="Параллельный режим (активная мощность)",H89,S89)+Статистика!$J$4))-Статистика!$C$10)/MAX(Статистика!$G$10-Статистика!$C$10,0.000001),NA()))</f>
        <v>0.69464043444444445</v>
      </c>
      <c r="BJ89" s="12">
        <f>IF(A89="",NA(),IF(Статистика!$H$8="Вкл",(((IF(Статистика!$C$4="Параллельный режим (активная мощность)",B89,M89)+Статистика!$J$4))-Статистика!$C$10)/MAX(Статистика!$G$10-Статистика!$C$10,0.000001),NA()))</f>
        <v>-1.2199066991111112</v>
      </c>
      <c r="BK89" s="12">
        <f>IF(A89="",NA(),IF(Статистика!$H$8="Вкл",(((IF(Статистика!$C$4="Параллельный режим (активная мощность)",J89,U89)+Статистика!$J$4))-Статистика!$C$10)/MAX(Статистика!$G$10-Статистика!$C$10,0.000001),NA()))</f>
        <v>0.73493929444444372</v>
      </c>
      <c r="BL89" s="12" t="e">
        <f>IF(A89="",NA(),IF(Статистика!$J$8="Вкл",(((IF(Статистика!$C$4="Параллельный режим (активная мощность)",K89,V89)+Статистика!$J$4))-Статистика!$C$10)/MAX(Статистика!$G$10-Статистика!$C$10,0.000001),NA()))</f>
        <v>#N/A</v>
      </c>
      <c r="BM89" s="12" t="e">
        <f>IF(AND(A89&lt;&gt;"",Статистика!$C$6="Вкл",Статистика!$B$6&gt;0),(Статистика!$B$6-Статистика!$C$10)/MAX(Статистика!$G$10-Статистика!$C$10,0.000001),NA())</f>
        <v>#N/A</v>
      </c>
      <c r="BN89" s="12" t="e">
        <f>IF(AND(A89&lt;&gt;"",Статистика!$F$6="Вкл",Статистика!$E$6&gt;0),(Статистика!$E$6-Статистика!$C$10)/MAX(Статистика!$G$10-Статистика!$C$10,0.000001),NA())</f>
        <v>#N/A</v>
      </c>
      <c r="BO89" s="12" t="e">
        <f>IF(AND(A89&lt;&gt;"",Статистика!$I$6="Вкл",Статистика!$H$6&gt;0),(Статистика!$H$6-Статистика!$C$10)/MAX(Статистика!$G$10-Статистика!$C$10,0.000001),NA())</f>
        <v>#N/A</v>
      </c>
      <c r="BP89" s="12" t="e">
        <f>IF(AND(A89&lt;&gt;"",Статистика!$L$6="Вкл",Статистика!$K$6&gt;0),(Статистика!$K$6-Статистика!$C$10)/MAX(Статистика!$G$10-Статистика!$C$10,0.000001),NA())</f>
        <v>#N/A</v>
      </c>
      <c r="BQ89" s="12" t="e">
        <f>IF(AND(A89&lt;&gt;"",Статистика!$M$6="Вкл",Статистика!$O$6&gt;0),(Статистика!$O$6-Статистика!$C$10)/MAX(Статистика!$G$10-Статистика!$C$10,0.000001),NA())</f>
        <v>#N/A</v>
      </c>
      <c r="BR89" s="12">
        <f t="shared" si="2"/>
        <v>1</v>
      </c>
      <c r="BT89" s="12">
        <f>IF(Y89="","",MAX(0,MIN(1,(((IF(Статистика!$C$4="Параллельный режим (активная мощность)",Z89,AK89)+Статистика!$J$4))-Статистика!$C$10)/MAX(Статистика!$G$10-Статистика!$C$10,0.000001))))</f>
        <v>0.41971604344444435</v>
      </c>
      <c r="BU89" s="12">
        <f>IF(Y89="","",MAX(0,MAX(0,MIN(1,(((IF(Статистика!$C$4="Параллельный режим (активная мощность)",AB89,AM89)+Статистика!$J$4))-Статистика!$C$10)/MAX(Статистика!$G$10-Статистика!$C$10,0.000001)))-MAX(0,MIN(1,(((IF(Статистика!$C$4="Параллельный режим (активная мощность)",Z89,AK89)+Статистика!$J$4))-Статистика!$C$10)/MAX(Статистика!$G$10-Статистика!$C$10,0.000001)))))</f>
        <v>1.7434791000000283E-2</v>
      </c>
      <c r="BV89" s="12">
        <f>IF(Y89="","",MAX(0,MAX(0,MIN(1,(((IF(Статистика!$C$4="Параллельный режим (активная мощность)",AC89,AN89)+Статистика!$J$4))-Статистика!$C$10)/MAX(Статистика!$G$10-Статистика!$C$10,0.000001)))-MAX(0,MIN(1,(((IF(Статистика!$C$4="Параллельный режим (активная мощность)",AB89,AM89)+Статистика!$J$4))-Статистика!$C$10)/MAX(Статистика!$G$10-Статистика!$C$10,0.000001)))))</f>
        <v>3.9126776666666974E-2</v>
      </c>
      <c r="BW89" s="12">
        <f>IF(Y89="","",MAX(0,MAX(0,MIN(1,(((IF(Статистика!$C$4="Параллельный режим (активная мощность)",AD89,AO89)+Статистика!$J$4))-Статистика!$C$10)/MAX(Статистика!$G$10-Статистика!$C$10,0.000001)))-MAX(0,MIN(1,(((IF(Статистика!$C$4="Параллельный режим (активная мощность)",AC89,AN89)+Статистика!$J$4))-Статистика!$C$10)/MAX(Статистика!$G$10-Статистика!$C$10,0.000001)))))</f>
        <v>5.2716622222221898E-2</v>
      </c>
      <c r="BX89" s="12">
        <f>IF(Y89="","",MAX(0,MAX(0,MIN(1,(((IF(Статистика!$C$4="Параллельный режим (активная мощность)",AE89,AP89)+Статистика!$J$4))-Статистика!$C$10)/MAX(Статистика!$G$10-Статистика!$C$10,0.000001)))-MAX(0,MIN(1,(((IF(Статистика!$C$4="Параллельный режим (активная мощность)",AD89,AO89)+Статистика!$J$4))-Статистика!$C$10)/MAX(Статистика!$G$10-Статистика!$C$10,0.000001)))))</f>
        <v>0.12930087499999954</v>
      </c>
      <c r="BY89" s="12">
        <f>IF(Y89="","",MAX(0,MAX(0,MIN(1,(((IF(Статистика!$C$4="Параллельный режим (активная мощность)",AF89,AQ89)+Статистика!$J$4))-Статистика!$C$10)/MAX(Статистика!$G$10-Статистика!$C$10,0.000001)))-MAX(0,MIN(1,(((IF(Статистика!$C$4="Параллельный режим (активная мощность)",AE89,AP89)+Статистика!$J$4))-Статистика!$C$10)/MAX(Статистика!$G$10-Статистика!$C$10,0.000001)))))</f>
        <v>0.10227144555555545</v>
      </c>
      <c r="BZ89" s="12">
        <f>IF(Y89="","",MAX(0,MAX(0,MIN(1,(((IF(Статистика!$C$4="Параллельный режим (активная мощность)",AH89,AS89)+Статистика!$J$4))-Статистика!$C$10)/MAX(Статистика!$G$10-Статистика!$C$10,0.000001)))-MAX(0,MIN(1,(((IF(Статистика!$C$4="Параллельный режим (активная мощность)",AF89,AQ89)+Статистика!$J$4))-Статистика!$C$10)/MAX(Статистика!$G$10-Статистика!$C$10,0.000001)))))</f>
        <v>7.4841415000004297E-3</v>
      </c>
      <c r="CA89" s="12">
        <f>IF(Y89="","",MAX(0,1-MAX(0,MIN(1,(((IF(Статистика!$C$4="Параллельный режим (активная мощность)",AH89,AS89)+Статистика!$J$4))-Статистика!$C$10)/MAX(Статистика!$G$10-Статистика!$C$10,0.000001)))))</f>
        <v>0.23194930461111107</v>
      </c>
      <c r="CB89" s="12">
        <f>IF(Y89="",NA(),IF(Статистика!$B$8="Вкл",(((IF(Статистика!$C$4="Параллельный режим (активная мощность)",AD89,AO89)+Статистика!$J$4))-Статистика!$C$10)/MAX(Статистика!$G$10-Статистика!$C$10,0.000001),NA()))</f>
        <v>0.52899423333333351</v>
      </c>
      <c r="CC89" s="12">
        <f>IF(Y89="",NA(),IF(Статистика!$D$8="Вкл",(((IF(Статистика!$C$4="Параллельный режим (активная мощность)",AC89,AN89)+Статистика!$J$4))-Статистика!$C$10)/MAX(Статистика!$G$10-Статистика!$C$10,0.000001),NA()))</f>
        <v>0.47627761111111161</v>
      </c>
      <c r="CD89" s="12">
        <f>IF(Y89="",NA(),IF(Статистика!$D$8="Вкл",(((IF(Статистика!$C$4="Параллельный режим (активная мощность)",AE89,AP89)+Статистика!$J$4))-Статистика!$C$10)/MAX(Статистика!$G$10-Статистика!$C$10,0.000001),NA()))</f>
        <v>0.65829510833333305</v>
      </c>
      <c r="CE89" s="12">
        <f>IF(Y89="",NA(),IF(Статистика!$F$8="Вкл",(((IF(Статистика!$C$4="Параллельный режим (активная мощность)",AB89,AM89)+Статистика!$J$4))-Статистика!$C$10)/MAX(Статистика!$G$10-Статистика!$C$10,0.000001),NA()))</f>
        <v>0.43715083444444464</v>
      </c>
      <c r="CF89" s="12">
        <f>IF(Y89="",NA(),IF(Статистика!$F$8="Вкл",(((IF(Статистика!$C$4="Параллельный режим (активная мощность)",AF89,AQ89)+Статистика!$J$4))-Статистика!$C$10)/MAX(Статистика!$G$10-Статистика!$C$10,0.000001),NA()))</f>
        <v>0.7605665538888885</v>
      </c>
      <c r="CG89" s="12">
        <f>IF(Y89="",NA(),IF(Статистика!$H$8="Вкл",(((IF(Статистика!$C$4="Параллельный режим (активная мощность)",Z89,AK89)+Статистика!$J$4))-Статистика!$C$10)/MAX(Статистика!$G$10-Статистика!$C$10,0.000001),NA()))</f>
        <v>0.41971604344444435</v>
      </c>
      <c r="CH89" s="12">
        <f>IF(Y89="",NA(),IF(Статистика!$H$8="Вкл",(((IF(Статистика!$C$4="Параллельный режим (активная мощность)",AH89,AS89)+Статистика!$J$4))-Статистика!$C$10)/MAX(Статистика!$G$10-Статистика!$C$10,0.000001),NA()))</f>
        <v>0.76805069538888893</v>
      </c>
      <c r="CI89" s="12" t="e">
        <f>IF(Y89="",NA(),IF(Статистика!$J$8="Вкл",(((IF(Статистика!$C$4="Параллельный режим (активная мощность)",AI89,AT89)+Статистика!$J$4))-Статистика!$C$10)/MAX(Статистика!$G$10-Статистика!$C$10,0.000001),NA()))</f>
        <v>#N/A</v>
      </c>
      <c r="CJ89" s="12" t="e">
        <f>IF(AND(Y89&lt;&gt;"",Статистика!$C$6="Вкл",Статистика!$B$6&gt;0),(Статистика!$B$6-Статистика!$C$10)/MAX(Статистика!$G$10-Статистика!$C$10,0.000001),NA())</f>
        <v>#N/A</v>
      </c>
      <c r="CK89" s="12" t="e">
        <f>IF(AND(Y89&lt;&gt;"",Статистика!$F$6="Вкл",Статистика!$E$6&gt;0),(Статистика!$E$6-Статистика!$C$10)/MAX(Статистика!$G$10-Статистика!$C$10,0.000001),NA())</f>
        <v>#N/A</v>
      </c>
      <c r="CL89" s="12" t="e">
        <f>IF(AND(Y89&lt;&gt;"",Статистика!$I$6="Вкл",Статистика!$H$6&gt;0),(Статистика!$H$6-Статистика!$C$10)/MAX(Статистика!$G$10-Статистика!$C$10,0.000001),NA())</f>
        <v>#N/A</v>
      </c>
      <c r="CM89" s="12" t="e">
        <f>IF(AND(Y89&lt;&gt;"",Статистика!$L$6="Вкл",Статистика!$K$6&gt;0),(Статистика!$K$6-Статистика!$C$10)/MAX(Статистика!$G$10-Статистика!$C$10,0.000001),NA())</f>
        <v>#N/A</v>
      </c>
      <c r="CN89" s="12" t="e">
        <f>IF(AND(Y89&lt;&gt;"",Статистика!$M$6="Вкл",Статистика!$O$6&gt;0),(Статистика!$O$6-Статистика!$C$10)/MAX(Статистика!$G$10-Статистика!$C$10,0.000001),NA())</f>
        <v>#N/A</v>
      </c>
      <c r="CO89" s="12">
        <f t="shared" si="3"/>
        <v>1</v>
      </c>
    </row>
    <row r="90" spans="1:93" ht="15" customHeight="1">
      <c r="A90" s="12" t="s">
        <v>421</v>
      </c>
      <c r="B90" s="12">
        <v>2319.0048516666666</v>
      </c>
      <c r="C90" s="12">
        <v>5718.0598583333349</v>
      </c>
      <c r="D90" s="12">
        <v>7330.8726816666676</v>
      </c>
      <c r="E90" s="12">
        <v>7461.6884416666671</v>
      </c>
      <c r="F90" s="12">
        <v>7641.396333333334</v>
      </c>
      <c r="G90" s="12">
        <v>7881.4343749999989</v>
      </c>
      <c r="H90" s="12">
        <v>8108.6249466666659</v>
      </c>
      <c r="I90" s="12">
        <v>8192.3833974999998</v>
      </c>
      <c r="J90" s="12">
        <v>8227.504466166667</v>
      </c>
      <c r="K90" s="12">
        <v>8346.86</v>
      </c>
      <c r="L90" s="12" t="s">
        <v>422</v>
      </c>
      <c r="M90" s="12">
        <v>2838.6968728333331</v>
      </c>
      <c r="N90" s="12">
        <v>6523.3083641666672</v>
      </c>
      <c r="O90" s="12">
        <v>8275.2864733333317</v>
      </c>
      <c r="P90" s="12">
        <v>8445.3761583333326</v>
      </c>
      <c r="Q90" s="12">
        <v>8616.0164833333329</v>
      </c>
      <c r="R90" s="12">
        <v>8864.8888583333319</v>
      </c>
      <c r="S90" s="12">
        <v>9061.9723099999992</v>
      </c>
      <c r="T90" s="12">
        <v>9129.2150991666658</v>
      </c>
      <c r="U90" s="12">
        <v>9144.4874465000012</v>
      </c>
      <c r="V90" s="12">
        <v>9271.89</v>
      </c>
      <c r="W90" s="12" t="s">
        <v>423</v>
      </c>
      <c r="Y90" s="12" t="s">
        <v>421</v>
      </c>
      <c r="Z90" s="12">
        <v>7281.2872928333327</v>
      </c>
      <c r="AA90" s="12">
        <v>7312.7039308333324</v>
      </c>
      <c r="AB90" s="12">
        <v>7351.9747283333327</v>
      </c>
      <c r="AC90" s="12">
        <v>7437.3352749999995</v>
      </c>
      <c r="AD90" s="12">
        <v>7594.5970666666672</v>
      </c>
      <c r="AE90" s="12">
        <v>7941.9462999999996</v>
      </c>
      <c r="AF90" s="12">
        <v>8268.6723233333323</v>
      </c>
      <c r="AG90" s="12">
        <v>8278.740495</v>
      </c>
      <c r="AH90" s="12">
        <v>8286.7950323333334</v>
      </c>
      <c r="AI90" s="12">
        <v>8440.3700000000008</v>
      </c>
      <c r="AJ90" s="12" t="s">
        <v>424</v>
      </c>
      <c r="AK90" s="12">
        <v>8271.6968400000005</v>
      </c>
      <c r="AL90" s="12">
        <v>8288.381933333334</v>
      </c>
      <c r="AM90" s="12">
        <v>8309.2382999999991</v>
      </c>
      <c r="AN90" s="12">
        <v>8436.4061083333327</v>
      </c>
      <c r="AO90" s="12">
        <v>8529.6613499999985</v>
      </c>
      <c r="AP90" s="12">
        <v>8863.7122249999993</v>
      </c>
      <c r="AQ90" s="12">
        <v>9226.1560733333317</v>
      </c>
      <c r="AR90" s="12">
        <v>9237.0211033333326</v>
      </c>
      <c r="AS90" s="12">
        <v>9245.7131273333325</v>
      </c>
      <c r="AT90" s="12">
        <v>9419.25</v>
      </c>
      <c r="AU90" s="12" t="s">
        <v>425</v>
      </c>
      <c r="AW90" s="12">
        <f>IF(A90="","",MAX(0,MIN(1,(((IF(Статистика!$C$4="Параллельный режим (активная мощность)",B90,M90)+Статистика!$J$4))-Статистика!$C$10)/MAX(Статистика!$G$10-Статистика!$C$10,0.000001))))</f>
        <v>0</v>
      </c>
      <c r="AX90" s="12">
        <f>IF(A90="","",MAX(0,MAX(0,MIN(1,(((IF(Статистика!$C$4="Параллельный режим (активная мощность)",D90,O90)+Статистика!$J$4))-Статистика!$C$10)/MAX(Статистика!$G$10-Статистика!$C$10,0.000001)))-MAX(0,MIN(1,(((IF(Статистика!$C$4="Параллельный режим (активная мощность)",B90,M90)+Статистика!$J$4))-Статистика!$C$10)/MAX(Статистика!$G$10-Статистика!$C$10,0.000001)))))</f>
        <v>0.44362422722222256</v>
      </c>
      <c r="AY90" s="12">
        <f>IF(A90="","",MAX(0,MAX(0,MIN(1,(((IF(Статистика!$C$4="Параллельный режим (активная мощность)",E90,P90)+Статистика!$J$4))-Статистика!$C$10)/MAX(Статистика!$G$10-Статистика!$C$10,0.000001)))-MAX(0,MIN(1,(((IF(Статистика!$C$4="Параллельный режим (активная мощность)",D90,O90)+Статистика!$J$4))-Статистика!$C$10)/MAX(Статистика!$G$10-Статистика!$C$10,0.000001)))))</f>
        <v>4.3605253333333149E-2</v>
      </c>
      <c r="AZ90" s="12">
        <f>IF(A90="","",MAX(0,MAX(0,MIN(1,(((IF(Статистика!$C$4="Параллельный режим (активная мощность)",F90,Q90)+Статистика!$J$4))-Статистика!$C$10)/MAX(Статистика!$G$10-Статистика!$C$10,0.000001)))-MAX(0,MIN(1,(((IF(Статистика!$C$4="Параллельный режим (активная мощность)",E90,P90)+Статистика!$J$4))-Статистика!$C$10)/MAX(Статистика!$G$10-Статистика!$C$10,0.000001)))))</f>
        <v>5.9902630555555669E-2</v>
      </c>
      <c r="BA90" s="12">
        <f>IF(A90="","",MAX(0,MAX(0,MIN(1,(((IF(Статистика!$C$4="Параллельный режим (активная мощность)",G90,R90)+Статистика!$J$4))-Статистика!$C$10)/MAX(Статистика!$G$10-Статистика!$C$10,0.000001)))-MAX(0,MIN(1,(((IF(Статистика!$C$4="Параллельный режим (активная мощность)",F90,Q90)+Статистика!$J$4))-Статистика!$C$10)/MAX(Статистика!$G$10-Статистика!$C$10,0.000001)))))</f>
        <v>8.0012680555554883E-2</v>
      </c>
      <c r="BB90" s="12">
        <f>IF(A90="","",MAX(0,MAX(0,MIN(1,(((IF(Статистика!$C$4="Параллельный режим (активная мощность)",H90,S90)+Статистика!$J$4))-Статистика!$C$10)/MAX(Статистика!$G$10-Статистика!$C$10,0.000001)))-MAX(0,MIN(1,(((IF(Статистика!$C$4="Параллельный режим (активная мощность)",G90,R90)+Статистика!$J$4))-Статистика!$C$10)/MAX(Статистика!$G$10-Статистика!$C$10,0.000001)))))</f>
        <v>7.5730190555555743E-2</v>
      </c>
      <c r="BC90" s="12">
        <f>IF(A90="","",MAX(0,MAX(0,MIN(1,(((IF(Статистика!$C$4="Параллельный режим (активная мощность)",J90,U90)+Статистика!$J$4))-Статистика!$C$10)/MAX(Статистика!$G$10-Статистика!$C$10,0.000001)))-MAX(0,MIN(1,(((IF(Статистика!$C$4="Параллельный режим (активная мощность)",H90,S90)+Статистика!$J$4))-Статистика!$C$10)/MAX(Статистика!$G$10-Статистика!$C$10,0.000001)))))</f>
        <v>3.9626506500000325E-2</v>
      </c>
      <c r="BD90" s="12">
        <f>IF(A90="","",MAX(0,1-MAX(0,MIN(1,(((IF(Статистика!$C$4="Параллельный режим (активная мощность)",J90,U90)+Статистика!$J$4))-Статистика!$C$10)/MAX(Статистика!$G$10-Статистика!$C$10,0.000001)))))</f>
        <v>0.25749851127777768</v>
      </c>
      <c r="BE90" s="12">
        <f>IF(A90="",NA(),IF(Статистика!$B$8="Вкл",(((IF(Статистика!$C$4="Параллельный режим (активная мощность)",F90,Q90)+Статистика!$J$4))-Статистика!$C$10)/MAX(Статистика!$G$10-Статистика!$C$10,0.000001),NA()))</f>
        <v>0.54713211111111137</v>
      </c>
      <c r="BF90" s="12">
        <f>IF(A90="",NA(),IF(Статистика!$D$8="Вкл",(((IF(Статистика!$C$4="Параллельный режим (активная мощность)",E90,P90)+Статистика!$J$4))-Статистика!$C$10)/MAX(Статистика!$G$10-Статистика!$C$10,0.000001),NA()))</f>
        <v>0.48722948055555571</v>
      </c>
      <c r="BG90" s="12">
        <f>IF(A90="",NA(),IF(Статистика!$D$8="Вкл",(((IF(Статистика!$C$4="Параллельный режим (активная мощность)",G90,R90)+Статистика!$J$4))-Статистика!$C$10)/MAX(Статистика!$G$10-Статистика!$C$10,0.000001),NA()))</f>
        <v>0.62714479166666626</v>
      </c>
      <c r="BH90" s="12">
        <f>IF(A90="",NA(),IF(Статистика!$F$8="Вкл",(((IF(Статистика!$C$4="Параллельный режим (активная мощность)",D90,O90)+Статистика!$J$4))-Статистика!$C$10)/MAX(Статистика!$G$10-Статистика!$C$10,0.000001),NA()))</f>
        <v>0.44362422722222256</v>
      </c>
      <c r="BI90" s="12">
        <f>IF(A90="",NA(),IF(Статистика!$F$8="Вкл",(((IF(Статистика!$C$4="Параллельный режим (активная мощность)",H90,S90)+Статистика!$J$4))-Статистика!$C$10)/MAX(Статистика!$G$10-Статистика!$C$10,0.000001),NA()))</f>
        <v>0.702874982222222</v>
      </c>
      <c r="BJ90" s="12">
        <f>IF(A90="",NA(),IF(Статистика!$H$8="Вкл",(((IF(Статистика!$C$4="Параллельный режим (активная мощность)",B90,M90)+Статистика!$J$4))-Статистика!$C$10)/MAX(Статистика!$G$10-Статистика!$C$10,0.000001),NA()))</f>
        <v>-1.2269983827777777</v>
      </c>
      <c r="BK90" s="12">
        <f>IF(A90="",NA(),IF(Статистика!$H$8="Вкл",(((IF(Статистика!$C$4="Параллельный режим (активная мощность)",J90,U90)+Статистика!$J$4))-Статистика!$C$10)/MAX(Статистика!$G$10-Статистика!$C$10,0.000001),NA()))</f>
        <v>0.74250148872222232</v>
      </c>
      <c r="BL90" s="12" t="e">
        <f>IF(A90="",NA(),IF(Статистика!$J$8="Вкл",(((IF(Статистика!$C$4="Параллельный режим (активная мощность)",K90,V90)+Статистика!$J$4))-Статистика!$C$10)/MAX(Статистика!$G$10-Статистика!$C$10,0.000001),NA()))</f>
        <v>#N/A</v>
      </c>
      <c r="BM90" s="12" t="e">
        <f>IF(AND(A90&lt;&gt;"",Статистика!$C$6="Вкл",Статистика!$B$6&gt;0),(Статистика!$B$6-Статистика!$C$10)/MAX(Статистика!$G$10-Статистика!$C$10,0.000001),NA())</f>
        <v>#N/A</v>
      </c>
      <c r="BN90" s="12" t="e">
        <f>IF(AND(A90&lt;&gt;"",Статистика!$F$6="Вкл",Статистика!$E$6&gt;0),(Статистика!$E$6-Статистика!$C$10)/MAX(Статистика!$G$10-Статистика!$C$10,0.000001),NA())</f>
        <v>#N/A</v>
      </c>
      <c r="BO90" s="12" t="e">
        <f>IF(AND(A90&lt;&gt;"",Статистика!$I$6="Вкл",Статистика!$H$6&gt;0),(Статистика!$H$6-Статистика!$C$10)/MAX(Статистика!$G$10-Статистика!$C$10,0.000001),NA())</f>
        <v>#N/A</v>
      </c>
      <c r="BP90" s="12" t="e">
        <f>IF(AND(A90&lt;&gt;"",Статистика!$L$6="Вкл",Статистика!$K$6&gt;0),(Статистика!$K$6-Статистика!$C$10)/MAX(Статистика!$G$10-Статистика!$C$10,0.000001),NA())</f>
        <v>#N/A</v>
      </c>
      <c r="BQ90" s="12" t="e">
        <f>IF(AND(A90&lt;&gt;"",Статистика!$M$6="Вкл",Статистика!$O$6&gt;0),(Статистика!$O$6-Статистика!$C$10)/MAX(Статистика!$G$10-Статистика!$C$10,0.000001),NA())</f>
        <v>#N/A</v>
      </c>
      <c r="BR90" s="12">
        <f t="shared" si="2"/>
        <v>1</v>
      </c>
      <c r="BT90" s="12">
        <f>IF(Y90="","",MAX(0,MIN(1,(((IF(Статистика!$C$4="Параллельный режим (активная мощность)",Z90,AK90)+Статистика!$J$4))-Статистика!$C$10)/MAX(Статистика!$G$10-Статистика!$C$10,0.000001))))</f>
        <v>0.42709576427777757</v>
      </c>
      <c r="BU90" s="12">
        <f>IF(Y90="","",MAX(0,MAX(0,MIN(1,(((IF(Статистика!$C$4="Параллельный режим (активная мощность)",AB90,AM90)+Статистика!$J$4))-Статистика!$C$10)/MAX(Статистика!$G$10-Статистика!$C$10,0.000001)))-MAX(0,MIN(1,(((IF(Статистика!$C$4="Параллельный режим (активная мощность)",Z90,AK90)+Статистика!$J$4))-Статистика!$C$10)/MAX(Статистика!$G$10-Статистика!$C$10,0.000001)))))</f>
        <v>2.3562478499999984E-2</v>
      </c>
      <c r="BV90" s="12">
        <f>IF(Y90="","",MAX(0,MAX(0,MIN(1,(((IF(Статистика!$C$4="Параллельный режим (активная мощность)",AC90,AN90)+Статистика!$J$4))-Статистика!$C$10)/MAX(Статистика!$G$10-Статистика!$C$10,0.000001)))-MAX(0,MIN(1,(((IF(Статистика!$C$4="Параллельный режим (активная мощность)",AB90,AM90)+Статистика!$J$4))-Статистика!$C$10)/MAX(Статистика!$G$10-Статистика!$C$10,0.000001)))))</f>
        <v>2.8453515555555586E-2</v>
      </c>
      <c r="BW90" s="12">
        <f>IF(Y90="","",MAX(0,MAX(0,MIN(1,(((IF(Статистика!$C$4="Параллельный режим (активная мощность)",AD90,AO90)+Статистика!$J$4))-Статистика!$C$10)/MAX(Статистика!$G$10-Статистика!$C$10,0.000001)))-MAX(0,MIN(1,(((IF(Статистика!$C$4="Параллельный режим (активная мощность)",AC90,AN90)+Статистика!$J$4))-Статистика!$C$10)/MAX(Статистика!$G$10-Статистика!$C$10,0.000001)))))</f>
        <v>5.2420597222222531E-2</v>
      </c>
      <c r="BX90" s="12">
        <f>IF(Y90="","",MAX(0,MAX(0,MIN(1,(((IF(Статистика!$C$4="Параллельный режим (активная мощность)",AE90,AP90)+Статистика!$J$4))-Статистика!$C$10)/MAX(Статистика!$G$10-Статистика!$C$10,0.000001)))-MAX(0,MIN(1,(((IF(Статистика!$C$4="Параллельный режим (активная мощность)",AD90,AO90)+Статистика!$J$4))-Статистика!$C$10)/MAX(Статистика!$G$10-Статистика!$C$10,0.000001)))))</f>
        <v>0.11578307777777752</v>
      </c>
      <c r="BY90" s="12">
        <f>IF(Y90="","",MAX(0,MAX(0,MIN(1,(((IF(Статистика!$C$4="Параллельный режим (активная мощность)",AF90,AQ90)+Статистика!$J$4))-Статистика!$C$10)/MAX(Статистика!$G$10-Статистика!$C$10,0.000001)))-MAX(0,MIN(1,(((IF(Статистика!$C$4="Параллельный режим (активная мощность)",AE90,AP90)+Статистика!$J$4))-Статистика!$C$10)/MAX(Статистика!$G$10-Статистика!$C$10,0.000001)))))</f>
        <v>0.1089086744444443</v>
      </c>
      <c r="BZ90" s="12">
        <f>IF(Y90="","",MAX(0,MAX(0,MIN(1,(((IF(Статистика!$C$4="Параллельный режим (активная мощность)",AH90,AS90)+Статистика!$J$4))-Статистика!$C$10)/MAX(Статистика!$G$10-Статистика!$C$10,0.000001)))-MAX(0,MIN(1,(((IF(Статистика!$C$4="Параллельный режим (активная мощность)",AF90,AQ90)+Статистика!$J$4))-Статистика!$C$10)/MAX(Статистика!$G$10-Статистика!$C$10,0.000001)))))</f>
        <v>6.0409030000003749E-3</v>
      </c>
      <c r="CA90" s="12">
        <f>IF(Y90="","",MAX(0,1-MAX(0,MIN(1,(((IF(Статистика!$C$4="Параллельный режим (активная мощность)",AH90,AS90)+Статистика!$J$4))-Статистика!$C$10)/MAX(Статистика!$G$10-Статистика!$C$10,0.000001)))))</f>
        <v>0.23773498922222214</v>
      </c>
      <c r="CB90" s="12">
        <f>IF(Y90="",NA(),IF(Статистика!$B$8="Вкл",(((IF(Статистика!$C$4="Параллельный режим (активная мощность)",AD90,AO90)+Статистика!$J$4))-Статистика!$C$10)/MAX(Статистика!$G$10-Статистика!$C$10,0.000001),NA()))</f>
        <v>0.53153235555555567</v>
      </c>
      <c r="CC90" s="12">
        <f>IF(Y90="",NA(),IF(Статистика!$D$8="Вкл",(((IF(Статистика!$C$4="Параллельный режим (активная мощность)",AC90,AN90)+Статистика!$J$4))-Статистика!$C$10)/MAX(Статистика!$G$10-Статистика!$C$10,0.000001),NA()))</f>
        <v>0.47911175833333314</v>
      </c>
      <c r="CD90" s="12">
        <f>IF(Y90="",NA(),IF(Статистика!$D$8="Вкл",(((IF(Статистика!$C$4="Параллельный режим (активная мощность)",AE90,AP90)+Статистика!$J$4))-Статистика!$C$10)/MAX(Статистика!$G$10-Статистика!$C$10,0.000001),NA()))</f>
        <v>0.64731543333333319</v>
      </c>
      <c r="CE90" s="12">
        <f>IF(Y90="",NA(),IF(Статистика!$F$8="Вкл",(((IF(Статистика!$C$4="Параллельный режим (активная мощность)",AB90,AM90)+Статистика!$J$4))-Статистика!$C$10)/MAX(Статистика!$G$10-Статистика!$C$10,0.000001),NA()))</f>
        <v>0.45065824277777755</v>
      </c>
      <c r="CF90" s="12">
        <f>IF(Y90="",NA(),IF(Статистика!$F$8="Вкл",(((IF(Статистика!$C$4="Параллельный режим (активная мощность)",AF90,AQ90)+Статистика!$J$4))-Статистика!$C$10)/MAX(Статистика!$G$10-Статистика!$C$10,0.000001),NA()))</f>
        <v>0.75622410777777749</v>
      </c>
      <c r="CG90" s="12">
        <f>IF(Y90="",NA(),IF(Статистика!$H$8="Вкл",(((IF(Статистика!$C$4="Параллельный режим (активная мощность)",Z90,AK90)+Статистика!$J$4))-Статистика!$C$10)/MAX(Статистика!$G$10-Статистика!$C$10,0.000001),NA()))</f>
        <v>0.42709576427777757</v>
      </c>
      <c r="CH90" s="12">
        <f>IF(Y90="",NA(),IF(Статистика!$H$8="Вкл",(((IF(Статистика!$C$4="Параллельный режим (активная мощность)",AH90,AS90)+Статистика!$J$4))-Статистика!$C$10)/MAX(Статистика!$G$10-Статистика!$C$10,0.000001),NA()))</f>
        <v>0.76226501077777786</v>
      </c>
      <c r="CI90" s="12" t="e">
        <f>IF(Y90="",NA(),IF(Статистика!$J$8="Вкл",(((IF(Статистика!$C$4="Параллельный режим (активная мощность)",AI90,AT90)+Статистика!$J$4))-Статистика!$C$10)/MAX(Статистика!$G$10-Статистика!$C$10,0.000001),NA()))</f>
        <v>#N/A</v>
      </c>
      <c r="CJ90" s="12" t="e">
        <f>IF(AND(Y90&lt;&gt;"",Статистика!$C$6="Вкл",Статистика!$B$6&gt;0),(Статистика!$B$6-Статистика!$C$10)/MAX(Статистика!$G$10-Статистика!$C$10,0.000001),NA())</f>
        <v>#N/A</v>
      </c>
      <c r="CK90" s="12" t="e">
        <f>IF(AND(Y90&lt;&gt;"",Статистика!$F$6="Вкл",Статистика!$E$6&gt;0),(Статистика!$E$6-Статистика!$C$10)/MAX(Статистика!$G$10-Статистика!$C$10,0.000001),NA())</f>
        <v>#N/A</v>
      </c>
      <c r="CL90" s="12" t="e">
        <f>IF(AND(Y90&lt;&gt;"",Статистика!$I$6="Вкл",Статистика!$H$6&gt;0),(Статистика!$H$6-Статистика!$C$10)/MAX(Статистика!$G$10-Статистика!$C$10,0.000001),NA())</f>
        <v>#N/A</v>
      </c>
      <c r="CM90" s="12" t="e">
        <f>IF(AND(Y90&lt;&gt;"",Статистика!$L$6="Вкл",Статистика!$K$6&gt;0),(Статистика!$K$6-Статистика!$C$10)/MAX(Статистика!$G$10-Статистика!$C$10,0.000001),NA())</f>
        <v>#N/A</v>
      </c>
      <c r="CN90" s="12" t="e">
        <f>IF(AND(Y90&lt;&gt;"",Статистика!$M$6="Вкл",Статистика!$O$6&gt;0),(Статистика!$O$6-Статистика!$C$10)/MAX(Статистика!$G$10-Статистика!$C$10,0.000001),NA())</f>
        <v>#N/A</v>
      </c>
      <c r="CO90" s="12">
        <f t="shared" si="3"/>
        <v>1</v>
      </c>
    </row>
    <row r="91" spans="1:93" ht="15" customHeight="1">
      <c r="A91" s="12" t="s">
        <v>426</v>
      </c>
      <c r="B91" s="12">
        <v>2325.7469538333335</v>
      </c>
      <c r="C91" s="12">
        <v>5704.043702500001</v>
      </c>
      <c r="D91" s="12">
        <v>7314.9894933333335</v>
      </c>
      <c r="E91" s="12">
        <v>7455.1087333333326</v>
      </c>
      <c r="F91" s="12">
        <v>7636.5280833333327</v>
      </c>
      <c r="G91" s="12">
        <v>7856.8697666666667</v>
      </c>
      <c r="H91" s="12">
        <v>8075.4787249999999</v>
      </c>
      <c r="I91" s="12">
        <v>8143.0083041666667</v>
      </c>
      <c r="J91" s="12">
        <v>8215.2077675</v>
      </c>
      <c r="K91" s="12">
        <v>8374.7000000000007</v>
      </c>
      <c r="L91" s="12" t="s">
        <v>427</v>
      </c>
      <c r="M91" s="12">
        <v>2846.4955819999996</v>
      </c>
      <c r="N91" s="12">
        <v>6490.1628433333353</v>
      </c>
      <c r="O91" s="12">
        <v>8237.4619249999996</v>
      </c>
      <c r="P91" s="12">
        <v>8399.3571166666661</v>
      </c>
      <c r="Q91" s="12">
        <v>8589.2991666666676</v>
      </c>
      <c r="R91" s="12">
        <v>8818.7344083333319</v>
      </c>
      <c r="S91" s="12">
        <v>9005.9572200000002</v>
      </c>
      <c r="T91" s="12">
        <v>9057.332314166666</v>
      </c>
      <c r="U91" s="12">
        <v>9131.258089500001</v>
      </c>
      <c r="V91" s="12">
        <v>9291.1</v>
      </c>
      <c r="W91" s="12" t="s">
        <v>427</v>
      </c>
      <c r="Y91" s="12" t="s">
        <v>426</v>
      </c>
      <c r="Z91" s="12">
        <v>7261.360181</v>
      </c>
      <c r="AA91" s="12">
        <v>7291.5957049999997</v>
      </c>
      <c r="AB91" s="12">
        <v>7329.3901100000003</v>
      </c>
      <c r="AC91" s="12">
        <v>7436.4197000000004</v>
      </c>
      <c r="AD91" s="12">
        <v>7590.6092000000008</v>
      </c>
      <c r="AE91" s="12">
        <v>7842.7539750000005</v>
      </c>
      <c r="AF91" s="12">
        <v>8182.1175683333331</v>
      </c>
      <c r="AG91" s="12">
        <v>8195.6296841666663</v>
      </c>
      <c r="AH91" s="12">
        <v>8206.4393768333321</v>
      </c>
      <c r="AI91" s="12">
        <v>8373.48</v>
      </c>
      <c r="AJ91" s="12" t="s">
        <v>428</v>
      </c>
      <c r="AK91" s="12">
        <v>8247.8952998333316</v>
      </c>
      <c r="AL91" s="12">
        <v>8264.2728991666645</v>
      </c>
      <c r="AM91" s="12">
        <v>8284.7448983333325</v>
      </c>
      <c r="AN91" s="12">
        <v>8367.3860000000004</v>
      </c>
      <c r="AO91" s="12">
        <v>8564.2526666666672</v>
      </c>
      <c r="AP91" s="12">
        <v>8804.2846333333346</v>
      </c>
      <c r="AQ91" s="12">
        <v>9128.9853833333345</v>
      </c>
      <c r="AR91" s="12">
        <v>9141.6987250000002</v>
      </c>
      <c r="AS91" s="12">
        <v>9151.8693983333342</v>
      </c>
      <c r="AT91" s="12">
        <v>9295.35</v>
      </c>
      <c r="AU91" s="12" t="s">
        <v>429</v>
      </c>
      <c r="AW91" s="12">
        <f>IF(A91="","",MAX(0,MIN(1,(((IF(Статистика!$C$4="Параллельный режим (активная мощность)",B91,M91)+Статистика!$J$4))-Статистика!$C$10)/MAX(Статистика!$G$10-Статистика!$C$10,0.000001))))</f>
        <v>0</v>
      </c>
      <c r="AX91" s="12">
        <f>IF(A91="","",MAX(0,MAX(0,MIN(1,(((IF(Статистика!$C$4="Параллельный режим (активная мощность)",D91,O91)+Статистика!$J$4))-Статистика!$C$10)/MAX(Статистика!$G$10-Статистика!$C$10,0.000001)))-MAX(0,MIN(1,(((IF(Статистика!$C$4="Параллельный режим (активная мощность)",B91,M91)+Статистика!$J$4))-Статистика!$C$10)/MAX(Статистика!$G$10-Статистика!$C$10,0.000001)))))</f>
        <v>0.43832983111111118</v>
      </c>
      <c r="AY91" s="12">
        <f>IF(A91="","",MAX(0,MAX(0,MIN(1,(((IF(Статистика!$C$4="Параллельный режим (активная мощность)",E91,P91)+Статистика!$J$4))-Статистика!$C$10)/MAX(Статистика!$G$10-Статистика!$C$10,0.000001)))-MAX(0,MIN(1,(((IF(Статистика!$C$4="Параллельный режим (активная мощность)",D91,O91)+Статистика!$J$4))-Статистика!$C$10)/MAX(Статистика!$G$10-Статистика!$C$10,0.000001)))))</f>
        <v>4.670641333333303E-2</v>
      </c>
      <c r="AZ91" s="12">
        <f>IF(A91="","",MAX(0,MAX(0,MIN(1,(((IF(Статистика!$C$4="Параллельный режим (активная мощность)",F91,Q91)+Статистика!$J$4))-Статистика!$C$10)/MAX(Статистика!$G$10-Статистика!$C$10,0.000001)))-MAX(0,MIN(1,(((IF(Статистика!$C$4="Параллельный режим (активная мощность)",E91,P91)+Статистика!$J$4))-Статистика!$C$10)/MAX(Статистика!$G$10-Статистика!$C$10,0.000001)))))</f>
        <v>6.0473116666666715E-2</v>
      </c>
      <c r="BA91" s="12">
        <f>IF(A91="","",MAX(0,MAX(0,MIN(1,(((IF(Статистика!$C$4="Параллельный режим (активная мощность)",G91,R91)+Статистика!$J$4))-Статистика!$C$10)/MAX(Статистика!$G$10-Статистика!$C$10,0.000001)))-MAX(0,MIN(1,(((IF(Статистика!$C$4="Параллельный режим (активная мощность)",F91,Q91)+Статистика!$J$4))-Статистика!$C$10)/MAX(Статистика!$G$10-Статистика!$C$10,0.000001)))))</f>
        <v>7.3447227777778012E-2</v>
      </c>
      <c r="BB91" s="12">
        <f>IF(A91="","",MAX(0,MAX(0,MIN(1,(((IF(Статистика!$C$4="Параллельный режим (активная мощность)",H91,S91)+Статистика!$J$4))-Статистика!$C$10)/MAX(Статистика!$G$10-Статистика!$C$10,0.000001)))-MAX(0,MIN(1,(((IF(Статистика!$C$4="Параллельный режим (активная мощность)",G91,R91)+Статистика!$J$4))-Статистика!$C$10)/MAX(Статистика!$G$10-Статистика!$C$10,0.000001)))))</f>
        <v>7.2869652777777683E-2</v>
      </c>
      <c r="BC91" s="12">
        <f>IF(A91="","",MAX(0,MAX(0,MIN(1,(((IF(Статистика!$C$4="Параллельный режим (активная мощность)",J91,U91)+Статистика!$J$4))-Статистика!$C$10)/MAX(Статистика!$G$10-Статистика!$C$10,0.000001)))-MAX(0,MIN(1,(((IF(Статистика!$C$4="Параллельный режим (активная мощность)",H91,S91)+Статистика!$J$4))-Статистика!$C$10)/MAX(Статистика!$G$10-Статистика!$C$10,0.000001)))))</f>
        <v>4.6576347500000059E-2</v>
      </c>
      <c r="BD91" s="12">
        <f>IF(A91="","",MAX(0,1-MAX(0,MIN(1,(((IF(Статистика!$C$4="Параллельный режим (активная мощность)",J91,U91)+Статистика!$J$4))-Статистика!$C$10)/MAX(Статистика!$G$10-Статистика!$C$10,0.000001)))))</f>
        <v>0.26159741083333332</v>
      </c>
      <c r="BE91" s="12">
        <f>IF(A91="",NA(),IF(Статистика!$B$8="Вкл",(((IF(Статистика!$C$4="Параллельный режим (активная мощность)",F91,Q91)+Статистика!$J$4))-Статистика!$C$10)/MAX(Статистика!$G$10-Статистика!$C$10,0.000001),NA()))</f>
        <v>0.54550936111111092</v>
      </c>
      <c r="BF91" s="12">
        <f>IF(A91="",NA(),IF(Статистика!$D$8="Вкл",(((IF(Статистика!$C$4="Параллельный режим (активная мощность)",E91,P91)+Статистика!$J$4))-Статистика!$C$10)/MAX(Статистика!$G$10-Статистика!$C$10,0.000001),NA()))</f>
        <v>0.48503624444444421</v>
      </c>
      <c r="BG91" s="12">
        <f>IF(A91="",NA(),IF(Статистика!$D$8="Вкл",(((IF(Статистика!$C$4="Параллельный режим (активная мощность)",G91,R91)+Статистика!$J$4))-Статистика!$C$10)/MAX(Статистика!$G$10-Статистика!$C$10,0.000001),NA()))</f>
        <v>0.61895658888888894</v>
      </c>
      <c r="BH91" s="12">
        <f>IF(A91="",NA(),IF(Статистика!$F$8="Вкл",(((IF(Статистика!$C$4="Параллельный режим (активная мощность)",D91,O91)+Статистика!$J$4))-Статистика!$C$10)/MAX(Статистика!$G$10-Статистика!$C$10,0.000001),NA()))</f>
        <v>0.43832983111111118</v>
      </c>
      <c r="BI91" s="12">
        <f>IF(A91="",NA(),IF(Статистика!$F$8="Вкл",(((IF(Статистика!$C$4="Параллельный режим (активная мощность)",H91,S91)+Статистика!$J$4))-Статистика!$C$10)/MAX(Статистика!$G$10-Статистика!$C$10,0.000001),NA()))</f>
        <v>0.69182624166666662</v>
      </c>
      <c r="BJ91" s="12">
        <f>IF(A91="",NA(),IF(Статистика!$H$8="Вкл",(((IF(Статистика!$C$4="Параллельный режим (активная мощность)",B91,M91)+Статистика!$J$4))-Статистика!$C$10)/MAX(Статистика!$G$10-Статистика!$C$10,0.000001),NA()))</f>
        <v>-1.2247510153888888</v>
      </c>
      <c r="BK91" s="12">
        <f>IF(A91="",NA(),IF(Статистика!$H$8="Вкл",(((IF(Статистика!$C$4="Параллельный режим (активная мощность)",J91,U91)+Статистика!$J$4))-Статистика!$C$10)/MAX(Статистика!$G$10-Статистика!$C$10,0.000001),NA()))</f>
        <v>0.73840258916666668</v>
      </c>
      <c r="BL91" s="12" t="e">
        <f>IF(A91="",NA(),IF(Статистика!$J$8="Вкл",(((IF(Статистика!$C$4="Параллельный режим (активная мощность)",K91,V91)+Статистика!$J$4))-Статистика!$C$10)/MAX(Статистика!$G$10-Статистика!$C$10,0.000001),NA()))</f>
        <v>#N/A</v>
      </c>
      <c r="BM91" s="12" t="e">
        <f>IF(AND(A91&lt;&gt;"",Статистика!$C$6="Вкл",Статистика!$B$6&gt;0),(Статистика!$B$6-Статистика!$C$10)/MAX(Статистика!$G$10-Статистика!$C$10,0.000001),NA())</f>
        <v>#N/A</v>
      </c>
      <c r="BN91" s="12" t="e">
        <f>IF(AND(A91&lt;&gt;"",Статистика!$F$6="Вкл",Статистика!$E$6&gt;0),(Статистика!$E$6-Статистика!$C$10)/MAX(Статистика!$G$10-Статистика!$C$10,0.000001),NA())</f>
        <v>#N/A</v>
      </c>
      <c r="BO91" s="12" t="e">
        <f>IF(AND(A91&lt;&gt;"",Статистика!$I$6="Вкл",Статистика!$H$6&gt;0),(Статистика!$H$6-Статистика!$C$10)/MAX(Статистика!$G$10-Статистика!$C$10,0.000001),NA())</f>
        <v>#N/A</v>
      </c>
      <c r="BP91" s="12" t="e">
        <f>IF(AND(A91&lt;&gt;"",Статистика!$L$6="Вкл",Статистика!$K$6&gt;0),(Статистика!$K$6-Статистика!$C$10)/MAX(Статистика!$G$10-Статистика!$C$10,0.000001),NA())</f>
        <v>#N/A</v>
      </c>
      <c r="BQ91" s="12" t="e">
        <f>IF(AND(A91&lt;&gt;"",Статистика!$M$6="Вкл",Статистика!$O$6&gt;0),(Статистика!$O$6-Статистика!$C$10)/MAX(Статистика!$G$10-Статистика!$C$10,0.000001),NA())</f>
        <v>#N/A</v>
      </c>
      <c r="BR91" s="12">
        <f t="shared" si="2"/>
        <v>1</v>
      </c>
      <c r="BT91" s="12">
        <f>IF(Y91="","",MAX(0,MIN(1,(((IF(Статистика!$C$4="Параллельный режим (активная мощность)",Z91,AK91)+Статистика!$J$4))-Статистика!$C$10)/MAX(Статистика!$G$10-Статистика!$C$10,0.000001))))</f>
        <v>0.42045339366666667</v>
      </c>
      <c r="BU91" s="12">
        <f>IF(Y91="","",MAX(0,MAX(0,MIN(1,(((IF(Статистика!$C$4="Параллельный режим (активная мощность)",AB91,AM91)+Статистика!$J$4))-Статистика!$C$10)/MAX(Статистика!$G$10-Статистика!$C$10,0.000001)))-MAX(0,MIN(1,(((IF(Статистика!$C$4="Параллельный режим (активная мощность)",Z91,AK91)+Статистика!$J$4))-Статистика!$C$10)/MAX(Статистика!$G$10-Статистика!$C$10,0.000001)))))</f>
        <v>2.2676643000000107E-2</v>
      </c>
      <c r="BV91" s="12">
        <f>IF(Y91="","",MAX(0,MAX(0,MIN(1,(((IF(Статистика!$C$4="Параллельный режим (активная мощность)",AC91,AN91)+Статистика!$J$4))-Статистика!$C$10)/MAX(Статистика!$G$10-Статистика!$C$10,0.000001)))-MAX(0,MIN(1,(((IF(Статистика!$C$4="Параллельный режим (активная мощность)",AB91,AM91)+Статистика!$J$4))-Статистика!$C$10)/MAX(Статистика!$G$10-Статистика!$C$10,0.000001)))))</f>
        <v>3.5676529999999984E-2</v>
      </c>
      <c r="BW91" s="12">
        <f>IF(Y91="","",MAX(0,MAX(0,MIN(1,(((IF(Статистика!$C$4="Параллельный режим (активная мощность)",AD91,AO91)+Статистика!$J$4))-Статистика!$C$10)/MAX(Статистика!$G$10-Статистика!$C$10,0.000001)))-MAX(0,MIN(1,(((IF(Статистика!$C$4="Параллельный режим (активная мощность)",AC91,AN91)+Статистика!$J$4))-Статистика!$C$10)/MAX(Статистика!$G$10-Статистика!$C$10,0.000001)))))</f>
        <v>5.1396500000000178E-2</v>
      </c>
      <c r="BX91" s="12">
        <f>IF(Y91="","",MAX(0,MAX(0,MIN(1,(((IF(Статистика!$C$4="Параллельный режим (активная мощность)",AE91,AP91)+Статистика!$J$4))-Статистика!$C$10)/MAX(Статистика!$G$10-Статистика!$C$10,0.000001)))-MAX(0,MIN(1,(((IF(Статистика!$C$4="Параллельный режим (активная мощность)",AD91,AO91)+Статистика!$J$4))-Статистика!$C$10)/MAX(Статистика!$G$10-Статистика!$C$10,0.000001)))))</f>
        <v>8.4048258333333181E-2</v>
      </c>
      <c r="BY91" s="12">
        <f>IF(Y91="","",MAX(0,MAX(0,MIN(1,(((IF(Статистика!$C$4="Параллельный режим (активная мощность)",AF91,AQ91)+Статистика!$J$4))-Статистика!$C$10)/MAX(Статистика!$G$10-Статистика!$C$10,0.000001)))-MAX(0,MIN(1,(((IF(Статистика!$C$4="Параллельный режим (активная мощность)",AE91,AP91)+Статистика!$J$4))-Статистика!$C$10)/MAX(Статистика!$G$10-Статистика!$C$10,0.000001)))))</f>
        <v>0.11312119777777763</v>
      </c>
      <c r="BZ91" s="12">
        <f>IF(Y91="","",MAX(0,MAX(0,MIN(1,(((IF(Статистика!$C$4="Параллельный режим (активная мощность)",AH91,AS91)+Статистика!$J$4))-Статистика!$C$10)/MAX(Статистика!$G$10-Статистика!$C$10,0.000001)))-MAX(0,MIN(1,(((IF(Статистика!$C$4="Параллельный режим (активная мощность)",AF91,AQ91)+Статистика!$J$4))-Статистика!$C$10)/MAX(Статистика!$G$10-Статистика!$C$10,0.000001)))))</f>
        <v>8.1072694999996253E-3</v>
      </c>
      <c r="CA91" s="12">
        <f>IF(Y91="","",MAX(0,1-MAX(0,MIN(1,(((IF(Статистика!$C$4="Параллельный режим (активная мощность)",AH91,AS91)+Статистика!$J$4))-Статистика!$C$10)/MAX(Статистика!$G$10-Статистика!$C$10,0.000001)))))</f>
        <v>0.26452020772222262</v>
      </c>
      <c r="CB91" s="12">
        <f>IF(Y91="",NA(),IF(Статистика!$B$8="Вкл",(((IF(Статистика!$C$4="Параллельный режим (активная мощность)",AD91,AO91)+Статистика!$J$4))-Статистика!$C$10)/MAX(Статистика!$G$10-Статистика!$C$10,0.000001),NA()))</f>
        <v>0.53020306666666694</v>
      </c>
      <c r="CC91" s="12">
        <f>IF(Y91="",NA(),IF(Статистика!$D$8="Вкл",(((IF(Статистика!$C$4="Параллельный режим (активная мощность)",AC91,AN91)+Статистика!$J$4))-Статистика!$C$10)/MAX(Статистика!$G$10-Статистика!$C$10,0.000001),NA()))</f>
        <v>0.47880656666666677</v>
      </c>
      <c r="CD91" s="12">
        <f>IF(Y91="",NA(),IF(Статистика!$D$8="Вкл",(((IF(Статистика!$C$4="Параллельный режим (активная мощность)",AE91,AP91)+Статистика!$J$4))-Статистика!$C$10)/MAX(Статистика!$G$10-Статистика!$C$10,0.000001),NA()))</f>
        <v>0.61425132500000013</v>
      </c>
      <c r="CE91" s="12">
        <f>IF(Y91="",NA(),IF(Статистика!$F$8="Вкл",(((IF(Статистика!$C$4="Параллельный режим (активная мощность)",AB91,AM91)+Статистика!$J$4))-Статистика!$C$10)/MAX(Статистика!$G$10-Статистика!$C$10,0.000001),NA()))</f>
        <v>0.44313003666666678</v>
      </c>
      <c r="CF91" s="12">
        <f>IF(Y91="",NA(),IF(Статистика!$F$8="Вкл",(((IF(Статистика!$C$4="Параллельный режим (активная мощность)",AF91,AQ91)+Статистика!$J$4))-Статистика!$C$10)/MAX(Статистика!$G$10-Статистика!$C$10,0.000001),NA()))</f>
        <v>0.72737252277777775</v>
      </c>
      <c r="CG91" s="12">
        <f>IF(Y91="",NA(),IF(Статистика!$H$8="Вкл",(((IF(Статистика!$C$4="Параллельный режим (активная мощность)",Z91,AK91)+Статистика!$J$4))-Статистика!$C$10)/MAX(Статистика!$G$10-Статистика!$C$10,0.000001),NA()))</f>
        <v>0.42045339366666667</v>
      </c>
      <c r="CH91" s="12">
        <f>IF(Y91="",NA(),IF(Статистика!$H$8="Вкл",(((IF(Статистика!$C$4="Параллельный режим (активная мощность)",AH91,AS91)+Статистика!$J$4))-Статистика!$C$10)/MAX(Статистика!$G$10-Статистика!$C$10,0.000001),NA()))</f>
        <v>0.73547979227777738</v>
      </c>
      <c r="CI91" s="12" t="e">
        <f>IF(Y91="",NA(),IF(Статистика!$J$8="Вкл",(((IF(Статистика!$C$4="Параллельный режим (активная мощность)",AI91,AT91)+Статистика!$J$4))-Статистика!$C$10)/MAX(Статистика!$G$10-Статистика!$C$10,0.000001),NA()))</f>
        <v>#N/A</v>
      </c>
      <c r="CJ91" s="12" t="e">
        <f>IF(AND(Y91&lt;&gt;"",Статистика!$C$6="Вкл",Статистика!$B$6&gt;0),(Статистика!$B$6-Статистика!$C$10)/MAX(Статистика!$G$10-Статистика!$C$10,0.000001),NA())</f>
        <v>#N/A</v>
      </c>
      <c r="CK91" s="12" t="e">
        <f>IF(AND(Y91&lt;&gt;"",Статистика!$F$6="Вкл",Статистика!$E$6&gt;0),(Статистика!$E$6-Статистика!$C$10)/MAX(Статистика!$G$10-Статистика!$C$10,0.000001),NA())</f>
        <v>#N/A</v>
      </c>
      <c r="CL91" s="12" t="e">
        <f>IF(AND(Y91&lt;&gt;"",Статистика!$I$6="Вкл",Статистика!$H$6&gt;0),(Статистика!$H$6-Статистика!$C$10)/MAX(Статистика!$G$10-Статистика!$C$10,0.000001),NA())</f>
        <v>#N/A</v>
      </c>
      <c r="CM91" s="12" t="e">
        <f>IF(AND(Y91&lt;&gt;"",Статистика!$L$6="Вкл",Статистика!$K$6&gt;0),(Статистика!$K$6-Статистика!$C$10)/MAX(Статистика!$G$10-Статистика!$C$10,0.000001),NA())</f>
        <v>#N/A</v>
      </c>
      <c r="CN91" s="12" t="e">
        <f>IF(AND(Y91&lt;&gt;"",Статистика!$M$6="Вкл",Статистика!$O$6&gt;0),(Статистика!$O$6-Статистика!$C$10)/MAX(Статистика!$G$10-Статистика!$C$10,0.000001),NA())</f>
        <v>#N/A</v>
      </c>
      <c r="CO91" s="12">
        <f t="shared" si="3"/>
        <v>1</v>
      </c>
    </row>
    <row r="92" spans="1:93" ht="15" customHeight="1">
      <c r="A92" s="12" t="s">
        <v>430</v>
      </c>
      <c r="B92" s="12">
        <v>2313.4573543333331</v>
      </c>
      <c r="C92" s="12">
        <v>5666.1801050000004</v>
      </c>
      <c r="D92" s="12">
        <v>7285.8853033333326</v>
      </c>
      <c r="E92" s="12">
        <v>7485.6379416666659</v>
      </c>
      <c r="F92" s="12">
        <v>7682.2081333333335</v>
      </c>
      <c r="G92" s="12">
        <v>7905.5127833333318</v>
      </c>
      <c r="H92" s="12">
        <v>8130.6893</v>
      </c>
      <c r="I92" s="12">
        <v>8199.1439783333335</v>
      </c>
      <c r="J92" s="12">
        <v>8262.3630890000022</v>
      </c>
      <c r="K92" s="12">
        <v>8401.5400000000009</v>
      </c>
      <c r="L92" s="12" t="s">
        <v>431</v>
      </c>
      <c r="M92" s="12">
        <v>2827.4133343333333</v>
      </c>
      <c r="N92" s="12">
        <v>6432.4074716666673</v>
      </c>
      <c r="O92" s="12">
        <v>8198.4895633333326</v>
      </c>
      <c r="P92" s="12">
        <v>8431.9456833333334</v>
      </c>
      <c r="Q92" s="12">
        <v>8599.7901500000007</v>
      </c>
      <c r="R92" s="12">
        <v>8854.9534166666672</v>
      </c>
      <c r="S92" s="12">
        <v>9062.9090766666668</v>
      </c>
      <c r="T92" s="12">
        <v>9110.362559166666</v>
      </c>
      <c r="U92" s="12">
        <v>9167.7945651666669</v>
      </c>
      <c r="V92" s="12">
        <v>9293.9699999999993</v>
      </c>
      <c r="W92" s="12" t="s">
        <v>432</v>
      </c>
      <c r="Y92" s="12" t="s">
        <v>430</v>
      </c>
      <c r="Z92" s="12">
        <v>7295.4838799999989</v>
      </c>
      <c r="AA92" s="12">
        <v>7315.7625999999991</v>
      </c>
      <c r="AB92" s="12">
        <v>7341.110999999999</v>
      </c>
      <c r="AC92" s="12">
        <v>7420.1427916666671</v>
      </c>
      <c r="AD92" s="12">
        <v>7612.3325333333341</v>
      </c>
      <c r="AE92" s="12">
        <v>7851.1703749999997</v>
      </c>
      <c r="AF92" s="12">
        <v>8159.1918349999996</v>
      </c>
      <c r="AG92" s="12">
        <v>8159.2439841666665</v>
      </c>
      <c r="AH92" s="12">
        <v>8159.2857034999997</v>
      </c>
      <c r="AI92" s="12">
        <v>8286.51</v>
      </c>
      <c r="AJ92" s="12" t="s">
        <v>433</v>
      </c>
      <c r="AK92" s="12">
        <v>8284.2611173333316</v>
      </c>
      <c r="AL92" s="12">
        <v>8289.1719866666663</v>
      </c>
      <c r="AM92" s="12">
        <v>8295.3105733333323</v>
      </c>
      <c r="AN92" s="12">
        <v>8372.3650083333323</v>
      </c>
      <c r="AO92" s="12">
        <v>8531.0043166666655</v>
      </c>
      <c r="AP92" s="12">
        <v>8815.4570750000003</v>
      </c>
      <c r="AQ92" s="12">
        <v>9094.3754783333316</v>
      </c>
      <c r="AR92" s="12">
        <v>9122.5549391666664</v>
      </c>
      <c r="AS92" s="12">
        <v>9145.0985078333324</v>
      </c>
      <c r="AT92" s="12">
        <v>9264.7900000000009</v>
      </c>
      <c r="AU92" s="12" t="s">
        <v>433</v>
      </c>
      <c r="AW92" s="12">
        <f>IF(A92="","",MAX(0,MIN(1,(((IF(Статистика!$C$4="Параллельный режим (активная мощность)",B92,M92)+Статистика!$J$4))-Статистика!$C$10)/MAX(Статистика!$G$10-Статистика!$C$10,0.000001))))</f>
        <v>0</v>
      </c>
      <c r="AX92" s="12">
        <f>IF(A92="","",MAX(0,MAX(0,MIN(1,(((IF(Статистика!$C$4="Параллельный режим (активная мощность)",D92,O92)+Статистика!$J$4))-Статистика!$C$10)/MAX(Статистика!$G$10-Статистика!$C$10,0.000001)))-MAX(0,MIN(1,(((IF(Статистика!$C$4="Параллельный режим (активная мощность)",B92,M92)+Статистика!$J$4))-Статистика!$C$10)/MAX(Статистика!$G$10-Статистика!$C$10,0.000001)))))</f>
        <v>0.42862843444444421</v>
      </c>
      <c r="AY92" s="12">
        <f>IF(A92="","",MAX(0,MAX(0,MIN(1,(((IF(Статистика!$C$4="Параллельный режим (активная мощность)",E92,P92)+Статистика!$J$4))-Статистика!$C$10)/MAX(Статистика!$G$10-Статистика!$C$10,0.000001)))-MAX(0,MIN(1,(((IF(Статистика!$C$4="Параллельный режим (активная мощность)",D92,O92)+Статистика!$J$4))-Статистика!$C$10)/MAX(Статистика!$G$10-Статистика!$C$10,0.000001)))))</f>
        <v>6.6584212777777763E-2</v>
      </c>
      <c r="AZ92" s="12">
        <f>IF(A92="","",MAX(0,MAX(0,MIN(1,(((IF(Статистика!$C$4="Параллельный режим (активная мощность)",F92,Q92)+Статистика!$J$4))-Статистика!$C$10)/MAX(Статистика!$G$10-Статистика!$C$10,0.000001)))-MAX(0,MIN(1,(((IF(Статистика!$C$4="Параллельный режим (активная мощность)",E92,P92)+Статистика!$J$4))-Статистика!$C$10)/MAX(Статистика!$G$10-Статистика!$C$10,0.000001)))))</f>
        <v>6.5523397222222501E-2</v>
      </c>
      <c r="BA92" s="12">
        <f>IF(A92="","",MAX(0,MAX(0,MIN(1,(((IF(Статистика!$C$4="Параллельный режим (активная мощность)",G92,R92)+Статистика!$J$4))-Статистика!$C$10)/MAX(Статистика!$G$10-Статистика!$C$10,0.000001)))-MAX(0,MIN(1,(((IF(Статистика!$C$4="Параллельный режим (активная мощность)",F92,Q92)+Статистика!$J$4))-Статистика!$C$10)/MAX(Статистика!$G$10-Статистика!$C$10,0.000001)))))</f>
        <v>7.4434883333332813E-2</v>
      </c>
      <c r="BB92" s="12">
        <f>IF(A92="","",MAX(0,MAX(0,MIN(1,(((IF(Статистика!$C$4="Параллельный режим (активная мощность)",H92,S92)+Статистика!$J$4))-Статистика!$C$10)/MAX(Статистика!$G$10-Статистика!$C$10,0.000001)))-MAX(0,MIN(1,(((IF(Статистика!$C$4="Параллельный режим (активная мощность)",G92,R92)+Статистика!$J$4))-Статистика!$C$10)/MAX(Статистика!$G$10-Статистика!$C$10,0.000001)))))</f>
        <v>7.5058838888889423E-2</v>
      </c>
      <c r="BC92" s="12">
        <f>IF(A92="","",MAX(0,MAX(0,MIN(1,(((IF(Статистика!$C$4="Параллельный режим (активная мощность)",J92,U92)+Статистика!$J$4))-Статистика!$C$10)/MAX(Статистика!$G$10-Статистика!$C$10,0.000001)))-MAX(0,MIN(1,(((IF(Статистика!$C$4="Параллельный режим (активная мощность)",H92,S92)+Статистика!$J$4))-Статистика!$C$10)/MAX(Статистика!$G$10-Статистика!$C$10,0.000001)))))</f>
        <v>4.389126300000068E-2</v>
      </c>
      <c r="BD92" s="12">
        <f>IF(A92="","",MAX(0,1-MAX(0,MIN(1,(((IF(Статистика!$C$4="Параллельный режим (активная мощность)",J92,U92)+Статистика!$J$4))-Статистика!$C$10)/MAX(Статистика!$G$10-Статистика!$C$10,0.000001)))))</f>
        <v>0.24587897033333261</v>
      </c>
      <c r="BE92" s="12">
        <f>IF(A92="",NA(),IF(Статистика!$B$8="Вкл",(((IF(Статистика!$C$4="Параллельный режим (активная мощность)",F92,Q92)+Статистика!$J$4))-Статистика!$C$10)/MAX(Статистика!$G$10-Статистика!$C$10,0.000001),NA()))</f>
        <v>0.56073604444444447</v>
      </c>
      <c r="BF92" s="12">
        <f>IF(A92="",NA(),IF(Статистика!$D$8="Вкл",(((IF(Статистика!$C$4="Параллельный режим (активная мощность)",E92,P92)+Статистика!$J$4))-Статистика!$C$10)/MAX(Статистика!$G$10-Статистика!$C$10,0.000001),NA()))</f>
        <v>0.49521264722222197</v>
      </c>
      <c r="BG92" s="12">
        <f>IF(A92="",NA(),IF(Статистика!$D$8="Вкл",(((IF(Статистика!$C$4="Параллельный режим (активная мощность)",G92,R92)+Статистика!$J$4))-Статистика!$C$10)/MAX(Статистика!$G$10-Статистика!$C$10,0.000001),NA()))</f>
        <v>0.63517092777777728</v>
      </c>
      <c r="BH92" s="12">
        <f>IF(A92="",NA(),IF(Статистика!$F$8="Вкл",(((IF(Статистика!$C$4="Параллельный режим (активная мощность)",D92,O92)+Статистика!$J$4))-Статистика!$C$10)/MAX(Статистика!$G$10-Статистика!$C$10,0.000001),NA()))</f>
        <v>0.42862843444444421</v>
      </c>
      <c r="BI92" s="12">
        <f>IF(A92="",NA(),IF(Статистика!$F$8="Вкл",(((IF(Статистика!$C$4="Параллельный режим (активная мощность)",H92,S92)+Статистика!$J$4))-Статистика!$C$10)/MAX(Статистика!$G$10-Статистика!$C$10,0.000001),NA()))</f>
        <v>0.71022976666666671</v>
      </c>
      <c r="BJ92" s="12">
        <f>IF(A92="",NA(),IF(Статистика!$H$8="Вкл",(((IF(Статистика!$C$4="Параллельный режим (активная мощность)",B92,M92)+Статистика!$J$4))-Статистика!$C$10)/MAX(Статистика!$G$10-Статистика!$C$10,0.000001),NA()))</f>
        <v>-1.2288475485555557</v>
      </c>
      <c r="BK92" s="12">
        <f>IF(A92="",NA(),IF(Статистика!$H$8="Вкл",(((IF(Статистика!$C$4="Параллельный режим (активная мощность)",J92,U92)+Статистика!$J$4))-Статистика!$C$10)/MAX(Статистика!$G$10-Статистика!$C$10,0.000001),NA()))</f>
        <v>0.75412102966666739</v>
      </c>
      <c r="BL92" s="12" t="e">
        <f>IF(A92="",NA(),IF(Статистика!$J$8="Вкл",(((IF(Статистика!$C$4="Параллельный режим (активная мощность)",K92,V92)+Статистика!$J$4))-Статистика!$C$10)/MAX(Статистика!$G$10-Статистика!$C$10,0.000001),NA()))</f>
        <v>#N/A</v>
      </c>
      <c r="BM92" s="12" t="e">
        <f>IF(AND(A92&lt;&gt;"",Статистика!$C$6="Вкл",Статистика!$B$6&gt;0),(Статистика!$B$6-Статистика!$C$10)/MAX(Статистика!$G$10-Статистика!$C$10,0.000001),NA())</f>
        <v>#N/A</v>
      </c>
      <c r="BN92" s="12" t="e">
        <f>IF(AND(A92&lt;&gt;"",Статистика!$F$6="Вкл",Статистика!$E$6&gt;0),(Статистика!$E$6-Статистика!$C$10)/MAX(Статистика!$G$10-Статистика!$C$10,0.000001),NA())</f>
        <v>#N/A</v>
      </c>
      <c r="BO92" s="12" t="e">
        <f>IF(AND(A92&lt;&gt;"",Статистика!$I$6="Вкл",Статистика!$H$6&gt;0),(Статистика!$H$6-Статистика!$C$10)/MAX(Статистика!$G$10-Статистика!$C$10,0.000001),NA())</f>
        <v>#N/A</v>
      </c>
      <c r="BP92" s="12" t="e">
        <f>IF(AND(A92&lt;&gt;"",Статистика!$L$6="Вкл",Статистика!$K$6&gt;0),(Статистика!$K$6-Статистика!$C$10)/MAX(Статистика!$G$10-Статистика!$C$10,0.000001),NA())</f>
        <v>#N/A</v>
      </c>
      <c r="BQ92" s="12" t="e">
        <f>IF(AND(A92&lt;&gt;"",Статистика!$M$6="Вкл",Статистика!$O$6&gt;0),(Статистика!$O$6-Статистика!$C$10)/MAX(Статистика!$G$10-Статистика!$C$10,0.000001),NA())</f>
        <v>#N/A</v>
      </c>
      <c r="BR92" s="12">
        <f t="shared" si="2"/>
        <v>1</v>
      </c>
      <c r="BT92" s="12">
        <f>IF(Y92="","",MAX(0,MIN(1,(((IF(Статистика!$C$4="Параллельный режим (активная мощность)",Z92,AK92)+Статистика!$J$4))-Статистика!$C$10)/MAX(Статистика!$G$10-Статистика!$C$10,0.000001))))</f>
        <v>0.43182795999999962</v>
      </c>
      <c r="BU92" s="12">
        <f>IF(Y92="","",MAX(0,MAX(0,MIN(1,(((IF(Статистика!$C$4="Параллельный режим (активная мощность)",AB92,AM92)+Статистика!$J$4))-Статистика!$C$10)/MAX(Статистика!$G$10-Статистика!$C$10,0.000001)))-MAX(0,MIN(1,(((IF(Статистика!$C$4="Параллельный режим (активная мощность)",Z92,AK92)+Статистика!$J$4))-Статистика!$C$10)/MAX(Статистика!$G$10-Статистика!$C$10,0.000001)))))</f>
        <v>1.5209040000000007E-2</v>
      </c>
      <c r="BV92" s="12">
        <f>IF(Y92="","",MAX(0,MAX(0,MIN(1,(((IF(Статистика!$C$4="Параллельный режим (активная мощность)",AC92,AN92)+Статистика!$J$4))-Статистика!$C$10)/MAX(Статистика!$G$10-Статистика!$C$10,0.000001)))-MAX(0,MIN(1,(((IF(Статистика!$C$4="Параллельный режим (активная мощность)",AB92,AM92)+Статистика!$J$4))-Статистика!$C$10)/MAX(Статистика!$G$10-Статистика!$C$10,0.000001)))))</f>
        <v>2.6343930555556061E-2</v>
      </c>
      <c r="BW92" s="12">
        <f>IF(Y92="","",MAX(0,MAX(0,MIN(1,(((IF(Статистика!$C$4="Параллельный режим (активная мощность)",AD92,AO92)+Статистика!$J$4))-Статистика!$C$10)/MAX(Статистика!$G$10-Статистика!$C$10,0.000001)))-MAX(0,MIN(1,(((IF(Статистика!$C$4="Параллельный режим (активная мощность)",AC92,AN92)+Статистика!$J$4))-Статистика!$C$10)/MAX(Статистика!$G$10-Статистика!$C$10,0.000001)))))</f>
        <v>6.4063247222222397E-2</v>
      </c>
      <c r="BX92" s="12">
        <f>IF(Y92="","",MAX(0,MAX(0,MIN(1,(((IF(Статистика!$C$4="Параллельный режим (активная мощность)",AE92,AP92)+Статистика!$J$4))-Статистика!$C$10)/MAX(Статистика!$G$10-Статистика!$C$10,0.000001)))-MAX(0,MIN(1,(((IF(Статистика!$C$4="Параллельный режим (активная мощность)",AD92,AO92)+Статистика!$J$4))-Статистика!$C$10)/MAX(Статистика!$G$10-Статистика!$C$10,0.000001)))))</f>
        <v>7.9612613888888517E-2</v>
      </c>
      <c r="BY92" s="12">
        <f>IF(Y92="","",MAX(0,MAX(0,MIN(1,(((IF(Статистика!$C$4="Параллельный режим (активная мощность)",AF92,AQ92)+Статистика!$J$4))-Статистика!$C$10)/MAX(Статистика!$G$10-Статистика!$C$10,0.000001)))-MAX(0,MIN(1,(((IF(Статистика!$C$4="Параллельный режим (активная мощность)",AE92,AP92)+Статистика!$J$4))-Статистика!$C$10)/MAX(Статистика!$G$10-Статистика!$C$10,0.000001)))))</f>
        <v>0.10267381999999992</v>
      </c>
      <c r="BZ92" s="12">
        <f>IF(Y92="","",MAX(0,MAX(0,MIN(1,(((IF(Статистика!$C$4="Параллельный режим (активная мощность)",AH92,AS92)+Статистика!$J$4))-Статистика!$C$10)/MAX(Статистика!$G$10-Статистика!$C$10,0.000001)))-MAX(0,MIN(1,(((IF(Статистика!$C$4="Параллельный режим (активная мощность)",AF92,AQ92)+Статистика!$J$4))-Статистика!$C$10)/MAX(Статистика!$G$10-Статистика!$C$10,0.000001)))))</f>
        <v>3.128950000008679E-5</v>
      </c>
      <c r="CA92" s="12">
        <f>IF(Y92="","",MAX(0,1-MAX(0,MIN(1,(((IF(Статистика!$C$4="Параллельный режим (активная мощность)",AH92,AS92)+Статистика!$J$4))-Статистика!$C$10)/MAX(Статистика!$G$10-Статистика!$C$10,0.000001)))))</f>
        <v>0.28023809883333339</v>
      </c>
      <c r="CB92" s="12">
        <f>IF(Y92="",NA(),IF(Статистика!$B$8="Вкл",(((IF(Статистика!$C$4="Параллельный режим (активная мощность)",AD92,AO92)+Статистика!$J$4))-Статистика!$C$10)/MAX(Статистика!$G$10-Статистика!$C$10,0.000001),NA()))</f>
        <v>0.53744417777777809</v>
      </c>
      <c r="CC92" s="12">
        <f>IF(Y92="",NA(),IF(Статистика!$D$8="Вкл",(((IF(Статистика!$C$4="Параллельный режим (активная мощность)",AC92,AN92)+Статистика!$J$4))-Статистика!$C$10)/MAX(Статистика!$G$10-Статистика!$C$10,0.000001),NA()))</f>
        <v>0.47338093055555569</v>
      </c>
      <c r="CD92" s="12">
        <f>IF(Y92="",NA(),IF(Статистика!$D$8="Вкл",(((IF(Статистика!$C$4="Параллельный режим (активная мощность)",AE92,AP92)+Статистика!$J$4))-Статистика!$C$10)/MAX(Статистика!$G$10-Статистика!$C$10,0.000001),NA()))</f>
        <v>0.6170567916666666</v>
      </c>
      <c r="CE92" s="12">
        <f>IF(Y92="",NA(),IF(Статистика!$F$8="Вкл",(((IF(Статистика!$C$4="Параллельный режим (активная мощность)",AB92,AM92)+Статистика!$J$4))-Статистика!$C$10)/MAX(Статистика!$G$10-Статистика!$C$10,0.000001),NA()))</f>
        <v>0.44703699999999963</v>
      </c>
      <c r="CF92" s="12">
        <f>IF(Y92="",NA(),IF(Статистика!$F$8="Вкл",(((IF(Статистика!$C$4="Параллельный режим (активная мощность)",AF92,AQ92)+Статистика!$J$4))-Статистика!$C$10)/MAX(Статистика!$G$10-Статистика!$C$10,0.000001),NA()))</f>
        <v>0.71973061166666652</v>
      </c>
      <c r="CG92" s="12">
        <f>IF(Y92="",NA(),IF(Статистика!$H$8="Вкл",(((IF(Статистика!$C$4="Параллельный режим (активная мощность)",Z92,AK92)+Статистика!$J$4))-Статистика!$C$10)/MAX(Статистика!$G$10-Статистика!$C$10,0.000001),NA()))</f>
        <v>0.43182795999999962</v>
      </c>
      <c r="CH92" s="12">
        <f>IF(Y92="",NA(),IF(Статистика!$H$8="Вкл",(((IF(Статистика!$C$4="Параллельный режим (активная мощность)",AH92,AS92)+Статистика!$J$4))-Статистика!$C$10)/MAX(Статистика!$G$10-Статистика!$C$10,0.000001),NA()))</f>
        <v>0.71976190116666661</v>
      </c>
      <c r="CI92" s="12" t="e">
        <f>IF(Y92="",NA(),IF(Статистика!$J$8="Вкл",(((IF(Статистика!$C$4="Параллельный режим (активная мощность)",AI92,AT92)+Статистика!$J$4))-Статистика!$C$10)/MAX(Статистика!$G$10-Статистика!$C$10,0.000001),NA()))</f>
        <v>#N/A</v>
      </c>
      <c r="CJ92" s="12" t="e">
        <f>IF(AND(Y92&lt;&gt;"",Статистика!$C$6="Вкл",Статистика!$B$6&gt;0),(Статистика!$B$6-Статистика!$C$10)/MAX(Статистика!$G$10-Статистика!$C$10,0.000001),NA())</f>
        <v>#N/A</v>
      </c>
      <c r="CK92" s="12" t="e">
        <f>IF(AND(Y92&lt;&gt;"",Статистика!$F$6="Вкл",Статистика!$E$6&gt;0),(Статистика!$E$6-Статистика!$C$10)/MAX(Статистика!$G$10-Статистика!$C$10,0.000001),NA())</f>
        <v>#N/A</v>
      </c>
      <c r="CL92" s="12" t="e">
        <f>IF(AND(Y92&lt;&gt;"",Статистика!$I$6="Вкл",Статистика!$H$6&gt;0),(Статистика!$H$6-Статистика!$C$10)/MAX(Статистика!$G$10-Статистика!$C$10,0.000001),NA())</f>
        <v>#N/A</v>
      </c>
      <c r="CM92" s="12" t="e">
        <f>IF(AND(Y92&lt;&gt;"",Статистика!$L$6="Вкл",Статистика!$K$6&gt;0),(Статистика!$K$6-Статистика!$C$10)/MAX(Статистика!$G$10-Статистика!$C$10,0.000001),NA())</f>
        <v>#N/A</v>
      </c>
      <c r="CN92" s="12" t="e">
        <f>IF(AND(Y92&lt;&gt;"",Статистика!$M$6="Вкл",Статистика!$O$6&gt;0),(Статистика!$O$6-Статистика!$C$10)/MAX(Статистика!$G$10-Статистика!$C$10,0.000001),NA())</f>
        <v>#N/A</v>
      </c>
      <c r="CO92" s="12">
        <f t="shared" si="3"/>
        <v>1</v>
      </c>
    </row>
    <row r="93" spans="1:93" ht="15" customHeight="1">
      <c r="A93" s="12" t="s">
        <v>434</v>
      </c>
      <c r="B93" s="12">
        <v>2305.9325396666668</v>
      </c>
      <c r="C93" s="12">
        <v>5625.1646983333339</v>
      </c>
      <c r="D93" s="12">
        <v>7213.0232366666669</v>
      </c>
      <c r="E93" s="12">
        <v>7488.3514166666655</v>
      </c>
      <c r="F93" s="12">
        <v>7612.762866666666</v>
      </c>
      <c r="G93" s="12">
        <v>7852.9538750000011</v>
      </c>
      <c r="H93" s="12">
        <v>8188.6323133333335</v>
      </c>
      <c r="I93" s="12">
        <v>8227.745093333333</v>
      </c>
      <c r="J93" s="12">
        <v>8278.3990453333317</v>
      </c>
      <c r="K93" s="12">
        <v>8432</v>
      </c>
      <c r="L93" s="12" t="s">
        <v>435</v>
      </c>
      <c r="M93" s="12">
        <v>2833.5089046666662</v>
      </c>
      <c r="N93" s="12">
        <v>6422.0294566666671</v>
      </c>
      <c r="O93" s="12">
        <v>8144.6461116666669</v>
      </c>
      <c r="P93" s="12">
        <v>8422.2150416666664</v>
      </c>
      <c r="Q93" s="12">
        <v>8539.6240499999985</v>
      </c>
      <c r="R93" s="12">
        <v>8834.2423083333342</v>
      </c>
      <c r="S93" s="12">
        <v>9118.7762899999998</v>
      </c>
      <c r="T93" s="12">
        <v>9154.4068599999991</v>
      </c>
      <c r="U93" s="12">
        <v>9175.7151319999994</v>
      </c>
      <c r="V93" s="12">
        <v>9332.42</v>
      </c>
      <c r="W93" s="12" t="s">
        <v>436</v>
      </c>
      <c r="Y93" s="12" t="s">
        <v>434</v>
      </c>
      <c r="Z93" s="12">
        <v>7278.1201396666656</v>
      </c>
      <c r="AA93" s="12">
        <v>7302.0433649999995</v>
      </c>
      <c r="AB93" s="12">
        <v>7331.9473966666665</v>
      </c>
      <c r="AC93" s="12">
        <v>7417.2688166666667</v>
      </c>
      <c r="AD93" s="12">
        <v>7610.8150833333339</v>
      </c>
      <c r="AE93" s="12">
        <v>7784.0546833333328</v>
      </c>
      <c r="AF93" s="12">
        <v>8163.4016300000003</v>
      </c>
      <c r="AG93" s="12">
        <v>8170.7263650000004</v>
      </c>
      <c r="AH93" s="12">
        <v>8176.5861530000002</v>
      </c>
      <c r="AI93" s="12">
        <v>8375.7999999999993</v>
      </c>
      <c r="AJ93" s="12" t="s">
        <v>437</v>
      </c>
      <c r="AK93" s="12">
        <v>8260.1672841666677</v>
      </c>
      <c r="AL93" s="12">
        <v>8263.8204208333336</v>
      </c>
      <c r="AM93" s="12">
        <v>8268.3868416666664</v>
      </c>
      <c r="AN93" s="12">
        <v>8371.8736749999989</v>
      </c>
      <c r="AO93" s="12">
        <v>8521.7894000000015</v>
      </c>
      <c r="AP93" s="12">
        <v>8776.9988833333337</v>
      </c>
      <c r="AQ93" s="12">
        <v>9097.7001733333327</v>
      </c>
      <c r="AR93" s="12">
        <v>9133.010503333333</v>
      </c>
      <c r="AS93" s="12">
        <v>9161.2587673333328</v>
      </c>
      <c r="AT93" s="12">
        <v>9286.1299999999992</v>
      </c>
      <c r="AU93" s="12" t="s">
        <v>438</v>
      </c>
      <c r="AW93" s="12">
        <f>IF(A93="","",MAX(0,MIN(1,(((IF(Статистика!$C$4="Параллельный режим (активная мощность)",B93,M93)+Статистика!$J$4))-Статистика!$C$10)/MAX(Статистика!$G$10-Статистика!$C$10,0.000001))))</f>
        <v>0</v>
      </c>
      <c r="AX93" s="12">
        <f>IF(A93="","",MAX(0,MAX(0,MIN(1,(((IF(Статистика!$C$4="Параллельный режим (активная мощность)",D93,O93)+Статистика!$J$4))-Статистика!$C$10)/MAX(Статистика!$G$10-Статистика!$C$10,0.000001)))-MAX(0,MIN(1,(((IF(Статистика!$C$4="Параллельный режим (активная мощность)",B93,M93)+Статистика!$J$4))-Статистика!$C$10)/MAX(Статистика!$G$10-Статистика!$C$10,0.000001)))))</f>
        <v>0.40434107888888898</v>
      </c>
      <c r="AY93" s="12">
        <f>IF(A93="","",MAX(0,MAX(0,MIN(1,(((IF(Статистика!$C$4="Параллельный режим (активная мощность)",E93,P93)+Статистика!$J$4))-Статистика!$C$10)/MAX(Статистика!$G$10-Статистика!$C$10,0.000001)))-MAX(0,MIN(1,(((IF(Статистика!$C$4="Параллельный режим (активная мощность)",D93,O93)+Статистика!$J$4))-Статистика!$C$10)/MAX(Статистика!$G$10-Статистика!$C$10,0.000001)))))</f>
        <v>9.1776059999999493E-2</v>
      </c>
      <c r="AZ93" s="12">
        <f>IF(A93="","",MAX(0,MAX(0,MIN(1,(((IF(Статистика!$C$4="Параллельный режим (активная мощность)",F93,Q93)+Статистика!$J$4))-Статистика!$C$10)/MAX(Статистика!$G$10-Статистика!$C$10,0.000001)))-MAX(0,MIN(1,(((IF(Статистика!$C$4="Параллельный режим (активная мощность)",E93,P93)+Статистика!$J$4))-Статистика!$C$10)/MAX(Статистика!$G$10-Статистика!$C$10,0.000001)))))</f>
        <v>4.147048333333353E-2</v>
      </c>
      <c r="BA93" s="12">
        <f>IF(A93="","",MAX(0,MAX(0,MIN(1,(((IF(Статистика!$C$4="Параллельный режим (активная мощность)",G93,R93)+Статистика!$J$4))-Статистика!$C$10)/MAX(Статистика!$G$10-Статистика!$C$10,0.000001)))-MAX(0,MIN(1,(((IF(Статистика!$C$4="Параллельный режим (активная мощность)",F93,Q93)+Статистика!$J$4))-Статистика!$C$10)/MAX(Статистика!$G$10-Статистика!$C$10,0.000001)))))</f>
        <v>8.0063669444444985E-2</v>
      </c>
      <c r="BB93" s="12">
        <f>IF(A93="","",MAX(0,MAX(0,MIN(1,(((IF(Статистика!$C$4="Параллельный режим (активная мощность)",H93,S93)+Статистика!$J$4))-Статистика!$C$10)/MAX(Статистика!$G$10-Статистика!$C$10,0.000001)))-MAX(0,MIN(1,(((IF(Статистика!$C$4="Параллельный режим (активная мощность)",G93,R93)+Статистика!$J$4))-Статистика!$C$10)/MAX(Статистика!$G$10-Статистика!$C$10,0.000001)))))</f>
        <v>0.11189281277777752</v>
      </c>
      <c r="BC93" s="12">
        <f>IF(A93="","",MAX(0,MAX(0,MIN(1,(((IF(Статистика!$C$4="Параллельный режим (активная мощность)",J93,U93)+Статистика!$J$4))-Статистика!$C$10)/MAX(Статистика!$G$10-Статистика!$C$10,0.000001)))-MAX(0,MIN(1,(((IF(Статистика!$C$4="Параллельный режим (активная мощность)",H93,S93)+Статистика!$J$4))-Статистика!$C$10)/MAX(Статистика!$G$10-Статистика!$C$10,0.000001)))))</f>
        <v>2.9922243999999432E-2</v>
      </c>
      <c r="BD93" s="12">
        <f>IF(A93="","",MAX(0,1-MAX(0,MIN(1,(((IF(Статистика!$C$4="Параллельный режим (активная мощность)",J93,U93)+Статистика!$J$4))-Статистика!$C$10)/MAX(Статистика!$G$10-Статистика!$C$10,0.000001)))))</f>
        <v>0.24053365155555606</v>
      </c>
      <c r="BE93" s="12">
        <f>IF(A93="",NA(),IF(Статистика!$B$8="Вкл",(((IF(Статистика!$C$4="Параллельный режим (активная мощность)",F93,Q93)+Статистика!$J$4))-Статистика!$C$10)/MAX(Статистика!$G$10-Статистика!$C$10,0.000001),NA()))</f>
        <v>0.53758762222222201</v>
      </c>
      <c r="BF93" s="12">
        <f>IF(A93="",NA(),IF(Статистика!$D$8="Вкл",(((IF(Статистика!$C$4="Параллельный режим (активная мощность)",E93,P93)+Статистика!$J$4))-Статистика!$C$10)/MAX(Статистика!$G$10-Статистика!$C$10,0.000001),NA()))</f>
        <v>0.49611713888888848</v>
      </c>
      <c r="BG93" s="12">
        <f>IF(A93="",NA(),IF(Статистика!$D$8="Вкл",(((IF(Статистика!$C$4="Параллельный режим (активная мощность)",G93,R93)+Статистика!$J$4))-Статистика!$C$10)/MAX(Статистика!$G$10-Статистика!$C$10,0.000001),NA()))</f>
        <v>0.61765129166666699</v>
      </c>
      <c r="BH93" s="12">
        <f>IF(A93="",NA(),IF(Статистика!$F$8="Вкл",(((IF(Статистика!$C$4="Параллельный режим (активная мощность)",D93,O93)+Статистика!$J$4))-Статистика!$C$10)/MAX(Статистика!$G$10-Статистика!$C$10,0.000001),NA()))</f>
        <v>0.40434107888888898</v>
      </c>
      <c r="BI93" s="12">
        <f>IF(A93="",NA(),IF(Статистика!$F$8="Вкл",(((IF(Статистика!$C$4="Параллельный режим (активная мощность)",H93,S93)+Статистика!$J$4))-Статистика!$C$10)/MAX(Статистика!$G$10-Статистика!$C$10,0.000001),NA()))</f>
        <v>0.72954410444444451</v>
      </c>
      <c r="BJ93" s="12">
        <f>IF(A93="",NA(),IF(Статистика!$H$8="Вкл",(((IF(Статистика!$C$4="Параллельный режим (активная мощность)",B93,M93)+Статистика!$J$4))-Статистика!$C$10)/MAX(Статистика!$G$10-Статистика!$C$10,0.000001),NA()))</f>
        <v>-1.231355820111111</v>
      </c>
      <c r="BK93" s="12">
        <f>IF(A93="",NA(),IF(Статистика!$H$8="Вкл",(((IF(Статистика!$C$4="Параллельный режим (активная мощность)",J93,U93)+Статистика!$J$4))-Статистика!$C$10)/MAX(Статистика!$G$10-Статистика!$C$10,0.000001),NA()))</f>
        <v>0.75946634844444394</v>
      </c>
      <c r="BL93" s="12" t="e">
        <f>IF(A93="",NA(),IF(Статистика!$J$8="Вкл",(((IF(Статистика!$C$4="Параллельный режим (активная мощность)",K93,V93)+Статистика!$J$4))-Статистика!$C$10)/MAX(Статистика!$G$10-Статистика!$C$10,0.000001),NA()))</f>
        <v>#N/A</v>
      </c>
      <c r="BM93" s="12" t="e">
        <f>IF(AND(A93&lt;&gt;"",Статистика!$C$6="Вкл",Статистика!$B$6&gt;0),(Статистика!$B$6-Статистика!$C$10)/MAX(Статистика!$G$10-Статистика!$C$10,0.000001),NA())</f>
        <v>#N/A</v>
      </c>
      <c r="BN93" s="12" t="e">
        <f>IF(AND(A93&lt;&gt;"",Статистика!$F$6="Вкл",Статистика!$E$6&gt;0),(Статистика!$E$6-Статистика!$C$10)/MAX(Статистика!$G$10-Статистика!$C$10,0.000001),NA())</f>
        <v>#N/A</v>
      </c>
      <c r="BO93" s="12" t="e">
        <f>IF(AND(A93&lt;&gt;"",Статистика!$I$6="Вкл",Статистика!$H$6&gt;0),(Статистика!$H$6-Статистика!$C$10)/MAX(Статистика!$G$10-Статистика!$C$10,0.000001),NA())</f>
        <v>#N/A</v>
      </c>
      <c r="BP93" s="12" t="e">
        <f>IF(AND(A93&lt;&gt;"",Статистика!$L$6="Вкл",Статистика!$K$6&gt;0),(Статистика!$K$6-Статистика!$C$10)/MAX(Статистика!$G$10-Статистика!$C$10,0.000001),NA())</f>
        <v>#N/A</v>
      </c>
      <c r="BQ93" s="12" t="e">
        <f>IF(AND(A93&lt;&gt;"",Статистика!$M$6="Вкл",Статистика!$O$6&gt;0),(Статистика!$O$6-Статистика!$C$10)/MAX(Статистика!$G$10-Статистика!$C$10,0.000001),NA())</f>
        <v>#N/A</v>
      </c>
      <c r="BR93" s="12">
        <f t="shared" si="2"/>
        <v>1</v>
      </c>
      <c r="BT93" s="12">
        <f>IF(Y93="","",MAX(0,MIN(1,(((IF(Статистика!$C$4="Параллельный режим (активная мощность)",Z93,AK93)+Статистика!$J$4))-Статистика!$C$10)/MAX(Статистика!$G$10-Статистика!$C$10,0.000001))))</f>
        <v>0.42604004655555522</v>
      </c>
      <c r="BU93" s="12">
        <f>IF(Y93="","",MAX(0,MAX(0,MIN(1,(((IF(Статистика!$C$4="Параллельный режим (активная мощность)",AB93,AM93)+Статистика!$J$4))-Статистика!$C$10)/MAX(Статистика!$G$10-Статистика!$C$10,0.000001)))-MAX(0,MIN(1,(((IF(Статистика!$C$4="Параллельный режим (активная мощность)",Z93,AK93)+Статистика!$J$4))-Статистика!$C$10)/MAX(Статистика!$G$10-Статистика!$C$10,0.000001)))))</f>
        <v>1.7942419000000265E-2</v>
      </c>
      <c r="BV93" s="12">
        <f>IF(Y93="","",MAX(0,MAX(0,MIN(1,(((IF(Статистика!$C$4="Параллельный режим (активная мощность)",AC93,AN93)+Статистика!$J$4))-Статистика!$C$10)/MAX(Статистика!$G$10-Статистика!$C$10,0.000001)))-MAX(0,MIN(1,(((IF(Статистика!$C$4="Параллельный режим (активная мощность)",AB93,AM93)+Статистика!$J$4))-Статистика!$C$10)/MAX(Статистика!$G$10-Статистика!$C$10,0.000001)))))</f>
        <v>2.8440473333333383E-2</v>
      </c>
      <c r="BW93" s="12">
        <f>IF(Y93="","",MAX(0,MAX(0,MIN(1,(((IF(Статистика!$C$4="Параллельный режим (активная мощность)",AD93,AO93)+Статистика!$J$4))-Статистика!$C$10)/MAX(Статистика!$G$10-Статистика!$C$10,0.000001)))-MAX(0,MIN(1,(((IF(Статистика!$C$4="Параллельный режим (активная мощность)",AC93,AN93)+Статистика!$J$4))-Статистика!$C$10)/MAX(Статистика!$G$10-Статистика!$C$10,0.000001)))))</f>
        <v>6.4515422222222396E-2</v>
      </c>
      <c r="BX93" s="12">
        <f>IF(Y93="","",MAX(0,MAX(0,MIN(1,(((IF(Статистика!$C$4="Параллельный режим (активная мощность)",AE93,AP93)+Статистика!$J$4))-Статистика!$C$10)/MAX(Статистика!$G$10-Статистика!$C$10,0.000001)))-MAX(0,MIN(1,(((IF(Статистика!$C$4="Параллельный режим (активная мощность)",AD93,AO93)+Статистика!$J$4))-Статистика!$C$10)/MAX(Статистика!$G$10-Статистика!$C$10,0.000001)))))</f>
        <v>5.7746533333333017E-2</v>
      </c>
      <c r="BY93" s="12">
        <f>IF(Y93="","",MAX(0,MAX(0,MIN(1,(((IF(Статистика!$C$4="Параллельный режим (активная мощность)",AF93,AQ93)+Статистика!$J$4))-Статистика!$C$10)/MAX(Статистика!$G$10-Статистика!$C$10,0.000001)))-MAX(0,MIN(1,(((IF(Статистика!$C$4="Параллельный режим (активная мощность)",AE93,AP93)+Статистика!$J$4))-Статистика!$C$10)/MAX(Статистика!$G$10-Статистика!$C$10,0.000001)))))</f>
        <v>0.12644898222222245</v>
      </c>
      <c r="BZ93" s="12">
        <f>IF(Y93="","",MAX(0,MAX(0,MIN(1,(((IF(Статистика!$C$4="Параллельный режим (активная мощность)",AH93,AS93)+Статистика!$J$4))-Статистика!$C$10)/MAX(Статистика!$G$10-Статистика!$C$10,0.000001)))-MAX(0,MIN(1,(((IF(Статистика!$C$4="Параллельный режим (активная мощность)",AF93,AQ93)+Статистика!$J$4))-Статистика!$C$10)/MAX(Статистика!$G$10-Статистика!$C$10,0.000001)))))</f>
        <v>4.3948409999999827E-3</v>
      </c>
      <c r="CA93" s="12">
        <f>IF(Y93="","",MAX(0,1-MAX(0,MIN(1,(((IF(Статистика!$C$4="Параллельный режим (активная мощность)",AH93,AS93)+Статистика!$J$4))-Статистика!$C$10)/MAX(Статистика!$G$10-Статистика!$C$10,0.000001)))))</f>
        <v>0.27447128233333329</v>
      </c>
      <c r="CB93" s="12">
        <f>IF(Y93="",NA(),IF(Статистика!$B$8="Вкл",(((IF(Статистика!$C$4="Параллельный режим (активная мощность)",AD93,AO93)+Статистика!$J$4))-Статистика!$C$10)/MAX(Статистика!$G$10-Статистика!$C$10,0.000001),NA()))</f>
        <v>0.53693836111111126</v>
      </c>
      <c r="CC93" s="12">
        <f>IF(Y93="",NA(),IF(Статистика!$D$8="Вкл",(((IF(Статистика!$C$4="Параллельный режим (активная мощность)",AC93,AN93)+Статистика!$J$4))-Статистика!$C$10)/MAX(Статистика!$G$10-Статистика!$C$10,0.000001),NA()))</f>
        <v>0.47242293888888887</v>
      </c>
      <c r="CD93" s="12">
        <f>IF(Y93="",NA(),IF(Статистика!$D$8="Вкл",(((IF(Статистика!$C$4="Параллельный режим (активная мощность)",AE93,AP93)+Статистика!$J$4))-Статистика!$C$10)/MAX(Статистика!$G$10-Статистика!$C$10,0.000001),NA()))</f>
        <v>0.59468489444444428</v>
      </c>
      <c r="CE93" s="12">
        <f>IF(Y93="",NA(),IF(Статистика!$F$8="Вкл",(((IF(Статистика!$C$4="Параллельный режим (активная мощность)",AB93,AM93)+Статистика!$J$4))-Статистика!$C$10)/MAX(Статистика!$G$10-Статистика!$C$10,0.000001),NA()))</f>
        <v>0.44398246555555548</v>
      </c>
      <c r="CF93" s="12">
        <f>IF(Y93="",NA(),IF(Статистика!$F$8="Вкл",(((IF(Статистика!$C$4="Параллельный режим (активная мощность)",AF93,AQ93)+Статистика!$J$4))-Статистика!$C$10)/MAX(Статистика!$G$10-Статистика!$C$10,0.000001),NA()))</f>
        <v>0.72113387666666673</v>
      </c>
      <c r="CG93" s="12">
        <f>IF(Y93="",NA(),IF(Статистика!$H$8="Вкл",(((IF(Статистика!$C$4="Параллельный режим (активная мощность)",Z93,AK93)+Статистика!$J$4))-Статистика!$C$10)/MAX(Статистика!$G$10-Статистика!$C$10,0.000001),NA()))</f>
        <v>0.42604004655555522</v>
      </c>
      <c r="CH93" s="12">
        <f>IF(Y93="",NA(),IF(Статистика!$H$8="Вкл",(((IF(Статистика!$C$4="Параллельный режим (активная мощность)",AH93,AS93)+Статистика!$J$4))-Статистика!$C$10)/MAX(Статистика!$G$10-Статистика!$C$10,0.000001),NA()))</f>
        <v>0.72552871766666671</v>
      </c>
      <c r="CI93" s="12" t="e">
        <f>IF(Y93="",NA(),IF(Статистика!$J$8="Вкл",(((IF(Статистика!$C$4="Параллельный режим (активная мощность)",AI93,AT93)+Статистика!$J$4))-Статистика!$C$10)/MAX(Статистика!$G$10-Статистика!$C$10,0.000001),NA()))</f>
        <v>#N/A</v>
      </c>
      <c r="CJ93" s="12" t="e">
        <f>IF(AND(Y93&lt;&gt;"",Статистика!$C$6="Вкл",Статистика!$B$6&gt;0),(Статистика!$B$6-Статистика!$C$10)/MAX(Статистика!$G$10-Статистика!$C$10,0.000001),NA())</f>
        <v>#N/A</v>
      </c>
      <c r="CK93" s="12" t="e">
        <f>IF(AND(Y93&lt;&gt;"",Статистика!$F$6="Вкл",Статистика!$E$6&gt;0),(Статистика!$E$6-Статистика!$C$10)/MAX(Статистика!$G$10-Статистика!$C$10,0.000001),NA())</f>
        <v>#N/A</v>
      </c>
      <c r="CL93" s="12" t="e">
        <f>IF(AND(Y93&lt;&gt;"",Статистика!$I$6="Вкл",Статистика!$H$6&gt;0),(Статистика!$H$6-Статистика!$C$10)/MAX(Статистика!$G$10-Статистика!$C$10,0.000001),NA())</f>
        <v>#N/A</v>
      </c>
      <c r="CM93" s="12" t="e">
        <f>IF(AND(Y93&lt;&gt;"",Статистика!$L$6="Вкл",Статистика!$K$6&gt;0),(Статистика!$K$6-Статистика!$C$10)/MAX(Статистика!$G$10-Статистика!$C$10,0.000001),NA())</f>
        <v>#N/A</v>
      </c>
      <c r="CN93" s="12" t="e">
        <f>IF(AND(Y93&lt;&gt;"",Статистика!$M$6="Вкл",Статистика!$O$6&gt;0),(Статистика!$O$6-Статистика!$C$10)/MAX(Статистика!$G$10-Статистика!$C$10,0.000001),NA())</f>
        <v>#N/A</v>
      </c>
      <c r="CO93" s="12">
        <f t="shared" si="3"/>
        <v>1</v>
      </c>
    </row>
    <row r="94" spans="1:93" ht="15" customHeight="1">
      <c r="A94" s="12" t="s">
        <v>439</v>
      </c>
      <c r="B94" s="12">
        <v>2282.685208833333</v>
      </c>
      <c r="C94" s="12">
        <v>5568.5487108333336</v>
      </c>
      <c r="D94" s="12">
        <v>7127.6264133333334</v>
      </c>
      <c r="E94" s="12">
        <v>7382.4356666666663</v>
      </c>
      <c r="F94" s="12">
        <v>7572.01055</v>
      </c>
      <c r="G94" s="12">
        <v>7827.6474749999988</v>
      </c>
      <c r="H94" s="12">
        <v>8015.3973283333335</v>
      </c>
      <c r="I94" s="12">
        <v>8038.5002558333335</v>
      </c>
      <c r="J94" s="12">
        <v>8053.0222378333328</v>
      </c>
      <c r="K94" s="12">
        <v>8210.64</v>
      </c>
      <c r="L94" s="12" t="s">
        <v>440</v>
      </c>
      <c r="M94" s="12">
        <v>2794.3932043333339</v>
      </c>
      <c r="N94" s="12">
        <v>6348.3508216666678</v>
      </c>
      <c r="O94" s="12">
        <v>8041.6048483333334</v>
      </c>
      <c r="P94" s="12">
        <v>8306.1563916666673</v>
      </c>
      <c r="Q94" s="12">
        <v>8508.8956833333323</v>
      </c>
      <c r="R94" s="12">
        <v>8795.2549916666685</v>
      </c>
      <c r="S94" s="12">
        <v>8910.2849500000011</v>
      </c>
      <c r="T94" s="12">
        <v>8938.9306066666668</v>
      </c>
      <c r="U94" s="12">
        <v>8963.4013480000012</v>
      </c>
      <c r="V94" s="12">
        <v>9128.19</v>
      </c>
      <c r="W94" s="12" t="s">
        <v>440</v>
      </c>
      <c r="Y94" s="12" t="s">
        <v>439</v>
      </c>
      <c r="Z94" s="12">
        <v>7285.9805791666658</v>
      </c>
      <c r="AA94" s="12">
        <v>7307.0010291666658</v>
      </c>
      <c r="AB94" s="12">
        <v>7333.2765916666667</v>
      </c>
      <c r="AC94" s="12">
        <v>7394.0231750000003</v>
      </c>
      <c r="AD94" s="12">
        <v>7574.2962666666663</v>
      </c>
      <c r="AE94" s="12">
        <v>7797.1732166666661</v>
      </c>
      <c r="AF94" s="12">
        <v>8160.7848483333337</v>
      </c>
      <c r="AG94" s="12">
        <v>8173.3386074999999</v>
      </c>
      <c r="AH94" s="12">
        <v>8183.3816148333335</v>
      </c>
      <c r="AI94" s="12">
        <v>8353.0300000000007</v>
      </c>
      <c r="AJ94" s="12" t="s">
        <v>441</v>
      </c>
      <c r="AK94" s="12">
        <v>8263.0403638333319</v>
      </c>
      <c r="AL94" s="12">
        <v>8263.1727524999988</v>
      </c>
      <c r="AM94" s="12">
        <v>8263.3382383333337</v>
      </c>
      <c r="AN94" s="12">
        <v>8384.3085333333329</v>
      </c>
      <c r="AO94" s="12">
        <v>8467.0418666666665</v>
      </c>
      <c r="AP94" s="12">
        <v>8783.0998083333325</v>
      </c>
      <c r="AQ94" s="12">
        <v>9093.5772399999987</v>
      </c>
      <c r="AR94" s="12">
        <v>9131.1449533333325</v>
      </c>
      <c r="AS94" s="12">
        <v>9161.1991239999988</v>
      </c>
      <c r="AT94" s="12">
        <v>9321.7800000000007</v>
      </c>
      <c r="AU94" s="12" t="s">
        <v>441</v>
      </c>
      <c r="AW94" s="12">
        <f>IF(A94="","",MAX(0,MIN(1,(((IF(Статистика!$C$4="Параллельный режим (активная мощность)",B94,M94)+Статистика!$J$4))-Статистика!$C$10)/MAX(Статистика!$G$10-Статистика!$C$10,0.000001))))</f>
        <v>0</v>
      </c>
      <c r="AX94" s="12">
        <f>IF(A94="","",MAX(0,MAX(0,MIN(1,(((IF(Статистика!$C$4="Параллельный режим (активная мощность)",D94,O94)+Статистика!$J$4))-Статистика!$C$10)/MAX(Статистика!$G$10-Статистика!$C$10,0.000001)))-MAX(0,MIN(1,(((IF(Статистика!$C$4="Параллельный режим (активная мощность)",B94,M94)+Статистика!$J$4))-Статистика!$C$10)/MAX(Статистика!$G$10-Статистика!$C$10,0.000001)))))</f>
        <v>0.37587547111111114</v>
      </c>
      <c r="AY94" s="12">
        <f>IF(A94="","",MAX(0,MAX(0,MIN(1,(((IF(Статистика!$C$4="Параллельный режим (активная мощность)",E94,P94)+Статистика!$J$4))-Статистика!$C$10)/MAX(Статистика!$G$10-Статистика!$C$10,0.000001)))-MAX(0,MIN(1,(((IF(Статистика!$C$4="Параллельный режим (активная мощность)",D94,O94)+Статистика!$J$4))-Статистика!$C$10)/MAX(Статистика!$G$10-Статистика!$C$10,0.000001)))))</f>
        <v>8.4936417777777606E-2</v>
      </c>
      <c r="AZ94" s="12">
        <f>IF(A94="","",MAX(0,MAX(0,MIN(1,(((IF(Статистика!$C$4="Параллельный режим (активная мощность)",F94,Q94)+Статистика!$J$4))-Статистика!$C$10)/MAX(Статистика!$G$10-Статистика!$C$10,0.000001)))-MAX(0,MIN(1,(((IF(Статистика!$C$4="Параллельный режим (активная мощность)",E94,P94)+Статистика!$J$4))-Статистика!$C$10)/MAX(Статистика!$G$10-Статистика!$C$10,0.000001)))))</f>
        <v>6.3191627777777926E-2</v>
      </c>
      <c r="BA94" s="12">
        <f>IF(A94="","",MAX(0,MAX(0,MIN(1,(((IF(Статистика!$C$4="Параллельный режим (активная мощность)",G94,R94)+Статистика!$J$4))-Статистика!$C$10)/MAX(Статистика!$G$10-Статистика!$C$10,0.000001)))-MAX(0,MIN(1,(((IF(Статистика!$C$4="Параллельный режим (активная мощность)",F94,Q94)+Статистика!$J$4))-Статистика!$C$10)/MAX(Статистика!$G$10-Статистика!$C$10,0.000001)))))</f>
        <v>8.5212308333332931E-2</v>
      </c>
      <c r="BB94" s="12">
        <f>IF(A94="","",MAX(0,MAX(0,MIN(1,(((IF(Статистика!$C$4="Параллельный режим (активная мощность)",H94,S94)+Статистика!$J$4))-Статистика!$C$10)/MAX(Статистика!$G$10-Статистика!$C$10,0.000001)))-MAX(0,MIN(1,(((IF(Статистика!$C$4="Параллельный режим (активная мощность)",G94,R94)+Статистика!$J$4))-Статистика!$C$10)/MAX(Статистика!$G$10-Статистика!$C$10,0.000001)))))</f>
        <v>6.2583284444444942E-2</v>
      </c>
      <c r="BC94" s="12">
        <f>IF(A94="","",MAX(0,MAX(0,MIN(1,(((IF(Статистика!$C$4="Параллельный режим (активная мощность)",J94,U94)+Статистика!$J$4))-Статистика!$C$10)/MAX(Статистика!$G$10-Статистика!$C$10,0.000001)))-MAX(0,MIN(1,(((IF(Статистика!$C$4="Параллельный режим (активная мощность)",H94,S94)+Статистика!$J$4))-Статистика!$C$10)/MAX(Статистика!$G$10-Статистика!$C$10,0.000001)))))</f>
        <v>1.2541636499999731E-2</v>
      </c>
      <c r="BD94" s="12">
        <f>IF(A94="","",MAX(0,1-MAX(0,MIN(1,(((IF(Статистика!$C$4="Параллельный режим (активная мощность)",J94,U94)+Статистика!$J$4))-Статистика!$C$10)/MAX(Статистика!$G$10-Статистика!$C$10,0.000001)))))</f>
        <v>0.31565925405555573</v>
      </c>
      <c r="BE94" s="12">
        <f>IF(A94="",NA(),IF(Статистика!$B$8="Вкл",(((IF(Статистика!$C$4="Параллельный режим (активная мощность)",F94,Q94)+Статистика!$J$4))-Статистика!$C$10)/MAX(Статистика!$G$10-Статистика!$C$10,0.000001),NA()))</f>
        <v>0.52400351666666667</v>
      </c>
      <c r="BF94" s="12">
        <f>IF(A94="",NA(),IF(Статистика!$D$8="Вкл",(((IF(Статистика!$C$4="Параллельный режим (активная мощность)",E94,P94)+Статистика!$J$4))-Статистика!$C$10)/MAX(Статистика!$G$10-Статистика!$C$10,0.000001),NA()))</f>
        <v>0.46081188888888874</v>
      </c>
      <c r="BG94" s="12">
        <f>IF(A94="",NA(),IF(Статистика!$D$8="Вкл",(((IF(Статистика!$C$4="Параллельный режим (активная мощность)",G94,R94)+Статистика!$J$4))-Статистика!$C$10)/MAX(Статистика!$G$10-Статистика!$C$10,0.000001),NA()))</f>
        <v>0.6092158249999996</v>
      </c>
      <c r="BH94" s="12">
        <f>IF(A94="",NA(),IF(Статистика!$F$8="Вкл",(((IF(Статистика!$C$4="Параллельный режим (активная мощность)",D94,O94)+Статистика!$J$4))-Статистика!$C$10)/MAX(Статистика!$G$10-Статистика!$C$10,0.000001),NA()))</f>
        <v>0.37587547111111114</v>
      </c>
      <c r="BI94" s="12">
        <f>IF(A94="",NA(),IF(Статистика!$F$8="Вкл",(((IF(Статистика!$C$4="Параллельный режим (активная мощность)",H94,S94)+Статистика!$J$4))-Статистика!$C$10)/MAX(Статистика!$G$10-Статистика!$C$10,0.000001),NA()))</f>
        <v>0.67179910944444454</v>
      </c>
      <c r="BJ94" s="12">
        <f>IF(A94="",NA(),IF(Статистика!$H$8="Вкл",(((IF(Статистика!$C$4="Параллельный режим (активная мощность)",B94,M94)+Статистика!$J$4))-Статистика!$C$10)/MAX(Статистика!$G$10-Статистика!$C$10,0.000001),NA()))</f>
        <v>-1.239104930388889</v>
      </c>
      <c r="BK94" s="12">
        <f>IF(A94="",NA(),IF(Статистика!$H$8="Вкл",(((IF(Статистика!$C$4="Параллельный режим (активная мощность)",J94,U94)+Статистика!$J$4))-Статистика!$C$10)/MAX(Статистика!$G$10-Статистика!$C$10,0.000001),NA()))</f>
        <v>0.68434074594444427</v>
      </c>
      <c r="BL94" s="12" t="e">
        <f>IF(A94="",NA(),IF(Статистика!$J$8="Вкл",(((IF(Статистика!$C$4="Параллельный режим (активная мощность)",K94,V94)+Статистика!$J$4))-Статистика!$C$10)/MAX(Статистика!$G$10-Статистика!$C$10,0.000001),NA()))</f>
        <v>#N/A</v>
      </c>
      <c r="BM94" s="12" t="e">
        <f>IF(AND(A94&lt;&gt;"",Статистика!$C$6="Вкл",Статистика!$B$6&gt;0),(Статистика!$B$6-Статистика!$C$10)/MAX(Статистика!$G$10-Статистика!$C$10,0.000001),NA())</f>
        <v>#N/A</v>
      </c>
      <c r="BN94" s="12" t="e">
        <f>IF(AND(A94&lt;&gt;"",Статистика!$F$6="Вкл",Статистика!$E$6&gt;0),(Статистика!$E$6-Статистика!$C$10)/MAX(Статистика!$G$10-Статистика!$C$10,0.000001),NA())</f>
        <v>#N/A</v>
      </c>
      <c r="BO94" s="12" t="e">
        <f>IF(AND(A94&lt;&gt;"",Статистика!$I$6="Вкл",Статистика!$H$6&gt;0),(Статистика!$H$6-Статистика!$C$10)/MAX(Статистика!$G$10-Статистика!$C$10,0.000001),NA())</f>
        <v>#N/A</v>
      </c>
      <c r="BP94" s="12" t="e">
        <f>IF(AND(A94&lt;&gt;"",Статистика!$L$6="Вкл",Статистика!$K$6&gt;0),(Статистика!$K$6-Статистика!$C$10)/MAX(Статистика!$G$10-Статистика!$C$10,0.000001),NA())</f>
        <v>#N/A</v>
      </c>
      <c r="BQ94" s="12" t="e">
        <f>IF(AND(A94&lt;&gt;"",Статистика!$M$6="Вкл",Статистика!$O$6&gt;0),(Статистика!$O$6-Статистика!$C$10)/MAX(Статистика!$G$10-Статистика!$C$10,0.000001),NA())</f>
        <v>#N/A</v>
      </c>
      <c r="BR94" s="12">
        <f t="shared" si="2"/>
        <v>1</v>
      </c>
      <c r="BT94" s="12">
        <f>IF(Y94="","",MAX(0,MIN(1,(((IF(Статистика!$C$4="Параллельный режим (активная мощность)",Z94,AK94)+Статистика!$J$4))-Статистика!$C$10)/MAX(Статистика!$G$10-Статистика!$C$10,0.000001))))</f>
        <v>0.42866019305555531</v>
      </c>
      <c r="BU94" s="12">
        <f>IF(Y94="","",MAX(0,MAX(0,MIN(1,(((IF(Статистика!$C$4="Параллельный режим (активная мощность)",AB94,AM94)+Статистика!$J$4))-Статистика!$C$10)/MAX(Статистика!$G$10-Статистика!$C$10,0.000001)))-MAX(0,MIN(1,(((IF(Статистика!$C$4="Параллельный режим (активная мощность)",Z94,AK94)+Статистика!$J$4))-Статистика!$C$10)/MAX(Статистика!$G$10-Статистика!$C$10,0.000001)))))</f>
        <v>1.5765337500000254E-2</v>
      </c>
      <c r="BV94" s="12">
        <f>IF(Y94="","",MAX(0,MAX(0,MIN(1,(((IF(Статистика!$C$4="Параллельный режим (активная мощность)",AC94,AN94)+Статистика!$J$4))-Статистика!$C$10)/MAX(Статистика!$G$10-Статистика!$C$10,0.000001)))-MAX(0,MIN(1,(((IF(Статистика!$C$4="Параллельный режим (активная мощность)",AB94,AM94)+Статистика!$J$4))-Статистика!$C$10)/MAX(Статистика!$G$10-Статистика!$C$10,0.000001)))))</f>
        <v>2.0248861111111183E-2</v>
      </c>
      <c r="BW94" s="12">
        <f>IF(Y94="","",MAX(0,MAX(0,MIN(1,(((IF(Статистика!$C$4="Параллельный режим (активная мощность)",AD94,AO94)+Статистика!$J$4))-Статистика!$C$10)/MAX(Статистика!$G$10-Статистика!$C$10,0.000001)))-MAX(0,MIN(1,(((IF(Статистика!$C$4="Параллельный режим (активная мощность)",AC94,AN94)+Статистика!$J$4))-Статистика!$C$10)/MAX(Статистика!$G$10-Статистика!$C$10,0.000001)))))</f>
        <v>6.0091030555555369E-2</v>
      </c>
      <c r="BX94" s="12">
        <f>IF(Y94="","",MAX(0,MAX(0,MIN(1,(((IF(Статистика!$C$4="Параллельный режим (активная мощность)",AE94,AP94)+Статистика!$J$4))-Статистика!$C$10)/MAX(Статистика!$G$10-Статистика!$C$10,0.000001)))-MAX(0,MIN(1,(((IF(Статистика!$C$4="Параллельный режим (активная мощность)",AD94,AO94)+Статистика!$J$4))-Статистика!$C$10)/MAX(Статистика!$G$10-Статистика!$C$10,0.000001)))))</f>
        <v>7.429231666666658E-2</v>
      </c>
      <c r="BY94" s="12">
        <f>IF(Y94="","",MAX(0,MAX(0,MIN(1,(((IF(Статистика!$C$4="Параллельный режим (активная мощность)",AF94,AQ94)+Статистика!$J$4))-Статистика!$C$10)/MAX(Статистика!$G$10-Статистика!$C$10,0.000001)))-MAX(0,MIN(1,(((IF(Статистика!$C$4="Параллельный режим (активная мощность)",AE94,AP94)+Статистика!$J$4))-Статистика!$C$10)/MAX(Статистика!$G$10-Статистика!$C$10,0.000001)))))</f>
        <v>0.12120387722222259</v>
      </c>
      <c r="BZ94" s="12">
        <f>IF(Y94="","",MAX(0,MAX(0,MIN(1,(((IF(Статистика!$C$4="Параллельный режим (активная мощность)",AH94,AS94)+Статистика!$J$4))-Статистика!$C$10)/MAX(Статистика!$G$10-Статистика!$C$10,0.000001)))-MAX(0,MIN(1,(((IF(Статистика!$C$4="Параллельный режим (активная мощность)",AF94,AQ94)+Статистика!$J$4))-Статистика!$C$10)/MAX(Статистика!$G$10-Статистика!$C$10,0.000001)))))</f>
        <v>7.5322554999999181E-3</v>
      </c>
      <c r="CA94" s="12">
        <f>IF(Y94="","",MAX(0,1-MAX(0,MIN(1,(((IF(Статистика!$C$4="Параллельный режим (активная мощность)",AH94,AS94)+Статистика!$J$4))-Статистика!$C$10)/MAX(Статистика!$G$10-Статистика!$C$10,0.000001)))))</f>
        <v>0.2722061283888888</v>
      </c>
      <c r="CB94" s="12">
        <f>IF(Y94="",NA(),IF(Статистика!$B$8="Вкл",(((IF(Статистика!$C$4="Параллельный режим (активная мощность)",AD94,AO94)+Статистика!$J$4))-Статистика!$C$10)/MAX(Статистика!$G$10-Статистика!$C$10,0.000001),NA()))</f>
        <v>0.52476542222222211</v>
      </c>
      <c r="CC94" s="12">
        <f>IF(Y94="",NA(),IF(Статистика!$D$8="Вкл",(((IF(Статистика!$C$4="Параллельный режим (активная мощность)",AC94,AN94)+Статистика!$J$4))-Статистика!$C$10)/MAX(Статистика!$G$10-Статистика!$C$10,0.000001),NA()))</f>
        <v>0.46467439166666674</v>
      </c>
      <c r="CD94" s="12">
        <f>IF(Y94="",NA(),IF(Статистика!$D$8="Вкл",(((IF(Статистика!$C$4="Параллельный режим (активная мощность)",AE94,AP94)+Статистика!$J$4))-Статистика!$C$10)/MAX(Статистика!$G$10-Статистика!$C$10,0.000001),NA()))</f>
        <v>0.59905773888888869</v>
      </c>
      <c r="CE94" s="12">
        <f>IF(Y94="",NA(),IF(Статистика!$F$8="Вкл",(((IF(Статистика!$C$4="Параллельный режим (активная мощность)",AB94,AM94)+Статистика!$J$4))-Статистика!$C$10)/MAX(Статистика!$G$10-Статистика!$C$10,0.000001),NA()))</f>
        <v>0.44442553055555556</v>
      </c>
      <c r="CF94" s="12">
        <f>IF(Y94="",NA(),IF(Статистика!$F$8="Вкл",(((IF(Статистика!$C$4="Параллельный режим (активная мощность)",AF94,AQ94)+Статистика!$J$4))-Статистика!$C$10)/MAX(Статистика!$G$10-Статистика!$C$10,0.000001),NA()))</f>
        <v>0.72026161611111128</v>
      </c>
      <c r="CG94" s="12">
        <f>IF(Y94="",NA(),IF(Статистика!$H$8="Вкл",(((IF(Статистика!$C$4="Параллельный режим (активная мощность)",Z94,AK94)+Статистика!$J$4))-Статистика!$C$10)/MAX(Статистика!$G$10-Статистика!$C$10,0.000001),NA()))</f>
        <v>0.42866019305555531</v>
      </c>
      <c r="CH94" s="12">
        <f>IF(Y94="",NA(),IF(Статистика!$H$8="Вкл",(((IF(Статистика!$C$4="Параллельный режим (активная мощность)",AH94,AS94)+Статистика!$J$4))-Статистика!$C$10)/MAX(Статистика!$G$10-Статистика!$C$10,0.000001),NA()))</f>
        <v>0.7277938716111112</v>
      </c>
      <c r="CI94" s="12" t="e">
        <f>IF(Y94="",NA(),IF(Статистика!$J$8="Вкл",(((IF(Статистика!$C$4="Параллельный режим (активная мощность)",AI94,AT94)+Статистика!$J$4))-Статистика!$C$10)/MAX(Статистика!$G$10-Статистика!$C$10,0.000001),NA()))</f>
        <v>#N/A</v>
      </c>
      <c r="CJ94" s="12" t="e">
        <f>IF(AND(Y94&lt;&gt;"",Статистика!$C$6="Вкл",Статистика!$B$6&gt;0),(Статистика!$B$6-Статистика!$C$10)/MAX(Статистика!$G$10-Статистика!$C$10,0.000001),NA())</f>
        <v>#N/A</v>
      </c>
      <c r="CK94" s="12" t="e">
        <f>IF(AND(Y94&lt;&gt;"",Статистика!$F$6="Вкл",Статистика!$E$6&gt;0),(Статистика!$E$6-Статистика!$C$10)/MAX(Статистика!$G$10-Статистика!$C$10,0.000001),NA())</f>
        <v>#N/A</v>
      </c>
      <c r="CL94" s="12" t="e">
        <f>IF(AND(Y94&lt;&gt;"",Статистика!$I$6="Вкл",Статистика!$H$6&gt;0),(Статистика!$H$6-Статистика!$C$10)/MAX(Статистика!$G$10-Статистика!$C$10,0.000001),NA())</f>
        <v>#N/A</v>
      </c>
      <c r="CM94" s="12" t="e">
        <f>IF(AND(Y94&lt;&gt;"",Статистика!$L$6="Вкл",Статистика!$K$6&gt;0),(Статистика!$K$6-Статистика!$C$10)/MAX(Статистика!$G$10-Статистика!$C$10,0.000001),NA())</f>
        <v>#N/A</v>
      </c>
      <c r="CN94" s="12" t="e">
        <f>IF(AND(Y94&lt;&gt;"",Статистика!$M$6="Вкл",Статистика!$O$6&gt;0),(Статистика!$O$6-Статистика!$C$10)/MAX(Статистика!$G$10-Статистика!$C$10,0.000001),NA())</f>
        <v>#N/A</v>
      </c>
      <c r="CO94" s="12">
        <f t="shared" si="3"/>
        <v>1</v>
      </c>
    </row>
    <row r="95" spans="1:93" ht="15" customHeight="1">
      <c r="A95" s="12" t="s">
        <v>442</v>
      </c>
      <c r="B95" s="12">
        <v>2254.2488326666667</v>
      </c>
      <c r="C95" s="12">
        <v>5482.0324300000002</v>
      </c>
      <c r="D95" s="12">
        <v>7062.8369716666666</v>
      </c>
      <c r="E95" s="12">
        <v>7323.7101833333327</v>
      </c>
      <c r="F95" s="12">
        <v>7577.7902999999997</v>
      </c>
      <c r="G95" s="12">
        <v>7826.9032250000009</v>
      </c>
      <c r="H95" s="12">
        <v>7978.4482333333335</v>
      </c>
      <c r="I95" s="12">
        <v>8007.6279924999999</v>
      </c>
      <c r="J95" s="12">
        <v>8040.9118918333343</v>
      </c>
      <c r="K95" s="12">
        <v>8332.43</v>
      </c>
      <c r="L95" s="12" t="s">
        <v>443</v>
      </c>
      <c r="M95" s="12">
        <v>2754.4911900000002</v>
      </c>
      <c r="N95" s="12">
        <v>6263.4614166666679</v>
      </c>
      <c r="O95" s="12">
        <v>7964.455605000001</v>
      </c>
      <c r="P95" s="12">
        <v>8238.0722666666661</v>
      </c>
      <c r="Q95" s="12">
        <v>8502.7019499999988</v>
      </c>
      <c r="R95" s="12">
        <v>8784.486558333334</v>
      </c>
      <c r="S95" s="12">
        <v>8887.5561483333331</v>
      </c>
      <c r="T95" s="12">
        <v>8896.6633433333336</v>
      </c>
      <c r="U95" s="12">
        <v>8905.0921353333324</v>
      </c>
      <c r="V95" s="12">
        <v>9931.0300000000007</v>
      </c>
      <c r="W95" s="12" t="s">
        <v>444</v>
      </c>
      <c r="Y95" s="12" t="s">
        <v>442</v>
      </c>
      <c r="Z95" s="12">
        <v>7264.6490523333332</v>
      </c>
      <c r="AA95" s="12">
        <v>7286.7735283333332</v>
      </c>
      <c r="AB95" s="12">
        <v>7314.4291233333333</v>
      </c>
      <c r="AC95" s="12">
        <v>7398.6697583333325</v>
      </c>
      <c r="AD95" s="12">
        <v>7586.6584666666668</v>
      </c>
      <c r="AE95" s="12">
        <v>7787.6370083333331</v>
      </c>
      <c r="AF95" s="12">
        <v>8174.3594499999999</v>
      </c>
      <c r="AG95" s="12">
        <v>8179.3143083333334</v>
      </c>
      <c r="AH95" s="12">
        <v>8183.2781949999999</v>
      </c>
      <c r="AI95" s="12">
        <v>8318.93</v>
      </c>
      <c r="AJ95" s="12" t="s">
        <v>445</v>
      </c>
      <c r="AK95" s="12">
        <v>8241.8578115</v>
      </c>
      <c r="AL95" s="12">
        <v>8242.7178574999998</v>
      </c>
      <c r="AM95" s="12">
        <v>8243.792915</v>
      </c>
      <c r="AN95" s="12">
        <v>8369.6697083333347</v>
      </c>
      <c r="AO95" s="12">
        <v>8487.2242499999993</v>
      </c>
      <c r="AP95" s="12">
        <v>8783.4588999999996</v>
      </c>
      <c r="AQ95" s="12">
        <v>9102.3969500000003</v>
      </c>
      <c r="AR95" s="12">
        <v>9130.3674749999991</v>
      </c>
      <c r="AS95" s="12">
        <v>9152.7438949999996</v>
      </c>
      <c r="AT95" s="12">
        <v>9284.41</v>
      </c>
      <c r="AU95" s="12" t="s">
        <v>446</v>
      </c>
      <c r="AW95" s="12">
        <f>IF(A95="","",MAX(0,MIN(1,(((IF(Статистика!$C$4="Параллельный режим (активная мощность)",B95,M95)+Статистика!$J$4))-Статистика!$C$10)/MAX(Статистика!$G$10-Статистика!$C$10,0.000001))))</f>
        <v>0</v>
      </c>
      <c r="AX95" s="12">
        <f>IF(A95="","",MAX(0,MAX(0,MIN(1,(((IF(Статистика!$C$4="Параллельный режим (активная мощность)",D95,O95)+Статистика!$J$4))-Статистика!$C$10)/MAX(Статистика!$G$10-Статистика!$C$10,0.000001)))-MAX(0,MIN(1,(((IF(Статистика!$C$4="Параллельный режим (активная мощность)",B95,M95)+Статистика!$J$4))-Статистика!$C$10)/MAX(Статистика!$G$10-Статистика!$C$10,0.000001)))))</f>
        <v>0.35427899055555556</v>
      </c>
      <c r="AY95" s="12">
        <f>IF(A95="","",MAX(0,MAX(0,MIN(1,(((IF(Статистика!$C$4="Параллельный режим (активная мощность)",E95,P95)+Статистика!$J$4))-Статистика!$C$10)/MAX(Статистика!$G$10-Статистика!$C$10,0.000001)))-MAX(0,MIN(1,(((IF(Статистика!$C$4="Параллельный режим (активная мощность)",D95,O95)+Статистика!$J$4))-Статистика!$C$10)/MAX(Статистика!$G$10-Статистика!$C$10,0.000001)))))</f>
        <v>8.6957737222221998E-2</v>
      </c>
      <c r="AZ95" s="12">
        <f>IF(A95="","",MAX(0,MAX(0,MIN(1,(((IF(Статистика!$C$4="Параллельный режим (активная мощность)",F95,Q95)+Статистика!$J$4))-Статистика!$C$10)/MAX(Статистика!$G$10-Статистика!$C$10,0.000001)))-MAX(0,MIN(1,(((IF(Статистика!$C$4="Параллельный режим (активная мощность)",E95,P95)+Статистика!$J$4))-Статистика!$C$10)/MAX(Статистика!$G$10-Статистика!$C$10,0.000001)))))</f>
        <v>8.4693372222222285E-2</v>
      </c>
      <c r="BA95" s="12">
        <f>IF(A95="","",MAX(0,MAX(0,MIN(1,(((IF(Статистика!$C$4="Параллельный режим (активная мощность)",G95,R95)+Статистика!$J$4))-Статистика!$C$10)/MAX(Статистика!$G$10-Статистика!$C$10,0.000001)))-MAX(0,MIN(1,(((IF(Статистика!$C$4="Параллельный режим (активная мощность)",F95,Q95)+Статистика!$J$4))-Статистика!$C$10)/MAX(Статистика!$G$10-Статистика!$C$10,0.000001)))))</f>
        <v>8.3037641666667161E-2</v>
      </c>
      <c r="BB95" s="12">
        <f>IF(A95="","",MAX(0,MAX(0,MIN(1,(((IF(Статистика!$C$4="Параллельный режим (активная мощность)",H95,S95)+Статистика!$J$4))-Статистика!$C$10)/MAX(Статистика!$G$10-Статистика!$C$10,0.000001)))-MAX(0,MIN(1,(((IF(Статистика!$C$4="Параллельный режим (активная мощность)",G95,R95)+Статистика!$J$4))-Статистика!$C$10)/MAX(Статистика!$G$10-Статистика!$C$10,0.000001)))))</f>
        <v>5.051500277777754E-2</v>
      </c>
      <c r="BC95" s="12">
        <f>IF(A95="","",MAX(0,MAX(0,MIN(1,(((IF(Статистика!$C$4="Параллельный режим (активная мощность)",J95,U95)+Статистика!$J$4))-Статистика!$C$10)/MAX(Статистика!$G$10-Статистика!$C$10,0.000001)))-MAX(0,MIN(1,(((IF(Статистика!$C$4="Параллельный режим (активная мощность)",H95,S95)+Статистика!$J$4))-Статистика!$C$10)/MAX(Статистика!$G$10-Статистика!$C$10,0.000001)))))</f>
        <v>2.0821219500000154E-2</v>
      </c>
      <c r="BD95" s="12">
        <f>IF(A95="","",MAX(0,1-MAX(0,MIN(1,(((IF(Статистика!$C$4="Параллельный режим (активная мощность)",J95,U95)+Статистика!$J$4))-Статистика!$C$10)/MAX(Статистика!$G$10-Статистика!$C$10,0.000001)))))</f>
        <v>0.3196960360555553</v>
      </c>
      <c r="BE95" s="12">
        <f>IF(A95="",NA(),IF(Статистика!$B$8="Вкл",(((IF(Статистика!$C$4="Параллельный режим (активная мощность)",F95,Q95)+Статистика!$J$4))-Статистика!$C$10)/MAX(Статистика!$G$10-Статистика!$C$10,0.000001),NA()))</f>
        <v>0.52593009999999984</v>
      </c>
      <c r="BF95" s="12">
        <f>IF(A95="",NA(),IF(Статистика!$D$8="Вкл",(((IF(Статистика!$C$4="Параллельный режим (активная мощность)",E95,P95)+Статистика!$J$4))-Статистика!$C$10)/MAX(Статистика!$G$10-Статистика!$C$10,0.000001),NA()))</f>
        <v>0.44123672777777756</v>
      </c>
      <c r="BG95" s="12">
        <f>IF(A95="",NA(),IF(Статистика!$D$8="Вкл",(((IF(Статистика!$C$4="Параллельный режим (активная мощность)",G95,R95)+Статистика!$J$4))-Статистика!$C$10)/MAX(Статистика!$G$10-Статистика!$C$10,0.000001),NA()))</f>
        <v>0.60896774166666701</v>
      </c>
      <c r="BH95" s="12">
        <f>IF(A95="",NA(),IF(Статистика!$F$8="Вкл",(((IF(Статистика!$C$4="Параллельный режим (активная мощность)",D95,O95)+Статистика!$J$4))-Статистика!$C$10)/MAX(Статистика!$G$10-Статистика!$C$10,0.000001),NA()))</f>
        <v>0.35427899055555556</v>
      </c>
      <c r="BI95" s="12">
        <f>IF(A95="",NA(),IF(Статистика!$F$8="Вкл",(((IF(Статистика!$C$4="Параллельный режим (активная мощность)",H95,S95)+Статистика!$J$4))-Статистика!$C$10)/MAX(Статистика!$G$10-Статистика!$C$10,0.000001),NA()))</f>
        <v>0.65948274444444455</v>
      </c>
      <c r="BJ95" s="12">
        <f>IF(A95="",NA(),IF(Статистика!$H$8="Вкл",(((IF(Статистика!$C$4="Параллельный режим (активная мощность)",B95,M95)+Статистика!$J$4))-Статистика!$C$10)/MAX(Статистика!$G$10-Статистика!$C$10,0.000001),NA()))</f>
        <v>-1.2485837224444445</v>
      </c>
      <c r="BK95" s="12">
        <f>IF(A95="",NA(),IF(Статистика!$H$8="Вкл",(((IF(Статистика!$C$4="Параллельный режим (активная мощность)",J95,U95)+Статистика!$J$4))-Статистика!$C$10)/MAX(Статистика!$G$10-Статистика!$C$10,0.000001),NA()))</f>
        <v>0.6803039639444447</v>
      </c>
      <c r="BL95" s="12" t="e">
        <f>IF(A95="",NA(),IF(Статистика!$J$8="Вкл",(((IF(Статистика!$C$4="Параллельный режим (активная мощность)",K95,V95)+Статистика!$J$4))-Статистика!$C$10)/MAX(Статистика!$G$10-Статистика!$C$10,0.000001),NA()))</f>
        <v>#N/A</v>
      </c>
      <c r="BM95" s="12" t="e">
        <f>IF(AND(A95&lt;&gt;"",Статистика!$C$6="Вкл",Статистика!$B$6&gt;0),(Статистика!$B$6-Статистика!$C$10)/MAX(Статистика!$G$10-Статистика!$C$10,0.000001),NA())</f>
        <v>#N/A</v>
      </c>
      <c r="BN95" s="12" t="e">
        <f>IF(AND(A95&lt;&gt;"",Статистика!$F$6="Вкл",Статистика!$E$6&gt;0),(Статистика!$E$6-Статистика!$C$10)/MAX(Статистика!$G$10-Статистика!$C$10,0.000001),NA())</f>
        <v>#N/A</v>
      </c>
      <c r="BO95" s="12" t="e">
        <f>IF(AND(A95&lt;&gt;"",Статистика!$I$6="Вкл",Статистика!$H$6&gt;0),(Статистика!$H$6-Статистика!$C$10)/MAX(Статистика!$G$10-Статистика!$C$10,0.000001),NA())</f>
        <v>#N/A</v>
      </c>
      <c r="BP95" s="12" t="e">
        <f>IF(AND(A95&lt;&gt;"",Статистика!$L$6="Вкл",Статистика!$K$6&gt;0),(Статистика!$K$6-Статистика!$C$10)/MAX(Статистика!$G$10-Статистика!$C$10,0.000001),NA())</f>
        <v>#N/A</v>
      </c>
      <c r="BQ95" s="12" t="e">
        <f>IF(AND(A95&lt;&gt;"",Статистика!$M$6="Вкл",Статистика!$O$6&gt;0),(Статистика!$O$6-Статистика!$C$10)/MAX(Статистика!$G$10-Статистика!$C$10,0.000001),NA())</f>
        <v>#N/A</v>
      </c>
      <c r="BR95" s="12">
        <f t="shared" si="2"/>
        <v>1</v>
      </c>
      <c r="BT95" s="12">
        <f>IF(Y95="","",MAX(0,MIN(1,(((IF(Статистика!$C$4="Параллельный режим (активная мощность)",Z95,AK95)+Статистика!$J$4))-Статистика!$C$10)/MAX(Статистика!$G$10-Статистика!$C$10,0.000001))))</f>
        <v>0.42154968411111104</v>
      </c>
      <c r="BU95" s="12">
        <f>IF(Y95="","",MAX(0,MAX(0,MIN(1,(((IF(Статистика!$C$4="Параллельный режим (активная мощность)",AB95,AM95)+Статистика!$J$4))-Статистика!$C$10)/MAX(Статистика!$G$10-Статистика!$C$10,0.000001)))-MAX(0,MIN(1,(((IF(Статистика!$C$4="Параллельный режим (активная мощность)",Z95,AK95)+Статистика!$J$4))-Статистика!$C$10)/MAX(Статистика!$G$10-Статистика!$C$10,0.000001)))))</f>
        <v>1.6593357000000086E-2</v>
      </c>
      <c r="BV95" s="12">
        <f>IF(Y95="","",MAX(0,MAX(0,MIN(1,(((IF(Статистика!$C$4="Параллельный режим (активная мощность)",AC95,AN95)+Статистика!$J$4))-Статистика!$C$10)/MAX(Статистика!$G$10-Статистика!$C$10,0.000001)))-MAX(0,MIN(1,(((IF(Статистика!$C$4="Параллельный режим (активная мощность)",AB95,AM95)+Статистика!$J$4))-Статистика!$C$10)/MAX(Статистика!$G$10-Статистика!$C$10,0.000001)))))</f>
        <v>2.8080211666666355E-2</v>
      </c>
      <c r="BW95" s="12">
        <f>IF(Y95="","",MAX(0,MAX(0,MIN(1,(((IF(Статистика!$C$4="Параллельный режим (активная мощность)",AD95,AO95)+Статистика!$J$4))-Статистика!$C$10)/MAX(Статистика!$G$10-Статистика!$C$10,0.000001)))-MAX(0,MIN(1,(((IF(Статистика!$C$4="Параллельный режим (активная мощность)",AC95,AN95)+Статистика!$J$4))-Статистика!$C$10)/MAX(Статистика!$G$10-Статистика!$C$10,0.000001)))))</f>
        <v>6.266290277777814E-2</v>
      </c>
      <c r="BX95" s="12">
        <f>IF(Y95="","",MAX(0,MAX(0,MIN(1,(((IF(Статистика!$C$4="Параллельный режим (активная мощность)",AE95,AP95)+Статистика!$J$4))-Статистика!$C$10)/MAX(Статистика!$G$10-Статистика!$C$10,0.000001)))-MAX(0,MIN(1,(((IF(Статистика!$C$4="Параллельный режим (активная мощность)",AD95,AO95)+Статистика!$J$4))-Статистика!$C$10)/MAX(Статистика!$G$10-Статистика!$C$10,0.000001)))))</f>
        <v>6.6992847222222096E-2</v>
      </c>
      <c r="BY95" s="12">
        <f>IF(Y95="","",MAX(0,MAX(0,MIN(1,(((IF(Статистика!$C$4="Параллельный режим (активная мощность)",AF95,AQ95)+Статистика!$J$4))-Статистика!$C$10)/MAX(Статистика!$G$10-Статистика!$C$10,0.000001)))-MAX(0,MIN(1,(((IF(Статистика!$C$4="Параллельный режим (активная мощность)",AE95,AP95)+Статистика!$J$4))-Статистика!$C$10)/MAX(Статистика!$G$10-Статистика!$C$10,0.000001)))))</f>
        <v>0.12890748055555556</v>
      </c>
      <c r="BZ95" s="12">
        <f>IF(Y95="","",MAX(0,MAX(0,MIN(1,(((IF(Статистика!$C$4="Параллельный режим (активная мощность)",AH95,AS95)+Статистика!$J$4))-Статистика!$C$10)/MAX(Статистика!$G$10-Статистика!$C$10,0.000001)))-MAX(0,MIN(1,(((IF(Статистика!$C$4="Параллельный режим (активная мощность)",AF95,AQ95)+Статистика!$J$4))-Статистика!$C$10)/MAX(Статистика!$G$10-Статистика!$C$10,0.000001)))))</f>
        <v>2.9729149999999649E-3</v>
      </c>
      <c r="CA95" s="12">
        <f>IF(Y95="","",MAX(0,1-MAX(0,MIN(1,(((IF(Статистика!$C$4="Параллельный режим (активная мощность)",AH95,AS95)+Статистика!$J$4))-Статистика!$C$10)/MAX(Статистика!$G$10-Статистика!$C$10,0.000001)))))</f>
        <v>0.27224060166666675</v>
      </c>
      <c r="CB95" s="12">
        <f>IF(Y95="",NA(),IF(Статистика!$B$8="Вкл",(((IF(Статистика!$C$4="Параллельный режим (активная мощность)",AD95,AO95)+Статистика!$J$4))-Статистика!$C$10)/MAX(Статистика!$G$10-Статистика!$C$10,0.000001),NA()))</f>
        <v>0.52888615555555563</v>
      </c>
      <c r="CC95" s="12">
        <f>IF(Y95="",NA(),IF(Статистика!$D$8="Вкл",(((IF(Статистика!$C$4="Параллельный режим (активная мощность)",AC95,AN95)+Статистика!$J$4))-Статистика!$C$10)/MAX(Статистика!$G$10-Статистика!$C$10,0.000001),NA()))</f>
        <v>0.46622325277777749</v>
      </c>
      <c r="CD95" s="12">
        <f>IF(Y95="",NA(),IF(Статистика!$D$8="Вкл",(((IF(Статистика!$C$4="Параллельный режим (активная мощность)",AE95,AP95)+Статистика!$J$4))-Статистика!$C$10)/MAX(Статистика!$G$10-Статистика!$C$10,0.000001),NA()))</f>
        <v>0.59587900277777772</v>
      </c>
      <c r="CE95" s="12">
        <f>IF(Y95="",NA(),IF(Статистика!$F$8="Вкл",(((IF(Статистика!$C$4="Параллельный режим (активная мощность)",AB95,AM95)+Статистика!$J$4))-Статистика!$C$10)/MAX(Статистика!$G$10-Статистика!$C$10,0.000001),NA()))</f>
        <v>0.43814304111111113</v>
      </c>
      <c r="CF95" s="12">
        <f>IF(Y95="",NA(),IF(Статистика!$F$8="Вкл",(((IF(Статистика!$C$4="Параллельный режим (активная мощность)",AF95,AQ95)+Статистика!$J$4))-Статистика!$C$10)/MAX(Статистика!$G$10-Статистика!$C$10,0.000001),NA()))</f>
        <v>0.72478648333333329</v>
      </c>
      <c r="CG95" s="12">
        <f>IF(Y95="",NA(),IF(Статистика!$H$8="Вкл",(((IF(Статистика!$C$4="Параллельный режим (активная мощность)",Z95,AK95)+Статистика!$J$4))-Статистика!$C$10)/MAX(Статистика!$G$10-Статистика!$C$10,0.000001),NA()))</f>
        <v>0.42154968411111104</v>
      </c>
      <c r="CH95" s="12">
        <f>IF(Y95="",NA(),IF(Статистика!$H$8="Вкл",(((IF(Статистика!$C$4="Параллельный режим (активная мощность)",AH95,AS95)+Статистика!$J$4))-Статистика!$C$10)/MAX(Статистика!$G$10-Статистика!$C$10,0.000001),NA()))</f>
        <v>0.72775939833333325</v>
      </c>
      <c r="CI95" s="12" t="e">
        <f>IF(Y95="",NA(),IF(Статистика!$J$8="Вкл",(((IF(Статистика!$C$4="Параллельный режим (активная мощность)",AI95,AT95)+Статистика!$J$4))-Статистика!$C$10)/MAX(Статистика!$G$10-Статистика!$C$10,0.000001),NA()))</f>
        <v>#N/A</v>
      </c>
      <c r="CJ95" s="12" t="e">
        <f>IF(AND(Y95&lt;&gt;"",Статистика!$C$6="Вкл",Статистика!$B$6&gt;0),(Статистика!$B$6-Статистика!$C$10)/MAX(Статистика!$G$10-Статистика!$C$10,0.000001),NA())</f>
        <v>#N/A</v>
      </c>
      <c r="CK95" s="12" t="e">
        <f>IF(AND(Y95&lt;&gt;"",Статистика!$F$6="Вкл",Статистика!$E$6&gt;0),(Статистика!$E$6-Статистика!$C$10)/MAX(Статистика!$G$10-Статистика!$C$10,0.000001),NA())</f>
        <v>#N/A</v>
      </c>
      <c r="CL95" s="12" t="e">
        <f>IF(AND(Y95&lt;&gt;"",Статистика!$I$6="Вкл",Статистика!$H$6&gt;0),(Статистика!$H$6-Статистика!$C$10)/MAX(Статистика!$G$10-Статистика!$C$10,0.000001),NA())</f>
        <v>#N/A</v>
      </c>
      <c r="CM95" s="12" t="e">
        <f>IF(AND(Y95&lt;&gt;"",Статистика!$L$6="Вкл",Статистика!$K$6&gt;0),(Статистика!$K$6-Статистика!$C$10)/MAX(Статистика!$G$10-Статистика!$C$10,0.000001),NA())</f>
        <v>#N/A</v>
      </c>
      <c r="CN95" s="12" t="e">
        <f>IF(AND(Y95&lt;&gt;"",Статистика!$M$6="Вкл",Статистика!$O$6&gt;0),(Статистика!$O$6-Статистика!$C$10)/MAX(Статистика!$G$10-Статистика!$C$10,0.000001),NA())</f>
        <v>#N/A</v>
      </c>
      <c r="CO95" s="12">
        <f t="shared" si="3"/>
        <v>1</v>
      </c>
    </row>
    <row r="96" spans="1:93" ht="15" customHeight="1">
      <c r="A96" s="12" t="s">
        <v>447</v>
      </c>
      <c r="B96" s="12">
        <v>2264.8520128333334</v>
      </c>
      <c r="C96" s="12">
        <v>5490.0911308333334</v>
      </c>
      <c r="D96" s="12">
        <v>7061.1280333333334</v>
      </c>
      <c r="E96" s="12">
        <v>7342.1825083333333</v>
      </c>
      <c r="F96" s="12">
        <v>7592.5015999999996</v>
      </c>
      <c r="G96" s="12">
        <v>7798.8584166666669</v>
      </c>
      <c r="H96" s="12">
        <v>7969.4760216666655</v>
      </c>
      <c r="I96" s="12">
        <v>8007.2953116666658</v>
      </c>
      <c r="J96" s="12">
        <v>8052.3519156666662</v>
      </c>
      <c r="K96" s="12">
        <v>8169.61</v>
      </c>
      <c r="L96" s="12" t="s">
        <v>448</v>
      </c>
      <c r="M96" s="12">
        <v>2765.3900883333336</v>
      </c>
      <c r="N96" s="12">
        <v>6271.3193750000009</v>
      </c>
      <c r="O96" s="12">
        <v>7955.7451383333337</v>
      </c>
      <c r="P96" s="12">
        <v>8246.940083333333</v>
      </c>
      <c r="Q96" s="12">
        <v>8515.5870500000001</v>
      </c>
      <c r="R96" s="12">
        <v>8769.260341666668</v>
      </c>
      <c r="S96" s="12">
        <v>8874.1806766666668</v>
      </c>
      <c r="T96" s="12">
        <v>8889.5603750000009</v>
      </c>
      <c r="U96" s="12">
        <v>8913.7485016666669</v>
      </c>
      <c r="V96" s="12">
        <v>9035.7099999999991</v>
      </c>
      <c r="W96" s="12" t="s">
        <v>448</v>
      </c>
      <c r="Y96" s="12" t="s">
        <v>447</v>
      </c>
      <c r="Z96" s="12">
        <v>7282.5750313333319</v>
      </c>
      <c r="AA96" s="12">
        <v>7299.4776899999997</v>
      </c>
      <c r="AB96" s="12">
        <v>7320.6060133333331</v>
      </c>
      <c r="AC96" s="12">
        <v>7377.014266666667</v>
      </c>
      <c r="AD96" s="12">
        <v>7581.3326333333334</v>
      </c>
      <c r="AE96" s="12">
        <v>7783.2273166666664</v>
      </c>
      <c r="AF96" s="12">
        <v>8142.2593466666658</v>
      </c>
      <c r="AG96" s="12">
        <v>8156.8245566666656</v>
      </c>
      <c r="AH96" s="12">
        <v>8168.4767246666652</v>
      </c>
      <c r="AI96" s="12">
        <v>8299.59</v>
      </c>
      <c r="AJ96" s="12" t="s">
        <v>449</v>
      </c>
      <c r="AK96" s="12">
        <v>8242.0189496666662</v>
      </c>
      <c r="AL96" s="12">
        <v>8243.1594150000001</v>
      </c>
      <c r="AM96" s="12">
        <v>8244.5849966666665</v>
      </c>
      <c r="AN96" s="12">
        <v>8341.1454666666668</v>
      </c>
      <c r="AO96" s="12">
        <v>8484.3857000000007</v>
      </c>
      <c r="AP96" s="12">
        <v>8756.0383499999989</v>
      </c>
      <c r="AQ96" s="12">
        <v>9061.1675716666668</v>
      </c>
      <c r="AR96" s="12">
        <v>9097.0993191666676</v>
      </c>
      <c r="AS96" s="12">
        <v>9125.8447171666685</v>
      </c>
      <c r="AT96" s="12">
        <v>9259.2999999999993</v>
      </c>
      <c r="AU96" s="12" t="s">
        <v>449</v>
      </c>
      <c r="AW96" s="12">
        <f>IF(A96="","",MAX(0,MIN(1,(((IF(Статистика!$C$4="Параллельный режим (активная мощность)",B96,M96)+Статистика!$J$4))-Статистика!$C$10)/MAX(Статистика!$G$10-Статистика!$C$10,0.000001))))</f>
        <v>0</v>
      </c>
      <c r="AX96" s="12">
        <f>IF(A96="","",MAX(0,MAX(0,MIN(1,(((IF(Статистика!$C$4="Параллельный режим (активная мощность)",D96,O96)+Статистика!$J$4))-Статистика!$C$10)/MAX(Статистика!$G$10-Статистика!$C$10,0.000001)))-MAX(0,MIN(1,(((IF(Статистика!$C$4="Параллельный режим (активная мощность)",B96,M96)+Статистика!$J$4))-Статистика!$C$10)/MAX(Статистика!$G$10-Статистика!$C$10,0.000001)))))</f>
        <v>0.35370934444444446</v>
      </c>
      <c r="AY96" s="12">
        <f>IF(A96="","",MAX(0,MAX(0,MIN(1,(((IF(Статистика!$C$4="Параллельный режим (активная мощность)",E96,P96)+Статистика!$J$4))-Статистика!$C$10)/MAX(Статистика!$G$10-Статистика!$C$10,0.000001)))-MAX(0,MIN(1,(((IF(Статистика!$C$4="Параллельный режим (активная мощность)",D96,O96)+Статистика!$J$4))-Статистика!$C$10)/MAX(Статистика!$G$10-Статистика!$C$10,0.000001)))))</f>
        <v>9.3684824999999972E-2</v>
      </c>
      <c r="AZ96" s="12">
        <f>IF(A96="","",MAX(0,MAX(0,MIN(1,(((IF(Статистика!$C$4="Параллельный режим (активная мощность)",F96,Q96)+Статистика!$J$4))-Статистика!$C$10)/MAX(Статистика!$G$10-Статистика!$C$10,0.000001)))-MAX(0,MIN(1,(((IF(Статистика!$C$4="Параллельный режим (активная мощность)",E96,P96)+Статистика!$J$4))-Статистика!$C$10)/MAX(Статистика!$G$10-Статистика!$C$10,0.000001)))))</f>
        <v>8.3439697222222109E-2</v>
      </c>
      <c r="BA96" s="12">
        <f>IF(A96="","",MAX(0,MAX(0,MIN(1,(((IF(Статистика!$C$4="Параллельный режим (активная мощность)",G96,R96)+Статистика!$J$4))-Статистика!$C$10)/MAX(Статистика!$G$10-Статистика!$C$10,0.000001)))-MAX(0,MIN(1,(((IF(Статистика!$C$4="Параллельный режим (активная мощность)",F96,Q96)+Статистика!$J$4))-Статистика!$C$10)/MAX(Статистика!$G$10-Статистика!$C$10,0.000001)))))</f>
        <v>6.8785605555555795E-2</v>
      </c>
      <c r="BB96" s="12">
        <f>IF(A96="","",MAX(0,MAX(0,MIN(1,(((IF(Статистика!$C$4="Параллельный режим (активная мощность)",H96,S96)+Статистика!$J$4))-Статистика!$C$10)/MAX(Статистика!$G$10-Статистика!$C$10,0.000001)))-MAX(0,MIN(1,(((IF(Статистика!$C$4="Параллельный режим (активная мощность)",G96,R96)+Статистика!$J$4))-Статистика!$C$10)/MAX(Статистика!$G$10-Статистика!$C$10,0.000001)))))</f>
        <v>5.6872534999999447E-2</v>
      </c>
      <c r="BC96" s="12">
        <f>IF(A96="","",MAX(0,MAX(0,MIN(1,(((IF(Статистика!$C$4="Параллельный режим (активная мощность)",J96,U96)+Статистика!$J$4))-Статистика!$C$10)/MAX(Статистика!$G$10-Статистика!$C$10,0.000001)))-MAX(0,MIN(1,(((IF(Статистика!$C$4="Параллельный режим (активная мощность)",H96,S96)+Статистика!$J$4))-Статистика!$C$10)/MAX(Статистика!$G$10-Статистика!$C$10,0.000001)))))</f>
        <v>2.7625298000000242E-2</v>
      </c>
      <c r="BD96" s="12">
        <f>IF(A96="","",MAX(0,1-MAX(0,MIN(1,(((IF(Статистика!$C$4="Параллельный режим (активная мощность)",J96,U96)+Статистика!$J$4))-Статистика!$C$10)/MAX(Статистика!$G$10-Статистика!$C$10,0.000001)))))</f>
        <v>0.31588269477777797</v>
      </c>
      <c r="BE96" s="12">
        <f>IF(A96="",NA(),IF(Статистика!$B$8="Вкл",(((IF(Статистика!$C$4="Параллельный режим (активная мощность)",F96,Q96)+Статистика!$J$4))-Статистика!$C$10)/MAX(Статистика!$G$10-Статистика!$C$10,0.000001),NA()))</f>
        <v>0.53083386666666654</v>
      </c>
      <c r="BF96" s="12">
        <f>IF(A96="",NA(),IF(Статистика!$D$8="Вкл",(((IF(Статистика!$C$4="Параллельный режим (активная мощность)",E96,P96)+Статистика!$J$4))-Статистика!$C$10)/MAX(Статистика!$G$10-Статистика!$C$10,0.000001),NA()))</f>
        <v>0.44739416944444443</v>
      </c>
      <c r="BG96" s="12">
        <f>IF(A96="",NA(),IF(Статистика!$D$8="Вкл",(((IF(Статистика!$C$4="Параллельный режим (активная мощность)",G96,R96)+Статистика!$J$4))-Статистика!$C$10)/MAX(Статистика!$G$10-Статистика!$C$10,0.000001),NA()))</f>
        <v>0.59961947222222234</v>
      </c>
      <c r="BH96" s="12">
        <f>IF(A96="",NA(),IF(Статистика!$F$8="Вкл",(((IF(Статистика!$C$4="Параллельный режим (активная мощность)",D96,O96)+Статистика!$J$4))-Статистика!$C$10)/MAX(Статистика!$G$10-Статистика!$C$10,0.000001),NA()))</f>
        <v>0.35370934444444446</v>
      </c>
      <c r="BI96" s="12">
        <f>IF(A96="",NA(),IF(Статистика!$F$8="Вкл",(((IF(Статистика!$C$4="Параллельный режим (активная мощность)",H96,S96)+Статистика!$J$4))-Статистика!$C$10)/MAX(Статистика!$G$10-Статистика!$C$10,0.000001),NA()))</f>
        <v>0.65649200722222179</v>
      </c>
      <c r="BJ96" s="12">
        <f>IF(A96="",NA(),IF(Статистика!$H$8="Вкл",(((IF(Статистика!$C$4="Параллельный режим (активная мощность)",B96,M96)+Статистика!$J$4))-Статистика!$C$10)/MAX(Статистика!$G$10-Статистика!$C$10,0.000001),NA()))</f>
        <v>-1.2450493290555555</v>
      </c>
      <c r="BK96" s="12">
        <f>IF(A96="",NA(),IF(Статистика!$H$8="Вкл",(((IF(Статистика!$C$4="Параллельный режим (активная мощность)",J96,U96)+Статистика!$J$4))-Статистика!$C$10)/MAX(Статистика!$G$10-Статистика!$C$10,0.000001),NA()))</f>
        <v>0.68411730522222203</v>
      </c>
      <c r="BL96" s="12" t="e">
        <f>IF(A96="",NA(),IF(Статистика!$J$8="Вкл",(((IF(Статистика!$C$4="Параллельный режим (активная мощность)",K96,V96)+Статистика!$J$4))-Статистика!$C$10)/MAX(Статистика!$G$10-Статистика!$C$10,0.000001),NA()))</f>
        <v>#N/A</v>
      </c>
      <c r="BM96" s="12" t="e">
        <f>IF(AND(A96&lt;&gt;"",Статистика!$C$6="Вкл",Статистика!$B$6&gt;0),(Статистика!$B$6-Статистика!$C$10)/MAX(Статистика!$G$10-Статистика!$C$10,0.000001),NA())</f>
        <v>#N/A</v>
      </c>
      <c r="BN96" s="12" t="e">
        <f>IF(AND(A96&lt;&gt;"",Статистика!$F$6="Вкл",Статистика!$E$6&gt;0),(Статистика!$E$6-Статистика!$C$10)/MAX(Статистика!$G$10-Статистика!$C$10,0.000001),NA())</f>
        <v>#N/A</v>
      </c>
      <c r="BO96" s="12" t="e">
        <f>IF(AND(A96&lt;&gt;"",Статистика!$I$6="Вкл",Статистика!$H$6&gt;0),(Статистика!$H$6-Статистика!$C$10)/MAX(Статистика!$G$10-Статистика!$C$10,0.000001),NA())</f>
        <v>#N/A</v>
      </c>
      <c r="BP96" s="12" t="e">
        <f>IF(AND(A96&lt;&gt;"",Статистика!$L$6="Вкл",Статистика!$K$6&gt;0),(Статистика!$K$6-Статистика!$C$10)/MAX(Статистика!$G$10-Статистика!$C$10,0.000001),NA())</f>
        <v>#N/A</v>
      </c>
      <c r="BQ96" s="12" t="e">
        <f>IF(AND(A96&lt;&gt;"",Статистика!$M$6="Вкл",Статистика!$O$6&gt;0),(Статистика!$O$6-Статистика!$C$10)/MAX(Статистика!$G$10-Статистика!$C$10,0.000001),NA())</f>
        <v>#N/A</v>
      </c>
      <c r="BR96" s="12">
        <f t="shared" si="2"/>
        <v>1</v>
      </c>
      <c r="BT96" s="12">
        <f>IF(Y96="","",MAX(0,MIN(1,(((IF(Статистика!$C$4="Параллельный режим (активная мощность)",Z96,AK96)+Статистика!$J$4))-Статистика!$C$10)/MAX(Статистика!$G$10-Статистика!$C$10,0.000001))))</f>
        <v>0.42752501044444396</v>
      </c>
      <c r="BU96" s="12">
        <f>IF(Y96="","",MAX(0,MAX(0,MIN(1,(((IF(Статистика!$C$4="Параллельный режим (активная мощность)",AB96,AM96)+Статистика!$J$4))-Статистика!$C$10)/MAX(Статистика!$G$10-Статистика!$C$10,0.000001)))-MAX(0,MIN(1,(((IF(Статистика!$C$4="Параллельный режим (активная мощность)",Z96,AK96)+Статистика!$J$4))-Статистика!$C$10)/MAX(Статистика!$G$10-Статистика!$C$10,0.000001)))))</f>
        <v>1.2676994000000386E-2</v>
      </c>
      <c r="BV96" s="12">
        <f>IF(Y96="","",MAX(0,MAX(0,MIN(1,(((IF(Статистика!$C$4="Параллельный режим (активная мощность)",AC96,AN96)+Статистика!$J$4))-Статистика!$C$10)/MAX(Статистика!$G$10-Статистика!$C$10,0.000001)))-MAX(0,MIN(1,(((IF(Статистика!$C$4="Параллельный режим (активная мощность)",AB96,AM96)+Статистика!$J$4))-Статистика!$C$10)/MAX(Статистика!$G$10-Статистика!$C$10,0.000001)))))</f>
        <v>1.8802751111111349E-2</v>
      </c>
      <c r="BW96" s="12">
        <f>IF(Y96="","",MAX(0,MAX(0,MIN(1,(((IF(Статистика!$C$4="Параллельный режим (активная мощность)",AD96,AO96)+Статистика!$J$4))-Статистика!$C$10)/MAX(Статистика!$G$10-Статистика!$C$10,0.000001)))-MAX(0,MIN(1,(((IF(Статистика!$C$4="Параллельный режим (активная мощность)",AC96,AN96)+Статистика!$J$4))-Статистика!$C$10)/MAX(Статистика!$G$10-Статистика!$C$10,0.000001)))))</f>
        <v>6.8106122222222065E-2</v>
      </c>
      <c r="BX96" s="12">
        <f>IF(Y96="","",MAX(0,MAX(0,MIN(1,(((IF(Статистика!$C$4="Параллельный режим (активная мощность)",AE96,AP96)+Статистика!$J$4))-Статистика!$C$10)/MAX(Статистика!$G$10-Статистика!$C$10,0.000001)))-MAX(0,MIN(1,(((IF(Статистика!$C$4="Параллельный режим (активная мощность)",AD96,AO96)+Статистика!$J$4))-Статистика!$C$10)/MAX(Статистика!$G$10-Статистика!$C$10,0.000001)))))</f>
        <v>6.7298227777777719E-2</v>
      </c>
      <c r="BY96" s="12">
        <f>IF(Y96="","",MAX(0,MAX(0,MIN(1,(((IF(Статистика!$C$4="Параллельный режим (активная мощность)",AF96,AQ96)+Статистика!$J$4))-Статистика!$C$10)/MAX(Статистика!$G$10-Статистика!$C$10,0.000001)))-MAX(0,MIN(1,(((IF(Статистика!$C$4="Параллельный режим (активная мощность)",AE96,AP96)+Статистика!$J$4))-Статистика!$C$10)/MAX(Статистика!$G$10-Статистика!$C$10,0.000001)))))</f>
        <v>0.11967734333333313</v>
      </c>
      <c r="BZ96" s="12">
        <f>IF(Y96="","",MAX(0,MAX(0,MIN(1,(((IF(Статистика!$C$4="Параллельный режим (активная мощность)",AH96,AS96)+Статистика!$J$4))-Статистика!$C$10)/MAX(Статистика!$G$10-Статистика!$C$10,0.000001)))-MAX(0,MIN(1,(((IF(Статистика!$C$4="Параллельный режим (активная мощность)",AF96,AQ96)+Статистика!$J$4))-Статистика!$C$10)/MAX(Статистика!$G$10-Статистика!$C$10,0.000001)))))</f>
        <v>8.7391259999998194E-3</v>
      </c>
      <c r="CA96" s="12">
        <f>IF(Y96="","",MAX(0,1-MAX(0,MIN(1,(((IF(Статистика!$C$4="Параллельный режим (активная мощность)",AH96,AS96)+Статистика!$J$4))-Статистика!$C$10)/MAX(Статистика!$G$10-Статистика!$C$10,0.000001)))))</f>
        <v>0.27717442511111157</v>
      </c>
      <c r="CB96" s="12">
        <f>IF(Y96="",NA(),IF(Статистика!$B$8="Вкл",(((IF(Статистика!$C$4="Параллельный режим (активная мощность)",AD96,AO96)+Статистика!$J$4))-Статистика!$C$10)/MAX(Статистика!$G$10-Статистика!$C$10,0.000001),NA()))</f>
        <v>0.52711087777777776</v>
      </c>
      <c r="CC96" s="12">
        <f>IF(Y96="",NA(),IF(Статистика!$D$8="Вкл",(((IF(Статистика!$C$4="Параллельный режим (активная мощность)",AC96,AN96)+Статистика!$J$4))-Статистика!$C$10)/MAX(Статистика!$G$10-Статистика!$C$10,0.000001),NA()))</f>
        <v>0.4590047555555557</v>
      </c>
      <c r="CD96" s="12">
        <f>IF(Y96="",NA(),IF(Статистика!$D$8="Вкл",(((IF(Статистика!$C$4="Параллельный режим (активная мощность)",AE96,AP96)+Статистика!$J$4))-Статистика!$C$10)/MAX(Статистика!$G$10-Статистика!$C$10,0.000001),NA()))</f>
        <v>0.59440910555555548</v>
      </c>
      <c r="CE96" s="12">
        <f>IF(Y96="",NA(),IF(Статистика!$F$8="Вкл",(((IF(Статистика!$C$4="Параллельный режим (активная мощность)",AB96,AM96)+Статистика!$J$4))-Статистика!$C$10)/MAX(Статистика!$G$10-Статистика!$C$10,0.000001),NA()))</f>
        <v>0.44020200444444435</v>
      </c>
      <c r="CF96" s="12">
        <f>IF(Y96="",NA(),IF(Статистика!$F$8="Вкл",(((IF(Статистика!$C$4="Параллельный режим (активная мощность)",AF96,AQ96)+Статистика!$J$4))-Статистика!$C$10)/MAX(Статистика!$G$10-Статистика!$C$10,0.000001),NA()))</f>
        <v>0.71408644888888861</v>
      </c>
      <c r="CG96" s="12">
        <f>IF(Y96="",NA(),IF(Статистика!$H$8="Вкл",(((IF(Статистика!$C$4="Параллельный режим (активная мощность)",Z96,AK96)+Статистика!$J$4))-Статистика!$C$10)/MAX(Статистика!$G$10-Статистика!$C$10,0.000001),NA()))</f>
        <v>0.42752501044444396</v>
      </c>
      <c r="CH96" s="12">
        <f>IF(Y96="",NA(),IF(Статистика!$H$8="Вкл",(((IF(Статистика!$C$4="Параллельный режим (активная мощность)",AH96,AS96)+Статистика!$J$4))-Статистика!$C$10)/MAX(Статистика!$G$10-Статистика!$C$10,0.000001),NA()))</f>
        <v>0.72282557488888843</v>
      </c>
      <c r="CI96" s="12" t="e">
        <f>IF(Y96="",NA(),IF(Статистика!$J$8="Вкл",(((IF(Статистика!$C$4="Параллельный режим (активная мощность)",AI96,AT96)+Статистика!$J$4))-Статистика!$C$10)/MAX(Статистика!$G$10-Статистика!$C$10,0.000001),NA()))</f>
        <v>#N/A</v>
      </c>
      <c r="CJ96" s="12" t="e">
        <f>IF(AND(Y96&lt;&gt;"",Статистика!$C$6="Вкл",Статистика!$B$6&gt;0),(Статистика!$B$6-Статистика!$C$10)/MAX(Статистика!$G$10-Статистика!$C$10,0.000001),NA())</f>
        <v>#N/A</v>
      </c>
      <c r="CK96" s="12" t="e">
        <f>IF(AND(Y96&lt;&gt;"",Статистика!$F$6="Вкл",Статистика!$E$6&gt;0),(Статистика!$E$6-Статистика!$C$10)/MAX(Статистика!$G$10-Статистика!$C$10,0.000001),NA())</f>
        <v>#N/A</v>
      </c>
      <c r="CL96" s="12" t="e">
        <f>IF(AND(Y96&lt;&gt;"",Статистика!$I$6="Вкл",Статистика!$H$6&gt;0),(Статистика!$H$6-Статистика!$C$10)/MAX(Статистика!$G$10-Статистика!$C$10,0.000001),NA())</f>
        <v>#N/A</v>
      </c>
      <c r="CM96" s="12" t="e">
        <f>IF(AND(Y96&lt;&gt;"",Статистика!$L$6="Вкл",Статистика!$K$6&gt;0),(Статистика!$K$6-Статистика!$C$10)/MAX(Статистика!$G$10-Статистика!$C$10,0.000001),NA())</f>
        <v>#N/A</v>
      </c>
      <c r="CN96" s="12" t="e">
        <f>IF(AND(Y96&lt;&gt;"",Статистика!$M$6="Вкл",Статистика!$O$6&gt;0),(Статистика!$O$6-Статистика!$C$10)/MAX(Статистика!$G$10-Статистика!$C$10,0.000001),NA())</f>
        <v>#N/A</v>
      </c>
      <c r="CO96" s="12">
        <f t="shared" si="3"/>
        <v>1</v>
      </c>
    </row>
    <row r="97" spans="1:93" ht="15" customHeight="1">
      <c r="A97" s="12" t="s">
        <v>450</v>
      </c>
      <c r="B97" s="12">
        <v>2259.6035100000004</v>
      </c>
      <c r="C97" s="12">
        <v>5469.275950000002</v>
      </c>
      <c r="D97" s="12">
        <v>7047.8806650000015</v>
      </c>
      <c r="E97" s="12">
        <v>7256.0170666666672</v>
      </c>
      <c r="F97" s="12">
        <v>7532.0319166666668</v>
      </c>
      <c r="G97" s="12">
        <v>7757.4765416666669</v>
      </c>
      <c r="H97" s="12">
        <v>7960.1492633333328</v>
      </c>
      <c r="I97" s="12">
        <v>7977.0195741666657</v>
      </c>
      <c r="J97" s="12">
        <v>7996.441434833333</v>
      </c>
      <c r="K97" s="12">
        <v>8213.61</v>
      </c>
      <c r="L97" s="12" t="s">
        <v>451</v>
      </c>
      <c r="M97" s="12">
        <v>2756.0691653333333</v>
      </c>
      <c r="N97" s="12">
        <v>6244.3563600000016</v>
      </c>
      <c r="O97" s="12">
        <v>7935.2266733333336</v>
      </c>
      <c r="P97" s="12">
        <v>8159.8151666666672</v>
      </c>
      <c r="Q97" s="12">
        <v>8465.1828333333324</v>
      </c>
      <c r="R97" s="12">
        <v>8720.6416250000002</v>
      </c>
      <c r="S97" s="12">
        <v>8856.3327583333321</v>
      </c>
      <c r="T97" s="12">
        <v>8859.6086591666663</v>
      </c>
      <c r="U97" s="12">
        <v>8861.8146118333334</v>
      </c>
      <c r="V97" s="12">
        <v>9073.1200000000008</v>
      </c>
      <c r="W97" s="12" t="s">
        <v>452</v>
      </c>
      <c r="Y97" s="12" t="s">
        <v>450</v>
      </c>
      <c r="Z97" s="12">
        <v>7278.8193615</v>
      </c>
      <c r="AA97" s="12">
        <v>7294.531607500001</v>
      </c>
      <c r="AB97" s="12">
        <v>7314.1719150000017</v>
      </c>
      <c r="AC97" s="12">
        <v>7370.286133333334</v>
      </c>
      <c r="AD97" s="12">
        <v>7578.7212500000005</v>
      </c>
      <c r="AE97" s="12">
        <v>7719.1058999999996</v>
      </c>
      <c r="AF97" s="12">
        <v>8123.6720016666668</v>
      </c>
      <c r="AG97" s="12">
        <v>8133.4580508333329</v>
      </c>
      <c r="AH97" s="12">
        <v>8141.2868901666661</v>
      </c>
      <c r="AI97" s="12">
        <v>8314.77</v>
      </c>
      <c r="AJ97" s="12" t="s">
        <v>453</v>
      </c>
      <c r="AK97" s="12">
        <v>8226.0523785000005</v>
      </c>
      <c r="AL97" s="12">
        <v>8232.1864258333335</v>
      </c>
      <c r="AM97" s="12">
        <v>8239.8539849999997</v>
      </c>
      <c r="AN97" s="12">
        <v>8322.7177333333329</v>
      </c>
      <c r="AO97" s="12">
        <v>8499.7719333333334</v>
      </c>
      <c r="AP97" s="12">
        <v>8719.605524999999</v>
      </c>
      <c r="AQ97" s="12">
        <v>9039.376091666667</v>
      </c>
      <c r="AR97" s="12">
        <v>9075.7211458333331</v>
      </c>
      <c r="AS97" s="12">
        <v>9104.7971891666657</v>
      </c>
      <c r="AT97" s="12">
        <v>9273.39</v>
      </c>
      <c r="AU97" s="12" t="s">
        <v>453</v>
      </c>
      <c r="AW97" s="12">
        <f>IF(A97="","",MAX(0,MIN(1,(((IF(Статистика!$C$4="Параллельный режим (активная мощность)",B97,M97)+Статистика!$J$4))-Статистика!$C$10)/MAX(Статистика!$G$10-Статистика!$C$10,0.000001))))</f>
        <v>0</v>
      </c>
      <c r="AX97" s="12">
        <f>IF(A97="","",MAX(0,MAX(0,MIN(1,(((IF(Статистика!$C$4="Параллельный режим (активная мощность)",D97,O97)+Статистика!$J$4))-Статистика!$C$10)/MAX(Статистика!$G$10-Статистика!$C$10,0.000001)))-MAX(0,MIN(1,(((IF(Статистика!$C$4="Параллельный режим (активная мощность)",B97,M97)+Статистика!$J$4))-Статистика!$C$10)/MAX(Статистика!$G$10-Статистика!$C$10,0.000001)))))</f>
        <v>0.34929355500000048</v>
      </c>
      <c r="AY97" s="12">
        <f>IF(A97="","",MAX(0,MAX(0,MIN(1,(((IF(Статистика!$C$4="Параллельный режим (активная мощность)",E97,P97)+Статистика!$J$4))-Статистика!$C$10)/MAX(Статистика!$G$10-Статистика!$C$10,0.000001)))-MAX(0,MIN(1,(((IF(Статистика!$C$4="Параллельный режим (активная мощность)",D97,O97)+Статистика!$J$4))-Статистика!$C$10)/MAX(Статистика!$G$10-Статистика!$C$10,0.000001)))))</f>
        <v>6.9378800555555287E-2</v>
      </c>
      <c r="AZ97" s="12">
        <f>IF(A97="","",MAX(0,MAX(0,MIN(1,(((IF(Статистика!$C$4="Параллельный режим (активная мощность)",F97,Q97)+Статистика!$J$4))-Статистика!$C$10)/MAX(Статистика!$G$10-Статистика!$C$10,0.000001)))-MAX(0,MIN(1,(((IF(Статистика!$C$4="Параллельный режим (активная мощность)",E97,P97)+Статистика!$J$4))-Статистика!$C$10)/MAX(Статистика!$G$10-Статистика!$C$10,0.000001)))))</f>
        <v>9.2004949999999808E-2</v>
      </c>
      <c r="BA97" s="12">
        <f>IF(A97="","",MAX(0,MAX(0,MIN(1,(((IF(Статистика!$C$4="Параллельный режим (активная мощность)",G97,R97)+Статистика!$J$4))-Статистика!$C$10)/MAX(Статистика!$G$10-Статистика!$C$10,0.000001)))-MAX(0,MIN(1,(((IF(Статистика!$C$4="Параллельный режим (активная мощность)",F97,Q97)+Статистика!$J$4))-Статистика!$C$10)/MAX(Статистика!$G$10-Статистика!$C$10,0.000001)))))</f>
        <v>7.5148208333333355E-2</v>
      </c>
      <c r="BB97" s="12">
        <f>IF(A97="","",MAX(0,MAX(0,MIN(1,(((IF(Статистика!$C$4="Параллельный режим (активная мощность)",H97,S97)+Статистика!$J$4))-Статистика!$C$10)/MAX(Статистика!$G$10-Статистика!$C$10,0.000001)))-MAX(0,MIN(1,(((IF(Статистика!$C$4="Параллельный режим (активная мощность)",G97,R97)+Статистика!$J$4))-Статистика!$C$10)/MAX(Статистика!$G$10-Статистика!$C$10,0.000001)))))</f>
        <v>6.7557573888888722E-2</v>
      </c>
      <c r="BC97" s="12">
        <f>IF(A97="","",MAX(0,MAX(0,MIN(1,(((IF(Статистика!$C$4="Параллельный режим (активная мощность)",J97,U97)+Статистика!$J$4))-Статистика!$C$10)/MAX(Статистика!$G$10-Статистика!$C$10,0.000001)))-MAX(0,MIN(1,(((IF(Статистика!$C$4="Параллельный режим (активная мощность)",H97,S97)+Статистика!$J$4))-Статистика!$C$10)/MAX(Статистика!$G$10-Статистика!$C$10,0.000001)))))</f>
        <v>1.2097390500000027E-2</v>
      </c>
      <c r="BD97" s="12">
        <f>IF(A97="","",MAX(0,1-MAX(0,MIN(1,(((IF(Статистика!$C$4="Параллельный режим (активная мощность)",J97,U97)+Статистика!$J$4))-Статистика!$C$10)/MAX(Статистика!$G$10-Статистика!$C$10,0.000001)))))</f>
        <v>0.33451952172222232</v>
      </c>
      <c r="BE97" s="12">
        <f>IF(A97="",NA(),IF(Статистика!$B$8="Вкл",(((IF(Статистика!$C$4="Параллельный режим (активная мощность)",F97,Q97)+Статистика!$J$4))-Статистика!$C$10)/MAX(Статистика!$G$10-Статистика!$C$10,0.000001),NA()))</f>
        <v>0.51067730555555557</v>
      </c>
      <c r="BF97" s="12">
        <f>IF(A97="",NA(),IF(Статистика!$D$8="Вкл",(((IF(Статистика!$C$4="Параллельный режим (активная мощность)",E97,P97)+Статистика!$J$4))-Статистика!$C$10)/MAX(Статистика!$G$10-Статистика!$C$10,0.000001),NA()))</f>
        <v>0.41867235555555576</v>
      </c>
      <c r="BG97" s="12">
        <f>IF(A97="",NA(),IF(Статистика!$D$8="Вкл",(((IF(Статистика!$C$4="Параллельный режим (активная мощность)",G97,R97)+Статистика!$J$4))-Статистика!$C$10)/MAX(Статистика!$G$10-Статистика!$C$10,0.000001),NA()))</f>
        <v>0.58582551388888893</v>
      </c>
      <c r="BH97" s="12">
        <f>IF(A97="",NA(),IF(Статистика!$F$8="Вкл",(((IF(Статистика!$C$4="Параллельный режим (активная мощность)",D97,O97)+Статистика!$J$4))-Статистика!$C$10)/MAX(Статистика!$G$10-Статистика!$C$10,0.000001),NA()))</f>
        <v>0.34929355500000048</v>
      </c>
      <c r="BI97" s="12">
        <f>IF(A97="",NA(),IF(Статистика!$F$8="Вкл",(((IF(Статистика!$C$4="Параллельный режим (активная мощность)",H97,S97)+Статистика!$J$4))-Статистика!$C$10)/MAX(Статистика!$G$10-Статистика!$C$10,0.000001),NA()))</f>
        <v>0.65338308777777765</v>
      </c>
      <c r="BJ97" s="12">
        <f>IF(A97="",NA(),IF(Статистика!$H$8="Вкл",(((IF(Статистика!$C$4="Параллельный режим (активная мощность)",B97,M97)+Статистика!$J$4))-Статистика!$C$10)/MAX(Статистика!$G$10-Статистика!$C$10,0.000001),NA()))</f>
        <v>-1.2467988299999999</v>
      </c>
      <c r="BK97" s="12">
        <f>IF(A97="",NA(),IF(Статистика!$H$8="Вкл",(((IF(Статистика!$C$4="Параллельный режим (активная мощность)",J97,U97)+Статистика!$J$4))-Статистика!$C$10)/MAX(Статистика!$G$10-Статистика!$C$10,0.000001),NA()))</f>
        <v>0.66548047827777768</v>
      </c>
      <c r="BL97" s="12" t="e">
        <f>IF(A97="",NA(),IF(Статистика!$J$8="Вкл",(((IF(Статистика!$C$4="Параллельный режим (активная мощность)",K97,V97)+Статистика!$J$4))-Статистика!$C$10)/MAX(Статистика!$G$10-Статистика!$C$10,0.000001),NA()))</f>
        <v>#N/A</v>
      </c>
      <c r="BM97" s="12" t="e">
        <f>IF(AND(A97&lt;&gt;"",Статистика!$C$6="Вкл",Статистика!$B$6&gt;0),(Статистика!$B$6-Статистика!$C$10)/MAX(Статистика!$G$10-Статистика!$C$10,0.000001),NA())</f>
        <v>#N/A</v>
      </c>
      <c r="BN97" s="12" t="e">
        <f>IF(AND(A97&lt;&gt;"",Статистика!$F$6="Вкл",Статистика!$E$6&gt;0),(Статистика!$E$6-Статистика!$C$10)/MAX(Статистика!$G$10-Статистика!$C$10,0.000001),NA())</f>
        <v>#N/A</v>
      </c>
      <c r="BO97" s="12" t="e">
        <f>IF(AND(A97&lt;&gt;"",Статистика!$I$6="Вкл",Статистика!$H$6&gt;0),(Статистика!$H$6-Статистика!$C$10)/MAX(Статистика!$G$10-Статистика!$C$10,0.000001),NA())</f>
        <v>#N/A</v>
      </c>
      <c r="BP97" s="12" t="e">
        <f>IF(AND(A97&lt;&gt;"",Статистика!$L$6="Вкл",Статистика!$K$6&gt;0),(Статистика!$K$6-Статистика!$C$10)/MAX(Статистика!$G$10-Статистика!$C$10,0.000001),NA())</f>
        <v>#N/A</v>
      </c>
      <c r="BQ97" s="12" t="e">
        <f>IF(AND(A97&lt;&gt;"",Статистика!$M$6="Вкл",Статистика!$O$6&gt;0),(Статистика!$O$6-Статистика!$C$10)/MAX(Статистика!$G$10-Статистика!$C$10,0.000001),NA())</f>
        <v>#N/A</v>
      </c>
      <c r="BR97" s="12">
        <f t="shared" si="2"/>
        <v>1</v>
      </c>
      <c r="BT97" s="12">
        <f>IF(Y97="","",MAX(0,MIN(1,(((IF(Статистика!$C$4="Параллельный режим (активная мощность)",Z97,AK97)+Статистика!$J$4))-Статистика!$C$10)/MAX(Статистика!$G$10-Статистика!$C$10,0.000001))))</f>
        <v>0.42627312049999999</v>
      </c>
      <c r="BU97" s="12">
        <f>IF(Y97="","",MAX(0,MAX(0,MIN(1,(((IF(Статистика!$C$4="Параллельный режим (активная мощность)",AB97,AM97)+Статистика!$J$4))-Статистика!$C$10)/MAX(Статистика!$G$10-Статистика!$C$10,0.000001)))-MAX(0,MIN(1,(((IF(Статистика!$C$4="Параллельный режим (активная мощность)",Z97,AK97)+Статистика!$J$4))-Статистика!$C$10)/MAX(Статистика!$G$10-Статистика!$C$10,0.000001)))))</f>
        <v>1.1784184500000572E-2</v>
      </c>
      <c r="BV97" s="12">
        <f>IF(Y97="","",MAX(0,MAX(0,MIN(1,(((IF(Статистика!$C$4="Параллельный режим (активная мощность)",AC97,AN97)+Статистика!$J$4))-Статистика!$C$10)/MAX(Статистика!$G$10-Статистика!$C$10,0.000001)))-MAX(0,MIN(1,(((IF(Статистика!$C$4="Параллельный режим (активная мощность)",AB97,AM97)+Статистика!$J$4))-Статистика!$C$10)/MAX(Статистика!$G$10-Статистика!$C$10,0.000001)))))</f>
        <v>1.8704739444444118E-2</v>
      </c>
      <c r="BW97" s="12">
        <f>IF(Y97="","",MAX(0,MAX(0,MIN(1,(((IF(Статистика!$C$4="Параллельный режим (активная мощность)",AD97,AO97)+Статистика!$J$4))-Статистика!$C$10)/MAX(Статистика!$G$10-Статистика!$C$10,0.000001)))-MAX(0,MIN(1,(((IF(Статистика!$C$4="Параллельный режим (активная мощность)",AC97,AN97)+Статистика!$J$4))-Статистика!$C$10)/MAX(Статистика!$G$10-Статистика!$C$10,0.000001)))))</f>
        <v>6.9478372222222196E-2</v>
      </c>
      <c r="BX97" s="12">
        <f>IF(Y97="","",MAX(0,MAX(0,MIN(1,(((IF(Статистика!$C$4="Параллельный режим (активная мощность)",AE97,AP97)+Статистика!$J$4))-Статистика!$C$10)/MAX(Статистика!$G$10-Статистика!$C$10,0.000001)))-MAX(0,MIN(1,(((IF(Статистика!$C$4="Параллельный режим (активная мощность)",AD97,AO97)+Статистика!$J$4))-Статистика!$C$10)/MAX(Статистика!$G$10-Статистика!$C$10,0.000001)))))</f>
        <v>4.6794883333332926E-2</v>
      </c>
      <c r="BY97" s="12">
        <f>IF(Y97="","",MAX(0,MAX(0,MIN(1,(((IF(Статистика!$C$4="Параллельный режим (активная мощность)",AF97,AQ97)+Статистика!$J$4))-Статистика!$C$10)/MAX(Статистика!$G$10-Статистика!$C$10,0.000001)))-MAX(0,MIN(1,(((IF(Статистика!$C$4="Параллельный режим (активная мощность)",AE97,AP97)+Статистика!$J$4))-Статистика!$C$10)/MAX(Статистика!$G$10-Статистика!$C$10,0.000001)))))</f>
        <v>0.13485536722222247</v>
      </c>
      <c r="BZ97" s="12">
        <f>IF(Y97="","",MAX(0,MAX(0,MIN(1,(((IF(Статистика!$C$4="Параллельный режим (активная мощность)",AH97,AS97)+Статистика!$J$4))-Статистика!$C$10)/MAX(Статистика!$G$10-Статистика!$C$10,0.000001)))-MAX(0,MIN(1,(((IF(Статистика!$C$4="Параллельный режим (активная мощность)",AF97,AQ97)+Статистика!$J$4))-Статистика!$C$10)/MAX(Статистика!$G$10-Статистика!$C$10,0.000001)))))</f>
        <v>5.8716294999997531E-3</v>
      </c>
      <c r="CA97" s="12">
        <f>IF(Y97="","",MAX(0,1-MAX(0,MIN(1,(((IF(Статистика!$C$4="Параллельный режим (активная мощность)",AH97,AS97)+Статистика!$J$4))-Статистика!$C$10)/MAX(Статистика!$G$10-Статистика!$C$10,0.000001)))))</f>
        <v>0.28623770327777798</v>
      </c>
      <c r="CB97" s="12">
        <f>IF(Y97="",NA(),IF(Статистика!$B$8="Вкл",(((IF(Статистика!$C$4="Параллельный режим (активная мощность)",AD97,AO97)+Статистика!$J$4))-Статистика!$C$10)/MAX(Статистика!$G$10-Статистика!$C$10,0.000001),NA()))</f>
        <v>0.52624041666666688</v>
      </c>
      <c r="CC97" s="12">
        <f>IF(Y97="",NA(),IF(Статистика!$D$8="Вкл",(((IF(Статистика!$C$4="Параллельный режим (активная мощность)",AC97,AN97)+Статистика!$J$4))-Статистика!$C$10)/MAX(Статистика!$G$10-Статистика!$C$10,0.000001),NA()))</f>
        <v>0.45676204444444468</v>
      </c>
      <c r="CD97" s="12">
        <f>IF(Y97="",NA(),IF(Статистика!$D$8="Вкл",(((IF(Статистика!$C$4="Параллельный режим (активная мощность)",AE97,AP97)+Статистика!$J$4))-Статистика!$C$10)/MAX(Статистика!$G$10-Статистика!$C$10,0.000001),NA()))</f>
        <v>0.5730352999999998</v>
      </c>
      <c r="CE97" s="12">
        <f>IF(Y97="",NA(),IF(Статистика!$F$8="Вкл",(((IF(Статистика!$C$4="Параллельный режим (активная мощность)",AB97,AM97)+Статистика!$J$4))-Статистика!$C$10)/MAX(Статистика!$G$10-Статистика!$C$10,0.000001),NA()))</f>
        <v>0.43805730500000056</v>
      </c>
      <c r="CF97" s="12">
        <f>IF(Y97="",NA(),IF(Статистика!$F$8="Вкл",(((IF(Статистика!$C$4="Параллельный режим (активная мощность)",AF97,AQ97)+Статистика!$J$4))-Статистика!$C$10)/MAX(Статистика!$G$10-Статистика!$C$10,0.000001),NA()))</f>
        <v>0.70789066722222227</v>
      </c>
      <c r="CG97" s="12">
        <f>IF(Y97="",NA(),IF(Статистика!$H$8="Вкл",(((IF(Статистика!$C$4="Параллельный режим (активная мощность)",Z97,AK97)+Статистика!$J$4))-Статистика!$C$10)/MAX(Статистика!$G$10-Статистика!$C$10,0.000001),NA()))</f>
        <v>0.42627312049999999</v>
      </c>
      <c r="CH97" s="12">
        <f>IF(Y97="",NA(),IF(Статистика!$H$8="Вкл",(((IF(Статистика!$C$4="Параллельный режим (активная мощность)",AH97,AS97)+Статистика!$J$4))-Статистика!$C$10)/MAX(Статистика!$G$10-Статистика!$C$10,0.000001),NA()))</f>
        <v>0.71376229672222202</v>
      </c>
      <c r="CI97" s="12" t="e">
        <f>IF(Y97="",NA(),IF(Статистика!$J$8="Вкл",(((IF(Статистика!$C$4="Параллельный режим (активная мощность)",AI97,AT97)+Статистика!$J$4))-Статистика!$C$10)/MAX(Статистика!$G$10-Статистика!$C$10,0.000001),NA()))</f>
        <v>#N/A</v>
      </c>
      <c r="CJ97" s="12" t="e">
        <f>IF(AND(Y97&lt;&gt;"",Статистика!$C$6="Вкл",Статистика!$B$6&gt;0),(Статистика!$B$6-Статистика!$C$10)/MAX(Статистика!$G$10-Статистика!$C$10,0.000001),NA())</f>
        <v>#N/A</v>
      </c>
      <c r="CK97" s="12" t="e">
        <f>IF(AND(Y97&lt;&gt;"",Статистика!$F$6="Вкл",Статистика!$E$6&gt;0),(Статистика!$E$6-Статистика!$C$10)/MAX(Статистика!$G$10-Статистика!$C$10,0.000001),NA())</f>
        <v>#N/A</v>
      </c>
      <c r="CL97" s="12" t="e">
        <f>IF(AND(Y97&lt;&gt;"",Статистика!$I$6="Вкл",Статистика!$H$6&gt;0),(Статистика!$H$6-Статистика!$C$10)/MAX(Статистика!$G$10-Статистика!$C$10,0.000001),NA())</f>
        <v>#N/A</v>
      </c>
      <c r="CM97" s="12" t="e">
        <f>IF(AND(Y97&lt;&gt;"",Статистика!$L$6="Вкл",Статистика!$K$6&gt;0),(Статистика!$K$6-Статистика!$C$10)/MAX(Статистика!$G$10-Статистика!$C$10,0.000001),NA())</f>
        <v>#N/A</v>
      </c>
      <c r="CN97" s="12" t="e">
        <f>IF(AND(Y97&lt;&gt;"",Статистика!$M$6="Вкл",Статистика!$O$6&gt;0),(Статистика!$O$6-Статистика!$C$10)/MAX(Статистика!$G$10-Статистика!$C$10,0.000001),NA())</f>
        <v>#N/A</v>
      </c>
      <c r="CO97" s="12">
        <f t="shared" si="3"/>
        <v>1</v>
      </c>
    </row>
    <row r="98" spans="1:93" ht="15" customHeight="1">
      <c r="A98" s="12" t="s">
        <v>454</v>
      </c>
      <c r="B98" s="12">
        <v>2272.7535601666668</v>
      </c>
      <c r="C98" s="12">
        <v>5505.5480675000008</v>
      </c>
      <c r="D98" s="12">
        <v>7064.171926666666</v>
      </c>
      <c r="E98" s="12">
        <v>7228.8629500000006</v>
      </c>
      <c r="F98" s="12">
        <v>7490.6921499999999</v>
      </c>
      <c r="G98" s="12">
        <v>7756.9250833333335</v>
      </c>
      <c r="H98" s="12">
        <v>7953.2678133333329</v>
      </c>
      <c r="I98" s="12">
        <v>7999.8184949999995</v>
      </c>
      <c r="J98" s="12">
        <v>8050.2269523333334</v>
      </c>
      <c r="K98" s="12">
        <v>8247.34</v>
      </c>
      <c r="L98" s="12" t="s">
        <v>455</v>
      </c>
      <c r="M98" s="12">
        <v>2755.7707363333329</v>
      </c>
      <c r="N98" s="12">
        <v>6274.8055483333337</v>
      </c>
      <c r="O98" s="12">
        <v>7948.6958533333327</v>
      </c>
      <c r="P98" s="12">
        <v>8131.3670750000001</v>
      </c>
      <c r="Q98" s="12">
        <v>8423.5560333333342</v>
      </c>
      <c r="R98" s="12">
        <v>8710.5089583333356</v>
      </c>
      <c r="S98" s="12">
        <v>8859.3772149999986</v>
      </c>
      <c r="T98" s="12">
        <v>8879.5219258333309</v>
      </c>
      <c r="U98" s="12">
        <v>8902.8189984999972</v>
      </c>
      <c r="V98" s="12">
        <v>9071.7999999999993</v>
      </c>
      <c r="W98" s="12" t="s">
        <v>455</v>
      </c>
      <c r="Y98" s="12" t="s">
        <v>454</v>
      </c>
      <c r="Z98" s="12">
        <v>7206.0723513333342</v>
      </c>
      <c r="AA98" s="12">
        <v>7229.699090000001</v>
      </c>
      <c r="AB98" s="12">
        <v>7259.2325133333334</v>
      </c>
      <c r="AC98" s="12">
        <v>7321.5706249999985</v>
      </c>
      <c r="AD98" s="12">
        <v>7555.2551666666668</v>
      </c>
      <c r="AE98" s="12">
        <v>7729.8285166666674</v>
      </c>
      <c r="AF98" s="12">
        <v>8093.9638766666667</v>
      </c>
      <c r="AG98" s="12">
        <v>8095.0124883333328</v>
      </c>
      <c r="AH98" s="12">
        <v>8095.8513776666668</v>
      </c>
      <c r="AI98" s="12">
        <v>8241.6</v>
      </c>
      <c r="AJ98" s="12" t="s">
        <v>456</v>
      </c>
      <c r="AK98" s="12">
        <v>8178.9062151666667</v>
      </c>
      <c r="AL98" s="12">
        <v>8179.0080091666669</v>
      </c>
      <c r="AM98" s="12">
        <v>8179.1352516666666</v>
      </c>
      <c r="AN98" s="12">
        <v>8259.6731749999999</v>
      </c>
      <c r="AO98" s="12">
        <v>8467.4978333333329</v>
      </c>
      <c r="AP98" s="12">
        <v>8710.6225083333338</v>
      </c>
      <c r="AQ98" s="12">
        <v>9005.3995450000002</v>
      </c>
      <c r="AR98" s="12">
        <v>9026.6447891666667</v>
      </c>
      <c r="AS98" s="12">
        <v>9043.6409844999998</v>
      </c>
      <c r="AT98" s="12">
        <v>9170.7000000000007</v>
      </c>
      <c r="AU98" s="12" t="s">
        <v>457</v>
      </c>
      <c r="AW98" s="12">
        <f>IF(A98="","",MAX(0,MIN(1,(((IF(Статистика!$C$4="Параллельный режим (активная мощность)",B98,M98)+Статистика!$J$4))-Статистика!$C$10)/MAX(Статистика!$G$10-Статистика!$C$10,0.000001))))</f>
        <v>0</v>
      </c>
      <c r="AX98" s="12">
        <f>IF(A98="","",MAX(0,MAX(0,MIN(1,(((IF(Статистика!$C$4="Параллельный режим (активная мощность)",D98,O98)+Статистика!$J$4))-Статистика!$C$10)/MAX(Статистика!$G$10-Статистика!$C$10,0.000001)))-MAX(0,MIN(1,(((IF(Статистика!$C$4="Параллельный режим (активная мощность)",B98,M98)+Статистика!$J$4))-Статистика!$C$10)/MAX(Статистика!$G$10-Статистика!$C$10,0.000001)))))</f>
        <v>0.35472397555555535</v>
      </c>
      <c r="AY98" s="12">
        <f>IF(A98="","",MAX(0,MAX(0,MIN(1,(((IF(Статистика!$C$4="Параллельный режим (активная мощность)",E98,P98)+Статистика!$J$4))-Статистика!$C$10)/MAX(Статистика!$G$10-Статистика!$C$10,0.000001)))-MAX(0,MIN(1,(((IF(Статистика!$C$4="Параллельный режим (активная мощность)",D98,O98)+Статистика!$J$4))-Статистика!$C$10)/MAX(Статистика!$G$10-Статистика!$C$10,0.000001)))))</f>
        <v>5.4897007777778173E-2</v>
      </c>
      <c r="AZ98" s="12">
        <f>IF(A98="","",MAX(0,MAX(0,MIN(1,(((IF(Статистика!$C$4="Параллельный режим (активная мощность)",F98,Q98)+Статистика!$J$4))-Статистика!$C$10)/MAX(Статистика!$G$10-Статистика!$C$10,0.000001)))-MAX(0,MIN(1,(((IF(Статистика!$C$4="Параллельный режим (активная мощность)",E98,P98)+Статистика!$J$4))-Статистика!$C$10)/MAX(Статистика!$G$10-Статистика!$C$10,0.000001)))))</f>
        <v>8.7276399999999754E-2</v>
      </c>
      <c r="BA98" s="12">
        <f>IF(A98="","",MAX(0,MAX(0,MIN(1,(((IF(Статистика!$C$4="Параллельный режим (активная мощность)",G98,R98)+Статистика!$J$4))-Статистика!$C$10)/MAX(Статистика!$G$10-Статистика!$C$10,0.000001)))-MAX(0,MIN(1,(((IF(Статистика!$C$4="Параллельный режим (активная мощность)",F98,Q98)+Статистика!$J$4))-Статистика!$C$10)/MAX(Статистика!$G$10-Статистика!$C$10,0.000001)))))</f>
        <v>8.8744311111111196E-2</v>
      </c>
      <c r="BB98" s="12">
        <f>IF(A98="","",MAX(0,MAX(0,MIN(1,(((IF(Статистика!$C$4="Параллельный режим (активная мощность)",H98,S98)+Статистика!$J$4))-Статистика!$C$10)/MAX(Статистика!$G$10-Статистика!$C$10,0.000001)))-MAX(0,MIN(1,(((IF(Статистика!$C$4="Параллельный режим (активная мощность)",G98,R98)+Статистика!$J$4))-Статистика!$C$10)/MAX(Статистика!$G$10-Статистика!$C$10,0.000001)))))</f>
        <v>6.5447576666666452E-2</v>
      </c>
      <c r="BC98" s="12">
        <f>IF(A98="","",MAX(0,MAX(0,MIN(1,(((IF(Статистика!$C$4="Параллельный режим (активная мощность)",J98,U98)+Статистика!$J$4))-Статистика!$C$10)/MAX(Статистика!$G$10-Статистика!$C$10,0.000001)))-MAX(0,MIN(1,(((IF(Статистика!$C$4="Параллельный режим (активная мощность)",H98,S98)+Статистика!$J$4))-Статистика!$C$10)/MAX(Статистика!$G$10-Статистика!$C$10,0.000001)))))</f>
        <v>3.231971300000025E-2</v>
      </c>
      <c r="BD98" s="12">
        <f>IF(A98="","",MAX(0,1-MAX(0,MIN(1,(((IF(Статистика!$C$4="Параллельный режим (активная мощность)",J98,U98)+Статистика!$J$4))-Статистика!$C$10)/MAX(Статистика!$G$10-Статистика!$C$10,0.000001)))))</f>
        <v>0.31659101588888883</v>
      </c>
      <c r="BE98" s="12">
        <f>IF(A98="",NA(),IF(Статистика!$B$8="Вкл",(((IF(Статистика!$C$4="Параллельный режим (активная мощность)",F98,Q98)+Статистика!$J$4))-Статистика!$C$10)/MAX(Статистика!$G$10-Статистика!$C$10,0.000001),NA()))</f>
        <v>0.49689738333333328</v>
      </c>
      <c r="BF98" s="12">
        <f>IF(A98="",NA(),IF(Статистика!$D$8="Вкл",(((IF(Статистика!$C$4="Параллельный режим (активная мощность)",E98,P98)+Статистика!$J$4))-Статистика!$C$10)/MAX(Статистика!$G$10-Статистика!$C$10,0.000001),NA()))</f>
        <v>0.40962098333333352</v>
      </c>
      <c r="BG98" s="12">
        <f>IF(A98="",NA(),IF(Статистика!$D$8="Вкл",(((IF(Статистика!$C$4="Параллельный режим (активная мощность)",G98,R98)+Статистика!$J$4))-Статистика!$C$10)/MAX(Статистика!$G$10-Статистика!$C$10,0.000001),NA()))</f>
        <v>0.58564169444444447</v>
      </c>
      <c r="BH98" s="12">
        <f>IF(A98="",NA(),IF(Статистика!$F$8="Вкл",(((IF(Статистика!$C$4="Параллельный режим (активная мощность)",D98,O98)+Статистика!$J$4))-Статистика!$C$10)/MAX(Статистика!$G$10-Статистика!$C$10,0.000001),NA()))</f>
        <v>0.35472397555555535</v>
      </c>
      <c r="BI98" s="12">
        <f>IF(A98="",NA(),IF(Статистика!$F$8="Вкл",(((IF(Статистика!$C$4="Параллельный режим (активная мощность)",H98,S98)+Статистика!$J$4))-Статистика!$C$10)/MAX(Статистика!$G$10-Статистика!$C$10,0.000001),NA()))</f>
        <v>0.65108927111111092</v>
      </c>
      <c r="BJ98" s="12">
        <f>IF(A98="",NA(),IF(Статистика!$H$8="Вкл",(((IF(Статистика!$C$4="Параллельный режим (активная мощность)",B98,M98)+Статистика!$J$4))-Статистика!$C$10)/MAX(Статистика!$G$10-Статистика!$C$10,0.000001),NA()))</f>
        <v>-1.2424154799444445</v>
      </c>
      <c r="BK98" s="12">
        <f>IF(A98="",NA(),IF(Статистика!$H$8="Вкл",(((IF(Статистика!$C$4="Параллельный режим (активная мощность)",J98,U98)+Статистика!$J$4))-Статистика!$C$10)/MAX(Статистика!$G$10-Статистика!$C$10,0.000001),NA()))</f>
        <v>0.68340898411111117</v>
      </c>
      <c r="BL98" s="12" t="e">
        <f>IF(A98="",NA(),IF(Статистика!$J$8="Вкл",(((IF(Статистика!$C$4="Параллельный режим (активная мощность)",K98,V98)+Статистика!$J$4))-Статистика!$C$10)/MAX(Статистика!$G$10-Статистика!$C$10,0.000001),NA()))</f>
        <v>#N/A</v>
      </c>
      <c r="BM98" s="12" t="e">
        <f>IF(AND(A98&lt;&gt;"",Статистика!$C$6="Вкл",Статистика!$B$6&gt;0),(Статистика!$B$6-Статистика!$C$10)/MAX(Статистика!$G$10-Статистика!$C$10,0.000001),NA())</f>
        <v>#N/A</v>
      </c>
      <c r="BN98" s="12" t="e">
        <f>IF(AND(A98&lt;&gt;"",Статистика!$F$6="Вкл",Статистика!$E$6&gt;0),(Статистика!$E$6-Статистика!$C$10)/MAX(Статистика!$G$10-Статистика!$C$10,0.000001),NA())</f>
        <v>#N/A</v>
      </c>
      <c r="BO98" s="12" t="e">
        <f>IF(AND(A98&lt;&gt;"",Статистика!$I$6="Вкл",Статистика!$H$6&gt;0),(Статистика!$H$6-Статистика!$C$10)/MAX(Статистика!$G$10-Статистика!$C$10,0.000001),NA())</f>
        <v>#N/A</v>
      </c>
      <c r="BP98" s="12" t="e">
        <f>IF(AND(A98&lt;&gt;"",Статистика!$L$6="Вкл",Статистика!$K$6&gt;0),(Статистика!$K$6-Статистика!$C$10)/MAX(Статистика!$G$10-Статистика!$C$10,0.000001),NA())</f>
        <v>#N/A</v>
      </c>
      <c r="BQ98" s="12" t="e">
        <f>IF(AND(A98&lt;&gt;"",Статистика!$M$6="Вкл",Статистика!$O$6&gt;0),(Статистика!$O$6-Статистика!$C$10)/MAX(Статистика!$G$10-Статистика!$C$10,0.000001),NA())</f>
        <v>#N/A</v>
      </c>
      <c r="BR98" s="12">
        <f t="shared" si="2"/>
        <v>1</v>
      </c>
      <c r="BT98" s="12">
        <f>IF(Y98="","",MAX(0,MIN(1,(((IF(Статистика!$C$4="Параллельный режим (активная мощность)",Z98,AK98)+Статистика!$J$4))-Статистика!$C$10)/MAX(Статистика!$G$10-Статистика!$C$10,0.000001))))</f>
        <v>0.40202411711111141</v>
      </c>
      <c r="BU98" s="12">
        <f>IF(Y98="","",MAX(0,MAX(0,MIN(1,(((IF(Статистика!$C$4="Параллельный режим (активная мощность)",AB98,AM98)+Статистика!$J$4))-Статистика!$C$10)/MAX(Статистика!$G$10-Статистика!$C$10,0.000001)))-MAX(0,MIN(1,(((IF(Статистика!$C$4="Параллельный режим (активная мощность)",Z98,AK98)+Статистика!$J$4))-Статистика!$C$10)/MAX(Статистика!$G$10-Статистика!$C$10,0.000001)))))</f>
        <v>1.7720053999999708E-2</v>
      </c>
      <c r="BV98" s="12">
        <f>IF(Y98="","",MAX(0,MAX(0,MIN(1,(((IF(Статистика!$C$4="Параллельный режим (активная мощность)",AC98,AN98)+Статистика!$J$4))-Статистика!$C$10)/MAX(Статистика!$G$10-Статистика!$C$10,0.000001)))-MAX(0,MIN(1,(((IF(Статистика!$C$4="Параллельный режим (активная мощность)",AB98,AM98)+Статистика!$J$4))-Статистика!$C$10)/MAX(Статистика!$G$10-Статистика!$C$10,0.000001)))))</f>
        <v>2.077937055555501E-2</v>
      </c>
      <c r="BW98" s="12">
        <f>IF(Y98="","",MAX(0,MAX(0,MIN(1,(((IF(Статистика!$C$4="Параллельный режим (активная мощность)",AD98,AO98)+Статистика!$J$4))-Статистика!$C$10)/MAX(Статистика!$G$10-Статистика!$C$10,0.000001)))-MAX(0,MIN(1,(((IF(Статистика!$C$4="Параллельный режим (активная мощность)",AC98,AN98)+Статистика!$J$4))-Статистика!$C$10)/MAX(Статистика!$G$10-Статистика!$C$10,0.000001)))))</f>
        <v>7.7894847222222785E-2</v>
      </c>
      <c r="BX98" s="12">
        <f>IF(Y98="","",MAX(0,MAX(0,MIN(1,(((IF(Статистика!$C$4="Параллельный режим (активная мощность)",AE98,AP98)+Статистика!$J$4))-Статистика!$C$10)/MAX(Статистика!$G$10-Статистика!$C$10,0.000001)))-MAX(0,MIN(1,(((IF(Статистика!$C$4="Параллельный режим (активная мощность)",AD98,AO98)+Статистика!$J$4))-Статистика!$C$10)/MAX(Статистика!$G$10-Статистика!$C$10,0.000001)))))</f>
        <v>5.8191116666666876E-2</v>
      </c>
      <c r="BY98" s="12">
        <f>IF(Y98="","",MAX(0,MAX(0,MIN(1,(((IF(Статистика!$C$4="Параллельный режим (активная мощность)",AF98,AQ98)+Статистика!$J$4))-Статистика!$C$10)/MAX(Статистика!$G$10-Статистика!$C$10,0.000001)))-MAX(0,MIN(1,(((IF(Статистика!$C$4="Параллельный режим (активная мощность)",AE98,AP98)+Статистика!$J$4))-Статистика!$C$10)/MAX(Статистика!$G$10-Статистика!$C$10,0.000001)))))</f>
        <v>0.12137845333333308</v>
      </c>
      <c r="BZ98" s="12">
        <f>IF(Y98="","",MAX(0,MAX(0,MIN(1,(((IF(Статистика!$C$4="Параллельный режим (активная мощность)",AH98,AS98)+Статистика!$J$4))-Статистика!$C$10)/MAX(Статистика!$G$10-Статистика!$C$10,0.000001)))-MAX(0,MIN(1,(((IF(Статистика!$C$4="Параллельный режим (активная мощность)",AF98,AQ98)+Статистика!$J$4))-Статистика!$C$10)/MAX(Статистика!$G$10-Статистика!$C$10,0.000001)))))</f>
        <v>6.2916700000004155E-4</v>
      </c>
      <c r="CA98" s="12">
        <f>IF(Y98="","",MAX(0,1-MAX(0,MIN(1,(((IF(Статистика!$C$4="Параллельный режим (активная мощность)",AH98,AS98)+Статистика!$J$4))-Статистика!$C$10)/MAX(Статистика!$G$10-Статистика!$C$10,0.000001)))))</f>
        <v>0.30138287411111109</v>
      </c>
      <c r="CB98" s="12">
        <f>IF(Y98="",NA(),IF(Статистика!$B$8="Вкл",(((IF(Статистика!$C$4="Параллельный режим (активная мощность)",AD98,AO98)+Статистика!$J$4))-Статистика!$C$10)/MAX(Статистика!$G$10-Статистика!$C$10,0.000001),NA()))</f>
        <v>0.51841838888888891</v>
      </c>
      <c r="CC98" s="12">
        <f>IF(Y98="",NA(),IF(Статистика!$D$8="Вкл",(((IF(Статистика!$C$4="Параллельный режим (активная мощность)",AC98,AN98)+Статистика!$J$4))-Статистика!$C$10)/MAX(Статистика!$G$10-Статистика!$C$10,0.000001),NA()))</f>
        <v>0.44052354166666613</v>
      </c>
      <c r="CD98" s="12">
        <f>IF(Y98="",NA(),IF(Статистика!$D$8="Вкл",(((IF(Статистика!$C$4="Параллельный режим (активная мощность)",AE98,AP98)+Статистика!$J$4))-Статистика!$C$10)/MAX(Статистика!$G$10-Статистика!$C$10,0.000001),NA()))</f>
        <v>0.57660950555555579</v>
      </c>
      <c r="CE98" s="12">
        <f>IF(Y98="",NA(),IF(Статистика!$F$8="Вкл",(((IF(Статистика!$C$4="Параллельный режим (активная мощность)",AB98,AM98)+Статистика!$J$4))-Статистика!$C$10)/MAX(Статистика!$G$10-Статистика!$C$10,0.000001),NA()))</f>
        <v>0.41974417111111112</v>
      </c>
      <c r="CF98" s="12">
        <f>IF(Y98="",NA(),IF(Статистика!$F$8="Вкл",(((IF(Статистика!$C$4="Параллельный режим (активная мощность)",AF98,AQ98)+Статистика!$J$4))-Статистика!$C$10)/MAX(Статистика!$G$10-Статистика!$C$10,0.000001),NA()))</f>
        <v>0.69798795888888887</v>
      </c>
      <c r="CG98" s="12">
        <f>IF(Y98="",NA(),IF(Статистика!$H$8="Вкл",(((IF(Статистика!$C$4="Параллельный режим (активная мощность)",Z98,AK98)+Статистика!$J$4))-Статистика!$C$10)/MAX(Статистика!$G$10-Статистика!$C$10,0.000001),NA()))</f>
        <v>0.40202411711111141</v>
      </c>
      <c r="CH98" s="12">
        <f>IF(Y98="",NA(),IF(Статистика!$H$8="Вкл",(((IF(Статистика!$C$4="Параллельный режим (активная мощность)",AH98,AS98)+Статистика!$J$4))-Статистика!$C$10)/MAX(Статистика!$G$10-Статистика!$C$10,0.000001),NA()))</f>
        <v>0.69861712588888891</v>
      </c>
      <c r="CI98" s="12" t="e">
        <f>IF(Y98="",NA(),IF(Статистика!$J$8="Вкл",(((IF(Статистика!$C$4="Параллельный режим (активная мощность)",AI98,AT98)+Статистика!$J$4))-Статистика!$C$10)/MAX(Статистика!$G$10-Статистика!$C$10,0.000001),NA()))</f>
        <v>#N/A</v>
      </c>
      <c r="CJ98" s="12" t="e">
        <f>IF(AND(Y98&lt;&gt;"",Статистика!$C$6="Вкл",Статистика!$B$6&gt;0),(Статистика!$B$6-Статистика!$C$10)/MAX(Статистика!$G$10-Статистика!$C$10,0.000001),NA())</f>
        <v>#N/A</v>
      </c>
      <c r="CK98" s="12" t="e">
        <f>IF(AND(Y98&lt;&gt;"",Статистика!$F$6="Вкл",Статистика!$E$6&gt;0),(Статистика!$E$6-Статистика!$C$10)/MAX(Статистика!$G$10-Статистика!$C$10,0.000001),NA())</f>
        <v>#N/A</v>
      </c>
      <c r="CL98" s="12" t="e">
        <f>IF(AND(Y98&lt;&gt;"",Статистика!$I$6="Вкл",Статистика!$H$6&gt;0),(Статистика!$H$6-Статистика!$C$10)/MAX(Статистика!$G$10-Статистика!$C$10,0.000001),NA())</f>
        <v>#N/A</v>
      </c>
      <c r="CM98" s="12" t="e">
        <f>IF(AND(Y98&lt;&gt;"",Статистика!$L$6="Вкл",Статистика!$K$6&gt;0),(Статистика!$K$6-Статистика!$C$10)/MAX(Статистика!$G$10-Статистика!$C$10,0.000001),NA())</f>
        <v>#N/A</v>
      </c>
      <c r="CN98" s="12" t="e">
        <f>IF(AND(Y98&lt;&gt;"",Статистика!$M$6="Вкл",Статистика!$O$6&gt;0),(Статистика!$O$6-Статистика!$C$10)/MAX(Статистика!$G$10-Статистика!$C$10,0.000001),NA())</f>
        <v>#N/A</v>
      </c>
      <c r="CO98" s="12">
        <f t="shared" si="3"/>
        <v>1</v>
      </c>
    </row>
    <row r="99" spans="1:93" ht="15" customHeight="1">
      <c r="A99" s="12" t="s">
        <v>458</v>
      </c>
      <c r="B99" s="12">
        <v>2279.4385921666667</v>
      </c>
      <c r="C99" s="12">
        <v>5500.3092275000008</v>
      </c>
      <c r="D99" s="12">
        <v>7081.7197366666669</v>
      </c>
      <c r="E99" s="12">
        <v>7306.4140416666669</v>
      </c>
      <c r="F99" s="12">
        <v>7564.6413833333327</v>
      </c>
      <c r="G99" s="12">
        <v>7768.8274666666657</v>
      </c>
      <c r="H99" s="12">
        <v>7968.3902816666669</v>
      </c>
      <c r="I99" s="12">
        <v>8002.9726066666672</v>
      </c>
      <c r="J99" s="12">
        <v>8055.3544946666671</v>
      </c>
      <c r="K99" s="12">
        <v>8219.27</v>
      </c>
      <c r="L99" s="12" t="s">
        <v>459</v>
      </c>
      <c r="M99" s="12">
        <v>2753.0458505000001</v>
      </c>
      <c r="N99" s="12">
        <v>6261.2900525000005</v>
      </c>
      <c r="O99" s="12">
        <v>7962.1663699999999</v>
      </c>
      <c r="P99" s="12">
        <v>8162.5221999999994</v>
      </c>
      <c r="Q99" s="12">
        <v>8443.9986166666658</v>
      </c>
      <c r="R99" s="12">
        <v>8717.5765833333335</v>
      </c>
      <c r="S99" s="12">
        <v>8862.5269533333321</v>
      </c>
      <c r="T99" s="12">
        <v>8876.3492066666659</v>
      </c>
      <c r="U99" s="12">
        <v>8895.8072013333331</v>
      </c>
      <c r="V99" s="12">
        <v>9044.24</v>
      </c>
      <c r="W99" s="12" t="s">
        <v>459</v>
      </c>
      <c r="Y99" s="12" t="s">
        <v>458</v>
      </c>
      <c r="Z99" s="12">
        <v>7244.8715001666678</v>
      </c>
      <c r="AA99" s="12">
        <v>7260.584567500001</v>
      </c>
      <c r="AB99" s="12">
        <v>7280.2259016666667</v>
      </c>
      <c r="AC99" s="12">
        <v>7345.0549499999997</v>
      </c>
      <c r="AD99" s="12">
        <v>7584.7873999999993</v>
      </c>
      <c r="AE99" s="12">
        <v>7723.9662083333333</v>
      </c>
      <c r="AF99" s="12">
        <v>8116.6003316666674</v>
      </c>
      <c r="AG99" s="12">
        <v>8128.6525825000008</v>
      </c>
      <c r="AH99" s="12">
        <v>8138.2943831666671</v>
      </c>
      <c r="AI99" s="12">
        <v>8257.93</v>
      </c>
      <c r="AJ99" s="12" t="s">
        <v>460</v>
      </c>
      <c r="AK99" s="12">
        <v>8167.0167358333347</v>
      </c>
      <c r="AL99" s="12">
        <v>8177.1350125000008</v>
      </c>
      <c r="AM99" s="12">
        <v>8189.7828583333339</v>
      </c>
      <c r="AN99" s="12">
        <v>8273.661208333333</v>
      </c>
      <c r="AO99" s="12">
        <v>8470.6598833333337</v>
      </c>
      <c r="AP99" s="12">
        <v>8682.4531916666674</v>
      </c>
      <c r="AQ99" s="12">
        <v>9022.7595683333329</v>
      </c>
      <c r="AR99" s="12">
        <v>9054.2874841666671</v>
      </c>
      <c r="AS99" s="12">
        <v>9079.5098168333334</v>
      </c>
      <c r="AT99" s="12">
        <v>9200.85</v>
      </c>
      <c r="AU99" s="12" t="s">
        <v>460</v>
      </c>
      <c r="AW99" s="12">
        <f>IF(A99="","",MAX(0,MIN(1,(((IF(Статистика!$C$4="Параллельный режим (активная мощность)",B99,M99)+Статистика!$J$4))-Статистика!$C$10)/MAX(Статистика!$G$10-Статистика!$C$10,0.000001))))</f>
        <v>0</v>
      </c>
      <c r="AX99" s="12">
        <f>IF(A99="","",MAX(0,MAX(0,MIN(1,(((IF(Статистика!$C$4="Параллельный режим (активная мощность)",D99,O99)+Статистика!$J$4))-Статистика!$C$10)/MAX(Статистика!$G$10-Статистика!$C$10,0.000001)))-MAX(0,MIN(1,(((IF(Статистика!$C$4="Параллельный режим (активная мощность)",B99,M99)+Статистика!$J$4))-Статистика!$C$10)/MAX(Статистика!$G$10-Статистика!$C$10,0.000001)))))</f>
        <v>0.36057324555555564</v>
      </c>
      <c r="AY99" s="12">
        <f>IF(A99="","",MAX(0,MAX(0,MIN(1,(((IF(Статистика!$C$4="Параллельный режим (активная мощность)",E99,P99)+Статистика!$J$4))-Статистика!$C$10)/MAX(Статистика!$G$10-Статистика!$C$10,0.000001)))-MAX(0,MIN(1,(((IF(Статистика!$C$4="Параллельный режим (активная мощность)",D99,O99)+Статистика!$J$4))-Статистика!$C$10)/MAX(Статистика!$G$10-Статистика!$C$10,0.000001)))))</f>
        <v>7.4898101666666661E-2</v>
      </c>
      <c r="AZ99" s="12">
        <f>IF(A99="","",MAX(0,MAX(0,MIN(1,(((IF(Статистика!$C$4="Параллельный режим (активная мощность)",F99,Q99)+Статистика!$J$4))-Статистика!$C$10)/MAX(Статистика!$G$10-Статистика!$C$10,0.000001)))-MAX(0,MIN(1,(((IF(Статистика!$C$4="Параллельный режим (активная мощность)",E99,P99)+Статистика!$J$4))-Статистика!$C$10)/MAX(Статистика!$G$10-Статистика!$C$10,0.000001)))))</f>
        <v>8.6075780555555259E-2</v>
      </c>
      <c r="BA99" s="12">
        <f>IF(A99="","",MAX(0,MAX(0,MIN(1,(((IF(Статистика!$C$4="Параллельный режим (активная мощность)",G99,R99)+Статистика!$J$4))-Статистика!$C$10)/MAX(Статистика!$G$10-Статистика!$C$10,0.000001)))-MAX(0,MIN(1,(((IF(Статистика!$C$4="Параллельный режим (активная мощность)",F99,Q99)+Статистика!$J$4))-Статистика!$C$10)/MAX(Статистика!$G$10-Статистика!$C$10,0.000001)))))</f>
        <v>6.8062027777777701E-2</v>
      </c>
      <c r="BB99" s="12">
        <f>IF(A99="","",MAX(0,MAX(0,MIN(1,(((IF(Статистика!$C$4="Параллельный режим (активная мощность)",H99,S99)+Статистика!$J$4))-Статистика!$C$10)/MAX(Статистика!$G$10-Статистика!$C$10,0.000001)))-MAX(0,MIN(1,(((IF(Статистика!$C$4="Параллельный режим (активная мощность)",G99,R99)+Статистика!$J$4))-Статистика!$C$10)/MAX(Статистика!$G$10-Статистика!$C$10,0.000001)))))</f>
        <v>6.6520938333333723E-2</v>
      </c>
      <c r="BC99" s="12">
        <f>IF(A99="","",MAX(0,MAX(0,MIN(1,(((IF(Статистика!$C$4="Параллельный режим (активная мощность)",J99,U99)+Статистика!$J$4))-Статистика!$C$10)/MAX(Статистика!$G$10-Статистика!$C$10,0.000001)))-MAX(0,MIN(1,(((IF(Статистика!$C$4="Параллельный режим (активная мощность)",H99,S99)+Статистика!$J$4))-Статистика!$C$10)/MAX(Статистика!$G$10-Статистика!$C$10,0.000001)))))</f>
        <v>2.8988071000000004E-2</v>
      </c>
      <c r="BD99" s="12">
        <f>IF(A99="","",MAX(0,1-MAX(0,MIN(1,(((IF(Статистика!$C$4="Параллельный режим (активная мощность)",J99,U99)+Статистика!$J$4))-Статистика!$C$10)/MAX(Статистика!$G$10-Статистика!$C$10,0.000001)))))</f>
        <v>0.31488183511111101</v>
      </c>
      <c r="BE99" s="12">
        <f>IF(A99="",NA(),IF(Статистика!$B$8="Вкл",(((IF(Статистика!$C$4="Параллельный режим (активная мощность)",F99,Q99)+Статистика!$J$4))-Статистика!$C$10)/MAX(Статистика!$G$10-Статистика!$C$10,0.000001),NA()))</f>
        <v>0.52154712777777756</v>
      </c>
      <c r="BF99" s="12">
        <f>IF(A99="",NA(),IF(Статистика!$D$8="Вкл",(((IF(Статистика!$C$4="Параллельный режим (активная мощность)",E99,P99)+Статистика!$J$4))-Статистика!$C$10)/MAX(Статистика!$G$10-Статистика!$C$10,0.000001),NA()))</f>
        <v>0.4354713472222223</v>
      </c>
      <c r="BG99" s="12">
        <f>IF(A99="",NA(),IF(Статистика!$D$8="Вкл",(((IF(Статистика!$C$4="Параллельный режим (активная мощность)",G99,R99)+Статистика!$J$4))-Статистика!$C$10)/MAX(Статистика!$G$10-Статистика!$C$10,0.000001),NA()))</f>
        <v>0.58960915555555526</v>
      </c>
      <c r="BH99" s="12">
        <f>IF(A99="",NA(),IF(Статистика!$F$8="Вкл",(((IF(Статистика!$C$4="Параллельный режим (активная мощность)",D99,O99)+Статистика!$J$4))-Статистика!$C$10)/MAX(Статистика!$G$10-Статистика!$C$10,0.000001),NA()))</f>
        <v>0.36057324555555564</v>
      </c>
      <c r="BI99" s="12">
        <f>IF(A99="",NA(),IF(Статистика!$F$8="Вкл",(((IF(Статистика!$C$4="Параллельный режим (активная мощность)",H99,S99)+Статистика!$J$4))-Статистика!$C$10)/MAX(Статистика!$G$10-Статистика!$C$10,0.000001),NA()))</f>
        <v>0.65613009388888899</v>
      </c>
      <c r="BJ99" s="12">
        <f>IF(A99="",NA(),IF(Статистика!$H$8="Вкл",(((IF(Статистика!$C$4="Параллельный режим (активная мощность)",B99,M99)+Статистика!$J$4))-Статистика!$C$10)/MAX(Статистика!$G$10-Статистика!$C$10,0.000001),NA()))</f>
        <v>-1.2401871359444445</v>
      </c>
      <c r="BK99" s="12">
        <f>IF(A99="",NA(),IF(Статистика!$H$8="Вкл",(((IF(Статистика!$C$4="Параллельный режим (активная мощность)",J99,U99)+Статистика!$J$4))-Статистика!$C$10)/MAX(Статистика!$G$10-Статистика!$C$10,0.000001),NA()))</f>
        <v>0.68511816488888899</v>
      </c>
      <c r="BL99" s="12" t="e">
        <f>IF(A99="",NA(),IF(Статистика!$J$8="Вкл",(((IF(Статистика!$C$4="Параллельный режим (активная мощность)",K99,V99)+Статистика!$J$4))-Статистика!$C$10)/MAX(Статистика!$G$10-Статистика!$C$10,0.000001),NA()))</f>
        <v>#N/A</v>
      </c>
      <c r="BM99" s="12" t="e">
        <f>IF(AND(A99&lt;&gt;"",Статистика!$C$6="Вкл",Статистика!$B$6&gt;0),(Статистика!$B$6-Статистика!$C$10)/MAX(Статистика!$G$10-Статистика!$C$10,0.000001),NA())</f>
        <v>#N/A</v>
      </c>
      <c r="BN99" s="12" t="e">
        <f>IF(AND(A99&lt;&gt;"",Статистика!$F$6="Вкл",Статистика!$E$6&gt;0),(Статистика!$E$6-Статистика!$C$10)/MAX(Статистика!$G$10-Статистика!$C$10,0.000001),NA())</f>
        <v>#N/A</v>
      </c>
      <c r="BO99" s="12" t="e">
        <f>IF(AND(A99&lt;&gt;"",Статистика!$I$6="Вкл",Статистика!$H$6&gt;0),(Статистика!$H$6-Статистика!$C$10)/MAX(Статистика!$G$10-Статистика!$C$10,0.000001),NA())</f>
        <v>#N/A</v>
      </c>
      <c r="BP99" s="12" t="e">
        <f>IF(AND(A99&lt;&gt;"",Статистика!$L$6="Вкл",Статистика!$K$6&gt;0),(Статистика!$K$6-Статистика!$C$10)/MAX(Статистика!$G$10-Статистика!$C$10,0.000001),NA())</f>
        <v>#N/A</v>
      </c>
      <c r="BQ99" s="12" t="e">
        <f>IF(AND(A99&lt;&gt;"",Статистика!$M$6="Вкл",Статистика!$O$6&gt;0),(Статистика!$O$6-Статистика!$C$10)/MAX(Статистика!$G$10-Статистика!$C$10,0.000001),NA())</f>
        <v>#N/A</v>
      </c>
      <c r="BR99" s="12">
        <f t="shared" si="2"/>
        <v>1</v>
      </c>
      <c r="BT99" s="12">
        <f>IF(Y99="","",MAX(0,MIN(1,(((IF(Статистика!$C$4="Параллельный режим (активная мощность)",Z99,AK99)+Статистика!$J$4))-Статистика!$C$10)/MAX(Статистика!$G$10-Статистика!$C$10,0.000001))))</f>
        <v>0.4149571667222226</v>
      </c>
      <c r="BU99" s="12">
        <f>IF(Y99="","",MAX(0,MAX(0,MIN(1,(((IF(Статистика!$C$4="Параллельный режим (активная мощность)",AB99,AM99)+Статистика!$J$4))-Статистика!$C$10)/MAX(Статистика!$G$10-Статистика!$C$10,0.000001)))-MAX(0,MIN(1,(((IF(Статистика!$C$4="Параллельный режим (активная мощность)",Z99,AK99)+Статистика!$J$4))-Статистика!$C$10)/MAX(Статистика!$G$10-Статистика!$C$10,0.000001)))))</f>
        <v>1.1784800499999637E-2</v>
      </c>
      <c r="BV99" s="12">
        <f>IF(Y99="","",MAX(0,MAX(0,MIN(1,(((IF(Статистика!$C$4="Параллельный режим (активная мощность)",AC99,AN99)+Статистика!$J$4))-Статистика!$C$10)/MAX(Статистика!$G$10-Статистика!$C$10,0.000001)))-MAX(0,MIN(1,(((IF(Статистика!$C$4="Параллельный режим (активная мощность)",AB99,AM99)+Статистика!$J$4))-Статистика!$C$10)/MAX(Статистика!$G$10-Статистика!$C$10,0.000001)))))</f>
        <v>2.1609682777777695E-2</v>
      </c>
      <c r="BW99" s="12">
        <f>IF(Y99="","",MAX(0,MAX(0,MIN(1,(((IF(Статистика!$C$4="Параллельный режим (активная мощность)",AD99,AO99)+Статистика!$J$4))-Статистика!$C$10)/MAX(Статистика!$G$10-Статистика!$C$10,0.000001)))-MAX(0,MIN(1,(((IF(Статистика!$C$4="Параллельный режим (активная мощность)",AC99,AN99)+Статистика!$J$4))-Статистика!$C$10)/MAX(Статистика!$G$10-Статистика!$C$10,0.000001)))))</f>
        <v>7.9910816666666495E-2</v>
      </c>
      <c r="BX99" s="12">
        <f>IF(Y99="","",MAX(0,MAX(0,MIN(1,(((IF(Статистика!$C$4="Параллельный режим (активная мощность)",AE99,AP99)+Статистика!$J$4))-Статистика!$C$10)/MAX(Статистика!$G$10-Статистика!$C$10,0.000001)))-MAX(0,MIN(1,(((IF(Статистика!$C$4="Параллельный режим (активная мощность)",AD99,AO99)+Статистика!$J$4))-Статистика!$C$10)/MAX(Статистика!$G$10-Статистика!$C$10,0.000001)))))</f>
        <v>4.6392936111111283E-2</v>
      </c>
      <c r="BY99" s="12">
        <f>IF(Y99="","",MAX(0,MAX(0,MIN(1,(((IF(Статистика!$C$4="Параллельный режим (активная мощность)",AF99,AQ99)+Статистика!$J$4))-Статистика!$C$10)/MAX(Статистика!$G$10-Статистика!$C$10,0.000001)))-MAX(0,MIN(1,(((IF(Статистика!$C$4="Параллельный режим (активная мощность)",AE99,AP99)+Статистика!$J$4))-Статистика!$C$10)/MAX(Статистика!$G$10-Статистика!$C$10,0.000001)))))</f>
        <v>0.13087804111111145</v>
      </c>
      <c r="BZ99" s="12">
        <f>IF(Y99="","",MAX(0,MAX(0,MIN(1,(((IF(Статистика!$C$4="Параллельный режим (активная мощность)",AH99,AS99)+Статистика!$J$4))-Статистика!$C$10)/MAX(Статистика!$G$10-Статистика!$C$10,0.000001)))-MAX(0,MIN(1,(((IF(Статистика!$C$4="Параллельный режим (активная мощность)",AF99,AQ99)+Статистика!$J$4))-Статистика!$C$10)/MAX(Статистика!$G$10-Статистика!$C$10,0.000001)))))</f>
        <v>7.2313504999999001E-3</v>
      </c>
      <c r="CA99" s="12">
        <f>IF(Y99="","",MAX(0,1-MAX(0,MIN(1,(((IF(Статистика!$C$4="Параллельный режим (активная мощность)",AH99,AS99)+Статистика!$J$4))-Статистика!$C$10)/MAX(Статистика!$G$10-Статистика!$C$10,0.000001)))))</f>
        <v>0.28723520561111093</v>
      </c>
      <c r="CB99" s="12">
        <f>IF(Y99="",NA(),IF(Статистика!$B$8="Вкл",(((IF(Статистика!$C$4="Параллельный режим (активная мощность)",AD99,AO99)+Статистика!$J$4))-Статистика!$C$10)/MAX(Статистика!$G$10-Статистика!$C$10,0.000001),NA()))</f>
        <v>0.52826246666666643</v>
      </c>
      <c r="CC99" s="12">
        <f>IF(Y99="",NA(),IF(Статистика!$D$8="Вкл",(((IF(Статистика!$C$4="Параллельный режим (активная мощность)",AC99,AN99)+Статистика!$J$4))-Статистика!$C$10)/MAX(Статистика!$G$10-Статистика!$C$10,0.000001),NA()))</f>
        <v>0.44835164999999993</v>
      </c>
      <c r="CD99" s="12">
        <f>IF(Y99="",NA(),IF(Статистика!$D$8="Вкл",(((IF(Статистика!$C$4="Параллельный режим (активная мощность)",AE99,AP99)+Статистика!$J$4))-Статистика!$C$10)/MAX(Статистика!$G$10-Статистика!$C$10,0.000001),NA()))</f>
        <v>0.57465540277777771</v>
      </c>
      <c r="CE99" s="12">
        <f>IF(Y99="",NA(),IF(Статистика!$F$8="Вкл",(((IF(Статистика!$C$4="Параллельный режим (активная мощность)",AB99,AM99)+Статистика!$J$4))-Статистика!$C$10)/MAX(Статистика!$G$10-Статистика!$C$10,0.000001),NA()))</f>
        <v>0.42674196722222224</v>
      </c>
      <c r="CF99" s="12">
        <f>IF(Y99="",NA(),IF(Статистика!$F$8="Вкл",(((IF(Статистика!$C$4="Параллельный режим (активная мощность)",AF99,AQ99)+Статистика!$J$4))-Статистика!$C$10)/MAX(Статистика!$G$10-Статистика!$C$10,0.000001),NA()))</f>
        <v>0.70553344388888917</v>
      </c>
      <c r="CG99" s="12">
        <f>IF(Y99="",NA(),IF(Статистика!$H$8="Вкл",(((IF(Статистика!$C$4="Параллельный режим (активная мощность)",Z99,AK99)+Статистика!$J$4))-Статистика!$C$10)/MAX(Статистика!$G$10-Статистика!$C$10,0.000001),NA()))</f>
        <v>0.4149571667222226</v>
      </c>
      <c r="CH99" s="12">
        <f>IF(Y99="",NA(),IF(Статистика!$H$8="Вкл",(((IF(Статистика!$C$4="Параллельный режим (активная мощность)",AH99,AS99)+Статистика!$J$4))-Статистика!$C$10)/MAX(Статистика!$G$10-Статистика!$C$10,0.000001),NA()))</f>
        <v>0.71276479438888907</v>
      </c>
      <c r="CI99" s="12" t="e">
        <f>IF(Y99="",NA(),IF(Статистика!$J$8="Вкл",(((IF(Статистика!$C$4="Параллельный режим (активная мощность)",AI99,AT99)+Статистика!$J$4))-Статистика!$C$10)/MAX(Статистика!$G$10-Статистика!$C$10,0.000001),NA()))</f>
        <v>#N/A</v>
      </c>
      <c r="CJ99" s="12" t="e">
        <f>IF(AND(Y99&lt;&gt;"",Статистика!$C$6="Вкл",Статистика!$B$6&gt;0),(Статистика!$B$6-Статистика!$C$10)/MAX(Статистика!$G$10-Статистика!$C$10,0.000001),NA())</f>
        <v>#N/A</v>
      </c>
      <c r="CK99" s="12" t="e">
        <f>IF(AND(Y99&lt;&gt;"",Статистика!$F$6="Вкл",Статистика!$E$6&gt;0),(Статистика!$E$6-Статистика!$C$10)/MAX(Статистика!$G$10-Статистика!$C$10,0.000001),NA())</f>
        <v>#N/A</v>
      </c>
      <c r="CL99" s="12" t="e">
        <f>IF(AND(Y99&lt;&gt;"",Статистика!$I$6="Вкл",Статистика!$H$6&gt;0),(Статистика!$H$6-Статистика!$C$10)/MAX(Статистика!$G$10-Статистика!$C$10,0.000001),NA())</f>
        <v>#N/A</v>
      </c>
      <c r="CM99" s="12" t="e">
        <f>IF(AND(Y99&lt;&gt;"",Статистика!$L$6="Вкл",Статистика!$K$6&gt;0),(Статистика!$K$6-Статистика!$C$10)/MAX(Статистика!$G$10-Статистика!$C$10,0.000001),NA())</f>
        <v>#N/A</v>
      </c>
      <c r="CN99" s="12" t="e">
        <f>IF(AND(Y99&lt;&gt;"",Статистика!$M$6="Вкл",Статистика!$O$6&gt;0),(Статистика!$O$6-Статистика!$C$10)/MAX(Статистика!$G$10-Статистика!$C$10,0.000001),NA())</f>
        <v>#N/A</v>
      </c>
      <c r="CO99" s="12">
        <f t="shared" si="3"/>
        <v>1</v>
      </c>
    </row>
    <row r="100" spans="1:93" ht="15" customHeight="1">
      <c r="A100" s="12" t="s">
        <v>461</v>
      </c>
      <c r="B100" s="12">
        <v>2289.689243833333</v>
      </c>
      <c r="C100" s="12">
        <v>5527.0935525000004</v>
      </c>
      <c r="D100" s="12">
        <v>7068.1673833333325</v>
      </c>
      <c r="E100" s="12">
        <v>7349.3621249999997</v>
      </c>
      <c r="F100" s="12">
        <v>7589.6153333333332</v>
      </c>
      <c r="G100" s="12">
        <v>7797.6650833333333</v>
      </c>
      <c r="H100" s="12">
        <v>7986.9860150000004</v>
      </c>
      <c r="I100" s="12">
        <v>8011.0395458333332</v>
      </c>
      <c r="J100" s="12">
        <v>8047.8766024999995</v>
      </c>
      <c r="K100" s="12">
        <v>8174.78</v>
      </c>
      <c r="L100" s="12" t="s">
        <v>462</v>
      </c>
      <c r="M100" s="12">
        <v>2759.9020999999998</v>
      </c>
      <c r="N100" s="12">
        <v>6261.9885000000013</v>
      </c>
      <c r="O100" s="12">
        <v>7940.5005650000003</v>
      </c>
      <c r="P100" s="12">
        <v>8208.6683666666668</v>
      </c>
      <c r="Q100" s="12">
        <v>8503.1209500000004</v>
      </c>
      <c r="R100" s="12">
        <v>8741.273916666667</v>
      </c>
      <c r="S100" s="12">
        <v>8877.9073399999997</v>
      </c>
      <c r="T100" s="12">
        <v>8893.8254758333333</v>
      </c>
      <c r="U100" s="12">
        <v>8907.9898685000007</v>
      </c>
      <c r="V100" s="12">
        <v>9054.5400000000009</v>
      </c>
      <c r="W100" s="12" t="s">
        <v>463</v>
      </c>
      <c r="Y100" s="12" t="s">
        <v>461</v>
      </c>
      <c r="Z100" s="12">
        <v>7235.3178513333332</v>
      </c>
      <c r="AA100" s="12">
        <v>7258.7069900000006</v>
      </c>
      <c r="AB100" s="12">
        <v>7287.9434133333334</v>
      </c>
      <c r="AC100" s="12">
        <v>7352.0245500000001</v>
      </c>
      <c r="AD100" s="12">
        <v>7526.345299999999</v>
      </c>
      <c r="AE100" s="12">
        <v>7807.0208499999999</v>
      </c>
      <c r="AF100" s="12">
        <v>8118.0071983333328</v>
      </c>
      <c r="AG100" s="12">
        <v>8125.4332158333327</v>
      </c>
      <c r="AH100" s="12">
        <v>8131.3740298333323</v>
      </c>
      <c r="AI100" s="12">
        <v>8282.0300000000007</v>
      </c>
      <c r="AJ100" s="12" t="s">
        <v>464</v>
      </c>
      <c r="AK100" s="12">
        <v>8192.5358521666658</v>
      </c>
      <c r="AL100" s="12">
        <v>8194.4519274999984</v>
      </c>
      <c r="AM100" s="12">
        <v>8196.8470216666665</v>
      </c>
      <c r="AN100" s="12">
        <v>8261.9835083333346</v>
      </c>
      <c r="AO100" s="12">
        <v>8469.6917833333337</v>
      </c>
      <c r="AP100" s="12">
        <v>8786.7280250000003</v>
      </c>
      <c r="AQ100" s="12">
        <v>9017.5962433333334</v>
      </c>
      <c r="AR100" s="12">
        <v>9047.1854550000007</v>
      </c>
      <c r="AS100" s="12">
        <v>9070.8568243333339</v>
      </c>
      <c r="AT100" s="12">
        <v>9231.4599999999991</v>
      </c>
      <c r="AU100" s="12" t="s">
        <v>464</v>
      </c>
      <c r="AW100" s="12">
        <f>IF(A100="","",MAX(0,MIN(1,(((IF(Статистика!$C$4="Параллельный режим (активная мощность)",B100,M100)+Статистика!$J$4))-Статистика!$C$10)/MAX(Статистика!$G$10-Статистика!$C$10,0.000001))))</f>
        <v>0</v>
      </c>
      <c r="AX100" s="12">
        <f>IF(A100="","",MAX(0,MAX(0,MIN(1,(((IF(Статистика!$C$4="Параллельный режим (активная мощность)",D100,O100)+Статистика!$J$4))-Статистика!$C$10)/MAX(Статистика!$G$10-Статистика!$C$10,0.000001)))-MAX(0,MIN(1,(((IF(Статистика!$C$4="Параллельный режим (активная мощность)",B100,M100)+Статистика!$J$4))-Статистика!$C$10)/MAX(Статистика!$G$10-Статистика!$C$10,0.000001)))))</f>
        <v>0.35605579444444418</v>
      </c>
      <c r="AY100" s="12">
        <f>IF(A100="","",MAX(0,MAX(0,MIN(1,(((IF(Статистика!$C$4="Параллельный режим (активная мощность)",E100,P100)+Статистика!$J$4))-Статистика!$C$10)/MAX(Статистика!$G$10-Статистика!$C$10,0.000001)))-MAX(0,MIN(1,(((IF(Статистика!$C$4="Параллельный режим (активная мощность)",D100,O100)+Статистика!$J$4))-Статистика!$C$10)/MAX(Статистика!$G$10-Статистика!$C$10,0.000001)))))</f>
        <v>9.3731580555555694E-2</v>
      </c>
      <c r="AZ100" s="12">
        <f>IF(A100="","",MAX(0,MAX(0,MIN(1,(((IF(Статистика!$C$4="Параллельный режим (активная мощность)",F100,Q100)+Статистика!$J$4))-Статистика!$C$10)/MAX(Статистика!$G$10-Статистика!$C$10,0.000001)))-MAX(0,MIN(1,(((IF(Статистика!$C$4="Параллельный режим (активная мощность)",E100,P100)+Статистика!$J$4))-Статистика!$C$10)/MAX(Статистика!$G$10-Статистика!$C$10,0.000001)))))</f>
        <v>8.0084402777777841E-2</v>
      </c>
      <c r="BA100" s="12">
        <f>IF(A100="","",MAX(0,MAX(0,MIN(1,(((IF(Статистика!$C$4="Параллельный режим (активная мощность)",G100,R100)+Статистика!$J$4))-Статистика!$C$10)/MAX(Статистика!$G$10-Статистика!$C$10,0.000001)))-MAX(0,MIN(1,(((IF(Статистика!$C$4="Параллельный режим (активная мощность)",F100,Q100)+Статистика!$J$4))-Статистика!$C$10)/MAX(Статистика!$G$10-Статистика!$C$10,0.000001)))))</f>
        <v>6.9349916666666678E-2</v>
      </c>
      <c r="BB100" s="12">
        <f>IF(A100="","",MAX(0,MAX(0,MIN(1,(((IF(Статистика!$C$4="Параллельный режим (активная мощность)",H100,S100)+Статистика!$J$4))-Статистика!$C$10)/MAX(Статистика!$G$10-Статистика!$C$10,0.000001)))-MAX(0,MIN(1,(((IF(Статистика!$C$4="Параллельный режим (активная мощность)",G100,R100)+Статистика!$J$4))-Статистика!$C$10)/MAX(Статистика!$G$10-Статистика!$C$10,0.000001)))))</f>
        <v>6.310697722222236E-2</v>
      </c>
      <c r="BC100" s="12">
        <f>IF(A100="","",MAX(0,MAX(0,MIN(1,(((IF(Статистика!$C$4="Параллельный режим (активная мощность)",J100,U100)+Статистика!$J$4))-Статистика!$C$10)/MAX(Статистика!$G$10-Статистика!$C$10,0.000001)))-MAX(0,MIN(1,(((IF(Статистика!$C$4="Параллельный режим (активная мощность)",H100,S100)+Статистика!$J$4))-Статистика!$C$10)/MAX(Статистика!$G$10-Статистика!$C$10,0.000001)))))</f>
        <v>2.0296862499999735E-2</v>
      </c>
      <c r="BD100" s="12">
        <f>IF(A100="","",MAX(0,1-MAX(0,MIN(1,(((IF(Статистика!$C$4="Параллельный режим (активная мощность)",J100,U100)+Статистика!$J$4))-Статистика!$C$10)/MAX(Статистика!$G$10-Статистика!$C$10,0.000001)))))</f>
        <v>0.31737446583333351</v>
      </c>
      <c r="BE100" s="12">
        <f>IF(A100="",NA(),IF(Статистика!$B$8="Вкл",(((IF(Статистика!$C$4="Параллельный режим (активная мощность)",F100,Q100)+Статистика!$J$4))-Статистика!$C$10)/MAX(Статистика!$G$10-Статистика!$C$10,0.000001),NA()))</f>
        <v>0.52987177777777772</v>
      </c>
      <c r="BF100" s="12">
        <f>IF(A100="",NA(),IF(Статистика!$D$8="Вкл",(((IF(Статистика!$C$4="Параллельный режим (активная мощность)",E100,P100)+Статистика!$J$4))-Статистика!$C$10)/MAX(Статистика!$G$10-Статистика!$C$10,0.000001),NA()))</f>
        <v>0.44978737499999988</v>
      </c>
      <c r="BG100" s="12">
        <f>IF(A100="",NA(),IF(Статистика!$D$8="Вкл",(((IF(Статистика!$C$4="Параллельный режим (активная мощность)",G100,R100)+Статистика!$J$4))-Статистика!$C$10)/MAX(Статистика!$G$10-Статистика!$C$10,0.000001),NA()))</f>
        <v>0.5992216944444444</v>
      </c>
      <c r="BH100" s="12">
        <f>IF(A100="",NA(),IF(Статистика!$F$8="Вкл",(((IF(Статистика!$C$4="Параллельный режим (активная мощность)",D100,O100)+Статистика!$J$4))-Статистика!$C$10)/MAX(Статистика!$G$10-Статистика!$C$10,0.000001),NA()))</f>
        <v>0.35605579444444418</v>
      </c>
      <c r="BI100" s="12">
        <f>IF(A100="",NA(),IF(Статистика!$F$8="Вкл",(((IF(Статистика!$C$4="Параллельный режим (активная мощность)",H100,S100)+Статистика!$J$4))-Статистика!$C$10)/MAX(Статистика!$G$10-Статистика!$C$10,0.000001),NA()))</f>
        <v>0.66232867166666676</v>
      </c>
      <c r="BJ100" s="12">
        <f>IF(A100="",NA(),IF(Статистика!$H$8="Вкл",(((IF(Статистика!$C$4="Параллельный режим (активная мощность)",B100,M100)+Статистика!$J$4))-Статистика!$C$10)/MAX(Статистика!$G$10-Статистика!$C$10,0.000001),NA()))</f>
        <v>-1.2367702520555557</v>
      </c>
      <c r="BK100" s="12">
        <f>IF(A100="",NA(),IF(Статистика!$H$8="Вкл",(((IF(Статистика!$C$4="Параллельный режим (активная мощность)",J100,U100)+Статистика!$J$4))-Статистика!$C$10)/MAX(Статистика!$G$10-Статистика!$C$10,0.000001),NA()))</f>
        <v>0.68262553416666649</v>
      </c>
      <c r="BL100" s="12" t="e">
        <f>IF(A100="",NA(),IF(Статистика!$J$8="Вкл",(((IF(Статистика!$C$4="Параллельный режим (активная мощность)",K100,V100)+Статистика!$J$4))-Статистика!$C$10)/MAX(Статистика!$G$10-Статистика!$C$10,0.000001),NA()))</f>
        <v>#N/A</v>
      </c>
      <c r="BM100" s="12" t="e">
        <f>IF(AND(A100&lt;&gt;"",Статистика!$C$6="Вкл",Статистика!$B$6&gt;0),(Статистика!$B$6-Статистика!$C$10)/MAX(Статистика!$G$10-Статистика!$C$10,0.000001),NA())</f>
        <v>#N/A</v>
      </c>
      <c r="BN100" s="12" t="e">
        <f>IF(AND(A100&lt;&gt;"",Статистика!$F$6="Вкл",Статистика!$E$6&gt;0),(Статистика!$E$6-Статистика!$C$10)/MAX(Статистика!$G$10-Статистика!$C$10,0.000001),NA())</f>
        <v>#N/A</v>
      </c>
      <c r="BO100" s="12" t="e">
        <f>IF(AND(A100&lt;&gt;"",Статистика!$I$6="Вкл",Статистика!$H$6&gt;0),(Статистика!$H$6-Статистика!$C$10)/MAX(Статистика!$G$10-Статистика!$C$10,0.000001),NA())</f>
        <v>#N/A</v>
      </c>
      <c r="BP100" s="12" t="e">
        <f>IF(AND(A100&lt;&gt;"",Статистика!$L$6="Вкл",Статистика!$K$6&gt;0),(Статистика!$K$6-Статистика!$C$10)/MAX(Статистика!$G$10-Статистика!$C$10,0.000001),NA())</f>
        <v>#N/A</v>
      </c>
      <c r="BQ100" s="12" t="e">
        <f>IF(AND(A100&lt;&gt;"",Статистика!$M$6="Вкл",Статистика!$O$6&gt;0),(Статистика!$O$6-Статистика!$C$10)/MAX(Статистика!$G$10-Статистика!$C$10,0.000001),NA())</f>
        <v>#N/A</v>
      </c>
      <c r="BR100" s="12">
        <f t="shared" si="2"/>
        <v>1</v>
      </c>
      <c r="BT100" s="12">
        <f>IF(Y100="","",MAX(0,MIN(1,(((IF(Статистика!$C$4="Параллельный режим (активная мощность)",Z100,AK100)+Статистика!$J$4))-Статистика!$C$10)/MAX(Статистика!$G$10-Статистика!$C$10,0.000001))))</f>
        <v>0.41177261711111107</v>
      </c>
      <c r="BU100" s="12">
        <f>IF(Y100="","",MAX(0,MAX(0,MIN(1,(((IF(Статистика!$C$4="Параллельный режим (активная мощность)",AB100,AM100)+Статистика!$J$4))-Статистика!$C$10)/MAX(Статистика!$G$10-Статистика!$C$10,0.000001)))-MAX(0,MIN(1,(((IF(Статистика!$C$4="Параллельный режим (активная мощность)",Z100,AK100)+Статистика!$J$4))-Статистика!$C$10)/MAX(Статистика!$G$10-Статистика!$C$10,0.000001)))))</f>
        <v>1.7541854000000079E-2</v>
      </c>
      <c r="BV100" s="12">
        <f>IF(Y100="","",MAX(0,MAX(0,MIN(1,(((IF(Статистика!$C$4="Параллельный режим (активная мощность)",AC100,AN100)+Статистика!$J$4))-Статистика!$C$10)/MAX(Статистика!$G$10-Статистика!$C$10,0.000001)))-MAX(0,MIN(1,(((IF(Статистика!$C$4="Параллельный режим (активная мощность)",AB100,AM100)+Статистика!$J$4))-Статистика!$C$10)/MAX(Статистика!$G$10-Статистика!$C$10,0.000001)))))</f>
        <v>2.1360378888888865E-2</v>
      </c>
      <c r="BW100" s="12">
        <f>IF(Y100="","",MAX(0,MAX(0,MIN(1,(((IF(Статистика!$C$4="Параллельный режим (активная мощность)",AD100,AO100)+Статистика!$J$4))-Статистика!$C$10)/MAX(Статистика!$G$10-Статистика!$C$10,0.000001)))-MAX(0,MIN(1,(((IF(Статистика!$C$4="Параллельный режим (активная мощность)",AC100,AN100)+Статистика!$J$4))-Статистика!$C$10)/MAX(Статистика!$G$10-Статистика!$C$10,0.000001)))))</f>
        <v>5.8106916666666286E-2</v>
      </c>
      <c r="BX100" s="12">
        <f>IF(Y100="","",MAX(0,MAX(0,MIN(1,(((IF(Статистика!$C$4="Параллельный режим (активная мощность)",AE100,AP100)+Статистика!$J$4))-Статистика!$C$10)/MAX(Статистика!$G$10-Статистика!$C$10,0.000001)))-MAX(0,MIN(1,(((IF(Статистика!$C$4="Параллельный режим (активная мощность)",AD100,AO100)+Статистика!$J$4))-Статистика!$C$10)/MAX(Статистика!$G$10-Статистика!$C$10,0.000001)))))</f>
        <v>9.3558516666667035E-2</v>
      </c>
      <c r="BY100" s="12">
        <f>IF(Y100="","",MAX(0,MAX(0,MIN(1,(((IF(Статистика!$C$4="Параллельный режим (активная мощность)",AF100,AQ100)+Статистика!$J$4))-Статистика!$C$10)/MAX(Статистика!$G$10-Статистика!$C$10,0.000001)))-MAX(0,MIN(1,(((IF(Статистика!$C$4="Параллельный режим (активная мощность)",AE100,AP100)+Статистика!$J$4))-Статистика!$C$10)/MAX(Статистика!$G$10-Статистика!$C$10,0.000001)))))</f>
        <v>0.10366211611111087</v>
      </c>
      <c r="BZ100" s="12">
        <f>IF(Y100="","",MAX(0,MAX(0,MIN(1,(((IF(Статистика!$C$4="Параллельный режим (активная мощность)",AH100,AS100)+Статистика!$J$4))-Статистика!$C$10)/MAX(Статистика!$G$10-Статистика!$C$10,0.000001)))-MAX(0,MIN(1,(((IF(Статистика!$C$4="Параллельный режим (активная мощность)",AF100,AQ100)+Статистика!$J$4))-Статистика!$C$10)/MAX(Статистика!$G$10-Статистика!$C$10,0.000001)))))</f>
        <v>4.4556104999998736E-3</v>
      </c>
      <c r="CA100" s="12">
        <f>IF(Y100="","",MAX(0,1-MAX(0,MIN(1,(((IF(Статистика!$C$4="Параллельный режим (активная мощность)",AH100,AS100)+Статистика!$J$4))-Статистика!$C$10)/MAX(Статистика!$G$10-Статистика!$C$10,0.000001)))))</f>
        <v>0.28954199005555592</v>
      </c>
      <c r="CB100" s="12">
        <f>IF(Y100="",NA(),IF(Статистика!$B$8="Вкл",(((IF(Статистика!$C$4="Параллельный режим (активная мощность)",AD100,AO100)+Статистика!$J$4))-Статистика!$C$10)/MAX(Статистика!$G$10-Статистика!$C$10,0.000001),NA()))</f>
        <v>0.5087817666666663</v>
      </c>
      <c r="CC100" s="12">
        <f>IF(Y100="",NA(),IF(Статистика!$D$8="Вкл",(((IF(Статистика!$C$4="Параллельный режим (активная мощность)",AC100,AN100)+Статистика!$J$4))-Статистика!$C$10)/MAX(Статистика!$G$10-Статистика!$C$10,0.000001),NA()))</f>
        <v>0.45067485000000002</v>
      </c>
      <c r="CD100" s="12">
        <f>IF(Y100="",NA(),IF(Статистика!$D$8="Вкл",(((IF(Статистика!$C$4="Параллельный режим (активная мощность)",AE100,AP100)+Статистика!$J$4))-Статистика!$C$10)/MAX(Статистика!$G$10-Статистика!$C$10,0.000001),NA()))</f>
        <v>0.60234028333333334</v>
      </c>
      <c r="CE100" s="12">
        <f>IF(Y100="",NA(),IF(Статистика!$F$8="Вкл",(((IF(Статистика!$C$4="Параллельный режим (активная мощность)",AB100,AM100)+Статистика!$J$4))-Статистика!$C$10)/MAX(Статистика!$G$10-Статистика!$C$10,0.000001),NA()))</f>
        <v>0.42931447111111115</v>
      </c>
      <c r="CF100" s="12">
        <f>IF(Y100="",NA(),IF(Статистика!$F$8="Вкл",(((IF(Статистика!$C$4="Параллельный режим (активная мощность)",AF100,AQ100)+Статистика!$J$4))-Статистика!$C$10)/MAX(Статистика!$G$10-Статистика!$C$10,0.000001),NA()))</f>
        <v>0.70600239944444421</v>
      </c>
      <c r="CG100" s="12">
        <f>IF(Y100="",NA(),IF(Статистика!$H$8="Вкл",(((IF(Статистика!$C$4="Параллельный режим (активная мощность)",Z100,AK100)+Статистика!$J$4))-Статистика!$C$10)/MAX(Статистика!$G$10-Статистика!$C$10,0.000001),NA()))</f>
        <v>0.41177261711111107</v>
      </c>
      <c r="CH100" s="12">
        <f>IF(Y100="",NA(),IF(Статистика!$H$8="Вкл",(((IF(Статистика!$C$4="Параллельный режим (активная мощность)",AH100,AS100)+Статистика!$J$4))-Статистика!$C$10)/MAX(Статистика!$G$10-Статистика!$C$10,0.000001),NA()))</f>
        <v>0.71045800994444408</v>
      </c>
      <c r="CI100" s="12" t="e">
        <f>IF(Y100="",NA(),IF(Статистика!$J$8="Вкл",(((IF(Статистика!$C$4="Параллельный режим (активная мощность)",AI100,AT100)+Статистика!$J$4))-Статистика!$C$10)/MAX(Статистика!$G$10-Статистика!$C$10,0.000001),NA()))</f>
        <v>#N/A</v>
      </c>
      <c r="CJ100" s="12" t="e">
        <f>IF(AND(Y100&lt;&gt;"",Статистика!$C$6="Вкл",Статистика!$B$6&gt;0),(Статистика!$B$6-Статистика!$C$10)/MAX(Статистика!$G$10-Статистика!$C$10,0.000001),NA())</f>
        <v>#N/A</v>
      </c>
      <c r="CK100" s="12" t="e">
        <f>IF(AND(Y100&lt;&gt;"",Статистика!$F$6="Вкл",Статистика!$E$6&gt;0),(Статистика!$E$6-Статистика!$C$10)/MAX(Статистика!$G$10-Статистика!$C$10,0.000001),NA())</f>
        <v>#N/A</v>
      </c>
      <c r="CL100" s="12" t="e">
        <f>IF(AND(Y100&lt;&gt;"",Статистика!$I$6="Вкл",Статистика!$H$6&gt;0),(Статистика!$H$6-Статистика!$C$10)/MAX(Статистика!$G$10-Статистика!$C$10,0.000001),NA())</f>
        <v>#N/A</v>
      </c>
      <c r="CM100" s="12" t="e">
        <f>IF(AND(Y100&lt;&gt;"",Статистика!$L$6="Вкл",Статистика!$K$6&gt;0),(Статистика!$K$6-Статистика!$C$10)/MAX(Статистика!$G$10-Статистика!$C$10,0.000001),NA())</f>
        <v>#N/A</v>
      </c>
      <c r="CN100" s="12" t="e">
        <f>IF(AND(Y100&lt;&gt;"",Статистика!$M$6="Вкл",Статистика!$O$6&gt;0),(Статистика!$O$6-Статистика!$C$10)/MAX(Статистика!$G$10-Статистика!$C$10,0.000001),NA())</f>
        <v>#N/A</v>
      </c>
      <c r="CO100" s="12">
        <f t="shared" si="3"/>
        <v>1</v>
      </c>
    </row>
    <row r="101" spans="1:93" ht="15" customHeight="1">
      <c r="A101" s="12" t="s">
        <v>465</v>
      </c>
      <c r="B101" s="12">
        <v>2292.5272219999997</v>
      </c>
      <c r="C101" s="12">
        <v>5548.3670433333345</v>
      </c>
      <c r="D101" s="12">
        <v>7094.6969750000007</v>
      </c>
      <c r="E101" s="12">
        <v>7381.1280916666656</v>
      </c>
      <c r="F101" s="12">
        <v>7562.9552166666663</v>
      </c>
      <c r="G101" s="12">
        <v>7848.5980833333333</v>
      </c>
      <c r="H101" s="12">
        <v>8020.3082366666667</v>
      </c>
      <c r="I101" s="12">
        <v>8053.3059158333335</v>
      </c>
      <c r="J101" s="12">
        <v>8097.8949431666679</v>
      </c>
      <c r="K101" s="12">
        <v>8303.2999999999993</v>
      </c>
      <c r="L101" s="12" t="s">
        <v>466</v>
      </c>
      <c r="M101" s="12">
        <v>2766.8148760000004</v>
      </c>
      <c r="N101" s="12">
        <v>6281.2642466666675</v>
      </c>
      <c r="O101" s="12">
        <v>7962.6551200000013</v>
      </c>
      <c r="P101" s="12">
        <v>8300.1323916666661</v>
      </c>
      <c r="Q101" s="12">
        <v>8468.8082166666663</v>
      </c>
      <c r="R101" s="12">
        <v>8778.5140333333329</v>
      </c>
      <c r="S101" s="12">
        <v>8990.0599633333331</v>
      </c>
      <c r="T101" s="12">
        <v>9076.3776841666659</v>
      </c>
      <c r="U101" s="12">
        <v>9106.761776833333</v>
      </c>
      <c r="V101" s="12">
        <v>9393.91</v>
      </c>
      <c r="W101" s="12" t="s">
        <v>467</v>
      </c>
      <c r="Y101" s="12" t="s">
        <v>465</v>
      </c>
      <c r="Z101" s="12">
        <v>7266.0034889999988</v>
      </c>
      <c r="AA101" s="12">
        <v>7281.6293116666657</v>
      </c>
      <c r="AB101" s="12">
        <v>7301.1615899999997</v>
      </c>
      <c r="AC101" s="12">
        <v>7374.0498666666672</v>
      </c>
      <c r="AD101" s="12">
        <v>7542.9108500000002</v>
      </c>
      <c r="AE101" s="12">
        <v>7799.4400999999989</v>
      </c>
      <c r="AF101" s="12">
        <v>8091.3045449999991</v>
      </c>
      <c r="AG101" s="12">
        <v>8113.3498558333322</v>
      </c>
      <c r="AH101" s="12">
        <v>8130.9861044999998</v>
      </c>
      <c r="AI101" s="12">
        <v>8258.0300000000007</v>
      </c>
      <c r="AJ101" s="12" t="s">
        <v>468</v>
      </c>
      <c r="AK101" s="12">
        <v>8185.5052266666662</v>
      </c>
      <c r="AL101" s="12">
        <v>8193.07</v>
      </c>
      <c r="AM101" s="12">
        <v>8202.5259666666661</v>
      </c>
      <c r="AN101" s="12">
        <v>8293.6777833333326</v>
      </c>
      <c r="AO101" s="12">
        <v>8464.6780499999986</v>
      </c>
      <c r="AP101" s="12">
        <v>8783.4306916666665</v>
      </c>
      <c r="AQ101" s="12">
        <v>8990.8283116666662</v>
      </c>
      <c r="AR101" s="12">
        <v>8991.6450891666664</v>
      </c>
      <c r="AS101" s="12">
        <v>8992.2985111666658</v>
      </c>
      <c r="AT101" s="12">
        <v>9126.93</v>
      </c>
      <c r="AU101" s="12" t="s">
        <v>469</v>
      </c>
      <c r="AW101" s="12">
        <f>IF(A101="","",MAX(0,MIN(1,(((IF(Статистика!$C$4="Параллельный режим (активная мощность)",B101,M101)+Статистика!$J$4))-Статистика!$C$10)/MAX(Статистика!$G$10-Статистика!$C$10,0.000001))))</f>
        <v>0</v>
      </c>
      <c r="AX101" s="12">
        <f>IF(A101="","",MAX(0,MAX(0,MIN(1,(((IF(Статистика!$C$4="Параллельный режим (активная мощность)",D101,O101)+Статистика!$J$4))-Статистика!$C$10)/MAX(Статистика!$G$10-Статистика!$C$10,0.000001)))-MAX(0,MIN(1,(((IF(Статистика!$C$4="Параллельный режим (активная мощность)",B101,M101)+Статистика!$J$4))-Статистика!$C$10)/MAX(Статистика!$G$10-Статистика!$C$10,0.000001)))))</f>
        <v>0.36489899166666689</v>
      </c>
      <c r="AY101" s="12">
        <f>IF(A101="","",MAX(0,MAX(0,MIN(1,(((IF(Статистика!$C$4="Параллельный режим (активная мощность)",E101,P101)+Статистика!$J$4))-Статистика!$C$10)/MAX(Статистика!$G$10-Статистика!$C$10,0.000001)))-MAX(0,MIN(1,(((IF(Статистика!$C$4="Параллельный режим (активная мощность)",D101,O101)+Статистика!$J$4))-Статистика!$C$10)/MAX(Статистика!$G$10-Статистика!$C$10,0.000001)))))</f>
        <v>9.547703888888831E-2</v>
      </c>
      <c r="AZ101" s="12">
        <f>IF(A101="","",MAX(0,MAX(0,MIN(1,(((IF(Статистика!$C$4="Параллельный режим (активная мощность)",F101,Q101)+Статистика!$J$4))-Статистика!$C$10)/MAX(Статистика!$G$10-Статистика!$C$10,0.000001)))-MAX(0,MIN(1,(((IF(Статистика!$C$4="Параллельный режим (активная мощность)",E101,P101)+Статистика!$J$4))-Статистика!$C$10)/MAX(Статистика!$G$10-Статистика!$C$10,0.000001)))))</f>
        <v>6.0609041666666919E-2</v>
      </c>
      <c r="BA101" s="12">
        <f>IF(A101="","",MAX(0,MAX(0,MIN(1,(((IF(Статистика!$C$4="Параллельный режим (активная мощность)",G101,R101)+Статистика!$J$4))-Статистика!$C$10)/MAX(Статистика!$G$10-Статистика!$C$10,0.000001)))-MAX(0,MIN(1,(((IF(Статистика!$C$4="Параллельный режим (активная мощность)",F101,Q101)+Статистика!$J$4))-Статистика!$C$10)/MAX(Статистика!$G$10-Статистика!$C$10,0.000001)))))</f>
        <v>9.5214288888888943E-2</v>
      </c>
      <c r="BB101" s="12">
        <f>IF(A101="","",MAX(0,MAX(0,MIN(1,(((IF(Статистика!$C$4="Параллельный режим (активная мощность)",H101,S101)+Статистика!$J$4))-Статистика!$C$10)/MAX(Статистика!$G$10-Статистика!$C$10,0.000001)))-MAX(0,MIN(1,(((IF(Статистика!$C$4="Параллельный режим (активная мощность)",G101,R101)+Статистика!$J$4))-Статистика!$C$10)/MAX(Статистика!$G$10-Статистика!$C$10,0.000001)))))</f>
        <v>5.7236717777777835E-2</v>
      </c>
      <c r="BC101" s="12">
        <f>IF(A101="","",MAX(0,MAX(0,MIN(1,(((IF(Статистика!$C$4="Параллельный режим (активная мощность)",J101,U101)+Статистика!$J$4))-Статистика!$C$10)/MAX(Статистика!$G$10-Статистика!$C$10,0.000001)))-MAX(0,MIN(1,(((IF(Статистика!$C$4="Параллельный режим (активная мощность)",H101,S101)+Статистика!$J$4))-Статистика!$C$10)/MAX(Статистика!$G$10-Статистика!$C$10,0.000001)))))</f>
        <v>2.5862235500000441E-2</v>
      </c>
      <c r="BD101" s="12">
        <f>IF(A101="","",MAX(0,1-MAX(0,MIN(1,(((IF(Статистика!$C$4="Параллельный режим (активная мощность)",J101,U101)+Статистика!$J$4))-Статистика!$C$10)/MAX(Статистика!$G$10-Статистика!$C$10,0.000001)))))</f>
        <v>0.30070168561111066</v>
      </c>
      <c r="BE101" s="12">
        <f>IF(A101="",NA(),IF(Статистика!$B$8="Вкл",(((IF(Статистика!$C$4="Параллельный режим (активная мощность)",F101,Q101)+Статистика!$J$4))-Статистика!$C$10)/MAX(Статистика!$G$10-Статистика!$C$10,0.000001),NA()))</f>
        <v>0.52098507222222212</v>
      </c>
      <c r="BF101" s="12">
        <f>IF(A101="",NA(),IF(Статистика!$D$8="Вкл",(((IF(Статистика!$C$4="Параллельный режим (активная мощность)",E101,P101)+Статистика!$J$4))-Статистика!$C$10)/MAX(Статистика!$G$10-Статистика!$C$10,0.000001),NA()))</f>
        <v>0.4603760305555552</v>
      </c>
      <c r="BG101" s="12">
        <f>IF(A101="",NA(),IF(Статистика!$D$8="Вкл",(((IF(Статистика!$C$4="Параллельный режим (активная мощность)",G101,R101)+Статистика!$J$4))-Статистика!$C$10)/MAX(Статистика!$G$10-Статистика!$C$10,0.000001),NA()))</f>
        <v>0.61619936111111107</v>
      </c>
      <c r="BH101" s="12">
        <f>IF(A101="",NA(),IF(Статистика!$F$8="Вкл",(((IF(Статистика!$C$4="Параллельный режим (активная мощность)",D101,O101)+Статистика!$J$4))-Статистика!$C$10)/MAX(Статистика!$G$10-Статистика!$C$10,0.000001),NA()))</f>
        <v>0.36489899166666689</v>
      </c>
      <c r="BI101" s="12">
        <f>IF(A101="",NA(),IF(Статистика!$F$8="Вкл",(((IF(Статистика!$C$4="Параллельный режим (активная мощность)",H101,S101)+Статистика!$J$4))-Статистика!$C$10)/MAX(Статистика!$G$10-Статистика!$C$10,0.000001),NA()))</f>
        <v>0.6734360788888889</v>
      </c>
      <c r="BJ101" s="12">
        <f>IF(A101="",NA(),IF(Статистика!$H$8="Вкл",(((IF(Статистика!$C$4="Параллельный режим (активная мощность)",B101,M101)+Статистика!$J$4))-Статистика!$C$10)/MAX(Статистика!$G$10-Статистика!$C$10,0.000001),NA()))</f>
        <v>-1.2358242593333335</v>
      </c>
      <c r="BK101" s="12">
        <f>IF(A101="",NA(),IF(Статистика!$H$8="Вкл",(((IF(Статистика!$C$4="Параллельный режим (активная мощность)",J101,U101)+Статистика!$J$4))-Статистика!$C$10)/MAX(Статистика!$G$10-Статистика!$C$10,0.000001),NA()))</f>
        <v>0.69929831438888934</v>
      </c>
      <c r="BL101" s="12" t="e">
        <f>IF(A101="",NA(),IF(Статистика!$J$8="Вкл",(((IF(Статистика!$C$4="Параллельный режим (активная мощность)",K101,V101)+Статистика!$J$4))-Статистика!$C$10)/MAX(Статистика!$G$10-Статистика!$C$10,0.000001),NA()))</f>
        <v>#N/A</v>
      </c>
      <c r="BM101" s="12" t="e">
        <f>IF(AND(A101&lt;&gt;"",Статистика!$C$6="Вкл",Статистика!$B$6&gt;0),(Статистика!$B$6-Статистика!$C$10)/MAX(Статистика!$G$10-Статистика!$C$10,0.000001),NA())</f>
        <v>#N/A</v>
      </c>
      <c r="BN101" s="12" t="e">
        <f>IF(AND(A101&lt;&gt;"",Статистика!$F$6="Вкл",Статистика!$E$6&gt;0),(Статистика!$E$6-Статистика!$C$10)/MAX(Статистика!$G$10-Статистика!$C$10,0.000001),NA())</f>
        <v>#N/A</v>
      </c>
      <c r="BO101" s="12" t="e">
        <f>IF(AND(A101&lt;&gt;"",Статистика!$I$6="Вкл",Статистика!$H$6&gt;0),(Статистика!$H$6-Статистика!$C$10)/MAX(Статистика!$G$10-Статистика!$C$10,0.000001),NA())</f>
        <v>#N/A</v>
      </c>
      <c r="BP101" s="12" t="e">
        <f>IF(AND(A101&lt;&gt;"",Статистика!$L$6="Вкл",Статистика!$K$6&gt;0),(Статистика!$K$6-Статистика!$C$10)/MAX(Статистика!$G$10-Статистика!$C$10,0.000001),NA())</f>
        <v>#N/A</v>
      </c>
      <c r="BQ101" s="12" t="e">
        <f>IF(AND(A101&lt;&gt;"",Статистика!$M$6="Вкл",Статистика!$O$6&gt;0),(Статистика!$O$6-Статистика!$C$10)/MAX(Статистика!$G$10-Статистика!$C$10,0.000001),NA())</f>
        <v>#N/A</v>
      </c>
      <c r="BR101" s="12">
        <f t="shared" si="2"/>
        <v>1</v>
      </c>
      <c r="BT101" s="12">
        <f>IF(Y101="","",MAX(0,MIN(1,(((IF(Статистика!$C$4="Параллельный режим (активная мощность)",Z101,AK101)+Статистика!$J$4))-Статистика!$C$10)/MAX(Статистика!$G$10-Статистика!$C$10,0.000001))))</f>
        <v>0.42200116299999962</v>
      </c>
      <c r="BU101" s="12">
        <f>IF(Y101="","",MAX(0,MAX(0,MIN(1,(((IF(Статистика!$C$4="Параллельный режим (активная мощность)",AB101,AM101)+Статистика!$J$4))-Статистика!$C$10)/MAX(Статистика!$G$10-Статистика!$C$10,0.000001)))-MAX(0,MIN(1,(((IF(Статистика!$C$4="Параллельный режим (активная мощность)",Z101,AK101)+Статистика!$J$4))-Статистика!$C$10)/MAX(Статистика!$G$10-Статистика!$C$10,0.000001)))))</f>
        <v>1.1719367000000258E-2</v>
      </c>
      <c r="BV101" s="12">
        <f>IF(Y101="","",MAX(0,MAX(0,MIN(1,(((IF(Статистика!$C$4="Параллельный режим (активная мощность)",AC101,AN101)+Статистика!$J$4))-Статистика!$C$10)/MAX(Статистика!$G$10-Статистика!$C$10,0.000001)))-MAX(0,MIN(1,(((IF(Статистика!$C$4="Параллельный режим (активная мощность)",AB101,AM101)+Статистика!$J$4))-Статистика!$C$10)/MAX(Статистика!$G$10-Статистика!$C$10,0.000001)))))</f>
        <v>2.429609222222251E-2</v>
      </c>
      <c r="BW101" s="12">
        <f>IF(Y101="","",MAX(0,MAX(0,MIN(1,(((IF(Статистика!$C$4="Параллельный режим (активная мощность)",AD101,AO101)+Статистика!$J$4))-Статистика!$C$10)/MAX(Статистика!$G$10-Статистика!$C$10,0.000001)))-MAX(0,MIN(1,(((IF(Статистика!$C$4="Параллельный режим (активная мощность)",AC101,AN101)+Статистика!$J$4))-Статистика!$C$10)/MAX(Статистика!$G$10-Статистика!$C$10,0.000001)))))</f>
        <v>5.6286994444444294E-2</v>
      </c>
      <c r="BX101" s="12">
        <f>IF(Y101="","",MAX(0,MAX(0,MIN(1,(((IF(Статистика!$C$4="Параллельный режим (активная мощность)",AE101,AP101)+Статистика!$J$4))-Статистика!$C$10)/MAX(Статистика!$G$10-Статистика!$C$10,0.000001)))-MAX(0,MIN(1,(((IF(Статистика!$C$4="Параллельный режим (активная мощность)",AD101,AO101)+Статистика!$J$4))-Статистика!$C$10)/MAX(Статистика!$G$10-Статистика!$C$10,0.000001)))))</f>
        <v>8.5509749999999607E-2</v>
      </c>
      <c r="BY101" s="12">
        <f>IF(Y101="","",MAX(0,MAX(0,MIN(1,(((IF(Статистика!$C$4="Параллельный режим (активная мощность)",AF101,AQ101)+Статистика!$J$4))-Статистика!$C$10)/MAX(Статистика!$G$10-Статистика!$C$10,0.000001)))-MAX(0,MIN(1,(((IF(Статистика!$C$4="Параллельный режим (активная мощность)",AE101,AP101)+Статистика!$J$4))-Статистика!$C$10)/MAX(Статистика!$G$10-Статистика!$C$10,0.000001)))))</f>
        <v>9.7288148333333435E-2</v>
      </c>
      <c r="BZ101" s="12">
        <f>IF(Y101="","",MAX(0,MAX(0,MIN(1,(((IF(Статистика!$C$4="Параллельный режим (активная мощность)",AH101,AS101)+Статистика!$J$4))-Статистика!$C$10)/MAX(Статистика!$G$10-Статистика!$C$10,0.000001)))-MAX(0,MIN(1,(((IF(Статистика!$C$4="Параллельный режим (активная мощность)",AF101,AQ101)+Статистика!$J$4))-Статистика!$C$10)/MAX(Статистика!$G$10-Статистика!$C$10,0.000001)))))</f>
        <v>1.322718650000021E-2</v>
      </c>
      <c r="CA101" s="12">
        <f>IF(Y101="","",MAX(0,1-MAX(0,MIN(1,(((IF(Статистика!$C$4="Параллельный режим (активная мощность)",AH101,AS101)+Статистика!$J$4))-Статистика!$C$10)/MAX(Статистика!$G$10-Статистика!$C$10,0.000001)))))</f>
        <v>0.28967129850000006</v>
      </c>
      <c r="CB101" s="12">
        <f>IF(Y101="",NA(),IF(Статистика!$B$8="Вкл",(((IF(Статистика!$C$4="Параллельный режим (активная мощность)",AD101,AO101)+Статистика!$J$4))-Статистика!$C$10)/MAX(Статистика!$G$10-Статистика!$C$10,0.000001),NA()))</f>
        <v>0.51430361666666669</v>
      </c>
      <c r="CC101" s="12">
        <f>IF(Y101="",NA(),IF(Статистика!$D$8="Вкл",(((IF(Статистика!$C$4="Параллельный режим (активная мощность)",AC101,AN101)+Статистика!$J$4))-Статистика!$C$10)/MAX(Статистика!$G$10-Статистика!$C$10,0.000001),NA()))</f>
        <v>0.45801662222222239</v>
      </c>
      <c r="CD101" s="12">
        <f>IF(Y101="",NA(),IF(Статистика!$D$8="Вкл",(((IF(Статистика!$C$4="Параллельный режим (активная мощность)",AE101,AP101)+Статистика!$J$4))-Статистика!$C$10)/MAX(Статистика!$G$10-Статистика!$C$10,0.000001),NA()))</f>
        <v>0.59981336666666629</v>
      </c>
      <c r="CE101" s="12">
        <f>IF(Y101="",NA(),IF(Статистика!$F$8="Вкл",(((IF(Статистика!$C$4="Параллельный режим (активная мощность)",AB101,AM101)+Статистика!$J$4))-Статистика!$C$10)/MAX(Статистика!$G$10-Статистика!$C$10,0.000001),NA()))</f>
        <v>0.43372052999999988</v>
      </c>
      <c r="CF101" s="12">
        <f>IF(Y101="",NA(),IF(Статистика!$F$8="Вкл",(((IF(Статистика!$C$4="Параллельный режим (активная мощность)",AF101,AQ101)+Статистика!$J$4))-Статистика!$C$10)/MAX(Статистика!$G$10-Статистика!$C$10,0.000001),NA()))</f>
        <v>0.69710151499999973</v>
      </c>
      <c r="CG101" s="12">
        <f>IF(Y101="",NA(),IF(Статистика!$H$8="Вкл",(((IF(Статистика!$C$4="Параллельный режим (активная мощность)",Z101,AK101)+Статистика!$J$4))-Статистика!$C$10)/MAX(Статистика!$G$10-Статистика!$C$10,0.000001),NA()))</f>
        <v>0.42200116299999962</v>
      </c>
      <c r="CH101" s="12">
        <f>IF(Y101="",NA(),IF(Статистика!$H$8="Вкл",(((IF(Статистика!$C$4="Параллельный режим (активная мощность)",AH101,AS101)+Статистика!$J$4))-Статистика!$C$10)/MAX(Статистика!$G$10-Статистика!$C$10,0.000001),NA()))</f>
        <v>0.71032870149999994</v>
      </c>
      <c r="CI101" s="12" t="e">
        <f>IF(Y101="",NA(),IF(Статистика!$J$8="Вкл",(((IF(Статистика!$C$4="Параллельный режим (активная мощность)",AI101,AT101)+Статистика!$J$4))-Статистика!$C$10)/MAX(Статистика!$G$10-Статистика!$C$10,0.000001),NA()))</f>
        <v>#N/A</v>
      </c>
      <c r="CJ101" s="12" t="e">
        <f>IF(AND(Y101&lt;&gt;"",Статистика!$C$6="Вкл",Статистика!$B$6&gt;0),(Статистика!$B$6-Статистика!$C$10)/MAX(Статистика!$G$10-Статистика!$C$10,0.000001),NA())</f>
        <v>#N/A</v>
      </c>
      <c r="CK101" s="12" t="e">
        <f>IF(AND(Y101&lt;&gt;"",Статистика!$F$6="Вкл",Статистика!$E$6&gt;0),(Статистика!$E$6-Статистика!$C$10)/MAX(Статистика!$G$10-Статистика!$C$10,0.000001),NA())</f>
        <v>#N/A</v>
      </c>
      <c r="CL101" s="12" t="e">
        <f>IF(AND(Y101&lt;&gt;"",Статистика!$I$6="Вкл",Статистика!$H$6&gt;0),(Статистика!$H$6-Статистика!$C$10)/MAX(Статистика!$G$10-Статистика!$C$10,0.000001),NA())</f>
        <v>#N/A</v>
      </c>
      <c r="CM101" s="12" t="e">
        <f>IF(AND(Y101&lt;&gt;"",Статистика!$L$6="Вкл",Статистика!$K$6&gt;0),(Статистика!$K$6-Статистика!$C$10)/MAX(Статистика!$G$10-Статистика!$C$10,0.000001),NA())</f>
        <v>#N/A</v>
      </c>
      <c r="CN101" s="12" t="e">
        <f>IF(AND(Y101&lt;&gt;"",Статистика!$M$6="Вкл",Статистика!$O$6&gt;0),(Статистика!$O$6-Статистика!$C$10)/MAX(Статистика!$G$10-Статистика!$C$10,0.000001),NA())</f>
        <v>#N/A</v>
      </c>
      <c r="CO101" s="12">
        <f t="shared" si="3"/>
        <v>1</v>
      </c>
    </row>
    <row r="102" spans="1:93" ht="15" customHeight="1">
      <c r="A102" s="12" t="s">
        <v>470</v>
      </c>
      <c r="B102" s="12">
        <v>2281.065352666667</v>
      </c>
      <c r="C102" s="12">
        <v>5518.5519633333342</v>
      </c>
      <c r="D102" s="12">
        <v>7100.6456716666671</v>
      </c>
      <c r="E102" s="12">
        <v>7442.1312833333341</v>
      </c>
      <c r="F102" s="12">
        <v>7624.0036166666669</v>
      </c>
      <c r="G102" s="12">
        <v>7881.166283333333</v>
      </c>
      <c r="H102" s="12">
        <v>8107.0203750000001</v>
      </c>
      <c r="I102" s="12">
        <v>8133.6648483333329</v>
      </c>
      <c r="J102" s="12">
        <v>8150.9751029999998</v>
      </c>
      <c r="K102" s="12">
        <v>8602.11</v>
      </c>
      <c r="L102" s="12" t="s">
        <v>471</v>
      </c>
      <c r="M102" s="12">
        <v>2750.2850060000001</v>
      </c>
      <c r="N102" s="12">
        <v>6246.3603633333332</v>
      </c>
      <c r="O102" s="12">
        <v>7971.5088800000003</v>
      </c>
      <c r="P102" s="12">
        <v>8307.0070166666665</v>
      </c>
      <c r="Q102" s="12">
        <v>8519.8612333333331</v>
      </c>
      <c r="R102" s="12">
        <v>8773.357958333334</v>
      </c>
      <c r="S102" s="12">
        <v>9022.4841833333321</v>
      </c>
      <c r="T102" s="12">
        <v>9148.1176450000003</v>
      </c>
      <c r="U102" s="12">
        <v>9211.8533423333338</v>
      </c>
      <c r="V102" s="12">
        <v>9574.73</v>
      </c>
      <c r="W102" s="12" t="s">
        <v>471</v>
      </c>
      <c r="Y102" s="12" t="s">
        <v>470</v>
      </c>
      <c r="Z102" s="12">
        <v>7243.047330833333</v>
      </c>
      <c r="AA102" s="12">
        <v>7266.1431874999998</v>
      </c>
      <c r="AB102" s="12">
        <v>7295.0130083333333</v>
      </c>
      <c r="AC102" s="12">
        <v>7385.5626250000005</v>
      </c>
      <c r="AD102" s="12">
        <v>7581.3189500000008</v>
      </c>
      <c r="AE102" s="12">
        <v>7810.9972250000001</v>
      </c>
      <c r="AF102" s="12">
        <v>8101.5771466666674</v>
      </c>
      <c r="AG102" s="12">
        <v>8113.4570733333339</v>
      </c>
      <c r="AH102" s="12">
        <v>8122.9610146666673</v>
      </c>
      <c r="AI102" s="12">
        <v>8260.69</v>
      </c>
      <c r="AJ102" s="12" t="s">
        <v>472</v>
      </c>
      <c r="AK102" s="12">
        <v>8170.6980221666645</v>
      </c>
      <c r="AL102" s="12">
        <v>8178.256510833332</v>
      </c>
      <c r="AM102" s="12">
        <v>8187.7046216666649</v>
      </c>
      <c r="AN102" s="12">
        <v>8304.7649500000007</v>
      </c>
      <c r="AO102" s="12">
        <v>8490.7284</v>
      </c>
      <c r="AP102" s="12">
        <v>8785.470416666667</v>
      </c>
      <c r="AQ102" s="12">
        <v>9003.2131066666661</v>
      </c>
      <c r="AR102" s="12">
        <v>9018.5841033333327</v>
      </c>
      <c r="AS102" s="12">
        <v>9030.8809006666652</v>
      </c>
      <c r="AT102" s="12">
        <v>9158.2999999999993</v>
      </c>
      <c r="AU102" s="12" t="s">
        <v>473</v>
      </c>
      <c r="AW102" s="12">
        <f>IF(A102="","",MAX(0,MIN(1,(((IF(Статистика!$C$4="Параллельный режим (активная мощность)",B102,M102)+Статистика!$J$4))-Статистика!$C$10)/MAX(Статистика!$G$10-Статистика!$C$10,0.000001))))</f>
        <v>0</v>
      </c>
      <c r="AX102" s="12">
        <f>IF(A102="","",MAX(0,MAX(0,MIN(1,(((IF(Статистика!$C$4="Параллельный режим (активная мощность)",D102,O102)+Статистика!$J$4))-Статистика!$C$10)/MAX(Статистика!$G$10-Статистика!$C$10,0.000001)))-MAX(0,MIN(1,(((IF(Статистика!$C$4="Параллельный режим (активная мощность)",B102,M102)+Статистика!$J$4))-Статистика!$C$10)/MAX(Статистика!$G$10-Статистика!$C$10,0.000001)))))</f>
        <v>0.3668818905555557</v>
      </c>
      <c r="AY102" s="12">
        <f>IF(A102="","",MAX(0,MAX(0,MIN(1,(((IF(Статистика!$C$4="Параллельный режим (активная мощность)",E102,P102)+Статистика!$J$4))-Статистика!$C$10)/MAX(Статистика!$G$10-Статистика!$C$10,0.000001)))-MAX(0,MIN(1,(((IF(Статистика!$C$4="Параллельный режим (активная мощность)",D102,O102)+Статистика!$J$4))-Статистика!$C$10)/MAX(Статистика!$G$10-Статистика!$C$10,0.000001)))))</f>
        <v>0.1138285372222223</v>
      </c>
      <c r="AZ102" s="12">
        <f>IF(A102="","",MAX(0,MAX(0,MIN(1,(((IF(Статистика!$C$4="Параллельный режим (активная мощность)",F102,Q102)+Статистика!$J$4))-Статистика!$C$10)/MAX(Статистика!$G$10-Статистика!$C$10,0.000001)))-MAX(0,MIN(1,(((IF(Статистика!$C$4="Параллельный режим (активная мощность)",E102,P102)+Статистика!$J$4))-Статистика!$C$10)/MAX(Статистика!$G$10-Статистика!$C$10,0.000001)))))</f>
        <v>6.0624111111110934E-2</v>
      </c>
      <c r="BA102" s="12">
        <f>IF(A102="","",MAX(0,MAX(0,MIN(1,(((IF(Статистика!$C$4="Параллельный режим (активная мощность)",G102,R102)+Статистика!$J$4))-Статистика!$C$10)/MAX(Статистика!$G$10-Статистика!$C$10,0.000001)))-MAX(0,MIN(1,(((IF(Статистика!$C$4="Параллельный режим (активная мощность)",F102,Q102)+Статистика!$J$4))-Статистика!$C$10)/MAX(Статистика!$G$10-Статистика!$C$10,0.000001)))))</f>
        <v>8.5720888888888735E-2</v>
      </c>
      <c r="BB102" s="12">
        <f>IF(A102="","",MAX(0,MAX(0,MIN(1,(((IF(Статистика!$C$4="Параллельный режим (активная мощность)",H102,S102)+Статистика!$J$4))-Статистика!$C$10)/MAX(Статистика!$G$10-Статистика!$C$10,0.000001)))-MAX(0,MIN(1,(((IF(Статистика!$C$4="Параллельный режим (активная мощность)",G102,R102)+Статистика!$J$4))-Статистика!$C$10)/MAX(Статистика!$G$10-Статистика!$C$10,0.000001)))))</f>
        <v>7.5284697222222308E-2</v>
      </c>
      <c r="BC102" s="12">
        <f>IF(A102="","",MAX(0,MAX(0,MIN(1,(((IF(Статистика!$C$4="Параллельный режим (активная мощность)",J102,U102)+Статистика!$J$4))-Статистика!$C$10)/MAX(Статистика!$G$10-Статистика!$C$10,0.000001)))-MAX(0,MIN(1,(((IF(Статистика!$C$4="Параллельный режим (активная мощность)",H102,S102)+Статистика!$J$4))-Статистика!$C$10)/MAX(Статистика!$G$10-Статистика!$C$10,0.000001)))))</f>
        <v>1.4651575999999888E-2</v>
      </c>
      <c r="BD102" s="12">
        <f>IF(A102="","",MAX(0,1-MAX(0,MIN(1,(((IF(Статистика!$C$4="Параллельный режим (активная мощность)",J102,U102)+Статистика!$J$4))-Статистика!$C$10)/MAX(Статистика!$G$10-Статистика!$C$10,0.000001)))))</f>
        <v>0.28300829900000013</v>
      </c>
      <c r="BE102" s="12">
        <f>IF(A102="",NA(),IF(Статистика!$B$8="Вкл",(((IF(Статистика!$C$4="Параллельный режим (активная мощность)",F102,Q102)+Статистика!$J$4))-Статистика!$C$10)/MAX(Статистика!$G$10-Статистика!$C$10,0.000001),NA()))</f>
        <v>0.54133453888888894</v>
      </c>
      <c r="BF102" s="12">
        <f>IF(A102="",NA(),IF(Статистика!$D$8="Вкл",(((IF(Статистика!$C$4="Параллельный режим (активная мощность)",E102,P102)+Статистика!$J$4))-Статистика!$C$10)/MAX(Статистика!$G$10-Статистика!$C$10,0.000001),NA()))</f>
        <v>0.480710427777778</v>
      </c>
      <c r="BG102" s="12">
        <f>IF(A102="",NA(),IF(Статистика!$D$8="Вкл",(((IF(Статистика!$C$4="Параллельный режим (активная мощность)",G102,R102)+Статистика!$J$4))-Статистика!$C$10)/MAX(Статистика!$G$10-Статистика!$C$10,0.000001),NA()))</f>
        <v>0.62705542777777767</v>
      </c>
      <c r="BH102" s="12">
        <f>IF(A102="",NA(),IF(Статистика!$F$8="Вкл",(((IF(Статистика!$C$4="Параллельный режим (активная мощность)",D102,O102)+Статистика!$J$4))-Статистика!$C$10)/MAX(Статистика!$G$10-Статистика!$C$10,0.000001),NA()))</f>
        <v>0.3668818905555557</v>
      </c>
      <c r="BI102" s="12">
        <f>IF(A102="",NA(),IF(Статистика!$F$8="Вкл",(((IF(Статистика!$C$4="Параллельный режим (активная мощность)",H102,S102)+Статистика!$J$4))-Статистика!$C$10)/MAX(Статистика!$G$10-Статистика!$C$10,0.000001),NA()))</f>
        <v>0.70234012499999998</v>
      </c>
      <c r="BJ102" s="12">
        <f>IF(A102="",NA(),IF(Статистика!$H$8="Вкл",(((IF(Статистика!$C$4="Параллельный режим (активная мощность)",B102,M102)+Статистика!$J$4))-Статистика!$C$10)/MAX(Статистика!$G$10-Статистика!$C$10,0.000001),NA()))</f>
        <v>-1.2396448824444444</v>
      </c>
      <c r="BK102" s="12">
        <f>IF(A102="",NA(),IF(Статистика!$H$8="Вкл",(((IF(Статистика!$C$4="Параллельный режим (активная мощность)",J102,U102)+Статистика!$J$4))-Статистика!$C$10)/MAX(Статистика!$G$10-Статистика!$C$10,0.000001),NA()))</f>
        <v>0.71699170099999987</v>
      </c>
      <c r="BL102" s="12" t="e">
        <f>IF(A102="",NA(),IF(Статистика!$J$8="Вкл",(((IF(Статистика!$C$4="Параллельный режим (активная мощность)",K102,V102)+Статистика!$J$4))-Статистика!$C$10)/MAX(Статистика!$G$10-Статистика!$C$10,0.000001),NA()))</f>
        <v>#N/A</v>
      </c>
      <c r="BM102" s="12" t="e">
        <f>IF(AND(A102&lt;&gt;"",Статистика!$C$6="Вкл",Статистика!$B$6&gt;0),(Статистика!$B$6-Статистика!$C$10)/MAX(Статистика!$G$10-Статистика!$C$10,0.000001),NA())</f>
        <v>#N/A</v>
      </c>
      <c r="BN102" s="12" t="e">
        <f>IF(AND(A102&lt;&gt;"",Статистика!$F$6="Вкл",Статистика!$E$6&gt;0),(Статистика!$E$6-Статистика!$C$10)/MAX(Статистика!$G$10-Статистика!$C$10,0.000001),NA())</f>
        <v>#N/A</v>
      </c>
      <c r="BO102" s="12" t="e">
        <f>IF(AND(A102&lt;&gt;"",Статистика!$I$6="Вкл",Статистика!$H$6&gt;0),(Статистика!$H$6-Статистика!$C$10)/MAX(Статистика!$G$10-Статистика!$C$10,0.000001),NA())</f>
        <v>#N/A</v>
      </c>
      <c r="BP102" s="12" t="e">
        <f>IF(AND(A102&lt;&gt;"",Статистика!$L$6="Вкл",Статистика!$K$6&gt;0),(Статистика!$K$6-Статистика!$C$10)/MAX(Статистика!$G$10-Статистика!$C$10,0.000001),NA())</f>
        <v>#N/A</v>
      </c>
      <c r="BQ102" s="12" t="e">
        <f>IF(AND(A102&lt;&gt;"",Статистика!$M$6="Вкл",Статистика!$O$6&gt;0),(Статистика!$O$6-Статистика!$C$10)/MAX(Статистика!$G$10-Статистика!$C$10,0.000001),NA())</f>
        <v>#N/A</v>
      </c>
      <c r="BR102" s="12">
        <f t="shared" si="2"/>
        <v>1</v>
      </c>
      <c r="BT102" s="12">
        <f>IF(Y102="","",MAX(0,MIN(1,(((IF(Статистика!$C$4="Параллельный режим (активная мощность)",Z102,AK102)+Статистика!$J$4))-Статистика!$C$10)/MAX(Статистика!$G$10-Статистика!$C$10,0.000001))))</f>
        <v>0.41434911027777765</v>
      </c>
      <c r="BU102" s="12">
        <f>IF(Y102="","",MAX(0,MAX(0,MIN(1,(((IF(Статистика!$C$4="Параллельный режим (активная мощность)",AB102,AM102)+Статистика!$J$4))-Статистика!$C$10)/MAX(Статистика!$G$10-Статистика!$C$10,0.000001)))-MAX(0,MIN(1,(((IF(Статистика!$C$4="Параллельный режим (активная мощность)",Z102,AK102)+Статистика!$J$4))-Статистика!$C$10)/MAX(Статистика!$G$10-Статистика!$C$10,0.000001)))))</f>
        <v>1.7321892500000102E-2</v>
      </c>
      <c r="BV102" s="12">
        <f>IF(Y102="","",MAX(0,MAX(0,MIN(1,(((IF(Статистика!$C$4="Параллельный режим (активная мощность)",AC102,AN102)+Статистика!$J$4))-Статистика!$C$10)/MAX(Статистика!$G$10-Статистика!$C$10,0.000001)))-MAX(0,MIN(1,(((IF(Статистика!$C$4="Параллельный режим (активная мощность)",AB102,AM102)+Статистика!$J$4))-Статистика!$C$10)/MAX(Статистика!$G$10-Статистика!$C$10,0.000001)))))</f>
        <v>3.0183205555555759E-2</v>
      </c>
      <c r="BW102" s="12">
        <f>IF(Y102="","",MAX(0,MAX(0,MIN(1,(((IF(Статистика!$C$4="Параллельный режим (активная мощность)",AD102,AO102)+Статистика!$J$4))-Статистика!$C$10)/MAX(Статистика!$G$10-Статистика!$C$10,0.000001)))-MAX(0,MIN(1,(((IF(Статистика!$C$4="Параллельный режим (активная мощность)",AC102,AN102)+Статистика!$J$4))-Статистика!$C$10)/MAX(Статистика!$G$10-Статистика!$C$10,0.000001)))))</f>
        <v>6.5252108333333447E-2</v>
      </c>
      <c r="BX102" s="12">
        <f>IF(Y102="","",MAX(0,MAX(0,MIN(1,(((IF(Статистика!$C$4="Параллельный режим (активная мощность)",AE102,AP102)+Статистика!$J$4))-Статистика!$C$10)/MAX(Статистика!$G$10-Статистика!$C$10,0.000001)))-MAX(0,MIN(1,(((IF(Статистика!$C$4="Параллельный режим (активная мощность)",AD102,AO102)+Статистика!$J$4))-Статистика!$C$10)/MAX(Статистика!$G$10-Статистика!$C$10,0.000001)))))</f>
        <v>7.6559424999999681E-2</v>
      </c>
      <c r="BY102" s="12">
        <f>IF(Y102="","",MAX(0,MAX(0,MIN(1,(((IF(Статистика!$C$4="Параллельный режим (активная мощность)",AF102,AQ102)+Статистика!$J$4))-Статистика!$C$10)/MAX(Статистика!$G$10-Статистика!$C$10,0.000001)))-MAX(0,MIN(1,(((IF(Статистика!$C$4="Параллельный режим (активная мощность)",AE102,AP102)+Статистика!$J$4))-Статистика!$C$10)/MAX(Статистика!$G$10-Статистика!$C$10,0.000001)))))</f>
        <v>9.6859973888889117E-2</v>
      </c>
      <c r="BZ102" s="12">
        <f>IF(Y102="","",MAX(0,MAX(0,MIN(1,(((IF(Статистика!$C$4="Параллельный режим (активная мощность)",AH102,AS102)+Статистика!$J$4))-Статистика!$C$10)/MAX(Статистика!$G$10-Статистика!$C$10,0.000001)))-MAX(0,MIN(1,(((IF(Статистика!$C$4="Параллельный режим (активная мощность)",AF102,AQ102)+Статистика!$J$4))-Статистика!$C$10)/MAX(Статистика!$G$10-Статистика!$C$10,0.000001)))))</f>
        <v>7.1279560000000464E-3</v>
      </c>
      <c r="CA102" s="12">
        <f>IF(Y102="","",MAX(0,1-MAX(0,MIN(1,(((IF(Статистика!$C$4="Параллельный режим (активная мощность)",AH102,AS102)+Статистика!$J$4))-Статистика!$C$10)/MAX(Статистика!$G$10-Статистика!$C$10,0.000001)))))</f>
        <v>0.29234632844444419</v>
      </c>
      <c r="CB102" s="12">
        <f>IF(Y102="",NA(),IF(Статистика!$B$8="Вкл",(((IF(Статистика!$C$4="Параллельный режим (активная мощность)",AD102,AO102)+Статистика!$J$4))-Статистика!$C$10)/MAX(Статистика!$G$10-Статистика!$C$10,0.000001),NA()))</f>
        <v>0.52710631666666696</v>
      </c>
      <c r="CC102" s="12">
        <f>IF(Y102="",NA(),IF(Статистика!$D$8="Вкл",(((IF(Статистика!$C$4="Параллельный режим (активная мощность)",AC102,AN102)+Статистика!$J$4))-Статистика!$C$10)/MAX(Статистика!$G$10-Статистика!$C$10,0.000001),NA()))</f>
        <v>0.46185420833333352</v>
      </c>
      <c r="CD102" s="12">
        <f>IF(Y102="",NA(),IF(Статистика!$D$8="Вкл",(((IF(Статистика!$C$4="Параллельный режим (активная мощность)",AE102,AP102)+Статистика!$J$4))-Статистика!$C$10)/MAX(Статистика!$G$10-Статистика!$C$10,0.000001),NA()))</f>
        <v>0.60366574166666664</v>
      </c>
      <c r="CE102" s="12">
        <f>IF(Y102="",NA(),IF(Статистика!$F$8="Вкл",(((IF(Статистика!$C$4="Параллельный режим (активная мощность)",AB102,AM102)+Статистика!$J$4))-Статистика!$C$10)/MAX(Статистика!$G$10-Статистика!$C$10,0.000001),NA()))</f>
        <v>0.43167100277777776</v>
      </c>
      <c r="CF102" s="12">
        <f>IF(Y102="",NA(),IF(Статистика!$F$8="Вкл",(((IF(Статистика!$C$4="Параллельный режим (активная мощность)",AF102,AQ102)+Статистика!$J$4))-Статистика!$C$10)/MAX(Статистика!$G$10-Статистика!$C$10,0.000001),NA()))</f>
        <v>0.70052571555555576</v>
      </c>
      <c r="CG102" s="12">
        <f>IF(Y102="",NA(),IF(Статистика!$H$8="Вкл",(((IF(Статистика!$C$4="Параллельный режим (активная мощность)",Z102,AK102)+Статистика!$J$4))-Статистика!$C$10)/MAX(Статистика!$G$10-Статистика!$C$10,0.000001),NA()))</f>
        <v>0.41434911027777765</v>
      </c>
      <c r="CH102" s="12">
        <f>IF(Y102="",NA(),IF(Статистика!$H$8="Вкл",(((IF(Статистика!$C$4="Параллельный режим (активная мощность)",AH102,AS102)+Статистика!$J$4))-Статистика!$C$10)/MAX(Статистика!$G$10-Статистика!$C$10,0.000001),NA()))</f>
        <v>0.70765367155555581</v>
      </c>
      <c r="CI102" s="12" t="e">
        <f>IF(Y102="",NA(),IF(Статистика!$J$8="Вкл",(((IF(Статистика!$C$4="Параллельный режим (активная мощность)",AI102,AT102)+Статистика!$J$4))-Статистика!$C$10)/MAX(Статистика!$G$10-Статистика!$C$10,0.000001),NA()))</f>
        <v>#N/A</v>
      </c>
      <c r="CJ102" s="12" t="e">
        <f>IF(AND(Y102&lt;&gt;"",Статистика!$C$6="Вкл",Статистика!$B$6&gt;0),(Статистика!$B$6-Статистика!$C$10)/MAX(Статистика!$G$10-Статистика!$C$10,0.000001),NA())</f>
        <v>#N/A</v>
      </c>
      <c r="CK102" s="12" t="e">
        <f>IF(AND(Y102&lt;&gt;"",Статистика!$F$6="Вкл",Статистика!$E$6&gt;0),(Статистика!$E$6-Статистика!$C$10)/MAX(Статистика!$G$10-Статистика!$C$10,0.000001),NA())</f>
        <v>#N/A</v>
      </c>
      <c r="CL102" s="12" t="e">
        <f>IF(AND(Y102&lt;&gt;"",Статистика!$I$6="Вкл",Статистика!$H$6&gt;0),(Статистика!$H$6-Статистика!$C$10)/MAX(Статистика!$G$10-Статистика!$C$10,0.000001),NA())</f>
        <v>#N/A</v>
      </c>
      <c r="CM102" s="12" t="e">
        <f>IF(AND(Y102&lt;&gt;"",Статистика!$L$6="Вкл",Статистика!$K$6&gt;0),(Статистика!$K$6-Статистика!$C$10)/MAX(Статистика!$G$10-Статистика!$C$10,0.000001),NA())</f>
        <v>#N/A</v>
      </c>
      <c r="CN102" s="12" t="e">
        <f>IF(AND(Y102&lt;&gt;"",Статистика!$M$6="Вкл",Статистика!$O$6&gt;0),(Статистика!$O$6-Статистика!$C$10)/MAX(Статистика!$G$10-Статистика!$C$10,0.000001),NA())</f>
        <v>#N/A</v>
      </c>
      <c r="CO102" s="12">
        <f t="shared" si="3"/>
        <v>1</v>
      </c>
    </row>
    <row r="103" spans="1:93" ht="15" customHeight="1">
      <c r="A103" s="12" t="s">
        <v>474</v>
      </c>
      <c r="B103" s="12">
        <v>2271.1293501666669</v>
      </c>
      <c r="C103" s="12">
        <v>5529.1086175</v>
      </c>
      <c r="D103" s="12">
        <v>7117.1750466666672</v>
      </c>
      <c r="E103" s="12">
        <v>7300.108016666667</v>
      </c>
      <c r="F103" s="12">
        <v>7635.9444166666663</v>
      </c>
      <c r="G103" s="12">
        <v>7818.3216750000001</v>
      </c>
      <c r="H103" s="12">
        <v>8081.1251466666654</v>
      </c>
      <c r="I103" s="12">
        <v>8161.2913899999985</v>
      </c>
      <c r="J103" s="12">
        <v>8241.5322246666656</v>
      </c>
      <c r="K103" s="12">
        <v>8435.2000000000007</v>
      </c>
      <c r="L103" s="12" t="s">
        <v>475</v>
      </c>
      <c r="M103" s="12">
        <v>2735.052005333333</v>
      </c>
      <c r="N103" s="12">
        <v>6247.860826666667</v>
      </c>
      <c r="O103" s="12">
        <v>7975.0324433333335</v>
      </c>
      <c r="P103" s="12">
        <v>8238.9317833333334</v>
      </c>
      <c r="Q103" s="12">
        <v>8521.286250000001</v>
      </c>
      <c r="R103" s="12">
        <v>8754.493491666668</v>
      </c>
      <c r="S103" s="12">
        <v>8990.8908283333312</v>
      </c>
      <c r="T103" s="12">
        <v>9169.4651274999978</v>
      </c>
      <c r="U103" s="12">
        <v>9306.2717188333318</v>
      </c>
      <c r="V103" s="12">
        <v>9498.64</v>
      </c>
      <c r="W103" s="12" t="s">
        <v>476</v>
      </c>
      <c r="Y103" s="12" t="s">
        <v>474</v>
      </c>
      <c r="Z103" s="12">
        <v>7276.0164134999986</v>
      </c>
      <c r="AA103" s="12">
        <v>7295.4040674999987</v>
      </c>
      <c r="AB103" s="12">
        <v>7319.6386349999984</v>
      </c>
      <c r="AC103" s="12">
        <v>7426.5167333333338</v>
      </c>
      <c r="AD103" s="12">
        <v>7636.5405166666678</v>
      </c>
      <c r="AE103" s="12">
        <v>7796.2264166666664</v>
      </c>
      <c r="AF103" s="12">
        <v>8122.716578333333</v>
      </c>
      <c r="AG103" s="12">
        <v>8127.0372224999992</v>
      </c>
      <c r="AH103" s="12">
        <v>8130.4937378333325</v>
      </c>
      <c r="AI103" s="12">
        <v>8289.1</v>
      </c>
      <c r="AJ103" s="12" t="s">
        <v>477</v>
      </c>
      <c r="AK103" s="12">
        <v>8237.7630241666666</v>
      </c>
      <c r="AL103" s="12">
        <v>8238.3833875</v>
      </c>
      <c r="AM103" s="12">
        <v>8239.1588416666673</v>
      </c>
      <c r="AN103" s="12">
        <v>8343.1813833333326</v>
      </c>
      <c r="AO103" s="12">
        <v>8552.9885333333332</v>
      </c>
      <c r="AP103" s="12">
        <v>8760.793658333334</v>
      </c>
      <c r="AQ103" s="12">
        <v>9026.7205033333321</v>
      </c>
      <c r="AR103" s="12">
        <v>9060.291568333334</v>
      </c>
      <c r="AS103" s="12">
        <v>9087.1484203333348</v>
      </c>
      <c r="AT103" s="12">
        <v>9222.5</v>
      </c>
      <c r="AU103" s="12" t="s">
        <v>477</v>
      </c>
      <c r="AW103" s="12">
        <f>IF(A103="","",MAX(0,MIN(1,(((IF(Статистика!$C$4="Параллельный режим (активная мощность)",B103,M103)+Статистика!$J$4))-Статистика!$C$10)/MAX(Статистика!$G$10-Статистика!$C$10,0.000001))))</f>
        <v>0</v>
      </c>
      <c r="AX103" s="12">
        <f>IF(A103="","",MAX(0,MAX(0,MIN(1,(((IF(Статистика!$C$4="Параллельный режим (активная мощность)",D103,O103)+Статистика!$J$4))-Статистика!$C$10)/MAX(Статистика!$G$10-Статистика!$C$10,0.000001)))-MAX(0,MIN(1,(((IF(Статистика!$C$4="Параллельный режим (активная мощность)",B103,M103)+Статистика!$J$4))-Статистика!$C$10)/MAX(Статистика!$G$10-Статистика!$C$10,0.000001)))))</f>
        <v>0.37239168222222241</v>
      </c>
      <c r="AY103" s="12">
        <f>IF(A103="","",MAX(0,MAX(0,MIN(1,(((IF(Статистика!$C$4="Параллельный режим (активная мощность)",E103,P103)+Статистика!$J$4))-Статистика!$C$10)/MAX(Статистика!$G$10-Статистика!$C$10,0.000001)))-MAX(0,MIN(1,(((IF(Статистика!$C$4="Параллельный режим (активная мощность)",D103,O103)+Статистика!$J$4))-Статистика!$C$10)/MAX(Статистика!$G$10-Статистика!$C$10,0.000001)))))</f>
        <v>6.0977656666666602E-2</v>
      </c>
      <c r="AZ103" s="12">
        <f>IF(A103="","",MAX(0,MAX(0,MIN(1,(((IF(Статистика!$C$4="Параллельный режим (активная мощность)",F103,Q103)+Статистика!$J$4))-Статистика!$C$10)/MAX(Статистика!$G$10-Статистика!$C$10,0.000001)))-MAX(0,MIN(1,(((IF(Статистика!$C$4="Параллельный режим (активная мощность)",E103,P103)+Статистика!$J$4))-Статистика!$C$10)/MAX(Статистика!$G$10-Статистика!$C$10,0.000001)))))</f>
        <v>0.11194546666666644</v>
      </c>
      <c r="BA103" s="12">
        <f>IF(A103="","",MAX(0,MAX(0,MIN(1,(((IF(Статистика!$C$4="Параллельный режим (активная мощность)",G103,R103)+Статистика!$J$4))-Статистика!$C$10)/MAX(Статистика!$G$10-Статистика!$C$10,0.000001)))-MAX(0,MIN(1,(((IF(Статистика!$C$4="Параллельный режим (активная мощность)",F103,Q103)+Статистика!$J$4))-Статистика!$C$10)/MAX(Статистика!$G$10-Статистика!$C$10,0.000001)))))</f>
        <v>6.0792419444444579E-2</v>
      </c>
      <c r="BB103" s="12">
        <f>IF(A103="","",MAX(0,MAX(0,MIN(1,(((IF(Статистика!$C$4="Параллельный режим (активная мощность)",H103,S103)+Статистика!$J$4))-Статистика!$C$10)/MAX(Статистика!$G$10-Статистика!$C$10,0.000001)))-MAX(0,MIN(1,(((IF(Статистика!$C$4="Параллельный режим (активная мощность)",G103,R103)+Статистика!$J$4))-Статистика!$C$10)/MAX(Статистика!$G$10-Статистика!$C$10,0.000001)))))</f>
        <v>8.7601157222221726E-2</v>
      </c>
      <c r="BC103" s="12">
        <f>IF(A103="","",MAX(0,MAX(0,MIN(1,(((IF(Статистика!$C$4="Параллельный режим (активная мощность)",J103,U103)+Статистика!$J$4))-Статистика!$C$10)/MAX(Статистика!$G$10-Статистика!$C$10,0.000001)))-MAX(0,MIN(1,(((IF(Статистика!$C$4="Параллельный режим (активная мощность)",H103,S103)+Статистика!$J$4))-Статистика!$C$10)/MAX(Статистика!$G$10-Статистика!$C$10,0.000001)))))</f>
        <v>5.3469026000000142E-2</v>
      </c>
      <c r="BD103" s="12">
        <f>IF(A103="","",MAX(0,1-MAX(0,MIN(1,(((IF(Статистика!$C$4="Параллельный режим (активная мощность)",J103,U103)+Статистика!$J$4))-Статистика!$C$10)/MAX(Статистика!$G$10-Статистика!$C$10,0.000001)))))</f>
        <v>0.25282259177777811</v>
      </c>
      <c r="BE103" s="12">
        <f>IF(A103="",NA(),IF(Статистика!$B$8="Вкл",(((IF(Статистика!$C$4="Параллельный режим (активная мощность)",F103,Q103)+Статистика!$J$4))-Статистика!$C$10)/MAX(Статистика!$G$10-Статистика!$C$10,0.000001),NA()))</f>
        <v>0.54531480555555545</v>
      </c>
      <c r="BF103" s="12">
        <f>IF(A103="",NA(),IF(Статистика!$D$8="Вкл",(((IF(Статистика!$C$4="Параллельный режим (активная мощность)",E103,P103)+Статистика!$J$4))-Статистика!$C$10)/MAX(Статистика!$G$10-Статистика!$C$10,0.000001),NA()))</f>
        <v>0.43336933888888901</v>
      </c>
      <c r="BG103" s="12">
        <f>IF(A103="",NA(),IF(Статистика!$D$8="Вкл",(((IF(Статистика!$C$4="Параллельный режим (активная мощность)",G103,R103)+Статистика!$J$4))-Статистика!$C$10)/MAX(Статистика!$G$10-Статистика!$C$10,0.000001),NA()))</f>
        <v>0.60610722500000003</v>
      </c>
      <c r="BH103" s="12">
        <f>IF(A103="",NA(),IF(Статистика!$F$8="Вкл",(((IF(Статистика!$C$4="Параллельный режим (активная мощность)",D103,O103)+Статистика!$J$4))-Статистика!$C$10)/MAX(Статистика!$G$10-Статистика!$C$10,0.000001),NA()))</f>
        <v>0.37239168222222241</v>
      </c>
      <c r="BI103" s="12">
        <f>IF(A103="",NA(),IF(Статистика!$F$8="Вкл",(((IF(Статистика!$C$4="Параллельный режим (активная мощность)",H103,S103)+Статистика!$J$4))-Статистика!$C$10)/MAX(Статистика!$G$10-Статистика!$C$10,0.000001),NA()))</f>
        <v>0.69370838222222175</v>
      </c>
      <c r="BJ103" s="12">
        <f>IF(A103="",NA(),IF(Статистика!$H$8="Вкл",(((IF(Статистика!$C$4="Параллельный режим (активная мощность)",B103,M103)+Статистика!$J$4))-Статистика!$C$10)/MAX(Статистика!$G$10-Статистика!$C$10,0.000001),NA()))</f>
        <v>-1.2429568832777778</v>
      </c>
      <c r="BK103" s="12">
        <f>IF(A103="",NA(),IF(Статистика!$H$8="Вкл",(((IF(Статистика!$C$4="Параллельный режим (активная мощность)",J103,U103)+Статистика!$J$4))-Статистика!$C$10)/MAX(Статистика!$G$10-Статистика!$C$10,0.000001),NA()))</f>
        <v>0.74717740822222189</v>
      </c>
      <c r="BL103" s="12" t="e">
        <f>IF(A103="",NA(),IF(Статистика!$J$8="Вкл",(((IF(Статистика!$C$4="Параллельный режим (активная мощность)",K103,V103)+Статистика!$J$4))-Статистика!$C$10)/MAX(Статистика!$G$10-Статистика!$C$10,0.000001),NA()))</f>
        <v>#N/A</v>
      </c>
      <c r="BM103" s="12" t="e">
        <f>IF(AND(A103&lt;&gt;"",Статистика!$C$6="Вкл",Статистика!$B$6&gt;0),(Статистика!$B$6-Статистика!$C$10)/MAX(Статистика!$G$10-Статистика!$C$10,0.000001),NA())</f>
        <v>#N/A</v>
      </c>
      <c r="BN103" s="12" t="e">
        <f>IF(AND(A103&lt;&gt;"",Статистика!$F$6="Вкл",Статистика!$E$6&gt;0),(Статистика!$E$6-Статистика!$C$10)/MAX(Статистика!$G$10-Статистика!$C$10,0.000001),NA())</f>
        <v>#N/A</v>
      </c>
      <c r="BO103" s="12" t="e">
        <f>IF(AND(A103&lt;&gt;"",Статистика!$I$6="Вкл",Статистика!$H$6&gt;0),(Статистика!$H$6-Статистика!$C$10)/MAX(Статистика!$G$10-Статистика!$C$10,0.000001),NA())</f>
        <v>#N/A</v>
      </c>
      <c r="BP103" s="12" t="e">
        <f>IF(AND(A103&lt;&gt;"",Статистика!$L$6="Вкл",Статистика!$K$6&gt;0),(Статистика!$K$6-Статистика!$C$10)/MAX(Статистика!$G$10-Статистика!$C$10,0.000001),NA())</f>
        <v>#N/A</v>
      </c>
      <c r="BQ103" s="12" t="e">
        <f>IF(AND(A103&lt;&gt;"",Статистика!$M$6="Вкл",Статистика!$O$6&gt;0),(Статистика!$O$6-Статистика!$C$10)/MAX(Статистика!$G$10-Статистика!$C$10,0.000001),NA())</f>
        <v>#N/A</v>
      </c>
      <c r="BR103" s="12">
        <f t="shared" si="2"/>
        <v>1</v>
      </c>
      <c r="BT103" s="12">
        <f>IF(Y103="","",MAX(0,MIN(1,(((IF(Статистика!$C$4="Параллельный режим (активная мощность)",Z103,AK103)+Статистика!$J$4))-Статистика!$C$10)/MAX(Статистика!$G$10-Статистика!$C$10,0.000001))))</f>
        <v>0.42533880449999956</v>
      </c>
      <c r="BU103" s="12">
        <f>IF(Y103="","",MAX(0,MAX(0,MIN(1,(((IF(Статистика!$C$4="Параллельный режим (активная мощность)",AB103,AM103)+Статистика!$J$4))-Статистика!$C$10)/MAX(Статистика!$G$10-Статистика!$C$10,0.000001)))-MAX(0,MIN(1,(((IF(Статистика!$C$4="Параллельный режим (активная мощность)",Z103,AK103)+Статистика!$J$4))-Статистика!$C$10)/MAX(Статистика!$G$10-Статистика!$C$10,0.000001)))))</f>
        <v>1.4540740499999927E-2</v>
      </c>
      <c r="BV103" s="12">
        <f>IF(Y103="","",MAX(0,MAX(0,MIN(1,(((IF(Статистика!$C$4="Параллельный режим (активная мощность)",AC103,AN103)+Статистика!$J$4))-Статистика!$C$10)/MAX(Статистика!$G$10-Статистика!$C$10,0.000001)))-MAX(0,MIN(1,(((IF(Статистика!$C$4="Параллельный режим (активная мощность)",AB103,AM103)+Статистика!$J$4))-Статистика!$C$10)/MAX(Статистика!$G$10-Статистика!$C$10,0.000001)))))</f>
        <v>3.5626032777778482E-2</v>
      </c>
      <c r="BW103" s="12">
        <f>IF(Y103="","",MAX(0,MAX(0,MIN(1,(((IF(Статистика!$C$4="Параллельный режим (активная мощность)",AD103,AO103)+Статистика!$J$4))-Статистика!$C$10)/MAX(Статистика!$G$10-Статистика!$C$10,0.000001)))-MAX(0,MIN(1,(((IF(Статистика!$C$4="Параллельный режим (активная мощность)",AC103,AN103)+Статистика!$J$4))-Статистика!$C$10)/MAX(Статистика!$G$10-Статистика!$C$10,0.000001)))))</f>
        <v>7.0007927777777923E-2</v>
      </c>
      <c r="BX103" s="12">
        <f>IF(Y103="","",MAX(0,MAX(0,MIN(1,(((IF(Статистика!$C$4="Параллельный режим (активная мощность)",AE103,AP103)+Статистика!$J$4))-Статистика!$C$10)/MAX(Статистика!$G$10-Статистика!$C$10,0.000001)))-MAX(0,MIN(1,(((IF(Статистика!$C$4="Параллельный режим (активная мощность)",AD103,AO103)+Статистика!$J$4))-Статистика!$C$10)/MAX(Статистика!$G$10-Статистика!$C$10,0.000001)))))</f>
        <v>5.3228633333332942E-2</v>
      </c>
      <c r="BY103" s="12">
        <f>IF(Y103="","",MAX(0,MAX(0,MIN(1,(((IF(Статистика!$C$4="Параллельный режим (активная мощность)",AF103,AQ103)+Статистика!$J$4))-Статистика!$C$10)/MAX(Статистика!$G$10-Статистика!$C$10,0.000001)))-MAX(0,MIN(1,(((IF(Статистика!$C$4="Параллельный режим (активная мощность)",AE103,AP103)+Статистика!$J$4))-Статистика!$C$10)/MAX(Статистика!$G$10-Статистика!$C$10,0.000001)))))</f>
        <v>0.10883005388888889</v>
      </c>
      <c r="BZ103" s="12">
        <f>IF(Y103="","",MAX(0,MAX(0,MIN(1,(((IF(Статистика!$C$4="Параллельный режим (активная мощность)",AH103,AS103)+Статистика!$J$4))-Статистика!$C$10)/MAX(Статистика!$G$10-Статистика!$C$10,0.000001)))-MAX(0,MIN(1,(((IF(Статистика!$C$4="Параллельный режим (активная мощность)",AF103,AQ103)+Статистика!$J$4))-Статистика!$C$10)/MAX(Статистика!$G$10-Статистика!$C$10,0.000001)))))</f>
        <v>2.5923864999998214E-3</v>
      </c>
      <c r="CA103" s="12">
        <f>IF(Y103="","",MAX(0,1-MAX(0,MIN(1,(((IF(Статистика!$C$4="Параллельный режим (активная мощность)",AH103,AS103)+Статистика!$J$4))-Статистика!$C$10)/MAX(Статистика!$G$10-Статистика!$C$10,0.000001)))))</f>
        <v>0.28983542072222246</v>
      </c>
      <c r="CB103" s="12">
        <f>IF(Y103="",NA(),IF(Статистика!$B$8="Вкл",(((IF(Статистика!$C$4="Параллельный режим (активная мощность)",AD103,AO103)+Статистика!$J$4))-Статистика!$C$10)/MAX(Статистика!$G$10-Статистика!$C$10,0.000001),NA()))</f>
        <v>0.54551350555555589</v>
      </c>
      <c r="CC103" s="12">
        <f>IF(Y103="",NA(),IF(Статистика!$D$8="Вкл",(((IF(Статистика!$C$4="Параллельный режим (активная мощность)",AC103,AN103)+Статистика!$J$4))-Статистика!$C$10)/MAX(Статистика!$G$10-Статистика!$C$10,0.000001),NA()))</f>
        <v>0.47550557777777797</v>
      </c>
      <c r="CD103" s="12">
        <f>IF(Y103="",NA(),IF(Статистика!$D$8="Вкл",(((IF(Статистика!$C$4="Параллельный режим (активная мощность)",AE103,AP103)+Статистика!$J$4))-Статистика!$C$10)/MAX(Статистика!$G$10-Статистика!$C$10,0.000001),NA()))</f>
        <v>0.59874213888888883</v>
      </c>
      <c r="CE103" s="12">
        <f>IF(Y103="",NA(),IF(Статистика!$F$8="Вкл",(((IF(Статистика!$C$4="Параллельный режим (активная мощность)",AB103,AM103)+Статистика!$J$4))-Статистика!$C$10)/MAX(Статистика!$G$10-Статистика!$C$10,0.000001),NA()))</f>
        <v>0.43987954499999948</v>
      </c>
      <c r="CF103" s="12">
        <f>IF(Y103="",NA(),IF(Статистика!$F$8="Вкл",(((IF(Статистика!$C$4="Параллельный режим (активная мощность)",AF103,AQ103)+Статистика!$J$4))-Статистика!$C$10)/MAX(Статистика!$G$10-Статистика!$C$10,0.000001),NA()))</f>
        <v>0.70757219277777772</v>
      </c>
      <c r="CG103" s="12">
        <f>IF(Y103="",NA(),IF(Статистика!$H$8="Вкл",(((IF(Статистика!$C$4="Параллельный режим (активная мощность)",Z103,AK103)+Статистика!$J$4))-Статистика!$C$10)/MAX(Статистика!$G$10-Статистика!$C$10,0.000001),NA()))</f>
        <v>0.42533880449999956</v>
      </c>
      <c r="CH103" s="12">
        <f>IF(Y103="",NA(),IF(Статистика!$H$8="Вкл",(((IF(Статистика!$C$4="Параллельный режим (активная мощность)",AH103,AS103)+Статистика!$J$4))-Статистика!$C$10)/MAX(Статистика!$G$10-Статистика!$C$10,0.000001),NA()))</f>
        <v>0.71016457927777754</v>
      </c>
      <c r="CI103" s="12" t="e">
        <f>IF(Y103="",NA(),IF(Статистика!$J$8="Вкл",(((IF(Статистика!$C$4="Параллельный режим (активная мощность)",AI103,AT103)+Статистика!$J$4))-Статистика!$C$10)/MAX(Статистика!$G$10-Статистика!$C$10,0.000001),NA()))</f>
        <v>#N/A</v>
      </c>
      <c r="CJ103" s="12" t="e">
        <f>IF(AND(Y103&lt;&gt;"",Статистика!$C$6="Вкл",Статистика!$B$6&gt;0),(Статистика!$B$6-Статистика!$C$10)/MAX(Статистика!$G$10-Статистика!$C$10,0.000001),NA())</f>
        <v>#N/A</v>
      </c>
      <c r="CK103" s="12" t="e">
        <f>IF(AND(Y103&lt;&gt;"",Статистика!$F$6="Вкл",Статистика!$E$6&gt;0),(Статистика!$E$6-Статистика!$C$10)/MAX(Статистика!$G$10-Статистика!$C$10,0.000001),NA())</f>
        <v>#N/A</v>
      </c>
      <c r="CL103" s="12" t="e">
        <f>IF(AND(Y103&lt;&gt;"",Статистика!$I$6="Вкл",Статистика!$H$6&gt;0),(Статистика!$H$6-Статистика!$C$10)/MAX(Статистика!$G$10-Статистика!$C$10,0.000001),NA())</f>
        <v>#N/A</v>
      </c>
      <c r="CM103" s="12" t="e">
        <f>IF(AND(Y103&lt;&gt;"",Статистика!$L$6="Вкл",Статистика!$K$6&gt;0),(Статистика!$K$6-Статистика!$C$10)/MAX(Статистика!$G$10-Статистика!$C$10,0.000001),NA())</f>
        <v>#N/A</v>
      </c>
      <c r="CN103" s="12" t="e">
        <f>IF(AND(Y103&lt;&gt;"",Статистика!$M$6="Вкл",Статистика!$O$6&gt;0),(Статистика!$O$6-Статистика!$C$10)/MAX(Статистика!$G$10-Статистика!$C$10,0.000001),NA())</f>
        <v>#N/A</v>
      </c>
      <c r="CO103" s="12">
        <f t="shared" si="3"/>
        <v>1</v>
      </c>
    </row>
    <row r="104" spans="1:93" ht="15" customHeight="1">
      <c r="A104" s="12" t="s">
        <v>478</v>
      </c>
      <c r="B104" s="12">
        <v>2246.9369740000002</v>
      </c>
      <c r="C104" s="12">
        <v>5533.1094033333338</v>
      </c>
      <c r="D104" s="12">
        <v>7114.6946800000005</v>
      </c>
      <c r="E104" s="12">
        <v>7337.3577166666655</v>
      </c>
      <c r="F104" s="12">
        <v>7650.7538500000001</v>
      </c>
      <c r="G104" s="12">
        <v>7854.7686166666663</v>
      </c>
      <c r="H104" s="12">
        <v>8103.006445</v>
      </c>
      <c r="I104" s="12">
        <v>8158.8391466666671</v>
      </c>
      <c r="J104" s="12">
        <v>8247.2685760000004</v>
      </c>
      <c r="K104" s="12">
        <v>8414.32</v>
      </c>
      <c r="L104" s="12" t="s">
        <v>479</v>
      </c>
      <c r="M104" s="12">
        <v>2708.988942</v>
      </c>
      <c r="N104" s="12">
        <v>6266.7667099999999</v>
      </c>
      <c r="O104" s="12">
        <v>7984.1459699999996</v>
      </c>
      <c r="P104" s="12">
        <v>8240.6527916666673</v>
      </c>
      <c r="Q104" s="12">
        <v>8554.5382833333333</v>
      </c>
      <c r="R104" s="12">
        <v>8778.1090416666666</v>
      </c>
      <c r="S104" s="12">
        <v>9028.4754099999991</v>
      </c>
      <c r="T104" s="12">
        <v>9161.6050633333325</v>
      </c>
      <c r="U104" s="12">
        <v>9300.9070660000016</v>
      </c>
      <c r="V104" s="12">
        <v>9472.4</v>
      </c>
      <c r="W104" s="12" t="s">
        <v>479</v>
      </c>
      <c r="Y104" s="12" t="s">
        <v>478</v>
      </c>
      <c r="Z104" s="12">
        <v>7270.1941514999999</v>
      </c>
      <c r="AA104" s="12">
        <v>7288.1807575000003</v>
      </c>
      <c r="AB104" s="12">
        <v>7310.6640150000012</v>
      </c>
      <c r="AC104" s="12">
        <v>7393.8417833333333</v>
      </c>
      <c r="AD104" s="12">
        <v>7651.0134166666667</v>
      </c>
      <c r="AE104" s="12">
        <v>7844.9298083333342</v>
      </c>
      <c r="AF104" s="12">
        <v>8138.903213333333</v>
      </c>
      <c r="AG104" s="12">
        <v>8146.0348066666666</v>
      </c>
      <c r="AH104" s="12">
        <v>8151.7400813333334</v>
      </c>
      <c r="AI104" s="12">
        <v>8290.6</v>
      </c>
      <c r="AJ104" s="12" t="s">
        <v>480</v>
      </c>
      <c r="AK104" s="12">
        <v>8209.0791219999992</v>
      </c>
      <c r="AL104" s="12">
        <v>8218.5436099999988</v>
      </c>
      <c r="AM104" s="12">
        <v>8230.3742199999997</v>
      </c>
      <c r="AN104" s="12">
        <v>8317.5051500000009</v>
      </c>
      <c r="AO104" s="12">
        <v>8567.07575</v>
      </c>
      <c r="AP104" s="12">
        <v>8799.6083250000011</v>
      </c>
      <c r="AQ104" s="12">
        <v>9041.8150666666661</v>
      </c>
      <c r="AR104" s="12">
        <v>9077.1851999999981</v>
      </c>
      <c r="AS104" s="12">
        <v>9105.4813066666648</v>
      </c>
      <c r="AT104" s="12">
        <v>9253.52</v>
      </c>
      <c r="AU104" s="12" t="s">
        <v>481</v>
      </c>
      <c r="AW104" s="12">
        <f>IF(A104="","",MAX(0,MIN(1,(((IF(Статистика!$C$4="Параллельный режим (активная мощность)",B104,M104)+Статистика!$J$4))-Статистика!$C$10)/MAX(Статистика!$G$10-Статистика!$C$10,0.000001))))</f>
        <v>0</v>
      </c>
      <c r="AX104" s="12">
        <f>IF(A104="","",MAX(0,MAX(0,MIN(1,(((IF(Статистика!$C$4="Параллельный режим (активная мощность)",D104,O104)+Статистика!$J$4))-Статистика!$C$10)/MAX(Статистика!$G$10-Статистика!$C$10,0.000001)))-MAX(0,MIN(1,(((IF(Статистика!$C$4="Параллельный режим (активная мощность)",B104,M104)+Статистика!$J$4))-Статистика!$C$10)/MAX(Статистика!$G$10-Статистика!$C$10,0.000001)))))</f>
        <v>0.37156489333333348</v>
      </c>
      <c r="AY104" s="12">
        <f>IF(A104="","",MAX(0,MAX(0,MIN(1,(((IF(Статистика!$C$4="Параллельный режим (активная мощность)",E104,P104)+Статистика!$J$4))-Статистика!$C$10)/MAX(Статистика!$G$10-Статистика!$C$10,0.000001)))-MAX(0,MIN(1,(((IF(Статистика!$C$4="Параллельный режим (активная мощность)",D104,O104)+Статистика!$J$4))-Статистика!$C$10)/MAX(Статистика!$G$10-Статистика!$C$10,0.000001)))))</f>
        <v>7.4221012222221716E-2</v>
      </c>
      <c r="AZ104" s="12">
        <f>IF(A104="","",MAX(0,MAX(0,MIN(1,(((IF(Статистика!$C$4="Параллельный режим (активная мощность)",F104,Q104)+Статистика!$J$4))-Статистика!$C$10)/MAX(Статистика!$G$10-Статистика!$C$10,0.000001)))-MAX(0,MIN(1,(((IF(Статистика!$C$4="Параллельный режим (активная мощность)",E104,P104)+Статистика!$J$4))-Статистика!$C$10)/MAX(Статистика!$G$10-Статистика!$C$10,0.000001)))))</f>
        <v>0.1044653777777782</v>
      </c>
      <c r="BA104" s="12">
        <f>IF(A104="","",MAX(0,MAX(0,MIN(1,(((IF(Статистика!$C$4="Параллельный режим (активная мощность)",G104,R104)+Статистика!$J$4))-Статистика!$C$10)/MAX(Статистика!$G$10-Статистика!$C$10,0.000001)))-MAX(0,MIN(1,(((IF(Статистика!$C$4="Параллельный режим (активная мощность)",F104,Q104)+Статистика!$J$4))-Статистика!$C$10)/MAX(Статистика!$G$10-Статистика!$C$10,0.000001)))))</f>
        <v>6.8004922222221986E-2</v>
      </c>
      <c r="BB104" s="12">
        <f>IF(A104="","",MAX(0,MAX(0,MIN(1,(((IF(Статистика!$C$4="Параллельный режим (активная мощность)",H104,S104)+Статистика!$J$4))-Статистика!$C$10)/MAX(Статистика!$G$10-Статистика!$C$10,0.000001)))-MAX(0,MIN(1,(((IF(Статистика!$C$4="Параллельный режим (активная мощность)",G104,R104)+Статистика!$J$4))-Статистика!$C$10)/MAX(Статистика!$G$10-Статистика!$C$10,0.000001)))))</f>
        <v>8.2745942777777914E-2</v>
      </c>
      <c r="BC104" s="12">
        <f>IF(A104="","",MAX(0,MAX(0,MIN(1,(((IF(Статистика!$C$4="Параллельный режим (активная мощность)",J104,U104)+Статистика!$J$4))-Статистика!$C$10)/MAX(Статистика!$G$10-Статистика!$C$10,0.000001)))-MAX(0,MIN(1,(((IF(Статистика!$C$4="Параллельный режим (активная мощность)",H104,S104)+Статистика!$J$4))-Статистика!$C$10)/MAX(Статистика!$G$10-Статистика!$C$10,0.000001)))))</f>
        <v>4.8087377000000209E-2</v>
      </c>
      <c r="BD104" s="12">
        <f>IF(A104="","",MAX(0,1-MAX(0,MIN(1,(((IF(Статистика!$C$4="Параллельный режим (активная мощность)",J104,U104)+Статистика!$J$4))-Статистика!$C$10)/MAX(Статистика!$G$10-Статистика!$C$10,0.000001)))))</f>
        <v>0.25091047466666649</v>
      </c>
      <c r="BE104" s="12">
        <f>IF(A104="",NA(),IF(Статистика!$B$8="Вкл",(((IF(Статистика!$C$4="Параллельный режим (активная мощность)",F104,Q104)+Статистика!$J$4))-Статистика!$C$10)/MAX(Статистика!$G$10-Статистика!$C$10,0.000001),NA()))</f>
        <v>0.5502512833333334</v>
      </c>
      <c r="BF104" s="12">
        <f>IF(A104="",NA(),IF(Статистика!$D$8="Вкл",(((IF(Статистика!$C$4="Параллельный режим (активная мощность)",E104,P104)+Статистика!$J$4))-Статистика!$C$10)/MAX(Статистика!$G$10-Статистика!$C$10,0.000001),NA()))</f>
        <v>0.4457859055555552</v>
      </c>
      <c r="BG104" s="12">
        <f>IF(A104="",NA(),IF(Статистика!$D$8="Вкл",(((IF(Статистика!$C$4="Параллельный режим (активная мощность)",G104,R104)+Статистика!$J$4))-Статистика!$C$10)/MAX(Статистика!$G$10-Статистика!$C$10,0.000001),NA()))</f>
        <v>0.61825620555555538</v>
      </c>
      <c r="BH104" s="12">
        <f>IF(A104="",NA(),IF(Статистика!$F$8="Вкл",(((IF(Статистика!$C$4="Параллельный режим (активная мощность)",D104,O104)+Статистика!$J$4))-Статистика!$C$10)/MAX(Статистика!$G$10-Статистика!$C$10,0.000001),NA()))</f>
        <v>0.37156489333333348</v>
      </c>
      <c r="BI104" s="12">
        <f>IF(A104="",NA(),IF(Статистика!$F$8="Вкл",(((IF(Статистика!$C$4="Параллельный режим (активная мощность)",H104,S104)+Статистика!$J$4))-Статистика!$C$10)/MAX(Статистика!$G$10-Статистика!$C$10,0.000001),NA()))</f>
        <v>0.7010021483333333</v>
      </c>
      <c r="BJ104" s="12">
        <f>IF(A104="",NA(),IF(Статистика!$H$8="Вкл",(((IF(Статистика!$C$4="Параллельный режим (активная мощность)",B104,M104)+Статистика!$J$4))-Статистика!$C$10)/MAX(Статистика!$G$10-Статистика!$C$10,0.000001),NA()))</f>
        <v>-1.2510210086666667</v>
      </c>
      <c r="BK104" s="12">
        <f>IF(A104="",NA(),IF(Статистика!$H$8="Вкл",(((IF(Статистика!$C$4="Параллельный режим (активная мощность)",J104,U104)+Статистика!$J$4))-Статистика!$C$10)/MAX(Статистика!$G$10-Статистика!$C$10,0.000001),NA()))</f>
        <v>0.74908952533333351</v>
      </c>
      <c r="BL104" s="12" t="e">
        <f>IF(A104="",NA(),IF(Статистика!$J$8="Вкл",(((IF(Статистика!$C$4="Параллельный режим (активная мощность)",K104,V104)+Статистика!$J$4))-Статистика!$C$10)/MAX(Статистика!$G$10-Статистика!$C$10,0.000001),NA()))</f>
        <v>#N/A</v>
      </c>
      <c r="BM104" s="12" t="e">
        <f>IF(AND(A104&lt;&gt;"",Статистика!$C$6="Вкл",Статистика!$B$6&gt;0),(Статистика!$B$6-Статистика!$C$10)/MAX(Статистика!$G$10-Статистика!$C$10,0.000001),NA())</f>
        <v>#N/A</v>
      </c>
      <c r="BN104" s="12" t="e">
        <f>IF(AND(A104&lt;&gt;"",Статистика!$F$6="Вкл",Статистика!$E$6&gt;0),(Статистика!$E$6-Статистика!$C$10)/MAX(Статистика!$G$10-Статистика!$C$10,0.000001),NA())</f>
        <v>#N/A</v>
      </c>
      <c r="BO104" s="12" t="e">
        <f>IF(AND(A104&lt;&gt;"",Статистика!$I$6="Вкл",Статистика!$H$6&gt;0),(Статистика!$H$6-Статистика!$C$10)/MAX(Статистика!$G$10-Статистика!$C$10,0.000001),NA())</f>
        <v>#N/A</v>
      </c>
      <c r="BP104" s="12" t="e">
        <f>IF(AND(A104&lt;&gt;"",Статистика!$L$6="Вкл",Статистика!$K$6&gt;0),(Статистика!$K$6-Статистика!$C$10)/MAX(Статистика!$G$10-Статистика!$C$10,0.000001),NA())</f>
        <v>#N/A</v>
      </c>
      <c r="BQ104" s="12" t="e">
        <f>IF(AND(A104&lt;&gt;"",Статистика!$M$6="Вкл",Статистика!$O$6&gt;0),(Статистика!$O$6-Статистика!$C$10)/MAX(Статистика!$G$10-Статистика!$C$10,0.000001),NA())</f>
        <v>#N/A</v>
      </c>
      <c r="BR104" s="12">
        <f t="shared" si="2"/>
        <v>1</v>
      </c>
      <c r="BT104" s="12">
        <f>IF(Y104="","",MAX(0,MIN(1,(((IF(Статистика!$C$4="Параллельный режим (активная мощность)",Z104,AK104)+Статистика!$J$4))-Статистика!$C$10)/MAX(Статистика!$G$10-Статистика!$C$10,0.000001))))</f>
        <v>0.42339805049999996</v>
      </c>
      <c r="BU104" s="12">
        <f>IF(Y104="","",MAX(0,MAX(0,MIN(1,(((IF(Статистика!$C$4="Параллельный режим (активная мощность)",AB104,AM104)+Статистика!$J$4))-Статистика!$C$10)/MAX(Статистика!$G$10-Статистика!$C$10,0.000001)))-MAX(0,MIN(1,(((IF(Статистика!$C$4="Параллельный режим (активная мощность)",Z104,AK104)+Статистика!$J$4))-Статистика!$C$10)/MAX(Статистика!$G$10-Статистика!$C$10,0.000001)))))</f>
        <v>1.3489954500000456E-2</v>
      </c>
      <c r="BV104" s="12">
        <f>IF(Y104="","",MAX(0,MAX(0,MIN(1,(((IF(Статистика!$C$4="Параллельный режим (активная мощность)",AC104,AN104)+Статистика!$J$4))-Статистика!$C$10)/MAX(Статистика!$G$10-Статистика!$C$10,0.000001)))-MAX(0,MIN(1,(((IF(Статистика!$C$4="Параллельный режим (активная мощность)",AB104,AM104)+Статистика!$J$4))-Статистика!$C$10)/MAX(Статистика!$G$10-Статистика!$C$10,0.000001)))))</f>
        <v>2.7725922777777356E-2</v>
      </c>
      <c r="BW104" s="12">
        <f>IF(Y104="","",MAX(0,MAX(0,MIN(1,(((IF(Статистика!$C$4="Параллельный режим (активная мощность)",AD104,AO104)+Статистика!$J$4))-Статистика!$C$10)/MAX(Статистика!$G$10-Статистика!$C$10,0.000001)))-MAX(0,MIN(1,(((IF(Статистика!$C$4="Параллельный режим (активная мощность)",AC104,AN104)+Статистика!$J$4))-Статистика!$C$10)/MAX(Статистика!$G$10-Статистика!$C$10,0.000001)))))</f>
        <v>8.572387777777779E-2</v>
      </c>
      <c r="BX104" s="12">
        <f>IF(Y104="","",MAX(0,MAX(0,MIN(1,(((IF(Статистика!$C$4="Параллельный режим (активная мощность)",AE104,AP104)+Статистика!$J$4))-Статистика!$C$10)/MAX(Статистика!$G$10-Статистика!$C$10,0.000001)))-MAX(0,MIN(1,(((IF(Статистика!$C$4="Параллельный режим (активная мощность)",AD104,AO104)+Статистика!$J$4))-Статистика!$C$10)/MAX(Статистика!$G$10-Статистика!$C$10,0.000001)))))</f>
        <v>6.4638797222222544E-2</v>
      </c>
      <c r="BY104" s="12">
        <f>IF(Y104="","",MAX(0,MAX(0,MIN(1,(((IF(Статистика!$C$4="Параллельный режим (активная мощность)",AF104,AQ104)+Статистика!$J$4))-Статистика!$C$10)/MAX(Статистика!$G$10-Статистика!$C$10,0.000001)))-MAX(0,MIN(1,(((IF(Статистика!$C$4="Параллельный режим (активная мощность)",AE104,AP104)+Статистика!$J$4))-Статистика!$C$10)/MAX(Статистика!$G$10-Статистика!$C$10,0.000001)))))</f>
        <v>9.7991134999999563E-2</v>
      </c>
      <c r="BZ104" s="12">
        <f>IF(Y104="","",MAX(0,MAX(0,MIN(1,(((IF(Статистика!$C$4="Параллельный режим (активная мощность)",AH104,AS104)+Статистика!$J$4))-Статистика!$C$10)/MAX(Статистика!$G$10-Статистика!$C$10,0.000001)))-MAX(0,MIN(1,(((IF(Статистика!$C$4="Параллельный режим (активная мощность)",AF104,AQ104)+Статистика!$J$4))-Статистика!$C$10)/MAX(Статистика!$G$10-Статистика!$C$10,0.000001)))))</f>
        <v>4.278956000000167E-3</v>
      </c>
      <c r="CA104" s="12">
        <f>IF(Y104="","",MAX(0,1-MAX(0,MIN(1,(((IF(Статистика!$C$4="Параллельный режим (активная мощность)",AH104,AS104)+Статистика!$J$4))-Статистика!$C$10)/MAX(Статистика!$G$10-Статистика!$C$10,0.000001)))))</f>
        <v>0.28275330622222217</v>
      </c>
      <c r="CB104" s="12">
        <f>IF(Y104="",NA(),IF(Статистика!$B$8="Вкл",(((IF(Статистика!$C$4="Параллельный режим (активная мощность)",AD104,AO104)+Статистика!$J$4))-Статистика!$C$10)/MAX(Статистика!$G$10-Статистика!$C$10,0.000001),NA()))</f>
        <v>0.55033780555555556</v>
      </c>
      <c r="CC104" s="12">
        <f>IF(Y104="",NA(),IF(Статистика!$D$8="Вкл",(((IF(Статистика!$C$4="Параллельный режим (активная мощность)",AC104,AN104)+Статистика!$J$4))-Статистика!$C$10)/MAX(Статистика!$G$10-Статистика!$C$10,0.000001),NA()))</f>
        <v>0.46461392777777777</v>
      </c>
      <c r="CD104" s="12">
        <f>IF(Y104="",NA(),IF(Статистика!$D$8="Вкл",(((IF(Статистика!$C$4="Параллельный режим (активная мощность)",AE104,AP104)+Статистика!$J$4))-Статистика!$C$10)/MAX(Статистика!$G$10-Статистика!$C$10,0.000001),NA()))</f>
        <v>0.6149766027777781</v>
      </c>
      <c r="CE104" s="12">
        <f>IF(Y104="",NA(),IF(Статистика!$F$8="Вкл",(((IF(Статистика!$C$4="Параллельный режим (активная мощность)",AB104,AM104)+Статистика!$J$4))-Статистика!$C$10)/MAX(Статистика!$G$10-Статистика!$C$10,0.000001),NA()))</f>
        <v>0.43688800500000041</v>
      </c>
      <c r="CF104" s="12">
        <f>IF(Y104="",NA(),IF(Статистика!$F$8="Вкл",(((IF(Статистика!$C$4="Параллельный режим (активная мощность)",AF104,AQ104)+Статистика!$J$4))-Статистика!$C$10)/MAX(Статистика!$G$10-Статистика!$C$10,0.000001),NA()))</f>
        <v>0.71296773777777767</v>
      </c>
      <c r="CG104" s="12">
        <f>IF(Y104="",NA(),IF(Статистика!$H$8="Вкл",(((IF(Статистика!$C$4="Параллельный режим (активная мощность)",Z104,AK104)+Статистика!$J$4))-Статистика!$C$10)/MAX(Статистика!$G$10-Статистика!$C$10,0.000001),NA()))</f>
        <v>0.42339805049999996</v>
      </c>
      <c r="CH104" s="12">
        <f>IF(Y104="",NA(),IF(Статистика!$H$8="Вкл",(((IF(Статистика!$C$4="Параллельный режим (активная мощность)",AH104,AS104)+Статистика!$J$4))-Статистика!$C$10)/MAX(Статистика!$G$10-Статистика!$C$10,0.000001),NA()))</f>
        <v>0.71724669377777783</v>
      </c>
      <c r="CI104" s="12" t="e">
        <f>IF(Y104="",NA(),IF(Статистика!$J$8="Вкл",(((IF(Статистика!$C$4="Параллельный режим (активная мощность)",AI104,AT104)+Статистика!$J$4))-Статистика!$C$10)/MAX(Статистика!$G$10-Статистика!$C$10,0.000001),NA()))</f>
        <v>#N/A</v>
      </c>
      <c r="CJ104" s="12" t="e">
        <f>IF(AND(Y104&lt;&gt;"",Статистика!$C$6="Вкл",Статистика!$B$6&gt;0),(Статистика!$B$6-Статистика!$C$10)/MAX(Статистика!$G$10-Статистика!$C$10,0.000001),NA())</f>
        <v>#N/A</v>
      </c>
      <c r="CK104" s="12" t="e">
        <f>IF(AND(Y104&lt;&gt;"",Статистика!$F$6="Вкл",Статистика!$E$6&gt;0),(Статистика!$E$6-Статистика!$C$10)/MAX(Статистика!$G$10-Статистика!$C$10,0.000001),NA())</f>
        <v>#N/A</v>
      </c>
      <c r="CL104" s="12" t="e">
        <f>IF(AND(Y104&lt;&gt;"",Статистика!$I$6="Вкл",Статистика!$H$6&gt;0),(Статистика!$H$6-Статистика!$C$10)/MAX(Статистика!$G$10-Статистика!$C$10,0.000001),NA())</f>
        <v>#N/A</v>
      </c>
      <c r="CM104" s="12" t="e">
        <f>IF(AND(Y104&lt;&gt;"",Статистика!$L$6="Вкл",Статистика!$K$6&gt;0),(Статистика!$K$6-Статистика!$C$10)/MAX(Статистика!$G$10-Статистика!$C$10,0.000001),NA())</f>
        <v>#N/A</v>
      </c>
      <c r="CN104" s="12" t="e">
        <f>IF(AND(Y104&lt;&gt;"",Статистика!$M$6="Вкл",Статистика!$O$6&gt;0),(Статистика!$O$6-Статистика!$C$10)/MAX(Статистика!$G$10-Статистика!$C$10,0.000001),NA())</f>
        <v>#N/A</v>
      </c>
      <c r="CO104" s="12">
        <f t="shared" si="3"/>
        <v>1</v>
      </c>
    </row>
    <row r="105" spans="1:93" ht="15" customHeight="1">
      <c r="A105" s="12" t="s">
        <v>482</v>
      </c>
      <c r="B105" s="12">
        <v>2251.2164893333338</v>
      </c>
      <c r="C105" s="12">
        <v>5534.9751133333339</v>
      </c>
      <c r="D105" s="12">
        <v>7116.2838133333335</v>
      </c>
      <c r="E105" s="12">
        <v>7402.3890499999989</v>
      </c>
      <c r="F105" s="12">
        <v>7684.9980666666661</v>
      </c>
      <c r="G105" s="12">
        <v>7888.1774833333329</v>
      </c>
      <c r="H105" s="12">
        <v>8115.288101666667</v>
      </c>
      <c r="I105" s="12">
        <v>8173.22426</v>
      </c>
      <c r="J105" s="12">
        <v>8254.0026386666668</v>
      </c>
      <c r="K105" s="12">
        <v>8415.35</v>
      </c>
      <c r="L105" s="12" t="s">
        <v>483</v>
      </c>
      <c r="M105" s="12">
        <v>2715.6922931666663</v>
      </c>
      <c r="N105" s="12">
        <v>6275.2019991666666</v>
      </c>
      <c r="O105" s="12">
        <v>7984.1636666666664</v>
      </c>
      <c r="P105" s="12">
        <v>8293.8145166666673</v>
      </c>
      <c r="Q105" s="12">
        <v>8573.5871000000006</v>
      </c>
      <c r="R105" s="12">
        <v>8815.9989416666685</v>
      </c>
      <c r="S105" s="12">
        <v>9035.0965966666663</v>
      </c>
      <c r="T105" s="12">
        <v>9182.9107333333322</v>
      </c>
      <c r="U105" s="12">
        <v>9313.0519066666657</v>
      </c>
      <c r="V105" s="12">
        <v>9483.7000000000007</v>
      </c>
      <c r="W105" s="12" t="s">
        <v>484</v>
      </c>
      <c r="Y105" s="12" t="s">
        <v>482</v>
      </c>
      <c r="Z105" s="12">
        <v>7290.9471766666666</v>
      </c>
      <c r="AA105" s="12">
        <v>7300.83295</v>
      </c>
      <c r="AB105" s="12">
        <v>7313.1901666666672</v>
      </c>
      <c r="AC105" s="12">
        <v>7386.7536666666674</v>
      </c>
      <c r="AD105" s="12">
        <v>7641.5926833333324</v>
      </c>
      <c r="AE105" s="12">
        <v>7831.6947833333343</v>
      </c>
      <c r="AF105" s="12">
        <v>8227.5971833333333</v>
      </c>
      <c r="AG105" s="12">
        <v>8289.1298083333331</v>
      </c>
      <c r="AH105" s="12">
        <v>8338.355908333333</v>
      </c>
      <c r="AI105" s="12">
        <v>8680.43</v>
      </c>
      <c r="AJ105" s="12" t="s">
        <v>485</v>
      </c>
      <c r="AK105" s="12">
        <v>8187.9586631666671</v>
      </c>
      <c r="AL105" s="12">
        <v>8200.421582500001</v>
      </c>
      <c r="AM105" s="12">
        <v>8216.0002316666669</v>
      </c>
      <c r="AN105" s="12">
        <v>8324.6702333333342</v>
      </c>
      <c r="AO105" s="12">
        <v>8570.5780666666669</v>
      </c>
      <c r="AP105" s="12">
        <v>8774.6593166666662</v>
      </c>
      <c r="AQ105" s="12">
        <v>9139.1442216666655</v>
      </c>
      <c r="AR105" s="12">
        <v>9169.9236608333322</v>
      </c>
      <c r="AS105" s="12">
        <v>9194.5472121666662</v>
      </c>
      <c r="AT105" s="12">
        <v>9520.8799999999992</v>
      </c>
      <c r="AU105" s="12" t="s">
        <v>485</v>
      </c>
      <c r="AW105" s="12">
        <f>IF(A105="","",MAX(0,MIN(1,(((IF(Статистика!$C$4="Параллельный режим (активная мощность)",B105,M105)+Статистика!$J$4))-Статистика!$C$10)/MAX(Статистика!$G$10-Статистика!$C$10,0.000001))))</f>
        <v>0</v>
      </c>
      <c r="AX105" s="12">
        <f>IF(A105="","",MAX(0,MAX(0,MIN(1,(((IF(Статистика!$C$4="Параллельный режим (активная мощность)",D105,O105)+Статистика!$J$4))-Статистика!$C$10)/MAX(Статистика!$G$10-Статистика!$C$10,0.000001)))-MAX(0,MIN(1,(((IF(Статистика!$C$4="Параллельный режим (активная мощность)",B105,M105)+Статистика!$J$4))-Статистика!$C$10)/MAX(Статистика!$G$10-Статистика!$C$10,0.000001)))))</f>
        <v>0.37209460444444448</v>
      </c>
      <c r="AY105" s="12">
        <f>IF(A105="","",MAX(0,MAX(0,MIN(1,(((IF(Статистика!$C$4="Параллельный режим (активная мощность)",E105,P105)+Статистика!$J$4))-Статистика!$C$10)/MAX(Статистика!$G$10-Статистика!$C$10,0.000001)))-MAX(0,MIN(1,(((IF(Статистика!$C$4="Параллельный режим (активная мощность)",D105,O105)+Статистика!$J$4))-Статистика!$C$10)/MAX(Статистика!$G$10-Статистика!$C$10,0.000001)))))</f>
        <v>9.536841222222181E-2</v>
      </c>
      <c r="AZ105" s="12">
        <f>IF(A105="","",MAX(0,MAX(0,MIN(1,(((IF(Статистика!$C$4="Параллельный режим (активная мощность)",F105,Q105)+Статистика!$J$4))-Статистика!$C$10)/MAX(Статистика!$G$10-Статистика!$C$10,0.000001)))-MAX(0,MIN(1,(((IF(Статистика!$C$4="Параллельный режим (активная мощность)",E105,P105)+Статистика!$J$4))-Статистика!$C$10)/MAX(Статистика!$G$10-Статистика!$C$10,0.000001)))))</f>
        <v>9.4203005555555774E-2</v>
      </c>
      <c r="BA105" s="12">
        <f>IF(A105="","",MAX(0,MAX(0,MIN(1,(((IF(Статистика!$C$4="Параллельный режим (активная мощность)",G105,R105)+Статистика!$J$4))-Статистика!$C$10)/MAX(Статистика!$G$10-Статистика!$C$10,0.000001)))-MAX(0,MIN(1,(((IF(Статистика!$C$4="Параллельный режим (активная мощность)",F105,Q105)+Статистика!$J$4))-Статистика!$C$10)/MAX(Статистика!$G$10-Статистика!$C$10,0.000001)))))</f>
        <v>6.7726472222222278E-2</v>
      </c>
      <c r="BB105" s="12">
        <f>IF(A105="","",MAX(0,MAX(0,MIN(1,(((IF(Статистика!$C$4="Параллельный режим (активная мощность)",H105,S105)+Статистика!$J$4))-Статистика!$C$10)/MAX(Статистика!$G$10-Статистика!$C$10,0.000001)))-MAX(0,MIN(1,(((IF(Статистика!$C$4="Параллельный режим (активная мощность)",G105,R105)+Статистика!$J$4))-Статистика!$C$10)/MAX(Статистика!$G$10-Статистика!$C$10,0.000001)))))</f>
        <v>7.5703539444444634E-2</v>
      </c>
      <c r="BC105" s="12">
        <f>IF(A105="","",MAX(0,MAX(0,MIN(1,(((IF(Статистика!$C$4="Параллельный режим (активная мощность)",J105,U105)+Статистика!$J$4))-Статистика!$C$10)/MAX(Статистика!$G$10-Статистика!$C$10,0.000001)))-MAX(0,MIN(1,(((IF(Статистика!$C$4="Параллельный режим (активная мощность)",H105,S105)+Статистика!$J$4))-Статистика!$C$10)/MAX(Статистика!$G$10-Статистика!$C$10,0.000001)))))</f>
        <v>4.6238178999999935E-2</v>
      </c>
      <c r="BD105" s="12">
        <f>IF(A105="","",MAX(0,1-MAX(0,MIN(1,(((IF(Статистика!$C$4="Параллельный режим (активная мощность)",J105,U105)+Статистика!$J$4))-Статистика!$C$10)/MAX(Статистика!$G$10-Статистика!$C$10,0.000001)))))</f>
        <v>0.24866578711111109</v>
      </c>
      <c r="BE105" s="12">
        <f>IF(A105="",NA(),IF(Статистика!$B$8="Вкл",(((IF(Статистика!$C$4="Параллельный режим (активная мощность)",F105,Q105)+Статистика!$J$4))-Статистика!$C$10)/MAX(Статистика!$G$10-Статистика!$C$10,0.000001),NA()))</f>
        <v>0.56166602222222206</v>
      </c>
      <c r="BF105" s="12">
        <f>IF(A105="",NA(),IF(Статистика!$D$8="Вкл",(((IF(Статистика!$C$4="Параллельный режим (активная мощность)",E105,P105)+Статистика!$J$4))-Статистика!$C$10)/MAX(Статистика!$G$10-Статистика!$C$10,0.000001),NA()))</f>
        <v>0.46746301666666629</v>
      </c>
      <c r="BG105" s="12">
        <f>IF(A105="",NA(),IF(Статистика!$D$8="Вкл",(((IF(Статистика!$C$4="Параллельный режим (активная мощность)",G105,R105)+Статистика!$J$4))-Статистика!$C$10)/MAX(Статистика!$G$10-Статистика!$C$10,0.000001),NA()))</f>
        <v>0.62939249444444434</v>
      </c>
      <c r="BH105" s="12">
        <f>IF(A105="",NA(),IF(Статистика!$F$8="Вкл",(((IF(Статистика!$C$4="Параллельный режим (активная мощность)",D105,O105)+Статистика!$J$4))-Статистика!$C$10)/MAX(Статистика!$G$10-Статистика!$C$10,0.000001),NA()))</f>
        <v>0.37209460444444448</v>
      </c>
      <c r="BI105" s="12">
        <f>IF(A105="",NA(),IF(Статистика!$F$8="Вкл",(((IF(Статистика!$C$4="Параллельный режим (активная мощность)",H105,S105)+Статистика!$J$4))-Статистика!$C$10)/MAX(Статистика!$G$10-Статистика!$C$10,0.000001),NA()))</f>
        <v>0.70509603388888897</v>
      </c>
      <c r="BJ105" s="12">
        <f>IF(A105="",NA(),IF(Статистика!$H$8="Вкл",(((IF(Статистика!$C$4="Параллельный режим (активная мощность)",B105,M105)+Статистика!$J$4))-Статистика!$C$10)/MAX(Статистика!$G$10-Статистика!$C$10,0.000001),NA()))</f>
        <v>-1.2495945035555553</v>
      </c>
      <c r="BK105" s="12">
        <f>IF(A105="",NA(),IF(Статистика!$H$8="Вкл",(((IF(Статистика!$C$4="Параллельный режим (активная мощность)",J105,U105)+Статистика!$J$4))-Статистика!$C$10)/MAX(Статистика!$G$10-Статистика!$C$10,0.000001),NA()))</f>
        <v>0.75133421288888891</v>
      </c>
      <c r="BL105" s="12" t="e">
        <f>IF(A105="",NA(),IF(Статистика!$J$8="Вкл",(((IF(Статистика!$C$4="Параллельный режим (активная мощность)",K105,V105)+Статистика!$J$4))-Статистика!$C$10)/MAX(Статистика!$G$10-Статистика!$C$10,0.000001),NA()))</f>
        <v>#N/A</v>
      </c>
      <c r="BM105" s="12" t="e">
        <f>IF(AND(A105&lt;&gt;"",Статистика!$C$6="Вкл",Статистика!$B$6&gt;0),(Статистика!$B$6-Статистика!$C$10)/MAX(Статистика!$G$10-Статистика!$C$10,0.000001),NA())</f>
        <v>#N/A</v>
      </c>
      <c r="BN105" s="12" t="e">
        <f>IF(AND(A105&lt;&gt;"",Статистика!$F$6="Вкл",Статистика!$E$6&gt;0),(Статистика!$E$6-Статистика!$C$10)/MAX(Статистика!$G$10-Статистика!$C$10,0.000001),NA())</f>
        <v>#N/A</v>
      </c>
      <c r="BO105" s="12" t="e">
        <f>IF(AND(A105&lt;&gt;"",Статистика!$I$6="Вкл",Статистика!$H$6&gt;0),(Статистика!$H$6-Статистика!$C$10)/MAX(Статистика!$G$10-Статистика!$C$10,0.000001),NA())</f>
        <v>#N/A</v>
      </c>
      <c r="BP105" s="12" t="e">
        <f>IF(AND(A105&lt;&gt;"",Статистика!$L$6="Вкл",Статистика!$K$6&gt;0),(Статистика!$K$6-Статистика!$C$10)/MAX(Статистика!$G$10-Статистика!$C$10,0.000001),NA())</f>
        <v>#N/A</v>
      </c>
      <c r="BQ105" s="12" t="e">
        <f>IF(AND(A105&lt;&gt;"",Статистика!$M$6="Вкл",Статистика!$O$6&gt;0),(Статистика!$O$6-Статистика!$C$10)/MAX(Статистика!$G$10-Статистика!$C$10,0.000001),NA())</f>
        <v>#N/A</v>
      </c>
      <c r="BR105" s="12">
        <f t="shared" si="2"/>
        <v>1</v>
      </c>
      <c r="BT105" s="12">
        <f>IF(Y105="","",MAX(0,MIN(1,(((IF(Статистика!$C$4="Параллельный режим (активная мощность)",Z105,AK105)+Статистика!$J$4))-Статистика!$C$10)/MAX(Статистика!$G$10-Статистика!$C$10,0.000001))))</f>
        <v>0.43031572555555553</v>
      </c>
      <c r="BU105" s="12">
        <f>IF(Y105="","",MAX(0,MAX(0,MIN(1,(((IF(Статистика!$C$4="Параллельный режим (активная мощность)",AB105,AM105)+Статистика!$J$4))-Статистика!$C$10)/MAX(Статистика!$G$10-Статистика!$C$10,0.000001)))-MAX(0,MIN(1,(((IF(Статистика!$C$4="Параллельный режим (активная мощность)",Z105,AK105)+Статистика!$J$4))-Статистика!$C$10)/MAX(Статистика!$G$10-Статистика!$C$10,0.000001)))))</f>
        <v>7.414330000000191E-3</v>
      </c>
      <c r="BV105" s="12">
        <f>IF(Y105="","",MAX(0,MAX(0,MIN(1,(((IF(Статистика!$C$4="Параллельный режим (активная мощность)",AC105,AN105)+Статистика!$J$4))-Статистика!$C$10)/MAX(Статистика!$G$10-Статистика!$C$10,0.000001)))-MAX(0,MIN(1,(((IF(Статистика!$C$4="Параллельный режим (активная мощность)",AB105,AM105)+Статистика!$J$4))-Статистика!$C$10)/MAX(Статистика!$G$10-Статистика!$C$10,0.000001)))))</f>
        <v>2.452116666666676E-2</v>
      </c>
      <c r="BW105" s="12">
        <f>IF(Y105="","",MAX(0,MAX(0,MIN(1,(((IF(Статистика!$C$4="Параллельный режим (активная мощность)",AD105,AO105)+Статистика!$J$4))-Статистика!$C$10)/MAX(Статистика!$G$10-Статистика!$C$10,0.000001)))-MAX(0,MIN(1,(((IF(Статистика!$C$4="Параллельный режим (активная мощность)",AC105,AN105)+Статистика!$J$4))-Статистика!$C$10)/MAX(Статистика!$G$10-Статистика!$C$10,0.000001)))))</f>
        <v>8.4946338888888362E-2</v>
      </c>
      <c r="BX105" s="12">
        <f>IF(Y105="","",MAX(0,MAX(0,MIN(1,(((IF(Статистика!$C$4="Параллельный режим (активная мощность)",AE105,AP105)+Статистика!$J$4))-Статистика!$C$10)/MAX(Статистика!$G$10-Статистика!$C$10,0.000001)))-MAX(0,MIN(1,(((IF(Статистика!$C$4="Параллельный режим (активная мощность)",AD105,AO105)+Статистика!$J$4))-Статистика!$C$10)/MAX(Статистика!$G$10-Статистика!$C$10,0.000001)))))</f>
        <v>6.3367366666667202E-2</v>
      </c>
      <c r="BY105" s="12">
        <f>IF(Y105="","",MAX(0,MAX(0,MIN(1,(((IF(Статистика!$C$4="Параллельный режим (активная мощность)",AF105,AQ105)+Статистика!$J$4))-Статистика!$C$10)/MAX(Статистика!$G$10-Статистика!$C$10,0.000001)))-MAX(0,MIN(1,(((IF(Статистика!$C$4="Параллельный режим (активная мощность)",AE105,AP105)+Статистика!$J$4))-Статистика!$C$10)/MAX(Статистика!$G$10-Статистика!$C$10,0.000001)))))</f>
        <v>0.13196746666666637</v>
      </c>
      <c r="BZ105" s="12">
        <f>IF(Y105="","",MAX(0,MAX(0,MIN(1,(((IF(Статистика!$C$4="Параллельный режим (активная мощность)",AH105,AS105)+Статистика!$J$4))-Статистика!$C$10)/MAX(Статистика!$G$10-Статистика!$C$10,0.000001)))-MAX(0,MIN(1,(((IF(Статистика!$C$4="Параллельный режим (активная мощность)",AF105,AQ105)+Статистика!$J$4))-Статистика!$C$10)/MAX(Статистика!$G$10-Статистика!$C$10,0.000001)))))</f>
        <v>3.6919574999999871E-2</v>
      </c>
      <c r="CA105" s="12">
        <f>IF(Y105="","",MAX(0,1-MAX(0,MIN(1,(((IF(Статистика!$C$4="Параллельный режим (активная мощность)",AH105,AS105)+Статистика!$J$4))-Статистика!$C$10)/MAX(Статистика!$G$10-Статистика!$C$10,0.000001)))))</f>
        <v>0.22054803055555572</v>
      </c>
      <c r="CB105" s="12">
        <f>IF(Y105="",NA(),IF(Статистика!$B$8="Вкл",(((IF(Статистика!$C$4="Параллельный режим (активная мощность)",AD105,AO105)+Статистика!$J$4))-Статистика!$C$10)/MAX(Статистика!$G$10-Статистика!$C$10,0.000001),NA()))</f>
        <v>0.54719756111111084</v>
      </c>
      <c r="CC105" s="12">
        <f>IF(Y105="",NA(),IF(Статистика!$D$8="Вкл",(((IF(Статистика!$C$4="Параллельный режим (активная мощность)",AC105,AN105)+Статистика!$J$4))-Статистика!$C$10)/MAX(Статистика!$G$10-Статистика!$C$10,0.000001),NA()))</f>
        <v>0.46225122222222248</v>
      </c>
      <c r="CD105" s="12">
        <f>IF(Y105="",NA(),IF(Статистика!$D$8="Вкл",(((IF(Статистика!$C$4="Параллельный режим (активная мощность)",AE105,AP105)+Статистика!$J$4))-Статистика!$C$10)/MAX(Статистика!$G$10-Статистика!$C$10,0.000001),NA()))</f>
        <v>0.61056492777777804</v>
      </c>
      <c r="CE105" s="12">
        <f>IF(Y105="",NA(),IF(Статистика!$F$8="Вкл",(((IF(Статистика!$C$4="Параллельный режим (активная мощность)",AB105,AM105)+Статистика!$J$4))-Статистика!$C$10)/MAX(Статистика!$G$10-Статистика!$C$10,0.000001),NA()))</f>
        <v>0.43773005555555572</v>
      </c>
      <c r="CF105" s="12">
        <f>IF(Y105="",NA(),IF(Статистика!$F$8="Вкл",(((IF(Статистика!$C$4="Параллельный режим (активная мощность)",AF105,AQ105)+Статистика!$J$4))-Статистика!$C$10)/MAX(Статистика!$G$10-Статистика!$C$10,0.000001),NA()))</f>
        <v>0.74253239444444441</v>
      </c>
      <c r="CG105" s="12">
        <f>IF(Y105="",NA(),IF(Статистика!$H$8="Вкл",(((IF(Статистика!$C$4="Параллельный режим (активная мощность)",Z105,AK105)+Статистика!$J$4))-Статистика!$C$10)/MAX(Статистика!$G$10-Статистика!$C$10,0.000001),NA()))</f>
        <v>0.43031572555555553</v>
      </c>
      <c r="CH105" s="12">
        <f>IF(Y105="",NA(),IF(Статистика!$H$8="Вкл",(((IF(Статистика!$C$4="Параллельный режим (активная мощность)",AH105,AS105)+Статистика!$J$4))-Статистика!$C$10)/MAX(Статистика!$G$10-Статистика!$C$10,0.000001),NA()))</f>
        <v>0.77945196944444428</v>
      </c>
      <c r="CI105" s="12" t="e">
        <f>IF(Y105="",NA(),IF(Статистика!$J$8="Вкл",(((IF(Статистика!$C$4="Параллельный режим (активная мощность)",AI105,AT105)+Статистика!$J$4))-Статистика!$C$10)/MAX(Статистика!$G$10-Статистика!$C$10,0.000001),NA()))</f>
        <v>#N/A</v>
      </c>
      <c r="CJ105" s="12" t="e">
        <f>IF(AND(Y105&lt;&gt;"",Статистика!$C$6="Вкл",Статистика!$B$6&gt;0),(Статистика!$B$6-Статистика!$C$10)/MAX(Статистика!$G$10-Статистика!$C$10,0.000001),NA())</f>
        <v>#N/A</v>
      </c>
      <c r="CK105" s="12" t="e">
        <f>IF(AND(Y105&lt;&gt;"",Статистика!$F$6="Вкл",Статистика!$E$6&gt;0),(Статистика!$E$6-Статистика!$C$10)/MAX(Статистика!$G$10-Статистика!$C$10,0.000001),NA())</f>
        <v>#N/A</v>
      </c>
      <c r="CL105" s="12" t="e">
        <f>IF(AND(Y105&lt;&gt;"",Статистика!$I$6="Вкл",Статистика!$H$6&gt;0),(Статистика!$H$6-Статистика!$C$10)/MAX(Статистика!$G$10-Статистика!$C$10,0.000001),NA())</f>
        <v>#N/A</v>
      </c>
      <c r="CM105" s="12" t="e">
        <f>IF(AND(Y105&lt;&gt;"",Статистика!$L$6="Вкл",Статистика!$K$6&gt;0),(Статистика!$K$6-Статистика!$C$10)/MAX(Статистика!$G$10-Статистика!$C$10,0.000001),NA())</f>
        <v>#N/A</v>
      </c>
      <c r="CN105" s="12" t="e">
        <f>IF(AND(Y105&lt;&gt;"",Статистика!$M$6="Вкл",Статистика!$O$6&gt;0),(Статистика!$O$6-Статистика!$C$10)/MAX(Статистика!$G$10-Статистика!$C$10,0.000001),NA())</f>
        <v>#N/A</v>
      </c>
      <c r="CO105" s="12">
        <f t="shared" si="3"/>
        <v>1</v>
      </c>
    </row>
    <row r="106" spans="1:93" ht="15" customHeight="1">
      <c r="A106" s="12" t="s">
        <v>486</v>
      </c>
      <c r="B106" s="12">
        <v>2254.3010829999998</v>
      </c>
      <c r="C106" s="12">
        <v>5522.333548333334</v>
      </c>
      <c r="D106" s="12">
        <v>7113.1997650000003</v>
      </c>
      <c r="E106" s="12">
        <v>7419.9022000000004</v>
      </c>
      <c r="F106" s="12">
        <v>7728.8956166666667</v>
      </c>
      <c r="G106" s="12">
        <v>7835.1522333333342</v>
      </c>
      <c r="H106" s="12">
        <v>8093.1051583333328</v>
      </c>
      <c r="I106" s="12">
        <v>8157.687836666666</v>
      </c>
      <c r="J106" s="12">
        <v>8230.4902873333322</v>
      </c>
      <c r="K106" s="12">
        <v>8394.3799999999992</v>
      </c>
      <c r="L106" s="12" t="s">
        <v>487</v>
      </c>
      <c r="M106" s="12">
        <v>2724.1945933333327</v>
      </c>
      <c r="N106" s="12">
        <v>6257.3929666666663</v>
      </c>
      <c r="O106" s="12">
        <v>7978.9648033333324</v>
      </c>
      <c r="P106" s="12">
        <v>8311.5628083333322</v>
      </c>
      <c r="Q106" s="12">
        <v>8601.0703833333318</v>
      </c>
      <c r="R106" s="12">
        <v>8829.0755583333339</v>
      </c>
      <c r="S106" s="12">
        <v>9043.0079283333325</v>
      </c>
      <c r="T106" s="12">
        <v>9156.7823358333335</v>
      </c>
      <c r="U106" s="12">
        <v>9275.9613738333319</v>
      </c>
      <c r="V106" s="12">
        <v>9452.3700000000008</v>
      </c>
      <c r="W106" s="12" t="s">
        <v>488</v>
      </c>
      <c r="Y106" s="12" t="s">
        <v>486</v>
      </c>
      <c r="Z106" s="12">
        <v>7309.5619028333331</v>
      </c>
      <c r="AA106" s="12">
        <v>7318.2823141666668</v>
      </c>
      <c r="AB106" s="12">
        <v>7329.1828283333325</v>
      </c>
      <c r="AC106" s="12">
        <v>7431.9238499999992</v>
      </c>
      <c r="AD106" s="12">
        <v>7629.5664666666662</v>
      </c>
      <c r="AE106" s="12">
        <v>7879.5362583333344</v>
      </c>
      <c r="AF106" s="12">
        <v>8284.6251233333351</v>
      </c>
      <c r="AG106" s="12">
        <v>8387.2320783333344</v>
      </c>
      <c r="AH106" s="12">
        <v>8469.3176423333334</v>
      </c>
      <c r="AI106" s="12">
        <v>8624.7199999999993</v>
      </c>
      <c r="AJ106" s="12" t="s">
        <v>489</v>
      </c>
      <c r="AK106" s="12">
        <v>8123.4863144999999</v>
      </c>
      <c r="AL106" s="12">
        <v>8147.3410391666666</v>
      </c>
      <c r="AM106" s="12">
        <v>8177.1594450000002</v>
      </c>
      <c r="AN106" s="12">
        <v>8400.3362083333341</v>
      </c>
      <c r="AO106" s="12">
        <v>8578.6964333333326</v>
      </c>
      <c r="AP106" s="12">
        <v>8840.3191333333343</v>
      </c>
      <c r="AQ106" s="12">
        <v>9191.9636083333335</v>
      </c>
      <c r="AR106" s="12">
        <v>9267.4991874999996</v>
      </c>
      <c r="AS106" s="12">
        <v>9327.9276508333332</v>
      </c>
      <c r="AT106" s="12">
        <v>9483.08</v>
      </c>
      <c r="AU106" s="12" t="s">
        <v>489</v>
      </c>
      <c r="AW106" s="12">
        <f>IF(A106="","",MAX(0,MIN(1,(((IF(Статистика!$C$4="Параллельный режим (активная мощность)",B106,M106)+Статистика!$J$4))-Статистика!$C$10)/MAX(Статистика!$G$10-Статистика!$C$10,0.000001))))</f>
        <v>0</v>
      </c>
      <c r="AX106" s="12">
        <f>IF(A106="","",MAX(0,MAX(0,MIN(1,(((IF(Статистика!$C$4="Параллельный режим (активная мощность)",D106,O106)+Статистика!$J$4))-Статистика!$C$10)/MAX(Статистика!$G$10-Статистика!$C$10,0.000001)))-MAX(0,MIN(1,(((IF(Статистика!$C$4="Параллельный режим (активная мощность)",B106,M106)+Статистика!$J$4))-Статистика!$C$10)/MAX(Статистика!$G$10-Статистика!$C$10,0.000001)))))</f>
        <v>0.37106658833333345</v>
      </c>
      <c r="AY106" s="12">
        <f>IF(A106="","",MAX(0,MAX(0,MIN(1,(((IF(Статистика!$C$4="Параллельный режим (активная мощность)",E106,P106)+Статистика!$J$4))-Статистика!$C$10)/MAX(Статистика!$G$10-Статистика!$C$10,0.000001)))-MAX(0,MIN(1,(((IF(Статистика!$C$4="Параллельный режим (активная мощность)",D106,O106)+Статистика!$J$4))-Статистика!$C$10)/MAX(Статистика!$G$10-Статистика!$C$10,0.000001)))))</f>
        <v>0.10223414500000005</v>
      </c>
      <c r="AZ106" s="12">
        <f>IF(A106="","",MAX(0,MAX(0,MIN(1,(((IF(Статистика!$C$4="Параллельный режим (активная мощность)",F106,Q106)+Статистика!$J$4))-Статистика!$C$10)/MAX(Статистика!$G$10-Статистика!$C$10,0.000001)))-MAX(0,MIN(1,(((IF(Статистика!$C$4="Параллельный режим (активная мощность)",E106,P106)+Статистика!$J$4))-Статистика!$C$10)/MAX(Статистика!$G$10-Статистика!$C$10,0.000001)))))</f>
        <v>0.10299780555555543</v>
      </c>
      <c r="BA106" s="12">
        <f>IF(A106="","",MAX(0,MAX(0,MIN(1,(((IF(Статистика!$C$4="Параллельный режим (активная мощность)",G106,R106)+Статистика!$J$4))-Статистика!$C$10)/MAX(Статистика!$G$10-Статистика!$C$10,0.000001)))-MAX(0,MIN(1,(((IF(Статистика!$C$4="Параллельный режим (активная мощность)",F106,Q106)+Статистика!$J$4))-Статистика!$C$10)/MAX(Статистика!$G$10-Статистика!$C$10,0.000001)))))</f>
        <v>3.5418872222222397E-2</v>
      </c>
      <c r="BB106" s="12">
        <f>IF(A106="","",MAX(0,MAX(0,MIN(1,(((IF(Статистика!$C$4="Параллельный режим (активная мощность)",H106,S106)+Статистика!$J$4))-Статистика!$C$10)/MAX(Статистика!$G$10-Статистика!$C$10,0.000001)))-MAX(0,MIN(1,(((IF(Статистика!$C$4="Параллельный режим (активная мощность)",G106,R106)+Статистика!$J$4))-Статистика!$C$10)/MAX(Статистика!$G$10-Статистика!$C$10,0.000001)))))</f>
        <v>8.5984308333332926E-2</v>
      </c>
      <c r="BC106" s="12">
        <f>IF(A106="","",MAX(0,MAX(0,MIN(1,(((IF(Статистика!$C$4="Параллельный режим (активная мощность)",J106,U106)+Статистика!$J$4))-Статистика!$C$10)/MAX(Статистика!$G$10-Статистика!$C$10,0.000001)))-MAX(0,MIN(1,(((IF(Статистика!$C$4="Параллельный режим (активная мощность)",H106,S106)+Статистика!$J$4))-Статистика!$C$10)/MAX(Статистика!$G$10-Статистика!$C$10,0.000001)))))</f>
        <v>4.5795042999999813E-2</v>
      </c>
      <c r="BD106" s="12">
        <f>IF(A106="","",MAX(0,1-MAX(0,MIN(1,(((IF(Статистика!$C$4="Параллельный режим (активная мощность)",J106,U106)+Статистика!$J$4))-Статистика!$C$10)/MAX(Статистика!$G$10-Статистика!$C$10,0.000001)))))</f>
        <v>0.25650323755555593</v>
      </c>
      <c r="BE106" s="12">
        <f>IF(A106="",NA(),IF(Статистика!$B$8="Вкл",(((IF(Статистика!$C$4="Параллельный режим (активная мощность)",F106,Q106)+Статистика!$J$4))-Статистика!$C$10)/MAX(Статистика!$G$10-Статистика!$C$10,0.000001),NA()))</f>
        <v>0.57629853888888893</v>
      </c>
      <c r="BF106" s="12">
        <f>IF(A106="",NA(),IF(Статистика!$D$8="Вкл",(((IF(Статистика!$C$4="Параллельный режим (активная мощность)",E106,P106)+Статистика!$J$4))-Статистика!$C$10)/MAX(Статистика!$G$10-Статистика!$C$10,0.000001),NA()))</f>
        <v>0.4733007333333335</v>
      </c>
      <c r="BG106" s="12">
        <f>IF(A106="",NA(),IF(Статистика!$D$8="Вкл",(((IF(Статистика!$C$4="Параллельный режим (активная мощность)",G106,R106)+Статистика!$J$4))-Статистика!$C$10)/MAX(Статистика!$G$10-Статистика!$C$10,0.000001),NA()))</f>
        <v>0.61171741111111133</v>
      </c>
      <c r="BH106" s="12">
        <f>IF(A106="",NA(),IF(Статистика!$F$8="Вкл",(((IF(Статистика!$C$4="Параллельный режим (активная мощность)",D106,O106)+Статистика!$J$4))-Статистика!$C$10)/MAX(Статистика!$G$10-Статистика!$C$10,0.000001),NA()))</f>
        <v>0.37106658833333345</v>
      </c>
      <c r="BI106" s="12">
        <f>IF(A106="",NA(),IF(Статистика!$F$8="Вкл",(((IF(Статистика!$C$4="Параллельный режим (активная мощность)",H106,S106)+Статистика!$J$4))-Статистика!$C$10)/MAX(Статистика!$G$10-Статистика!$C$10,0.000001),NA()))</f>
        <v>0.69770171944444426</v>
      </c>
      <c r="BJ106" s="12">
        <f>IF(A106="",NA(),IF(Статистика!$H$8="Вкл",(((IF(Статистика!$C$4="Параллельный режим (активная мощность)",B106,M106)+Статистика!$J$4))-Статистика!$C$10)/MAX(Статистика!$G$10-Статистика!$C$10,0.000001),NA()))</f>
        <v>-1.2485663056666667</v>
      </c>
      <c r="BK106" s="12">
        <f>IF(A106="",NA(),IF(Статистика!$H$8="Вкл",(((IF(Статистика!$C$4="Параллельный режим (активная мощность)",J106,U106)+Статистика!$J$4))-Статистика!$C$10)/MAX(Статистика!$G$10-Статистика!$C$10,0.000001),NA()))</f>
        <v>0.74349676244444407</v>
      </c>
      <c r="BL106" s="12" t="e">
        <f>IF(A106="",NA(),IF(Статистика!$J$8="Вкл",(((IF(Статистика!$C$4="Параллельный режим (активная мощность)",K106,V106)+Статистика!$J$4))-Статистика!$C$10)/MAX(Статистика!$G$10-Статистика!$C$10,0.000001),NA()))</f>
        <v>#N/A</v>
      </c>
      <c r="BM106" s="12" t="e">
        <f>IF(AND(A106&lt;&gt;"",Статистика!$C$6="Вкл",Статистика!$B$6&gt;0),(Статистика!$B$6-Статистика!$C$10)/MAX(Статистика!$G$10-Статистика!$C$10,0.000001),NA())</f>
        <v>#N/A</v>
      </c>
      <c r="BN106" s="12" t="e">
        <f>IF(AND(A106&lt;&gt;"",Статистика!$F$6="Вкл",Статистика!$E$6&gt;0),(Статистика!$E$6-Статистика!$C$10)/MAX(Статистика!$G$10-Статистика!$C$10,0.000001),NA())</f>
        <v>#N/A</v>
      </c>
      <c r="BO106" s="12" t="e">
        <f>IF(AND(A106&lt;&gt;"",Статистика!$I$6="Вкл",Статистика!$H$6&gt;0),(Статистика!$H$6-Статистика!$C$10)/MAX(Статистика!$G$10-Статистика!$C$10,0.000001),NA())</f>
        <v>#N/A</v>
      </c>
      <c r="BP106" s="12" t="e">
        <f>IF(AND(A106&lt;&gt;"",Статистика!$L$6="Вкл",Статистика!$K$6&gt;0),(Статистика!$K$6-Статистика!$C$10)/MAX(Статистика!$G$10-Статистика!$C$10,0.000001),NA())</f>
        <v>#N/A</v>
      </c>
      <c r="BQ106" s="12" t="e">
        <f>IF(AND(A106&lt;&gt;"",Статистика!$M$6="Вкл",Статистика!$O$6&gt;0),(Статистика!$O$6-Статистика!$C$10)/MAX(Статистика!$G$10-Статистика!$C$10,0.000001),NA())</f>
        <v>#N/A</v>
      </c>
      <c r="BR106" s="12">
        <f t="shared" si="2"/>
        <v>1</v>
      </c>
      <c r="BT106" s="12">
        <f>IF(Y106="","",MAX(0,MIN(1,(((IF(Статистика!$C$4="Параллельный режим (активная мощность)",Z106,AK106)+Статистика!$J$4))-Статистика!$C$10)/MAX(Статистика!$G$10-Статистика!$C$10,0.000001))))</f>
        <v>0.43652063427777771</v>
      </c>
      <c r="BU106" s="12">
        <f>IF(Y106="","",MAX(0,MAX(0,MIN(1,(((IF(Статистика!$C$4="Параллельный режим (активная мощность)",AB106,AM106)+Статистика!$J$4))-Статистика!$C$10)/MAX(Статистика!$G$10-Статистика!$C$10,0.000001)))-MAX(0,MIN(1,(((IF(Статистика!$C$4="Параллельный режим (активная мощность)",Z106,AK106)+Статистика!$J$4))-Статистика!$C$10)/MAX(Статистика!$G$10-Статистика!$C$10,0.000001)))))</f>
        <v>6.540308499999814E-3</v>
      </c>
      <c r="BV106" s="12">
        <f>IF(Y106="","",MAX(0,MAX(0,MIN(1,(((IF(Статистика!$C$4="Параллельный режим (активная мощность)",AC106,AN106)+Статистика!$J$4))-Статистика!$C$10)/MAX(Статистика!$G$10-Статистика!$C$10,0.000001)))-MAX(0,MIN(1,(((IF(Статистика!$C$4="Параллельный режим (активная мощность)",AB106,AM106)+Статистика!$J$4))-Статистика!$C$10)/MAX(Статистика!$G$10-Статистика!$C$10,0.000001)))))</f>
        <v>3.4247007222222237E-2</v>
      </c>
      <c r="BW106" s="12">
        <f>IF(Y106="","",MAX(0,MAX(0,MIN(1,(((IF(Статистика!$C$4="Параллельный режим (активная мощность)",AD106,AO106)+Статистика!$J$4))-Статистика!$C$10)/MAX(Статистика!$G$10-Статистика!$C$10,0.000001)))-MAX(0,MIN(1,(((IF(Статистика!$C$4="Параллельный режим (активная мощность)",AC106,AN106)+Статистика!$J$4))-Статистика!$C$10)/MAX(Статистика!$G$10-Статистика!$C$10,0.000001)))))</f>
        <v>6.5880872222222331E-2</v>
      </c>
      <c r="BX106" s="12">
        <f>IF(Y106="","",MAX(0,MAX(0,MIN(1,(((IF(Статистика!$C$4="Параллельный режим (активная мощность)",AE106,AP106)+Статистика!$J$4))-Статистика!$C$10)/MAX(Статистика!$G$10-Статистика!$C$10,0.000001)))-MAX(0,MIN(1,(((IF(Статистика!$C$4="Параллельный режим (активная мощность)",AD106,AO106)+Статистика!$J$4))-Статистика!$C$10)/MAX(Статистика!$G$10-Статистика!$C$10,0.000001)))))</f>
        <v>8.3323263888889443E-2</v>
      </c>
      <c r="BY106" s="12">
        <f>IF(Y106="","",MAX(0,MAX(0,MIN(1,(((IF(Статистика!$C$4="Параллельный режим (активная мощность)",AF106,AQ106)+Статистика!$J$4))-Статистика!$C$10)/MAX(Статистика!$G$10-Статистика!$C$10,0.000001)))-MAX(0,MIN(1,(((IF(Статистика!$C$4="Параллельный режим (активная мощность)",AE106,AP106)+Статистика!$J$4))-Статистика!$C$10)/MAX(Статистика!$G$10-Статистика!$C$10,0.000001)))))</f>
        <v>0.13502962166666688</v>
      </c>
      <c r="BZ106" s="12">
        <f>IF(Y106="","",MAX(0,MAX(0,MIN(1,(((IF(Статистика!$C$4="Параллельный режим (активная мощность)",AH106,AS106)+Статистика!$J$4))-Статистика!$C$10)/MAX(Статистика!$G$10-Статистика!$C$10,0.000001)))-MAX(0,MIN(1,(((IF(Статистика!$C$4="Параллельный режим (активная мощность)",AF106,AQ106)+Статистика!$J$4))-Статистика!$C$10)/MAX(Статистика!$G$10-Статистика!$C$10,0.000001)))))</f>
        <v>6.1564172999999389E-2</v>
      </c>
      <c r="CA106" s="12">
        <f>IF(Y106="","",MAX(0,1-MAX(0,MIN(1,(((IF(Статистика!$C$4="Параллельный режим (активная мощность)",AH106,AS106)+Статистика!$J$4))-Статистика!$C$10)/MAX(Статистика!$G$10-Статистика!$C$10,0.000001)))))</f>
        <v>0.1768941192222222</v>
      </c>
      <c r="CB106" s="12">
        <f>IF(Y106="",NA(),IF(Статистика!$B$8="Вкл",(((IF(Статистика!$C$4="Параллельный режим (активная мощность)",AD106,AO106)+Статистика!$J$4))-Статистика!$C$10)/MAX(Статистика!$G$10-Статистика!$C$10,0.000001),NA()))</f>
        <v>0.54318882222222209</v>
      </c>
      <c r="CC106" s="12">
        <f>IF(Y106="",NA(),IF(Статистика!$D$8="Вкл",(((IF(Статистика!$C$4="Параллельный режим (активная мощность)",AC106,AN106)+Статистика!$J$4))-Статистика!$C$10)/MAX(Статистика!$G$10-Статистика!$C$10,0.000001),NA()))</f>
        <v>0.47730794999999976</v>
      </c>
      <c r="CD106" s="12">
        <f>IF(Y106="",NA(),IF(Статистика!$D$8="Вкл",(((IF(Статистика!$C$4="Параллельный режим (активная мощность)",AE106,AP106)+Статистика!$J$4))-Статистика!$C$10)/MAX(Статистика!$G$10-Статистика!$C$10,0.000001),NA()))</f>
        <v>0.62651208611111153</v>
      </c>
      <c r="CE106" s="12">
        <f>IF(Y106="",NA(),IF(Статистика!$F$8="Вкл",(((IF(Статистика!$C$4="Параллельный режим (активная мощность)",AB106,AM106)+Статистика!$J$4))-Статистика!$C$10)/MAX(Статистика!$G$10-Статистика!$C$10,0.000001),NA()))</f>
        <v>0.44306094277777752</v>
      </c>
      <c r="CF106" s="12">
        <f>IF(Y106="",NA(),IF(Статистика!$F$8="Вкл",(((IF(Статистика!$C$4="Параллельный режим (активная мощность)",AF106,AQ106)+Статистика!$J$4))-Статистика!$C$10)/MAX(Статистика!$G$10-Статистика!$C$10,0.000001),NA()))</f>
        <v>0.76154170777777841</v>
      </c>
      <c r="CG106" s="12">
        <f>IF(Y106="",NA(),IF(Статистика!$H$8="Вкл",(((IF(Статистика!$C$4="Параллельный режим (активная мощность)",Z106,AK106)+Статистика!$J$4))-Статистика!$C$10)/MAX(Статистика!$G$10-Статистика!$C$10,0.000001),NA()))</f>
        <v>0.43652063427777771</v>
      </c>
      <c r="CH106" s="12">
        <f>IF(Y106="",NA(),IF(Статистика!$H$8="Вкл",(((IF(Статистика!$C$4="Параллельный режим (активная мощность)",AH106,AS106)+Статистика!$J$4))-Статистика!$C$10)/MAX(Статистика!$G$10-Статистика!$C$10,0.000001),NA()))</f>
        <v>0.8231058807777778</v>
      </c>
      <c r="CI106" s="12" t="e">
        <f>IF(Y106="",NA(),IF(Статистика!$J$8="Вкл",(((IF(Статистика!$C$4="Параллельный режим (активная мощность)",AI106,AT106)+Статистика!$J$4))-Статистика!$C$10)/MAX(Статистика!$G$10-Статистика!$C$10,0.000001),NA()))</f>
        <v>#N/A</v>
      </c>
      <c r="CJ106" s="12" t="e">
        <f>IF(AND(Y106&lt;&gt;"",Статистика!$C$6="Вкл",Статистика!$B$6&gt;0),(Статистика!$B$6-Статистика!$C$10)/MAX(Статистика!$G$10-Статистика!$C$10,0.000001),NA())</f>
        <v>#N/A</v>
      </c>
      <c r="CK106" s="12" t="e">
        <f>IF(AND(Y106&lt;&gt;"",Статистика!$F$6="Вкл",Статистика!$E$6&gt;0),(Статистика!$E$6-Статистика!$C$10)/MAX(Статистика!$G$10-Статистика!$C$10,0.000001),NA())</f>
        <v>#N/A</v>
      </c>
      <c r="CL106" s="12" t="e">
        <f>IF(AND(Y106&lt;&gt;"",Статистика!$I$6="Вкл",Статистика!$H$6&gt;0),(Статистика!$H$6-Статистика!$C$10)/MAX(Статистика!$G$10-Статистика!$C$10,0.000001),NA())</f>
        <v>#N/A</v>
      </c>
      <c r="CM106" s="12" t="e">
        <f>IF(AND(Y106&lt;&gt;"",Статистика!$L$6="Вкл",Статистика!$K$6&gt;0),(Статистика!$K$6-Статистика!$C$10)/MAX(Статистика!$G$10-Статистика!$C$10,0.000001),NA())</f>
        <v>#N/A</v>
      </c>
      <c r="CN106" s="12" t="e">
        <f>IF(AND(Y106&lt;&gt;"",Статистика!$M$6="Вкл",Статистика!$O$6&gt;0),(Статистика!$O$6-Статистика!$C$10)/MAX(Статистика!$G$10-Статистика!$C$10,0.000001),NA())</f>
        <v>#N/A</v>
      </c>
      <c r="CO106" s="12">
        <f t="shared" si="3"/>
        <v>1</v>
      </c>
    </row>
    <row r="107" spans="1:93" ht="15" customHeight="1">
      <c r="A107" s="12" t="s">
        <v>490</v>
      </c>
      <c r="B107" s="12">
        <v>2257.7440871666668</v>
      </c>
      <c r="C107" s="12">
        <v>5534.2237691666678</v>
      </c>
      <c r="D107" s="12">
        <v>7137.851681666667</v>
      </c>
      <c r="E107" s="12">
        <v>7390.9611916666663</v>
      </c>
      <c r="F107" s="12">
        <v>7717.1204833333331</v>
      </c>
      <c r="G107" s="12">
        <v>7873.1727500000006</v>
      </c>
      <c r="H107" s="12">
        <v>8097.9386533333318</v>
      </c>
      <c r="I107" s="12">
        <v>8155.9302541666657</v>
      </c>
      <c r="J107" s="12">
        <v>8222.8675708333321</v>
      </c>
      <c r="K107" s="12">
        <v>8415.74</v>
      </c>
      <c r="L107" s="12" t="s">
        <v>491</v>
      </c>
      <c r="M107" s="12">
        <v>2727.5784099999996</v>
      </c>
      <c r="N107" s="12">
        <v>6282.7839166666681</v>
      </c>
      <c r="O107" s="12">
        <v>8027.2039599999998</v>
      </c>
      <c r="P107" s="12">
        <v>8321.2123500000016</v>
      </c>
      <c r="Q107" s="12">
        <v>8581.8363500000014</v>
      </c>
      <c r="R107" s="12">
        <v>8838.0568833333346</v>
      </c>
      <c r="S107" s="12">
        <v>9018.3280183333336</v>
      </c>
      <c r="T107" s="12">
        <v>9110.3937575</v>
      </c>
      <c r="U107" s="12">
        <v>9250.1984848333323</v>
      </c>
      <c r="V107" s="12">
        <v>9440.31</v>
      </c>
      <c r="W107" s="12" t="s">
        <v>492</v>
      </c>
      <c r="Y107" s="12" t="s">
        <v>490</v>
      </c>
      <c r="Z107" s="12">
        <v>7281.5813793333336</v>
      </c>
      <c r="AA107" s="12">
        <v>7310.9316966666665</v>
      </c>
      <c r="AB107" s="12">
        <v>7347.6195933333329</v>
      </c>
      <c r="AC107" s="12">
        <v>7482.8900666666668</v>
      </c>
      <c r="AD107" s="12">
        <v>7678.5114833333328</v>
      </c>
      <c r="AE107" s="12">
        <v>7977.6727666666675</v>
      </c>
      <c r="AF107" s="12">
        <v>8388.0282900000002</v>
      </c>
      <c r="AG107" s="12">
        <v>8448.4804949999998</v>
      </c>
      <c r="AH107" s="12">
        <v>8496.8422589999991</v>
      </c>
      <c r="AI107" s="12">
        <v>8646.3799999999992</v>
      </c>
      <c r="AJ107" s="12" t="s">
        <v>493</v>
      </c>
      <c r="AK107" s="12">
        <v>8107.7950334999996</v>
      </c>
      <c r="AL107" s="12">
        <v>8160.7555674999994</v>
      </c>
      <c r="AM107" s="12">
        <v>8226.9562349999997</v>
      </c>
      <c r="AN107" s="12">
        <v>8440.9777583333344</v>
      </c>
      <c r="AO107" s="12">
        <v>8620.2020666666685</v>
      </c>
      <c r="AP107" s="12">
        <v>8934.519316666665</v>
      </c>
      <c r="AQ107" s="12">
        <v>9278.7258633333331</v>
      </c>
      <c r="AR107" s="12">
        <v>9314.7389650000005</v>
      </c>
      <c r="AS107" s="12">
        <v>9343.5494463333343</v>
      </c>
      <c r="AT107" s="12">
        <v>9476.3700000000008</v>
      </c>
      <c r="AU107" s="12" t="s">
        <v>493</v>
      </c>
      <c r="AW107" s="12">
        <f>IF(A107="","",MAX(0,MIN(1,(((IF(Статистика!$C$4="Параллельный режим (активная мощность)",B107,M107)+Статистика!$J$4))-Статистика!$C$10)/MAX(Статистика!$G$10-Статистика!$C$10,0.000001))))</f>
        <v>0</v>
      </c>
      <c r="AX107" s="12">
        <f>IF(A107="","",MAX(0,MAX(0,MIN(1,(((IF(Статистика!$C$4="Параллельный режим (активная мощность)",D107,O107)+Статистика!$J$4))-Статистика!$C$10)/MAX(Статистика!$G$10-Статистика!$C$10,0.000001)))-MAX(0,MIN(1,(((IF(Статистика!$C$4="Параллельный режим (активная мощность)",B107,M107)+Статистика!$J$4))-Статистика!$C$10)/MAX(Статистика!$G$10-Статистика!$C$10,0.000001)))))</f>
        <v>0.379283893888889</v>
      </c>
      <c r="AY107" s="12">
        <f>IF(A107="","",MAX(0,MAX(0,MIN(1,(((IF(Статистика!$C$4="Параллельный режим (активная мощность)",E107,P107)+Статистика!$J$4))-Статистика!$C$10)/MAX(Статистика!$G$10-Статистика!$C$10,0.000001)))-MAX(0,MIN(1,(((IF(Статистика!$C$4="Параллельный режим (активная мощность)",D107,O107)+Статистика!$J$4))-Статистика!$C$10)/MAX(Статистика!$G$10-Статистика!$C$10,0.000001)))))</f>
        <v>8.436983666666642E-2</v>
      </c>
      <c r="AZ107" s="12">
        <f>IF(A107="","",MAX(0,MAX(0,MIN(1,(((IF(Статистика!$C$4="Параллельный режим (активная мощность)",F107,Q107)+Статистика!$J$4))-Статистика!$C$10)/MAX(Статистика!$G$10-Статистика!$C$10,0.000001)))-MAX(0,MIN(1,(((IF(Статистика!$C$4="Параллельный режим (активная мощность)",E107,P107)+Статистика!$J$4))-Статистика!$C$10)/MAX(Статистика!$G$10-Статистика!$C$10,0.000001)))))</f>
        <v>0.10871976388888899</v>
      </c>
      <c r="BA107" s="12">
        <f>IF(A107="","",MAX(0,MAX(0,MIN(1,(((IF(Статистика!$C$4="Параллельный режим (активная мощность)",G107,R107)+Статистика!$J$4))-Статистика!$C$10)/MAX(Статистика!$G$10-Статистика!$C$10,0.000001)))-MAX(0,MIN(1,(((IF(Статистика!$C$4="Параллельный режим (активная мощность)",F107,Q107)+Статистика!$J$4))-Статистика!$C$10)/MAX(Статистика!$G$10-Статистика!$C$10,0.000001)))))</f>
        <v>5.2017422222222498E-2</v>
      </c>
      <c r="BB107" s="12">
        <f>IF(A107="","",MAX(0,MAX(0,MIN(1,(((IF(Статистика!$C$4="Параллельный режим (активная мощность)",H107,S107)+Статистика!$J$4))-Статистика!$C$10)/MAX(Статистика!$G$10-Статистика!$C$10,0.000001)))-MAX(0,MIN(1,(((IF(Статистика!$C$4="Параллельный режим (активная мощность)",G107,R107)+Статистика!$J$4))-Статистика!$C$10)/MAX(Статистика!$G$10-Статистика!$C$10,0.000001)))))</f>
        <v>7.4921967777777043E-2</v>
      </c>
      <c r="BC107" s="12">
        <f>IF(A107="","",MAX(0,MAX(0,MIN(1,(((IF(Статистика!$C$4="Параллельный режим (активная мощность)",J107,U107)+Статистика!$J$4))-Статистика!$C$10)/MAX(Статистика!$G$10-Статистика!$C$10,0.000001)))-MAX(0,MIN(1,(((IF(Статистика!$C$4="Параллельный режим (активная мощность)",H107,S107)+Статистика!$J$4))-Статистика!$C$10)/MAX(Статистика!$G$10-Статистика!$C$10,0.000001)))))</f>
        <v>4.1642972500000042E-2</v>
      </c>
      <c r="BD107" s="12">
        <f>IF(A107="","",MAX(0,1-MAX(0,MIN(1,(((IF(Статистика!$C$4="Параллельный режим (активная мощность)",J107,U107)+Статистика!$J$4))-Статистика!$C$10)/MAX(Статистика!$G$10-Статистика!$C$10,0.000001)))))</f>
        <v>0.25904414305555601</v>
      </c>
      <c r="BE107" s="12">
        <f>IF(A107="",NA(),IF(Статистика!$B$8="Вкл",(((IF(Статистика!$C$4="Параллельный режим (активная мощность)",F107,Q107)+Статистика!$J$4))-Статистика!$C$10)/MAX(Статистика!$G$10-Статистика!$C$10,0.000001),NA()))</f>
        <v>0.57237349444444441</v>
      </c>
      <c r="BF107" s="12">
        <f>IF(A107="",NA(),IF(Статистика!$D$8="Вкл",(((IF(Статистика!$C$4="Параллельный режим (активная мощность)",E107,P107)+Статистика!$J$4))-Статистика!$C$10)/MAX(Статистика!$G$10-Статистика!$C$10,0.000001),NA()))</f>
        <v>0.46365373055555542</v>
      </c>
      <c r="BG107" s="12">
        <f>IF(A107="",NA(),IF(Статистика!$D$8="Вкл",(((IF(Статистика!$C$4="Параллельный режим (активная мощность)",G107,R107)+Статистика!$J$4))-Статистика!$C$10)/MAX(Статистика!$G$10-Статистика!$C$10,0.000001),NA()))</f>
        <v>0.62439091666666691</v>
      </c>
      <c r="BH107" s="12">
        <f>IF(A107="",NA(),IF(Статистика!$F$8="Вкл",(((IF(Статистика!$C$4="Параллельный режим (активная мощность)",D107,O107)+Статистика!$J$4))-Статистика!$C$10)/MAX(Статистика!$G$10-Статистика!$C$10,0.000001),NA()))</f>
        <v>0.379283893888889</v>
      </c>
      <c r="BI107" s="12">
        <f>IF(A107="",NA(),IF(Статистика!$F$8="Вкл",(((IF(Статистика!$C$4="Параллельный режим (активная мощность)",H107,S107)+Статистика!$J$4))-Статистика!$C$10)/MAX(Статистика!$G$10-Статистика!$C$10,0.000001),NA()))</f>
        <v>0.69931288444444395</v>
      </c>
      <c r="BJ107" s="12">
        <f>IF(A107="",NA(),IF(Статистика!$H$8="Вкл",(((IF(Статистика!$C$4="Параллельный режим (активная мощность)",B107,M107)+Статистика!$J$4))-Статистика!$C$10)/MAX(Статистика!$G$10-Статистика!$C$10,0.000001),NA()))</f>
        <v>-1.2474186376111112</v>
      </c>
      <c r="BK107" s="12">
        <f>IF(A107="",NA(),IF(Статистика!$H$8="Вкл",(((IF(Статистика!$C$4="Параллельный режим (активная мощность)",J107,U107)+Статистика!$J$4))-Статистика!$C$10)/MAX(Статистика!$G$10-Статистика!$C$10,0.000001),NA()))</f>
        <v>0.74095585694444399</v>
      </c>
      <c r="BL107" s="12" t="e">
        <f>IF(A107="",NA(),IF(Статистика!$J$8="Вкл",(((IF(Статистика!$C$4="Параллельный режим (активная мощность)",K107,V107)+Статистика!$J$4))-Статистика!$C$10)/MAX(Статистика!$G$10-Статистика!$C$10,0.000001),NA()))</f>
        <v>#N/A</v>
      </c>
      <c r="BM107" s="12" t="e">
        <f>IF(AND(A107&lt;&gt;"",Статистика!$C$6="Вкл",Статистика!$B$6&gt;0),(Статистика!$B$6-Статистика!$C$10)/MAX(Статистика!$G$10-Статистика!$C$10,0.000001),NA())</f>
        <v>#N/A</v>
      </c>
      <c r="BN107" s="12" t="e">
        <f>IF(AND(A107&lt;&gt;"",Статистика!$F$6="Вкл",Статистика!$E$6&gt;0),(Статистика!$E$6-Статистика!$C$10)/MAX(Статистика!$G$10-Статистика!$C$10,0.000001),NA())</f>
        <v>#N/A</v>
      </c>
      <c r="BO107" s="12" t="e">
        <f>IF(AND(A107&lt;&gt;"",Статистика!$I$6="Вкл",Статистика!$H$6&gt;0),(Статистика!$H$6-Статистика!$C$10)/MAX(Статистика!$G$10-Статистика!$C$10,0.000001),NA())</f>
        <v>#N/A</v>
      </c>
      <c r="BP107" s="12" t="e">
        <f>IF(AND(A107&lt;&gt;"",Статистика!$L$6="Вкл",Статистика!$K$6&gt;0),(Статистика!$K$6-Статистика!$C$10)/MAX(Статистика!$G$10-Статистика!$C$10,0.000001),NA())</f>
        <v>#N/A</v>
      </c>
      <c r="BQ107" s="12" t="e">
        <f>IF(AND(A107&lt;&gt;"",Статистика!$M$6="Вкл",Статистика!$O$6&gt;0),(Статистика!$O$6-Статистика!$C$10)/MAX(Статистика!$G$10-Статистика!$C$10,0.000001),NA())</f>
        <v>#N/A</v>
      </c>
      <c r="BR107" s="12">
        <f t="shared" si="2"/>
        <v>1</v>
      </c>
      <c r="BT107" s="12">
        <f>IF(Y107="","",MAX(0,MIN(1,(((IF(Статистика!$C$4="Параллельный режим (активная мощность)",Z107,AK107)+Статистика!$J$4))-Статистика!$C$10)/MAX(Статистика!$G$10-Статистика!$C$10,0.000001))))</f>
        <v>0.42719379311111122</v>
      </c>
      <c r="BU107" s="12">
        <f>IF(Y107="","",MAX(0,MAX(0,MIN(1,(((IF(Статистика!$C$4="Параллельный режим (активная мощность)",AB107,AM107)+Статистика!$J$4))-Статистика!$C$10)/MAX(Статистика!$G$10-Статистика!$C$10,0.000001)))-MAX(0,MIN(1,(((IF(Статистика!$C$4="Параллельный режим (активная мощность)",Z107,AK107)+Статистика!$J$4))-Статистика!$C$10)/MAX(Статистика!$G$10-Статистика!$C$10,0.000001)))))</f>
        <v>2.2012737999999754E-2</v>
      </c>
      <c r="BV107" s="12">
        <f>IF(Y107="","",MAX(0,MAX(0,MIN(1,(((IF(Статистика!$C$4="Параллельный режим (активная мощность)",AC107,AN107)+Статистика!$J$4))-Статистика!$C$10)/MAX(Статистика!$G$10-Статистика!$C$10,0.000001)))-MAX(0,MIN(1,(((IF(Статистика!$C$4="Параллельный режим (активная мощность)",AB107,AM107)+Статистика!$J$4))-Статистика!$C$10)/MAX(Статистика!$G$10-Статистика!$C$10,0.000001)))))</f>
        <v>4.5090157777777973E-2</v>
      </c>
      <c r="BW107" s="12">
        <f>IF(Y107="","",MAX(0,MAX(0,MIN(1,(((IF(Статистика!$C$4="Параллельный режим (активная мощность)",AD107,AO107)+Статистика!$J$4))-Статистика!$C$10)/MAX(Статистика!$G$10-Статистика!$C$10,0.000001)))-MAX(0,MIN(1,(((IF(Статистика!$C$4="Параллельный режим (активная мощность)",AC107,AN107)+Статистика!$J$4))-Статистика!$C$10)/MAX(Статистика!$G$10-Статистика!$C$10,0.000001)))))</f>
        <v>6.5207138888888683E-2</v>
      </c>
      <c r="BX107" s="12">
        <f>IF(Y107="","",MAX(0,MAX(0,MIN(1,(((IF(Статистика!$C$4="Параллельный режим (активная мощность)",AE107,AP107)+Статистика!$J$4))-Статистика!$C$10)/MAX(Статистика!$G$10-Статистика!$C$10,0.000001)))-MAX(0,MIN(1,(((IF(Статистика!$C$4="Параллельный режим (активная мощность)",AD107,AO107)+Статистика!$J$4))-Статистика!$C$10)/MAX(Статистика!$G$10-Статистика!$C$10,0.000001)))))</f>
        <v>9.9720427777778231E-2</v>
      </c>
      <c r="BY107" s="12">
        <f>IF(Y107="","",MAX(0,MAX(0,MIN(1,(((IF(Статистика!$C$4="Параллельный режим (активная мощность)",AF107,AQ107)+Статистика!$J$4))-Статистика!$C$10)/MAX(Статистика!$G$10-Статистика!$C$10,0.000001)))-MAX(0,MIN(1,(((IF(Статистика!$C$4="Параллельный режим (активная мощность)",AE107,AP107)+Статистика!$J$4))-Статистика!$C$10)/MAX(Статистика!$G$10-Статистика!$C$10,0.000001)))))</f>
        <v>0.13678517444444416</v>
      </c>
      <c r="BZ107" s="12">
        <f>IF(Y107="","",MAX(0,MAX(0,MIN(1,(((IF(Статистика!$C$4="Параллельный режим (активная мощность)",AH107,AS107)+Статистика!$J$4))-Статистика!$C$10)/MAX(Статистика!$G$10-Статистика!$C$10,0.000001)))-MAX(0,MIN(1,(((IF(Статистика!$C$4="Параллельный режим (активная мощность)",AF107,AQ107)+Статистика!$J$4))-Статистика!$C$10)/MAX(Статистика!$G$10-Статистика!$C$10,0.000001)))))</f>
        <v>3.6271322999999689E-2</v>
      </c>
      <c r="CA107" s="12">
        <f>IF(Y107="","",MAX(0,1-MAX(0,MIN(1,(((IF(Статистика!$C$4="Параллельный режим (активная мощность)",AH107,AS107)+Статистика!$J$4))-Статистика!$C$10)/MAX(Статистика!$G$10-Статистика!$C$10,0.000001)))))</f>
        <v>0.16771924700000029</v>
      </c>
      <c r="CB107" s="12">
        <f>IF(Y107="",NA(),IF(Статистика!$B$8="Вкл",(((IF(Статистика!$C$4="Параллельный режим (активная мощность)",AD107,AO107)+Статистика!$J$4))-Статистика!$C$10)/MAX(Статистика!$G$10-Статистика!$C$10,0.000001),NA()))</f>
        <v>0.55950382777777763</v>
      </c>
      <c r="CC107" s="12">
        <f>IF(Y107="",NA(),IF(Статистика!$D$8="Вкл",(((IF(Статистика!$C$4="Параллельный режим (активная мощность)",AC107,AN107)+Статистика!$J$4))-Статистика!$C$10)/MAX(Статистика!$G$10-Статистика!$C$10,0.000001),NA()))</f>
        <v>0.49429668888888895</v>
      </c>
      <c r="CD107" s="12">
        <f>IF(Y107="",NA(),IF(Статистика!$D$8="Вкл",(((IF(Статистика!$C$4="Параллельный режим (активная мощность)",AE107,AP107)+Статистика!$J$4))-Статистика!$C$10)/MAX(Статистика!$G$10-Статистика!$C$10,0.000001),NA()))</f>
        <v>0.65922425555555586</v>
      </c>
      <c r="CE107" s="12">
        <f>IF(Y107="",NA(),IF(Статистика!$F$8="Вкл",(((IF(Статистика!$C$4="Параллельный режим (активная мощность)",AB107,AM107)+Статистика!$J$4))-Статистика!$C$10)/MAX(Статистика!$G$10-Статистика!$C$10,0.000001),NA()))</f>
        <v>0.44920653111111097</v>
      </c>
      <c r="CF107" s="12">
        <f>IF(Y107="",NA(),IF(Статистика!$F$8="Вкл",(((IF(Статистика!$C$4="Параллельный режим (активная мощность)",AF107,AQ107)+Статистика!$J$4))-Статистика!$C$10)/MAX(Статистика!$G$10-Статистика!$C$10,0.000001),NA()))</f>
        <v>0.79600943000000002</v>
      </c>
      <c r="CG107" s="12">
        <f>IF(Y107="",NA(),IF(Статистика!$H$8="Вкл",(((IF(Статистика!$C$4="Параллельный режим (активная мощность)",Z107,AK107)+Статистика!$J$4))-Статистика!$C$10)/MAX(Статистика!$G$10-Статистика!$C$10,0.000001),NA()))</f>
        <v>0.42719379311111122</v>
      </c>
      <c r="CH107" s="12">
        <f>IF(Y107="",NA(),IF(Статистика!$H$8="Вкл",(((IF(Статистика!$C$4="Параллельный режим (активная мощность)",AH107,AS107)+Статистика!$J$4))-Статистика!$C$10)/MAX(Статистика!$G$10-Статистика!$C$10,0.000001),NA()))</f>
        <v>0.83228075299999971</v>
      </c>
      <c r="CI107" s="12" t="e">
        <f>IF(Y107="",NA(),IF(Статистика!$J$8="Вкл",(((IF(Статистика!$C$4="Параллельный режим (активная мощность)",AI107,AT107)+Статистика!$J$4))-Статистика!$C$10)/MAX(Статистика!$G$10-Статистика!$C$10,0.000001),NA()))</f>
        <v>#N/A</v>
      </c>
      <c r="CJ107" s="12" t="e">
        <f>IF(AND(Y107&lt;&gt;"",Статистика!$C$6="Вкл",Статистика!$B$6&gt;0),(Статистика!$B$6-Статистика!$C$10)/MAX(Статистика!$G$10-Статистика!$C$10,0.000001),NA())</f>
        <v>#N/A</v>
      </c>
      <c r="CK107" s="12" t="e">
        <f>IF(AND(Y107&lt;&gt;"",Статистика!$F$6="Вкл",Статистика!$E$6&gt;0),(Статистика!$E$6-Статистика!$C$10)/MAX(Статистика!$G$10-Статистика!$C$10,0.000001),NA())</f>
        <v>#N/A</v>
      </c>
      <c r="CL107" s="12" t="e">
        <f>IF(AND(Y107&lt;&gt;"",Статистика!$I$6="Вкл",Статистика!$H$6&gt;0),(Статистика!$H$6-Статистика!$C$10)/MAX(Статистика!$G$10-Статистика!$C$10,0.000001),NA())</f>
        <v>#N/A</v>
      </c>
      <c r="CM107" s="12" t="e">
        <f>IF(AND(Y107&lt;&gt;"",Статистика!$L$6="Вкл",Статистика!$K$6&gt;0),(Статистика!$K$6-Статистика!$C$10)/MAX(Статистика!$G$10-Статистика!$C$10,0.000001),NA())</f>
        <v>#N/A</v>
      </c>
      <c r="CN107" s="12" t="e">
        <f>IF(AND(Y107&lt;&gt;"",Статистика!$M$6="Вкл",Статистика!$O$6&gt;0),(Статистика!$O$6-Статистика!$C$10)/MAX(Статистика!$G$10-Статистика!$C$10,0.000001),NA())</f>
        <v>#N/A</v>
      </c>
      <c r="CO107" s="12">
        <f t="shared" si="3"/>
        <v>1</v>
      </c>
    </row>
    <row r="108" spans="1:93" ht="15" customHeight="1">
      <c r="A108" s="12" t="s">
        <v>494</v>
      </c>
      <c r="B108" s="12">
        <v>2268.6027490000001</v>
      </c>
      <c r="C108" s="12">
        <v>5521.9868116666676</v>
      </c>
      <c r="D108" s="12">
        <v>7085.3684949999997</v>
      </c>
      <c r="E108" s="12">
        <v>7385.8315666666667</v>
      </c>
      <c r="F108" s="12">
        <v>7691.2565333333341</v>
      </c>
      <c r="G108" s="12">
        <v>7899.2112000000016</v>
      </c>
      <c r="H108" s="12">
        <v>8167.5890666666664</v>
      </c>
      <c r="I108" s="12">
        <v>8242.9800516666674</v>
      </c>
      <c r="J108" s="12">
        <v>8254.3187036666659</v>
      </c>
      <c r="K108" s="12">
        <v>8470.26</v>
      </c>
      <c r="L108" s="12" t="s">
        <v>495</v>
      </c>
      <c r="M108" s="12">
        <v>2725.7244808333335</v>
      </c>
      <c r="N108" s="12">
        <v>6274.7573375000011</v>
      </c>
      <c r="O108" s="12">
        <v>8016.0186583333343</v>
      </c>
      <c r="P108" s="12">
        <v>8325.1493750000009</v>
      </c>
      <c r="Q108" s="12">
        <v>8598.2826999999997</v>
      </c>
      <c r="R108" s="12">
        <v>8880.2438666666676</v>
      </c>
      <c r="S108" s="12">
        <v>9060.0508499999996</v>
      </c>
      <c r="T108" s="12">
        <v>9140.9468099999995</v>
      </c>
      <c r="U108" s="12">
        <v>9253.8498419999996</v>
      </c>
      <c r="V108" s="12">
        <v>9471.26</v>
      </c>
      <c r="W108" s="12" t="s">
        <v>495</v>
      </c>
      <c r="Y108" s="12" t="s">
        <v>494</v>
      </c>
      <c r="Z108" s="12">
        <v>7336.3285565000006</v>
      </c>
      <c r="AA108" s="12">
        <v>7366.4117158333338</v>
      </c>
      <c r="AB108" s="12">
        <v>7404.0156650000008</v>
      </c>
      <c r="AC108" s="12">
        <v>7485.0533750000004</v>
      </c>
      <c r="AD108" s="12">
        <v>7693.3887333333332</v>
      </c>
      <c r="AE108" s="12">
        <v>7893.6991749999997</v>
      </c>
      <c r="AF108" s="12">
        <v>8384.3014716666676</v>
      </c>
      <c r="AG108" s="12">
        <v>8442.1699691666672</v>
      </c>
      <c r="AH108" s="12">
        <v>8488.4647671666662</v>
      </c>
      <c r="AI108" s="12">
        <v>8624.5499999999993</v>
      </c>
      <c r="AJ108" s="12" t="s">
        <v>496</v>
      </c>
      <c r="AK108" s="12">
        <v>8247.8914481666652</v>
      </c>
      <c r="AL108" s="12">
        <v>8286.5637741666651</v>
      </c>
      <c r="AM108" s="12">
        <v>8334.904181666665</v>
      </c>
      <c r="AN108" s="12">
        <v>8478.5626333333348</v>
      </c>
      <c r="AO108" s="12">
        <v>8636.4660999999996</v>
      </c>
      <c r="AP108" s="12">
        <v>8869.5208833333345</v>
      </c>
      <c r="AQ108" s="12">
        <v>9267.4469833333333</v>
      </c>
      <c r="AR108" s="12">
        <v>9303.6207583333344</v>
      </c>
      <c r="AS108" s="12">
        <v>9332.5597783333342</v>
      </c>
      <c r="AT108" s="12">
        <v>9453.9599999999991</v>
      </c>
      <c r="AU108" s="12" t="s">
        <v>497</v>
      </c>
      <c r="AW108" s="12">
        <f>IF(A108="","",MAX(0,MIN(1,(((IF(Статистика!$C$4="Параллельный режим (активная мощность)",B108,M108)+Статистика!$J$4))-Статистика!$C$10)/MAX(Статистика!$G$10-Статистика!$C$10,0.000001))))</f>
        <v>0</v>
      </c>
      <c r="AX108" s="12">
        <f>IF(A108="","",MAX(0,MAX(0,MIN(1,(((IF(Статистика!$C$4="Параллельный режим (активная мощность)",D108,O108)+Статистика!$J$4))-Статистика!$C$10)/MAX(Статистика!$G$10-Статистика!$C$10,0.000001)))-MAX(0,MIN(1,(((IF(Статистика!$C$4="Параллельный режим (активная мощность)",B108,M108)+Статистика!$J$4))-Статистика!$C$10)/MAX(Статистика!$G$10-Статистика!$C$10,0.000001)))))</f>
        <v>0.36178949833333324</v>
      </c>
      <c r="AY108" s="12">
        <f>IF(A108="","",MAX(0,MAX(0,MIN(1,(((IF(Статистика!$C$4="Параллельный режим (активная мощность)",E108,P108)+Статистика!$J$4))-Статистика!$C$10)/MAX(Статистика!$G$10-Статистика!$C$10,0.000001)))-MAX(0,MIN(1,(((IF(Статистика!$C$4="Параллельный режим (активная мощность)",D108,O108)+Статистика!$J$4))-Статистика!$C$10)/MAX(Статистика!$G$10-Статистика!$C$10,0.000001)))))</f>
        <v>0.10015435722222232</v>
      </c>
      <c r="AZ108" s="12">
        <f>IF(A108="","",MAX(0,MAX(0,MIN(1,(((IF(Статистика!$C$4="Параллельный режим (активная мощность)",F108,Q108)+Статистика!$J$4))-Статистика!$C$10)/MAX(Статистика!$G$10-Статистика!$C$10,0.000001)))-MAX(0,MIN(1,(((IF(Статистика!$C$4="Параллельный режим (активная мощность)",E108,P108)+Статистика!$J$4))-Статистика!$C$10)/MAX(Статистика!$G$10-Статистика!$C$10,0.000001)))))</f>
        <v>0.10180832222222252</v>
      </c>
      <c r="BA108" s="12">
        <f>IF(A108="","",MAX(0,MAX(0,MIN(1,(((IF(Статистика!$C$4="Параллельный режим (активная мощность)",G108,R108)+Статистика!$J$4))-Статистика!$C$10)/MAX(Статистика!$G$10-Статистика!$C$10,0.000001)))-MAX(0,MIN(1,(((IF(Статистика!$C$4="Параллельный режим (активная мощность)",F108,Q108)+Статистика!$J$4))-Статистика!$C$10)/MAX(Статистика!$G$10-Статистика!$C$10,0.000001)))))</f>
        <v>6.9318222222222392E-2</v>
      </c>
      <c r="BB108" s="12">
        <f>IF(A108="","",MAX(0,MAX(0,MIN(1,(((IF(Статистика!$C$4="Параллельный режим (активная мощность)",H108,S108)+Статистика!$J$4))-Статистика!$C$10)/MAX(Статистика!$G$10-Статистика!$C$10,0.000001)))-MAX(0,MIN(1,(((IF(Статистика!$C$4="Параллельный режим (активная мощность)",G108,R108)+Статистика!$J$4))-Статистика!$C$10)/MAX(Статистика!$G$10-Статистика!$C$10,0.000001)))))</f>
        <v>8.9459288888888322E-2</v>
      </c>
      <c r="BC108" s="12">
        <f>IF(A108="","",MAX(0,MAX(0,MIN(1,(((IF(Статистика!$C$4="Параллельный режим (активная мощность)",J108,U108)+Статистика!$J$4))-Статистика!$C$10)/MAX(Статистика!$G$10-Статистика!$C$10,0.000001)))-MAX(0,MIN(1,(((IF(Статистика!$C$4="Параллельный режим (активная мощность)",H108,S108)+Статистика!$J$4))-Статистика!$C$10)/MAX(Статистика!$G$10-Статистика!$C$10,0.000001)))))</f>
        <v>2.8909878999999861E-2</v>
      </c>
      <c r="BD108" s="12">
        <f>IF(A108="","",MAX(0,1-MAX(0,MIN(1,(((IF(Статистика!$C$4="Параллельный режим (активная мощность)",J108,U108)+Статистика!$J$4))-Статистика!$C$10)/MAX(Статистика!$G$10-Статистика!$C$10,0.000001)))))</f>
        <v>0.24856043211111134</v>
      </c>
      <c r="BE108" s="12">
        <f>IF(A108="",NA(),IF(Статистика!$B$8="Вкл",(((IF(Статистика!$C$4="Параллельный режим (активная мощность)",F108,Q108)+Статистика!$J$4))-Статистика!$C$10)/MAX(Статистика!$G$10-Статистика!$C$10,0.000001),NA()))</f>
        <v>0.56375217777777809</v>
      </c>
      <c r="BF108" s="12">
        <f>IF(A108="",NA(),IF(Статистика!$D$8="Вкл",(((IF(Статистика!$C$4="Параллельный режим (активная мощность)",E108,P108)+Статистика!$J$4))-Статистика!$C$10)/MAX(Статистика!$G$10-Статистика!$C$10,0.000001),NA()))</f>
        <v>0.46194385555555556</v>
      </c>
      <c r="BG108" s="12">
        <f>IF(A108="",NA(),IF(Статистика!$D$8="Вкл",(((IF(Статистика!$C$4="Параллельный режим (активная мощность)",G108,R108)+Статистика!$J$4))-Статистика!$C$10)/MAX(Статистика!$G$10-Статистика!$C$10,0.000001),NA()))</f>
        <v>0.63307040000000048</v>
      </c>
      <c r="BH108" s="12">
        <f>IF(A108="",NA(),IF(Статистика!$F$8="Вкл",(((IF(Статистика!$C$4="Параллельный режим (активная мощность)",D108,O108)+Статистика!$J$4))-Статистика!$C$10)/MAX(Статистика!$G$10-Статистика!$C$10,0.000001),NA()))</f>
        <v>0.36178949833333324</v>
      </c>
      <c r="BI108" s="12">
        <f>IF(A108="",NA(),IF(Статистика!$F$8="Вкл",(((IF(Статистика!$C$4="Параллельный режим (активная мощность)",H108,S108)+Статистика!$J$4))-Статистика!$C$10)/MAX(Статистика!$G$10-Статистика!$C$10,0.000001),NA()))</f>
        <v>0.7225296888888888</v>
      </c>
      <c r="BJ108" s="12">
        <f>IF(A108="",NA(),IF(Статистика!$H$8="Вкл",(((IF(Статистика!$C$4="Параллельный режим (активная мощность)",B108,M108)+Статистика!$J$4))-Статистика!$C$10)/MAX(Статистика!$G$10-Статистика!$C$10,0.000001),NA()))</f>
        <v>-1.2437990836666666</v>
      </c>
      <c r="BK108" s="12">
        <f>IF(A108="",NA(),IF(Статистика!$H$8="Вкл",(((IF(Статистика!$C$4="Параллельный режим (активная мощность)",J108,U108)+Статистика!$J$4))-Статистика!$C$10)/MAX(Статистика!$G$10-Статистика!$C$10,0.000001),NA()))</f>
        <v>0.75143956788888866</v>
      </c>
      <c r="BL108" s="12" t="e">
        <f>IF(A108="",NA(),IF(Статистика!$J$8="Вкл",(((IF(Статистика!$C$4="Параллельный режим (активная мощность)",K108,V108)+Статистика!$J$4))-Статистика!$C$10)/MAX(Статистика!$G$10-Статистика!$C$10,0.000001),NA()))</f>
        <v>#N/A</v>
      </c>
      <c r="BM108" s="12" t="e">
        <f>IF(AND(A108&lt;&gt;"",Статистика!$C$6="Вкл",Статистика!$B$6&gt;0),(Статистика!$B$6-Статистика!$C$10)/MAX(Статистика!$G$10-Статистика!$C$10,0.000001),NA())</f>
        <v>#N/A</v>
      </c>
      <c r="BN108" s="12" t="e">
        <f>IF(AND(A108&lt;&gt;"",Статистика!$F$6="Вкл",Статистика!$E$6&gt;0),(Статистика!$E$6-Статистика!$C$10)/MAX(Статистика!$G$10-Статистика!$C$10,0.000001),NA())</f>
        <v>#N/A</v>
      </c>
      <c r="BO108" s="12" t="e">
        <f>IF(AND(A108&lt;&gt;"",Статистика!$I$6="Вкл",Статистика!$H$6&gt;0),(Статистика!$H$6-Статистика!$C$10)/MAX(Статистика!$G$10-Статистика!$C$10,0.000001),NA())</f>
        <v>#N/A</v>
      </c>
      <c r="BP108" s="12" t="e">
        <f>IF(AND(A108&lt;&gt;"",Статистика!$L$6="Вкл",Статистика!$K$6&gt;0),(Статистика!$K$6-Статистика!$C$10)/MAX(Статистика!$G$10-Статистика!$C$10,0.000001),NA())</f>
        <v>#N/A</v>
      </c>
      <c r="BQ108" s="12" t="e">
        <f>IF(AND(A108&lt;&gt;"",Статистика!$M$6="Вкл",Статистика!$O$6&gt;0),(Статистика!$O$6-Статистика!$C$10)/MAX(Статистика!$G$10-Статистика!$C$10,0.000001),NA())</f>
        <v>#N/A</v>
      </c>
      <c r="BR108" s="12">
        <f t="shared" si="2"/>
        <v>1</v>
      </c>
      <c r="BT108" s="12">
        <f>IF(Y108="","",MAX(0,MIN(1,(((IF(Статистика!$C$4="Параллельный режим (активная мощность)",Z108,AK108)+Статистика!$J$4))-Статистика!$C$10)/MAX(Статистика!$G$10-Статистика!$C$10,0.000001))))</f>
        <v>0.44544285216666685</v>
      </c>
      <c r="BU108" s="12">
        <f>IF(Y108="","",MAX(0,MAX(0,MIN(1,(((IF(Статистика!$C$4="Параллельный режим (активная мощность)",AB108,AM108)+Статистика!$J$4))-Статистика!$C$10)/MAX(Статистика!$G$10-Статистика!$C$10,0.000001)))-MAX(0,MIN(1,(((IF(Статистика!$C$4="Параллельный режим (активная мощность)",Z108,AK108)+Статистика!$J$4))-Статистика!$C$10)/MAX(Статистика!$G$10-Статистика!$C$10,0.000001)))))</f>
        <v>2.2562369500000068E-2</v>
      </c>
      <c r="BV108" s="12">
        <f>IF(Y108="","",MAX(0,MAX(0,MIN(1,(((IF(Статистика!$C$4="Параллельный режим (активная мощность)",AC108,AN108)+Статистика!$J$4))-Статистика!$C$10)/MAX(Статистика!$G$10-Статистика!$C$10,0.000001)))-MAX(0,MIN(1,(((IF(Статистика!$C$4="Параллельный режим (активная мощность)",AB108,AM108)+Статистика!$J$4))-Статистика!$C$10)/MAX(Статистика!$G$10-Статистика!$C$10,0.000001)))))</f>
        <v>2.7012569999999902E-2</v>
      </c>
      <c r="BW108" s="12">
        <f>IF(Y108="","",MAX(0,MAX(0,MIN(1,(((IF(Статистика!$C$4="Параллельный режим (активная мощность)",AD108,AO108)+Статистика!$J$4))-Статистика!$C$10)/MAX(Статистика!$G$10-Статистика!$C$10,0.000001)))-MAX(0,MIN(1,(((IF(Статистика!$C$4="Параллельный режим (активная мощность)",AC108,AN108)+Статистика!$J$4))-Статистика!$C$10)/MAX(Статистика!$G$10-Статистика!$C$10,0.000001)))))</f>
        <v>6.9445119444444203E-2</v>
      </c>
      <c r="BX108" s="12">
        <f>IF(Y108="","",MAX(0,MAX(0,MIN(1,(((IF(Статистика!$C$4="Параллельный режим (активная мощность)",AE108,AP108)+Статистика!$J$4))-Статистика!$C$10)/MAX(Статистика!$G$10-Статистика!$C$10,0.000001)))-MAX(0,MIN(1,(((IF(Статистика!$C$4="Параллельный режим (активная мощность)",AD108,AO108)+Статистика!$J$4))-Статистика!$C$10)/MAX(Статистика!$G$10-Статистика!$C$10,0.000001)))))</f>
        <v>6.6770147222222187E-2</v>
      </c>
      <c r="BY108" s="12">
        <f>IF(Y108="","",MAX(0,MAX(0,MIN(1,(((IF(Статистика!$C$4="Параллельный режим (активная мощность)",AF108,AQ108)+Статистика!$J$4))-Статистика!$C$10)/MAX(Статистика!$G$10-Статистика!$C$10,0.000001)))-MAX(0,MIN(1,(((IF(Статистика!$C$4="Параллельный режим (активная мощность)",AE108,AP108)+Статистика!$J$4))-Статистика!$C$10)/MAX(Статистика!$G$10-Статистика!$C$10,0.000001)))))</f>
        <v>0.16353409888888937</v>
      </c>
      <c r="BZ108" s="12">
        <f>IF(Y108="","",MAX(0,MAX(0,MIN(1,(((IF(Статистика!$C$4="Параллельный режим (активная мощность)",AH108,AS108)+Статистика!$J$4))-Статистика!$C$10)/MAX(Статистика!$G$10-Статистика!$C$10,0.000001)))-MAX(0,MIN(1,(((IF(Статистика!$C$4="Параллельный режим (активная мощность)",AF108,AQ108)+Статистика!$J$4))-Статистика!$C$10)/MAX(Статистика!$G$10-Статистика!$C$10,0.000001)))))</f>
        <v>3.4721098499999492E-2</v>
      </c>
      <c r="CA108" s="12">
        <f>IF(Y108="","",MAX(0,1-MAX(0,MIN(1,(((IF(Статистика!$C$4="Параллельный режим (активная мощность)",AH108,AS108)+Статистика!$J$4))-Статистика!$C$10)/MAX(Статистика!$G$10-Статистика!$C$10,0.000001)))))</f>
        <v>0.17051174427777793</v>
      </c>
      <c r="CB108" s="12">
        <f>IF(Y108="",NA(),IF(Статистика!$B$8="Вкл",(((IF(Статистика!$C$4="Параллельный режим (активная мощность)",AD108,AO108)+Статистика!$J$4))-Статистика!$C$10)/MAX(Статистика!$G$10-Статистика!$C$10,0.000001),NA()))</f>
        <v>0.56446291111111102</v>
      </c>
      <c r="CC108" s="12">
        <f>IF(Y108="",NA(),IF(Статистика!$D$8="Вкл",(((IF(Статистика!$C$4="Параллельный режим (активная мощность)",AC108,AN108)+Статистика!$J$4))-Статистика!$C$10)/MAX(Статистика!$G$10-Статистика!$C$10,0.000001),NA()))</f>
        <v>0.49501779166666682</v>
      </c>
      <c r="CD108" s="12">
        <f>IF(Y108="",NA(),IF(Статистика!$D$8="Вкл",(((IF(Статистика!$C$4="Параллельный режим (активная мощность)",AE108,AP108)+Статистика!$J$4))-Статистика!$C$10)/MAX(Статистика!$G$10-Статистика!$C$10,0.000001),NA()))</f>
        <v>0.63123305833333321</v>
      </c>
      <c r="CE108" s="12">
        <f>IF(Y108="",NA(),IF(Статистика!$F$8="Вкл",(((IF(Статистика!$C$4="Параллельный режим (активная мощность)",AB108,AM108)+Статистика!$J$4))-Статистика!$C$10)/MAX(Статистика!$G$10-Статистика!$C$10,0.000001),NA()))</f>
        <v>0.46800522166666692</v>
      </c>
      <c r="CF108" s="12">
        <f>IF(Y108="",NA(),IF(Статистика!$F$8="Вкл",(((IF(Статистика!$C$4="Параллельный режим (активная мощность)",AF108,AQ108)+Статистика!$J$4))-Статистика!$C$10)/MAX(Статистика!$G$10-Статистика!$C$10,0.000001),NA()))</f>
        <v>0.79476715722222258</v>
      </c>
      <c r="CG108" s="12">
        <f>IF(Y108="",NA(),IF(Статистика!$H$8="Вкл",(((IF(Статистика!$C$4="Параллельный режим (активная мощность)",Z108,AK108)+Статистика!$J$4))-Статистика!$C$10)/MAX(Статистика!$G$10-Статистика!$C$10,0.000001),NA()))</f>
        <v>0.44544285216666685</v>
      </c>
      <c r="CH108" s="12">
        <f>IF(Y108="",NA(),IF(Статистика!$H$8="Вкл",(((IF(Статистика!$C$4="Параллельный режим (активная мощность)",AH108,AS108)+Статистика!$J$4))-Статистика!$C$10)/MAX(Статистика!$G$10-Статистика!$C$10,0.000001),NA()))</f>
        <v>0.82948825572222207</v>
      </c>
      <c r="CI108" s="12" t="e">
        <f>IF(Y108="",NA(),IF(Статистика!$J$8="Вкл",(((IF(Статистика!$C$4="Параллельный режим (активная мощность)",AI108,AT108)+Статистика!$J$4))-Статистика!$C$10)/MAX(Статистика!$G$10-Статистика!$C$10,0.000001),NA()))</f>
        <v>#N/A</v>
      </c>
      <c r="CJ108" s="12" t="e">
        <f>IF(AND(Y108&lt;&gt;"",Статистика!$C$6="Вкл",Статистика!$B$6&gt;0),(Статистика!$B$6-Статистика!$C$10)/MAX(Статистика!$G$10-Статистика!$C$10,0.000001),NA())</f>
        <v>#N/A</v>
      </c>
      <c r="CK108" s="12" t="e">
        <f>IF(AND(Y108&lt;&gt;"",Статистика!$F$6="Вкл",Статистика!$E$6&gt;0),(Статистика!$E$6-Статистика!$C$10)/MAX(Статистика!$G$10-Статистика!$C$10,0.000001),NA())</f>
        <v>#N/A</v>
      </c>
      <c r="CL108" s="12" t="e">
        <f>IF(AND(Y108&lt;&gt;"",Статистика!$I$6="Вкл",Статистика!$H$6&gt;0),(Статистика!$H$6-Статистика!$C$10)/MAX(Статистика!$G$10-Статистика!$C$10,0.000001),NA())</f>
        <v>#N/A</v>
      </c>
      <c r="CM108" s="12" t="e">
        <f>IF(AND(Y108&lt;&gt;"",Статистика!$L$6="Вкл",Статистика!$K$6&gt;0),(Статистика!$K$6-Статистика!$C$10)/MAX(Статистика!$G$10-Статистика!$C$10,0.000001),NA())</f>
        <v>#N/A</v>
      </c>
      <c r="CN108" s="12" t="e">
        <f>IF(AND(Y108&lt;&gt;"",Статистика!$M$6="Вкл",Статистика!$O$6&gt;0),(Статистика!$O$6-Статистика!$C$10)/MAX(Статистика!$G$10-Статистика!$C$10,0.000001),NA())</f>
        <v>#N/A</v>
      </c>
      <c r="CO108" s="12">
        <f t="shared" si="3"/>
        <v>1</v>
      </c>
    </row>
    <row r="109" spans="1:93" ht="15" customHeight="1">
      <c r="A109" s="12" t="s">
        <v>498</v>
      </c>
      <c r="B109" s="12">
        <v>2275.0563953333331</v>
      </c>
      <c r="C109" s="12">
        <v>5530.3231766666668</v>
      </c>
      <c r="D109" s="12">
        <v>7079.2766033333337</v>
      </c>
      <c r="E109" s="12">
        <v>7421.4799833333327</v>
      </c>
      <c r="F109" s="12">
        <v>7745.7217499999997</v>
      </c>
      <c r="G109" s="12">
        <v>7858.676125</v>
      </c>
      <c r="H109" s="12">
        <v>8215.1838549999993</v>
      </c>
      <c r="I109" s="12">
        <v>8240.2428641666665</v>
      </c>
      <c r="J109" s="12">
        <v>8254.7360394999996</v>
      </c>
      <c r="K109" s="12">
        <v>8419.8799999999992</v>
      </c>
      <c r="L109" s="12" t="s">
        <v>499</v>
      </c>
      <c r="M109" s="12">
        <v>2717.0432938333333</v>
      </c>
      <c r="N109" s="12">
        <v>6239.5272691666678</v>
      </c>
      <c r="O109" s="12">
        <v>7941.0277333333333</v>
      </c>
      <c r="P109" s="12">
        <v>8333.1315499999982</v>
      </c>
      <c r="Q109" s="12">
        <v>8612.0993166666667</v>
      </c>
      <c r="R109" s="12">
        <v>8854.6670666666669</v>
      </c>
      <c r="S109" s="12">
        <v>9167.5471616666655</v>
      </c>
      <c r="T109" s="12">
        <v>9218.9397633333338</v>
      </c>
      <c r="U109" s="12">
        <v>9242.2363526666686</v>
      </c>
      <c r="V109" s="12">
        <v>9428.68</v>
      </c>
      <c r="W109" s="12" t="s">
        <v>499</v>
      </c>
      <c r="Y109" s="12" t="s">
        <v>498</v>
      </c>
      <c r="Z109" s="12">
        <v>7312.7647863333341</v>
      </c>
      <c r="AA109" s="12">
        <v>7350.5148650000001</v>
      </c>
      <c r="AB109" s="12">
        <v>7397.702463333334</v>
      </c>
      <c r="AC109" s="12">
        <v>7557.8281083333331</v>
      </c>
      <c r="AD109" s="12">
        <v>7697.528933333333</v>
      </c>
      <c r="AE109" s="12">
        <v>7896.224933333333</v>
      </c>
      <c r="AF109" s="12">
        <v>8393.8461950000001</v>
      </c>
      <c r="AG109" s="12">
        <v>8459.101614166666</v>
      </c>
      <c r="AH109" s="12">
        <v>8511.3059494999998</v>
      </c>
      <c r="AI109" s="12">
        <v>8724.67</v>
      </c>
      <c r="AJ109" s="12" t="s">
        <v>500</v>
      </c>
      <c r="AK109" s="12">
        <v>8212.148537666666</v>
      </c>
      <c r="AL109" s="12">
        <v>8260.8313549999984</v>
      </c>
      <c r="AM109" s="12">
        <v>8321.6848766666662</v>
      </c>
      <c r="AN109" s="12">
        <v>8544.2941333333347</v>
      </c>
      <c r="AO109" s="12">
        <v>8651.6151666666665</v>
      </c>
      <c r="AP109" s="12">
        <v>8874.9903000000013</v>
      </c>
      <c r="AQ109" s="12">
        <v>9269.8662983333343</v>
      </c>
      <c r="AR109" s="12">
        <v>9311.4704158333334</v>
      </c>
      <c r="AS109" s="12">
        <v>9344.7537098333341</v>
      </c>
      <c r="AT109" s="12">
        <v>9538.2900000000009</v>
      </c>
      <c r="AU109" s="12" t="s">
        <v>500</v>
      </c>
      <c r="AW109" s="12">
        <f>IF(A109="","",MAX(0,MIN(1,(((IF(Статистика!$C$4="Параллельный режим (активная мощность)",B109,M109)+Статистика!$J$4))-Статистика!$C$10)/MAX(Статистика!$G$10-Статистика!$C$10,0.000001))))</f>
        <v>0</v>
      </c>
      <c r="AX109" s="12">
        <f>IF(A109="","",MAX(0,MAX(0,MIN(1,(((IF(Статистика!$C$4="Параллельный режим (активная мощность)",D109,O109)+Статистика!$J$4))-Статистика!$C$10)/MAX(Статистика!$G$10-Статистика!$C$10,0.000001)))-MAX(0,MIN(1,(((IF(Статистика!$C$4="Параллельный режим (активная мощность)",B109,M109)+Статистика!$J$4))-Статистика!$C$10)/MAX(Статистика!$G$10-Статистика!$C$10,0.000001)))))</f>
        <v>0.35975886777777788</v>
      </c>
      <c r="AY109" s="12">
        <f>IF(A109="","",MAX(0,MAX(0,MIN(1,(((IF(Статистика!$C$4="Параллельный режим (активная мощность)",E109,P109)+Статистика!$J$4))-Статистика!$C$10)/MAX(Статистика!$G$10-Статистика!$C$10,0.000001)))-MAX(0,MIN(1,(((IF(Статистика!$C$4="Параллельный режим (активная мощность)",D109,O109)+Статистика!$J$4))-Статистика!$C$10)/MAX(Статистика!$G$10-Статистика!$C$10,0.000001)))))</f>
        <v>0.114067793333333</v>
      </c>
      <c r="AZ109" s="12">
        <f>IF(A109="","",MAX(0,MAX(0,MIN(1,(((IF(Статистика!$C$4="Параллельный режим (активная мощность)",F109,Q109)+Статистика!$J$4))-Статистика!$C$10)/MAX(Статистика!$G$10-Статистика!$C$10,0.000001)))-MAX(0,MIN(1,(((IF(Статистика!$C$4="Параллельный режим (активная мощность)",E109,P109)+Статистика!$J$4))-Статистика!$C$10)/MAX(Статистика!$G$10-Статистика!$C$10,0.000001)))))</f>
        <v>0.108080588888889</v>
      </c>
      <c r="BA109" s="12">
        <f>IF(A109="","",MAX(0,MAX(0,MIN(1,(((IF(Статистика!$C$4="Параллельный режим (активная мощность)",G109,R109)+Статистика!$J$4))-Статистика!$C$10)/MAX(Статистика!$G$10-Статистика!$C$10,0.000001)))-MAX(0,MIN(1,(((IF(Статистика!$C$4="Параллельный режим (активная мощность)",F109,Q109)+Статистика!$J$4))-Статистика!$C$10)/MAX(Статистика!$G$10-Статистика!$C$10,0.000001)))))</f>
        <v>3.7651458333333387E-2</v>
      </c>
      <c r="BB109" s="12">
        <f>IF(A109="","",MAX(0,MAX(0,MIN(1,(((IF(Статистика!$C$4="Параллельный режим (активная мощность)",H109,S109)+Статистика!$J$4))-Статистика!$C$10)/MAX(Статистика!$G$10-Статистика!$C$10,0.000001)))-MAX(0,MIN(1,(((IF(Статистика!$C$4="Параллельный режим (активная мощность)",G109,R109)+Статистика!$J$4))-Статистика!$C$10)/MAX(Статистика!$G$10-Статистика!$C$10,0.000001)))))</f>
        <v>0.11883590999999982</v>
      </c>
      <c r="BC109" s="12">
        <f>IF(A109="","",MAX(0,MAX(0,MIN(1,(((IF(Статистика!$C$4="Параллельный режим (активная мощность)",J109,U109)+Статистика!$J$4))-Статистика!$C$10)/MAX(Статистика!$G$10-Статистика!$C$10,0.000001)))-MAX(0,MIN(1,(((IF(Статистика!$C$4="Параллельный режим (активная мощность)",H109,S109)+Статистика!$J$4))-Статистика!$C$10)/MAX(Статистика!$G$10-Статистика!$C$10,0.000001)))))</f>
        <v>1.3184061500000066E-2</v>
      </c>
      <c r="BD109" s="12">
        <f>IF(A109="","",MAX(0,1-MAX(0,MIN(1,(((IF(Статистика!$C$4="Параллельный режим (активная мощность)",J109,U109)+Статистика!$J$4))-Статистика!$C$10)/MAX(Статистика!$G$10-Статистика!$C$10,0.000001)))))</f>
        <v>0.24842132016666685</v>
      </c>
      <c r="BE109" s="12">
        <f>IF(A109="",NA(),IF(Статистика!$B$8="Вкл",(((IF(Статистика!$C$4="Параллельный режим (активная мощность)",F109,Q109)+Статистика!$J$4))-Статистика!$C$10)/MAX(Статистика!$G$10-Статистика!$C$10,0.000001),NA()))</f>
        <v>0.58190724999999988</v>
      </c>
      <c r="BF109" s="12">
        <f>IF(A109="",NA(),IF(Статистика!$D$8="Вкл",(((IF(Статистика!$C$4="Параллельный режим (активная мощность)",E109,P109)+Статистика!$J$4))-Статистика!$C$10)/MAX(Статистика!$G$10-Статистика!$C$10,0.000001),NA()))</f>
        <v>0.47382666111111088</v>
      </c>
      <c r="BG109" s="12">
        <f>IF(A109="",NA(),IF(Статистика!$D$8="Вкл",(((IF(Статистика!$C$4="Параллельный режим (активная мощность)",G109,R109)+Статистика!$J$4))-Статистика!$C$10)/MAX(Статистика!$G$10-Статистика!$C$10,0.000001),NA()))</f>
        <v>0.61955870833333326</v>
      </c>
      <c r="BH109" s="12">
        <f>IF(A109="",NA(),IF(Статистика!$F$8="Вкл",(((IF(Статистика!$C$4="Параллельный режим (активная мощность)",D109,O109)+Статистика!$J$4))-Статистика!$C$10)/MAX(Статистика!$G$10-Статистика!$C$10,0.000001),NA()))</f>
        <v>0.35975886777777788</v>
      </c>
      <c r="BI109" s="12">
        <f>IF(A109="",NA(),IF(Статистика!$F$8="Вкл",(((IF(Статистика!$C$4="Параллельный режим (активная мощность)",H109,S109)+Статистика!$J$4))-Статистика!$C$10)/MAX(Статистика!$G$10-Статистика!$C$10,0.000001),NA()))</f>
        <v>0.73839461833333309</v>
      </c>
      <c r="BJ109" s="12">
        <f>IF(A109="",NA(),IF(Статистика!$H$8="Вкл",(((IF(Статистика!$C$4="Параллельный режим (активная мощность)",B109,M109)+Статистика!$J$4))-Статистика!$C$10)/MAX(Статистика!$G$10-Статистика!$C$10,0.000001),NA()))</f>
        <v>-1.2416478682222223</v>
      </c>
      <c r="BK109" s="12">
        <f>IF(A109="",NA(),IF(Статистика!$H$8="Вкл",(((IF(Статистика!$C$4="Параллельный режим (активная мощность)",J109,U109)+Статистика!$J$4))-Статистика!$C$10)/MAX(Статистика!$G$10-Статистика!$C$10,0.000001),NA()))</f>
        <v>0.75157867983333315</v>
      </c>
      <c r="BL109" s="12" t="e">
        <f>IF(A109="",NA(),IF(Статистика!$J$8="Вкл",(((IF(Статистика!$C$4="Параллельный режим (активная мощность)",K109,V109)+Статистика!$J$4))-Статистика!$C$10)/MAX(Статистика!$G$10-Статистика!$C$10,0.000001),NA()))</f>
        <v>#N/A</v>
      </c>
      <c r="BM109" s="12" t="e">
        <f>IF(AND(A109&lt;&gt;"",Статистика!$C$6="Вкл",Статистика!$B$6&gt;0),(Статистика!$B$6-Статистика!$C$10)/MAX(Статистика!$G$10-Статистика!$C$10,0.000001),NA())</f>
        <v>#N/A</v>
      </c>
      <c r="BN109" s="12" t="e">
        <f>IF(AND(A109&lt;&gt;"",Статистика!$F$6="Вкл",Статистика!$E$6&gt;0),(Статистика!$E$6-Статистика!$C$10)/MAX(Статистика!$G$10-Статистика!$C$10,0.000001),NA())</f>
        <v>#N/A</v>
      </c>
      <c r="BO109" s="12" t="e">
        <f>IF(AND(A109&lt;&gt;"",Статистика!$I$6="Вкл",Статистика!$H$6&gt;0),(Статистика!$H$6-Статистика!$C$10)/MAX(Статистика!$G$10-Статистика!$C$10,0.000001),NA())</f>
        <v>#N/A</v>
      </c>
      <c r="BP109" s="12" t="e">
        <f>IF(AND(A109&lt;&gt;"",Статистика!$L$6="Вкл",Статистика!$K$6&gt;0),(Статистика!$K$6-Статистика!$C$10)/MAX(Статистика!$G$10-Статистика!$C$10,0.000001),NA())</f>
        <v>#N/A</v>
      </c>
      <c r="BQ109" s="12" t="e">
        <f>IF(AND(A109&lt;&gt;"",Статистика!$M$6="Вкл",Статистика!$O$6&gt;0),(Статистика!$O$6-Статистика!$C$10)/MAX(Статистика!$G$10-Статистика!$C$10,0.000001),NA())</f>
        <v>#N/A</v>
      </c>
      <c r="BR109" s="12">
        <f t="shared" si="2"/>
        <v>1</v>
      </c>
      <c r="BT109" s="12">
        <f>IF(Y109="","",MAX(0,MIN(1,(((IF(Статистика!$C$4="Параллельный режим (активная мощность)",Z109,AK109)+Статистика!$J$4))-Статистика!$C$10)/MAX(Статистика!$G$10-Статистика!$C$10,0.000001))))</f>
        <v>0.43758826211111135</v>
      </c>
      <c r="BU109" s="12">
        <f>IF(Y109="","",MAX(0,MAX(0,MIN(1,(((IF(Статистика!$C$4="Параллельный режим (активная мощность)",AB109,AM109)+Статистика!$J$4))-Статистика!$C$10)/MAX(Статистика!$G$10-Статистика!$C$10,0.000001)))-MAX(0,MIN(1,(((IF(Статистика!$C$4="Параллельный режим (активная мощность)",Z109,AK109)+Статистика!$J$4))-Статистика!$C$10)/MAX(Статистика!$G$10-Статистика!$C$10,0.000001)))))</f>
        <v>2.8312558999999959E-2</v>
      </c>
      <c r="BV109" s="12">
        <f>IF(Y109="","",MAX(0,MAX(0,MIN(1,(((IF(Статистика!$C$4="Параллельный режим (активная мощность)",AC109,AN109)+Статистика!$J$4))-Статистика!$C$10)/MAX(Статистика!$G$10-Статистика!$C$10,0.000001)))-MAX(0,MIN(1,(((IF(Статистика!$C$4="Параллельный режим (активная мощность)",AB109,AM109)+Статистика!$J$4))-Статистика!$C$10)/MAX(Статистика!$G$10-Статистика!$C$10,0.000001)))))</f>
        <v>5.3375214999999754E-2</v>
      </c>
      <c r="BW109" s="12">
        <f>IF(Y109="","",MAX(0,MAX(0,MIN(1,(((IF(Статистика!$C$4="Параллельный режим (активная мощность)",AD109,AO109)+Статистика!$J$4))-Статистика!$C$10)/MAX(Статистика!$G$10-Статистика!$C$10,0.000001)))-MAX(0,MIN(1,(((IF(Статистика!$C$4="Параллельный режим (активная мощность)",AC109,AN109)+Статистика!$J$4))-Статистика!$C$10)/MAX(Статистика!$G$10-Статистика!$C$10,0.000001)))))</f>
        <v>4.6566941666666639E-2</v>
      </c>
      <c r="BX109" s="12">
        <f>IF(Y109="","",MAX(0,MAX(0,MIN(1,(((IF(Статистика!$C$4="Параллельный режим (активная мощность)",AE109,AP109)+Статистика!$J$4))-Статистика!$C$10)/MAX(Статистика!$G$10-Статистика!$C$10,0.000001)))-MAX(0,MIN(1,(((IF(Статистика!$C$4="Параллельный режим (активная мощность)",AD109,AO109)+Статистика!$J$4))-Статистика!$C$10)/MAX(Статистика!$G$10-Статистика!$C$10,0.000001)))))</f>
        <v>6.6231999999999958E-2</v>
      </c>
      <c r="BY109" s="12">
        <f>IF(Y109="","",MAX(0,MAX(0,MIN(1,(((IF(Статистика!$C$4="Параллельный режим (активная мощность)",AF109,AQ109)+Статистика!$J$4))-Статистика!$C$10)/MAX(Статистика!$G$10-Статистика!$C$10,0.000001)))-MAX(0,MIN(1,(((IF(Статистика!$C$4="Параллельный режим (активная мощность)",AE109,AP109)+Статистика!$J$4))-Статистика!$C$10)/MAX(Статистика!$G$10-Статистика!$C$10,0.000001)))))</f>
        <v>0.16587375388888903</v>
      </c>
      <c r="BZ109" s="12">
        <f>IF(Y109="","",MAX(0,MAX(0,MIN(1,(((IF(Статистика!$C$4="Параллельный режим (активная мощность)",AH109,AS109)+Статистика!$J$4))-Статистика!$C$10)/MAX(Статистика!$G$10-Статистика!$C$10,0.000001)))-MAX(0,MIN(1,(((IF(Статистика!$C$4="Параллельный режим (активная мощность)",AF109,AQ109)+Статистика!$J$4))-Статистика!$C$10)/MAX(Статистика!$G$10-Статистика!$C$10,0.000001)))))</f>
        <v>3.915325149999993E-2</v>
      </c>
      <c r="CA109" s="12">
        <f>IF(Y109="","",MAX(0,1-MAX(0,MIN(1,(((IF(Статистика!$C$4="Параллельный режим (активная мощность)",AH109,AS109)+Статистика!$J$4))-Статистика!$C$10)/MAX(Статистика!$G$10-Статистика!$C$10,0.000001)))))</f>
        <v>0.16289801683333338</v>
      </c>
      <c r="CB109" s="12">
        <f>IF(Y109="",NA(),IF(Статистика!$B$8="Вкл",(((IF(Статистика!$C$4="Параллельный режим (активная мощность)",AD109,AO109)+Статистика!$J$4))-Статистика!$C$10)/MAX(Статистика!$G$10-Статистика!$C$10,0.000001),NA()))</f>
        <v>0.5658429777777777</v>
      </c>
      <c r="CC109" s="12">
        <f>IF(Y109="",NA(),IF(Статистика!$D$8="Вкл",(((IF(Статистика!$C$4="Параллельный режим (активная мощность)",AC109,AN109)+Статистика!$J$4))-Статистика!$C$10)/MAX(Статистика!$G$10-Статистика!$C$10,0.000001),NA()))</f>
        <v>0.51927603611111106</v>
      </c>
      <c r="CD109" s="12">
        <f>IF(Y109="",NA(),IF(Статистика!$D$8="Вкл",(((IF(Статистика!$C$4="Параллельный режим (активная мощность)",AE109,AP109)+Статистика!$J$4))-Статистика!$C$10)/MAX(Статистика!$G$10-Статистика!$C$10,0.000001),NA()))</f>
        <v>0.63207497777777766</v>
      </c>
      <c r="CE109" s="12">
        <f>IF(Y109="",NA(),IF(Статистика!$F$8="Вкл",(((IF(Статистика!$C$4="Параллельный режим (активная мощность)",AB109,AM109)+Статистика!$J$4))-Статистика!$C$10)/MAX(Статистика!$G$10-Статистика!$C$10,0.000001),NA()))</f>
        <v>0.46590082111111131</v>
      </c>
      <c r="CF109" s="12">
        <f>IF(Y109="",NA(),IF(Статистика!$F$8="Вкл",(((IF(Статистика!$C$4="Параллельный режим (активная мощность)",AF109,AQ109)+Статистика!$J$4))-Статистика!$C$10)/MAX(Статистика!$G$10-Статистика!$C$10,0.000001),NA()))</f>
        <v>0.79794873166666669</v>
      </c>
      <c r="CG109" s="12">
        <f>IF(Y109="",NA(),IF(Статистика!$H$8="Вкл",(((IF(Статистика!$C$4="Параллельный режим (активная мощность)",Z109,AK109)+Статистика!$J$4))-Статистика!$C$10)/MAX(Статистика!$G$10-Статистика!$C$10,0.000001),NA()))</f>
        <v>0.43758826211111135</v>
      </c>
      <c r="CH109" s="12">
        <f>IF(Y109="",NA(),IF(Статистика!$H$8="Вкл",(((IF(Статистика!$C$4="Параллельный режим (активная мощность)",AH109,AS109)+Статистика!$J$4))-Статистика!$C$10)/MAX(Статистика!$G$10-Статистика!$C$10,0.000001),NA()))</f>
        <v>0.83710198316666662</v>
      </c>
      <c r="CI109" s="12" t="e">
        <f>IF(Y109="",NA(),IF(Статистика!$J$8="Вкл",(((IF(Статистика!$C$4="Параллельный режим (активная мощность)",AI109,AT109)+Статистика!$J$4))-Статистика!$C$10)/MAX(Статистика!$G$10-Статистика!$C$10,0.000001),NA()))</f>
        <v>#N/A</v>
      </c>
      <c r="CJ109" s="12" t="e">
        <f>IF(AND(Y109&lt;&gt;"",Статистика!$C$6="Вкл",Статистика!$B$6&gt;0),(Статистика!$B$6-Статистика!$C$10)/MAX(Статистика!$G$10-Статистика!$C$10,0.000001),NA())</f>
        <v>#N/A</v>
      </c>
      <c r="CK109" s="12" t="e">
        <f>IF(AND(Y109&lt;&gt;"",Статистика!$F$6="Вкл",Статистика!$E$6&gt;0),(Статистика!$E$6-Статистика!$C$10)/MAX(Статистика!$G$10-Статистика!$C$10,0.000001),NA())</f>
        <v>#N/A</v>
      </c>
      <c r="CL109" s="12" t="e">
        <f>IF(AND(Y109&lt;&gt;"",Статистика!$I$6="Вкл",Статистика!$H$6&gt;0),(Статистика!$H$6-Статистика!$C$10)/MAX(Статистика!$G$10-Статистика!$C$10,0.000001),NA())</f>
        <v>#N/A</v>
      </c>
      <c r="CM109" s="12" t="e">
        <f>IF(AND(Y109&lt;&gt;"",Статистика!$L$6="Вкл",Статистика!$K$6&gt;0),(Статистика!$K$6-Статистика!$C$10)/MAX(Статистика!$G$10-Статистика!$C$10,0.000001),NA())</f>
        <v>#N/A</v>
      </c>
      <c r="CN109" s="12" t="e">
        <f>IF(AND(Y109&lt;&gt;"",Статистика!$M$6="Вкл",Статистика!$O$6&gt;0),(Статистика!$O$6-Статистика!$C$10)/MAX(Статистика!$G$10-Статистика!$C$10,0.000001),NA())</f>
        <v>#N/A</v>
      </c>
      <c r="CO109" s="12">
        <f t="shared" si="3"/>
        <v>1</v>
      </c>
    </row>
    <row r="110" spans="1:93" ht="15" customHeight="1">
      <c r="A110" s="12" t="s">
        <v>501</v>
      </c>
      <c r="B110" s="12">
        <v>2198.7872623333333</v>
      </c>
      <c r="C110" s="12">
        <v>5160.9672450000007</v>
      </c>
      <c r="D110" s="12">
        <v>6792.5848183333337</v>
      </c>
      <c r="E110" s="12">
        <v>7421.2805250000001</v>
      </c>
      <c r="F110" s="12">
        <v>7721.0036666666656</v>
      </c>
      <c r="G110" s="12">
        <v>7928.592275</v>
      </c>
      <c r="H110" s="12">
        <v>8189.4958033333332</v>
      </c>
      <c r="I110" s="12">
        <v>8273.3208383333331</v>
      </c>
      <c r="J110" s="12">
        <v>8329.0879543333322</v>
      </c>
      <c r="K110" s="12">
        <v>8651.56</v>
      </c>
      <c r="L110" s="12" t="s">
        <v>502</v>
      </c>
      <c r="M110" s="12">
        <v>2646.2511231666667</v>
      </c>
      <c r="N110" s="12">
        <v>5887.3837491666673</v>
      </c>
      <c r="O110" s="12">
        <v>7663.4213616666675</v>
      </c>
      <c r="P110" s="12">
        <v>8375.8979833333342</v>
      </c>
      <c r="Q110" s="12">
        <v>8664.8425666666662</v>
      </c>
      <c r="R110" s="12">
        <v>8857.0787333333337</v>
      </c>
      <c r="S110" s="12">
        <v>9193.2403200000008</v>
      </c>
      <c r="T110" s="12">
        <v>9252.2050775000007</v>
      </c>
      <c r="U110" s="12">
        <v>9252.8837355000014</v>
      </c>
      <c r="V110" s="12">
        <v>9670.51</v>
      </c>
      <c r="W110" s="12" t="s">
        <v>503</v>
      </c>
      <c r="Y110" s="12" t="s">
        <v>501</v>
      </c>
      <c r="Z110" s="12">
        <v>7295.4445029999997</v>
      </c>
      <c r="AA110" s="12">
        <v>7341.5494483333332</v>
      </c>
      <c r="AB110" s="12">
        <v>7399.1806300000007</v>
      </c>
      <c r="AC110" s="12">
        <v>7549.5674749999998</v>
      </c>
      <c r="AD110" s="12">
        <v>7734.987799999999</v>
      </c>
      <c r="AE110" s="12">
        <v>7957.8059333333331</v>
      </c>
      <c r="AF110" s="12">
        <v>8495.5375383333339</v>
      </c>
      <c r="AG110" s="12">
        <v>8583.5709691666671</v>
      </c>
      <c r="AH110" s="12">
        <v>8653.9977138333343</v>
      </c>
      <c r="AI110" s="12">
        <v>8805.24</v>
      </c>
      <c r="AJ110" s="12" t="s">
        <v>504</v>
      </c>
      <c r="AK110" s="12">
        <v>8190.9396849999994</v>
      </c>
      <c r="AL110" s="12">
        <v>8250.3441583333333</v>
      </c>
      <c r="AM110" s="12">
        <v>8324.5997499999994</v>
      </c>
      <c r="AN110" s="12">
        <v>8515.5636250000007</v>
      </c>
      <c r="AO110" s="12">
        <v>8707.9704000000002</v>
      </c>
      <c r="AP110" s="12">
        <v>8899.5989499999996</v>
      </c>
      <c r="AQ110" s="12">
        <v>9368.8735300000008</v>
      </c>
      <c r="AR110" s="12">
        <v>9437.5470983333344</v>
      </c>
      <c r="AS110" s="12">
        <v>9492.4859530000012</v>
      </c>
      <c r="AT110" s="12">
        <v>9629.4500000000007</v>
      </c>
      <c r="AU110" s="12" t="s">
        <v>504</v>
      </c>
      <c r="AW110" s="12">
        <f>IF(A110="","",MAX(0,MIN(1,(((IF(Статистика!$C$4="Параллельный режим (активная мощность)",B110,M110)+Статистика!$J$4))-Статистика!$C$10)/MAX(Статистика!$G$10-Статистика!$C$10,0.000001))))</f>
        <v>0</v>
      </c>
      <c r="AX110" s="12">
        <f>IF(A110="","",MAX(0,MAX(0,MIN(1,(((IF(Статистика!$C$4="Параллельный режим (активная мощность)",D110,O110)+Статистика!$J$4))-Статистика!$C$10)/MAX(Статистика!$G$10-Статистика!$C$10,0.000001)))-MAX(0,MIN(1,(((IF(Статистика!$C$4="Параллельный режим (активная мощность)",B110,M110)+Статистика!$J$4))-Статистика!$C$10)/MAX(Статистика!$G$10-Статистика!$C$10,0.000001)))))</f>
        <v>0.26419493944444455</v>
      </c>
      <c r="AY110" s="12">
        <f>IF(A110="","",MAX(0,MAX(0,MIN(1,(((IF(Статистика!$C$4="Параллельный режим (активная мощность)",E110,P110)+Статистика!$J$4))-Статистика!$C$10)/MAX(Статистика!$G$10-Статистика!$C$10,0.000001)))-MAX(0,MIN(1,(((IF(Статистика!$C$4="Параллельный режим (активная мощность)",D110,O110)+Статистика!$J$4))-Статистика!$C$10)/MAX(Статистика!$G$10-Статистика!$C$10,0.000001)))))</f>
        <v>0.20956523555555551</v>
      </c>
      <c r="AZ110" s="12">
        <f>IF(A110="","",MAX(0,MAX(0,MIN(1,(((IF(Статистика!$C$4="Параллельный режим (активная мощность)",F110,Q110)+Статистика!$J$4))-Статистика!$C$10)/MAX(Статистика!$G$10-Статистика!$C$10,0.000001)))-MAX(0,MIN(1,(((IF(Статистика!$C$4="Параллельный режим (активная мощность)",E110,P110)+Статистика!$J$4))-Статистика!$C$10)/MAX(Статистика!$G$10-Статистика!$C$10,0.000001)))))</f>
        <v>9.9907713888888472E-2</v>
      </c>
      <c r="BA110" s="12">
        <f>IF(A110="","",MAX(0,MAX(0,MIN(1,(((IF(Статистика!$C$4="Параллельный режим (активная мощность)",G110,R110)+Статистика!$J$4))-Статистика!$C$10)/MAX(Статистика!$G$10-Статистика!$C$10,0.000001)))-MAX(0,MIN(1,(((IF(Статистика!$C$4="Параллельный режим (активная мощность)",F110,Q110)+Статистика!$J$4))-Статистика!$C$10)/MAX(Статистика!$G$10-Статистика!$C$10,0.000001)))))</f>
        <v>6.919620277777816E-2</v>
      </c>
      <c r="BB110" s="12">
        <f>IF(A110="","",MAX(0,MAX(0,MIN(1,(((IF(Статистика!$C$4="Параллельный режим (активная мощность)",H110,S110)+Статистика!$J$4))-Статистика!$C$10)/MAX(Статистика!$G$10-Статистика!$C$10,0.000001)))-MAX(0,MIN(1,(((IF(Статистика!$C$4="Параллельный режим (активная мощность)",G110,R110)+Статистика!$J$4))-Статистика!$C$10)/MAX(Статистика!$G$10-Статистика!$C$10,0.000001)))))</f>
        <v>8.6967842777777693E-2</v>
      </c>
      <c r="BC110" s="12">
        <f>IF(A110="","",MAX(0,MAX(0,MIN(1,(((IF(Статистика!$C$4="Параллельный режим (активная мощность)",J110,U110)+Статистика!$J$4))-Статистика!$C$10)/MAX(Статистика!$G$10-Статистика!$C$10,0.000001)))-MAX(0,MIN(1,(((IF(Статистика!$C$4="Параллельный режим (активная мощность)",H110,S110)+Статистика!$J$4))-Статистика!$C$10)/MAX(Статистика!$G$10-Статистика!$C$10,0.000001)))))</f>
        <v>4.6530716999999666E-2</v>
      </c>
      <c r="BD110" s="12">
        <f>IF(A110="","",MAX(0,1-MAX(0,MIN(1,(((IF(Статистика!$C$4="Параллельный режим (активная мощность)",J110,U110)+Статистика!$J$4))-Статистика!$C$10)/MAX(Статистика!$G$10-Статистика!$C$10,0.000001)))))</f>
        <v>0.22363734855555595</v>
      </c>
      <c r="BE110" s="12">
        <f>IF(A110="",NA(),IF(Статистика!$B$8="Вкл",(((IF(Статистика!$C$4="Параллельный режим (активная мощность)",F110,Q110)+Статистика!$J$4))-Статистика!$C$10)/MAX(Статистика!$G$10-Статистика!$C$10,0.000001),NA()))</f>
        <v>0.57366788888888853</v>
      </c>
      <c r="BF110" s="12">
        <f>IF(A110="",NA(),IF(Статистика!$D$8="Вкл",(((IF(Статистика!$C$4="Параллельный режим (активная мощность)",E110,P110)+Статистика!$J$4))-Статистика!$C$10)/MAX(Статистика!$G$10-Статистика!$C$10,0.000001),NA()))</f>
        <v>0.47376017500000006</v>
      </c>
      <c r="BG110" s="12">
        <f>IF(A110="",NA(),IF(Статистика!$D$8="Вкл",(((IF(Статистика!$C$4="Параллельный режим (активная мощность)",G110,R110)+Статистика!$J$4))-Статистика!$C$10)/MAX(Статистика!$G$10-Статистика!$C$10,0.000001),NA()))</f>
        <v>0.64286409166666669</v>
      </c>
      <c r="BH110" s="12">
        <f>IF(A110="",NA(),IF(Статистика!$F$8="Вкл",(((IF(Статистика!$C$4="Параллельный режим (активная мощность)",D110,O110)+Статистика!$J$4))-Статистика!$C$10)/MAX(Статистика!$G$10-Статистика!$C$10,0.000001),NA()))</f>
        <v>0.26419493944444455</v>
      </c>
      <c r="BI110" s="12">
        <f>IF(A110="",NA(),IF(Статистика!$F$8="Вкл",(((IF(Статистика!$C$4="Параллельный режим (активная мощность)",H110,S110)+Статистика!$J$4))-Статистика!$C$10)/MAX(Статистика!$G$10-Статистика!$C$10,0.000001),NA()))</f>
        <v>0.72983193444444439</v>
      </c>
      <c r="BJ110" s="12">
        <f>IF(A110="",NA(),IF(Статистика!$H$8="Вкл",(((IF(Статистика!$C$4="Параллельный режим (активная мощность)",B110,M110)+Статистика!$J$4))-Статистика!$C$10)/MAX(Статистика!$G$10-Статистика!$C$10,0.000001),NA()))</f>
        <v>-1.2670709125555555</v>
      </c>
      <c r="BK110" s="12">
        <f>IF(A110="",NA(),IF(Статистика!$H$8="Вкл",(((IF(Статистика!$C$4="Параллельный режим (активная мощность)",J110,U110)+Статистика!$J$4))-Статистика!$C$10)/MAX(Статистика!$G$10-Статистика!$C$10,0.000001),NA()))</f>
        <v>0.77636265144444405</v>
      </c>
      <c r="BL110" s="12" t="e">
        <f>IF(A110="",NA(),IF(Статистика!$J$8="Вкл",(((IF(Статистика!$C$4="Параллельный режим (активная мощность)",K110,V110)+Статистика!$J$4))-Статистика!$C$10)/MAX(Статистика!$G$10-Статистика!$C$10,0.000001),NA()))</f>
        <v>#N/A</v>
      </c>
      <c r="BM110" s="12" t="e">
        <f>IF(AND(A110&lt;&gt;"",Статистика!$C$6="Вкл",Статистика!$B$6&gt;0),(Статистика!$B$6-Статистика!$C$10)/MAX(Статистика!$G$10-Статистика!$C$10,0.000001),NA())</f>
        <v>#N/A</v>
      </c>
      <c r="BN110" s="12" t="e">
        <f>IF(AND(A110&lt;&gt;"",Статистика!$F$6="Вкл",Статистика!$E$6&gt;0),(Статистика!$E$6-Статистика!$C$10)/MAX(Статистика!$G$10-Статистика!$C$10,0.000001),NA())</f>
        <v>#N/A</v>
      </c>
      <c r="BO110" s="12" t="e">
        <f>IF(AND(A110&lt;&gt;"",Статистика!$I$6="Вкл",Статистика!$H$6&gt;0),(Статистика!$H$6-Статистика!$C$10)/MAX(Статистика!$G$10-Статистика!$C$10,0.000001),NA())</f>
        <v>#N/A</v>
      </c>
      <c r="BP110" s="12" t="e">
        <f>IF(AND(A110&lt;&gt;"",Статистика!$L$6="Вкл",Статистика!$K$6&gt;0),(Статистика!$K$6-Статистика!$C$10)/MAX(Статистика!$G$10-Статистика!$C$10,0.000001),NA())</f>
        <v>#N/A</v>
      </c>
      <c r="BQ110" s="12" t="e">
        <f>IF(AND(A110&lt;&gt;"",Статистика!$M$6="Вкл",Статистика!$O$6&gt;0),(Статистика!$O$6-Статистика!$C$10)/MAX(Статистика!$G$10-Статистика!$C$10,0.000001),NA())</f>
        <v>#N/A</v>
      </c>
      <c r="BR110" s="12">
        <f t="shared" si="2"/>
        <v>1</v>
      </c>
      <c r="BT110" s="12">
        <f>IF(Y110="","",MAX(0,MIN(1,(((IF(Статистика!$C$4="Параллельный режим (активная мощность)",Z110,AK110)+Статистика!$J$4))-Статистика!$C$10)/MAX(Статистика!$G$10-Статистика!$C$10,0.000001))))</f>
        <v>0.43181483433333323</v>
      </c>
      <c r="BU110" s="12">
        <f>IF(Y110="","",MAX(0,MAX(0,MIN(1,(((IF(Статистика!$C$4="Параллельный режим (активная мощность)",AB110,AM110)+Статистика!$J$4))-Статистика!$C$10)/MAX(Статистика!$G$10-Статистика!$C$10,0.000001)))-MAX(0,MIN(1,(((IF(Статистика!$C$4="Параллельный режим (активная мощность)",Z110,AK110)+Статистика!$J$4))-Статистика!$C$10)/MAX(Статистика!$G$10-Статистика!$C$10,0.000001)))))</f>
        <v>3.4578709000000374E-2</v>
      </c>
      <c r="BV110" s="12">
        <f>IF(Y110="","",MAX(0,MAX(0,MIN(1,(((IF(Статистика!$C$4="Параллельный режим (активная мощность)",AC110,AN110)+Статистика!$J$4))-Статистика!$C$10)/MAX(Статистика!$G$10-Статистика!$C$10,0.000001)))-MAX(0,MIN(1,(((IF(Статистика!$C$4="Параллельный режим (активная мощность)",AB110,AM110)+Статистика!$J$4))-Статистика!$C$10)/MAX(Статистика!$G$10-Статистика!$C$10,0.000001)))))</f>
        <v>5.0128948333333034E-2</v>
      </c>
      <c r="BW110" s="12">
        <f>IF(Y110="","",MAX(0,MAX(0,MIN(1,(((IF(Статистика!$C$4="Параллельный режим (активная мощность)",AD110,AO110)+Статистика!$J$4))-Статистика!$C$10)/MAX(Статистика!$G$10-Статистика!$C$10,0.000001)))-MAX(0,MIN(1,(((IF(Статистика!$C$4="Параллельный режим (активная мощность)",AC110,AN110)+Статистика!$J$4))-Статистика!$C$10)/MAX(Статистика!$G$10-Статистика!$C$10,0.000001)))))</f>
        <v>6.1806774999999647E-2</v>
      </c>
      <c r="BX110" s="12">
        <f>IF(Y110="","",MAX(0,MAX(0,MIN(1,(((IF(Статистика!$C$4="Параллельный режим (активная мощность)",AE110,AP110)+Статистика!$J$4))-Статистика!$C$10)/MAX(Статистика!$G$10-Статистика!$C$10,0.000001)))-MAX(0,MIN(1,(((IF(Статистика!$C$4="Параллельный режим (активная мощность)",AD110,AO110)+Статистика!$J$4))-Статистика!$C$10)/MAX(Статистика!$G$10-Статистика!$C$10,0.000001)))))</f>
        <v>7.4272711111111445E-2</v>
      </c>
      <c r="BY110" s="12">
        <f>IF(Y110="","",MAX(0,MAX(0,MIN(1,(((IF(Статистика!$C$4="Параллельный режим (активная мощность)",AF110,AQ110)+Статистика!$J$4))-Статистика!$C$10)/MAX(Статистика!$G$10-Статистика!$C$10,0.000001)))-MAX(0,MIN(1,(((IF(Статистика!$C$4="Параллельный режим (активная мощность)",AE110,AP110)+Статистика!$J$4))-Статистика!$C$10)/MAX(Статистика!$G$10-Статистика!$C$10,0.000001)))))</f>
        <v>0.17924386833333361</v>
      </c>
      <c r="BZ110" s="12">
        <f>IF(Y110="","",MAX(0,MAX(0,MIN(1,(((IF(Статистика!$C$4="Параллельный режим (активная мощность)",AH110,AS110)+Статистика!$J$4))-Статистика!$C$10)/MAX(Статистика!$G$10-Статистика!$C$10,0.000001)))-MAX(0,MIN(1,(((IF(Статистика!$C$4="Параллельный режим (активная мощность)",AF110,AQ110)+Статистика!$J$4))-Статистика!$C$10)/MAX(Статистика!$G$10-Статистика!$C$10,0.000001)))))</f>
        <v>5.2820058500000044E-2</v>
      </c>
      <c r="CA110" s="12">
        <f>IF(Y110="","",MAX(0,1-MAX(0,MIN(1,(((IF(Статистика!$C$4="Параллельный режим (активная мощность)",AH110,AS110)+Статистика!$J$4))-Статистика!$C$10)/MAX(Статистика!$G$10-Статистика!$C$10,0.000001)))))</f>
        <v>0.11533409538888861</v>
      </c>
      <c r="CB110" s="12">
        <f>IF(Y110="",NA(),IF(Статистика!$B$8="Вкл",(((IF(Статистика!$C$4="Параллельный режим (активная мощность)",AD110,AO110)+Статистика!$J$4))-Статистика!$C$10)/MAX(Статистика!$G$10-Статистика!$C$10,0.000001),NA()))</f>
        <v>0.57832926666666629</v>
      </c>
      <c r="CC110" s="12">
        <f>IF(Y110="",NA(),IF(Статистика!$D$8="Вкл",(((IF(Статистика!$C$4="Параллельный режим (активная мощность)",AC110,AN110)+Статистика!$J$4))-Статистика!$C$10)/MAX(Статистика!$G$10-Статистика!$C$10,0.000001),NA()))</f>
        <v>0.51652249166666664</v>
      </c>
      <c r="CD110" s="12">
        <f>IF(Y110="",NA(),IF(Статистика!$D$8="Вкл",(((IF(Статистика!$C$4="Параллельный режим (активная мощность)",AE110,AP110)+Статистика!$J$4))-Статистика!$C$10)/MAX(Статистика!$G$10-Статистика!$C$10,0.000001),NA()))</f>
        <v>0.65260197777777773</v>
      </c>
      <c r="CE110" s="12">
        <f>IF(Y110="",NA(),IF(Статистика!$F$8="Вкл",(((IF(Статистика!$C$4="Параллельный режим (активная мощность)",AB110,AM110)+Статистика!$J$4))-Статистика!$C$10)/MAX(Статистика!$G$10-Статистика!$C$10,0.000001),NA()))</f>
        <v>0.4663935433333336</v>
      </c>
      <c r="CF110" s="12">
        <f>IF(Y110="",NA(),IF(Статистика!$F$8="Вкл",(((IF(Статистика!$C$4="Параллельный режим (активная мощность)",AF110,AQ110)+Статистика!$J$4))-Статистика!$C$10)/MAX(Статистика!$G$10-Статистика!$C$10,0.000001),NA()))</f>
        <v>0.83184584611111134</v>
      </c>
      <c r="CG110" s="12">
        <f>IF(Y110="",NA(),IF(Статистика!$H$8="Вкл",(((IF(Статистика!$C$4="Параллельный режим (активная мощность)",Z110,AK110)+Статистика!$J$4))-Статистика!$C$10)/MAX(Статистика!$G$10-Статистика!$C$10,0.000001),NA()))</f>
        <v>0.43181483433333323</v>
      </c>
      <c r="CH110" s="12">
        <f>IF(Y110="",NA(),IF(Статистика!$H$8="Вкл",(((IF(Статистика!$C$4="Параллельный режим (активная мощность)",AH110,AS110)+Статистика!$J$4))-Статистика!$C$10)/MAX(Статистика!$G$10-Статистика!$C$10,0.000001),NA()))</f>
        <v>0.88466590461111139</v>
      </c>
      <c r="CI110" s="12" t="e">
        <f>IF(Y110="",NA(),IF(Статистика!$J$8="Вкл",(((IF(Статистика!$C$4="Параллельный режим (активная мощность)",AI110,AT110)+Статистика!$J$4))-Статистика!$C$10)/MAX(Статистика!$G$10-Статистика!$C$10,0.000001),NA()))</f>
        <v>#N/A</v>
      </c>
      <c r="CJ110" s="12" t="e">
        <f>IF(AND(Y110&lt;&gt;"",Статистика!$C$6="Вкл",Статистика!$B$6&gt;0),(Статистика!$B$6-Статистика!$C$10)/MAX(Статистика!$G$10-Статистика!$C$10,0.000001),NA())</f>
        <v>#N/A</v>
      </c>
      <c r="CK110" s="12" t="e">
        <f>IF(AND(Y110&lt;&gt;"",Статистика!$F$6="Вкл",Статистика!$E$6&gt;0),(Статистика!$E$6-Статистика!$C$10)/MAX(Статистика!$G$10-Статистика!$C$10,0.000001),NA())</f>
        <v>#N/A</v>
      </c>
      <c r="CL110" s="12" t="e">
        <f>IF(AND(Y110&lt;&gt;"",Статистика!$I$6="Вкл",Статистика!$H$6&gt;0),(Статистика!$H$6-Статистика!$C$10)/MAX(Статистика!$G$10-Статистика!$C$10,0.000001),NA())</f>
        <v>#N/A</v>
      </c>
      <c r="CM110" s="12" t="e">
        <f>IF(AND(Y110&lt;&gt;"",Статистика!$L$6="Вкл",Статистика!$K$6&gt;0),(Статистика!$K$6-Статистика!$C$10)/MAX(Статистика!$G$10-Статистика!$C$10,0.000001),NA())</f>
        <v>#N/A</v>
      </c>
      <c r="CN110" s="12" t="e">
        <f>IF(AND(Y110&lt;&gt;"",Статистика!$M$6="Вкл",Статистика!$O$6&gt;0),(Статистика!$O$6-Статистика!$C$10)/MAX(Статистика!$G$10-Статистика!$C$10,0.000001),NA())</f>
        <v>#N/A</v>
      </c>
      <c r="CO110" s="12">
        <f t="shared" si="3"/>
        <v>1</v>
      </c>
    </row>
    <row r="111" spans="1:93" ht="15" customHeight="1">
      <c r="A111" s="12" t="s">
        <v>505</v>
      </c>
      <c r="B111" s="12">
        <v>2090.6304033333331</v>
      </c>
      <c r="C111" s="12">
        <v>4742.3668166666666</v>
      </c>
      <c r="D111" s="12">
        <v>6480.1971333333331</v>
      </c>
      <c r="E111" s="12">
        <v>7469.3425749999988</v>
      </c>
      <c r="F111" s="12">
        <v>7759.8468166666662</v>
      </c>
      <c r="G111" s="12">
        <v>7971.717216666666</v>
      </c>
      <c r="H111" s="12">
        <v>8227.4751950000009</v>
      </c>
      <c r="I111" s="12">
        <v>8358.4823283333335</v>
      </c>
      <c r="J111" s="12">
        <v>8516.9014790000001</v>
      </c>
      <c r="K111" s="12">
        <v>8689.67</v>
      </c>
      <c r="L111" s="12" t="s">
        <v>506</v>
      </c>
      <c r="M111" s="12">
        <v>2533.6421011666666</v>
      </c>
      <c r="N111" s="12">
        <v>5458.9665058333339</v>
      </c>
      <c r="O111" s="12">
        <v>7359.7471216666672</v>
      </c>
      <c r="P111" s="12">
        <v>8424.4344583333332</v>
      </c>
      <c r="Q111" s="12">
        <v>8718.5668666666679</v>
      </c>
      <c r="R111" s="12">
        <v>8900.9534750000021</v>
      </c>
      <c r="S111" s="12">
        <v>9209.538943333333</v>
      </c>
      <c r="T111" s="12">
        <v>9368.8126416666655</v>
      </c>
      <c r="U111" s="12">
        <v>9538.9125283333342</v>
      </c>
      <c r="V111" s="12">
        <v>9733.19</v>
      </c>
      <c r="W111" s="12" t="s">
        <v>507</v>
      </c>
      <c r="Y111" s="12" t="s">
        <v>505</v>
      </c>
      <c r="Z111" s="12">
        <v>7305.2700531666669</v>
      </c>
      <c r="AA111" s="12">
        <v>7334.5141325000004</v>
      </c>
      <c r="AB111" s="12">
        <v>7371.0692316666664</v>
      </c>
      <c r="AC111" s="12">
        <v>7578.7920583333344</v>
      </c>
      <c r="AD111" s="12">
        <v>7723.9316166666658</v>
      </c>
      <c r="AE111" s="12">
        <v>7908.7011166666671</v>
      </c>
      <c r="AF111" s="12">
        <v>8441.9620266666661</v>
      </c>
      <c r="AG111" s="12">
        <v>8545.4275133333322</v>
      </c>
      <c r="AH111" s="12">
        <v>8628.1999026666672</v>
      </c>
      <c r="AI111" s="12">
        <v>8794.81</v>
      </c>
      <c r="AJ111" s="12" t="s">
        <v>508</v>
      </c>
      <c r="AK111" s="12">
        <v>8189.1489551666664</v>
      </c>
      <c r="AL111" s="12">
        <v>8231.6641091666661</v>
      </c>
      <c r="AM111" s="12">
        <v>8284.8080516666669</v>
      </c>
      <c r="AN111" s="12">
        <v>8553.4561416666656</v>
      </c>
      <c r="AO111" s="12">
        <v>8690.2521666666671</v>
      </c>
      <c r="AP111" s="12">
        <v>8879.2741083333349</v>
      </c>
      <c r="AQ111" s="12">
        <v>9327.6042649999999</v>
      </c>
      <c r="AR111" s="12">
        <v>9411.8009325000003</v>
      </c>
      <c r="AS111" s="12">
        <v>9479.1582665000005</v>
      </c>
      <c r="AT111" s="12">
        <v>9667.2800000000007</v>
      </c>
      <c r="AU111" s="12" t="s">
        <v>509</v>
      </c>
      <c r="AW111" s="12">
        <f>IF(A111="","",MAX(0,MIN(1,(((IF(Статистика!$C$4="Параллельный режим (активная мощность)",B111,M111)+Статистика!$J$4))-Статистика!$C$10)/MAX(Статистика!$G$10-Статистика!$C$10,0.000001))))</f>
        <v>0</v>
      </c>
      <c r="AX111" s="12">
        <f>IF(A111="","",MAX(0,MAX(0,MIN(1,(((IF(Статистика!$C$4="Параллельный режим (активная мощность)",D111,O111)+Статистика!$J$4))-Статистика!$C$10)/MAX(Статистика!$G$10-Статистика!$C$10,0.000001)))-MAX(0,MIN(1,(((IF(Статистика!$C$4="Параллельный режим (активная мощность)",B111,M111)+Статистика!$J$4))-Статистика!$C$10)/MAX(Статистика!$G$10-Статистика!$C$10,0.000001)))))</f>
        <v>0.16006571111111104</v>
      </c>
      <c r="AY111" s="12">
        <f>IF(A111="","",MAX(0,MAX(0,MIN(1,(((IF(Статистика!$C$4="Параллельный режим (активная мощность)",E111,P111)+Статистика!$J$4))-Статистика!$C$10)/MAX(Статистика!$G$10-Статистика!$C$10,0.000001)))-MAX(0,MIN(1,(((IF(Статистика!$C$4="Параллельный режим (активная мощность)",D111,O111)+Статистика!$J$4))-Статистика!$C$10)/MAX(Статистика!$G$10-Статистика!$C$10,0.000001)))))</f>
        <v>0.32971514722222184</v>
      </c>
      <c r="AZ111" s="12">
        <f>IF(A111="","",MAX(0,MAX(0,MIN(1,(((IF(Статистика!$C$4="Параллельный режим (активная мощность)",F111,Q111)+Статистика!$J$4))-Статистика!$C$10)/MAX(Статистика!$G$10-Статистика!$C$10,0.000001)))-MAX(0,MIN(1,(((IF(Статистика!$C$4="Параллельный режим (активная мощность)",E111,P111)+Статистика!$J$4))-Статистика!$C$10)/MAX(Статистика!$G$10-Статистика!$C$10,0.000001)))))</f>
        <v>9.6834747222222461E-2</v>
      </c>
      <c r="BA111" s="12">
        <f>IF(A111="","",MAX(0,MAX(0,MIN(1,(((IF(Статистика!$C$4="Параллельный режим (активная мощность)",G111,R111)+Статистика!$J$4))-Статистика!$C$10)/MAX(Статистика!$G$10-Статистика!$C$10,0.000001)))-MAX(0,MIN(1,(((IF(Статистика!$C$4="Параллельный режим (активная мощность)",F111,Q111)+Статистика!$J$4))-Статистика!$C$10)/MAX(Статистика!$G$10-Статистика!$C$10,0.000001)))))</f>
        <v>7.0623466666666634E-2</v>
      </c>
      <c r="BB111" s="12">
        <f>IF(A111="","",MAX(0,MAX(0,MIN(1,(((IF(Статистика!$C$4="Параллельный режим (активная мощность)",H111,S111)+Статистика!$J$4))-Статистика!$C$10)/MAX(Статистика!$G$10-Статистика!$C$10,0.000001)))-MAX(0,MIN(1,(((IF(Статистика!$C$4="Параллельный режим (активная мощность)",G111,R111)+Статистика!$J$4))-Статистика!$C$10)/MAX(Статистика!$G$10-Статистика!$C$10,0.000001)))))</f>
        <v>8.5252659444444934E-2</v>
      </c>
      <c r="BC111" s="12">
        <f>IF(A111="","",MAX(0,MAX(0,MIN(1,(((IF(Статистика!$C$4="Параллельный режим (активная мощность)",J111,U111)+Статистика!$J$4))-Статистика!$C$10)/MAX(Статистика!$G$10-Статистика!$C$10,0.000001)))-MAX(0,MIN(1,(((IF(Статистика!$C$4="Параллельный режим (активная мощность)",H111,S111)+Статистика!$J$4))-Статистика!$C$10)/MAX(Статистика!$G$10-Статистика!$C$10,0.000001)))))</f>
        <v>9.6475427999999752E-2</v>
      </c>
      <c r="BD111" s="12">
        <f>IF(A111="","",MAX(0,1-MAX(0,MIN(1,(((IF(Статистика!$C$4="Параллельный режим (активная мощность)",J111,U111)+Статистика!$J$4))-Статистика!$C$10)/MAX(Статистика!$G$10-Статистика!$C$10,0.000001)))))</f>
        <v>0.16103284033333332</v>
      </c>
      <c r="BE111" s="12">
        <f>IF(A111="",NA(),IF(Статистика!$B$8="Вкл",(((IF(Статистика!$C$4="Параллельный режим (активная мощность)",F111,Q111)+Статистика!$J$4))-Статистика!$C$10)/MAX(Статистика!$G$10-Статистика!$C$10,0.000001),NA()))</f>
        <v>0.58661560555555536</v>
      </c>
      <c r="BF111" s="12">
        <f>IF(A111="",NA(),IF(Статистика!$D$8="Вкл",(((IF(Статистика!$C$4="Параллельный режим (активная мощность)",E111,P111)+Статистика!$J$4))-Статистика!$C$10)/MAX(Статистика!$G$10-Статистика!$C$10,0.000001),NA()))</f>
        <v>0.4897808583333329</v>
      </c>
      <c r="BG111" s="12">
        <f>IF(A111="",NA(),IF(Статистика!$D$8="Вкл",(((IF(Статистика!$C$4="Параллельный режим (активная мощность)",G111,R111)+Статистика!$J$4))-Статистика!$C$10)/MAX(Статистика!$G$10-Статистика!$C$10,0.000001),NA()))</f>
        <v>0.657239072222222</v>
      </c>
      <c r="BH111" s="12">
        <f>IF(A111="",NA(),IF(Статистика!$F$8="Вкл",(((IF(Статистика!$C$4="Параллельный режим (активная мощность)",D111,O111)+Статистика!$J$4))-Статистика!$C$10)/MAX(Статистика!$G$10-Статистика!$C$10,0.000001),NA()))</f>
        <v>0.16006571111111104</v>
      </c>
      <c r="BI111" s="12">
        <f>IF(A111="",NA(),IF(Статистика!$F$8="Вкл",(((IF(Статистика!$C$4="Параллельный режим (активная мощность)",H111,S111)+Статистика!$J$4))-Статистика!$C$10)/MAX(Статистика!$G$10-Статистика!$C$10,0.000001),NA()))</f>
        <v>0.74249173166666693</v>
      </c>
      <c r="BJ111" s="12">
        <f>IF(A111="",NA(),IF(Статистика!$H$8="Вкл",(((IF(Статистика!$C$4="Параллельный режим (активная мощность)",B111,M111)+Статистика!$J$4))-Статистика!$C$10)/MAX(Статистика!$G$10-Статистика!$C$10,0.000001),NA()))</f>
        <v>-1.3031231988888889</v>
      </c>
      <c r="BK111" s="12">
        <f>IF(A111="",NA(),IF(Статистика!$H$8="Вкл",(((IF(Статистика!$C$4="Параллельный режим (активная мощность)",J111,U111)+Статистика!$J$4))-Статистика!$C$10)/MAX(Статистика!$G$10-Статистика!$C$10,0.000001),NA()))</f>
        <v>0.83896715966666668</v>
      </c>
      <c r="BL111" s="12" t="e">
        <f>IF(A111="",NA(),IF(Статистика!$J$8="Вкл",(((IF(Статистика!$C$4="Параллельный режим (активная мощность)",K111,V111)+Статистика!$J$4))-Статистика!$C$10)/MAX(Статистика!$G$10-Статистика!$C$10,0.000001),NA()))</f>
        <v>#N/A</v>
      </c>
      <c r="BM111" s="12" t="e">
        <f>IF(AND(A111&lt;&gt;"",Статистика!$C$6="Вкл",Статистика!$B$6&gt;0),(Статистика!$B$6-Статистика!$C$10)/MAX(Статистика!$G$10-Статистика!$C$10,0.000001),NA())</f>
        <v>#N/A</v>
      </c>
      <c r="BN111" s="12" t="e">
        <f>IF(AND(A111&lt;&gt;"",Статистика!$F$6="Вкл",Статистика!$E$6&gt;0),(Статистика!$E$6-Статистика!$C$10)/MAX(Статистика!$G$10-Статистика!$C$10,0.000001),NA())</f>
        <v>#N/A</v>
      </c>
      <c r="BO111" s="12" t="e">
        <f>IF(AND(A111&lt;&gt;"",Статистика!$I$6="Вкл",Статистика!$H$6&gt;0),(Статистика!$H$6-Статистика!$C$10)/MAX(Статистика!$G$10-Статистика!$C$10,0.000001),NA())</f>
        <v>#N/A</v>
      </c>
      <c r="BP111" s="12" t="e">
        <f>IF(AND(A111&lt;&gt;"",Статистика!$L$6="Вкл",Статистика!$K$6&gt;0),(Статистика!$K$6-Статистика!$C$10)/MAX(Статистика!$G$10-Статистика!$C$10,0.000001),NA())</f>
        <v>#N/A</v>
      </c>
      <c r="BQ111" s="12" t="e">
        <f>IF(AND(A111&lt;&gt;"",Статистика!$M$6="Вкл",Статистика!$O$6&gt;0),(Статистика!$O$6-Статистика!$C$10)/MAX(Статистика!$G$10-Статистика!$C$10,0.000001),NA())</f>
        <v>#N/A</v>
      </c>
      <c r="BR111" s="12">
        <f t="shared" si="2"/>
        <v>1</v>
      </c>
      <c r="BT111" s="12">
        <f>IF(Y111="","",MAX(0,MIN(1,(((IF(Статистика!$C$4="Параллельный режим (активная мощность)",Z111,AK111)+Статистика!$J$4))-Статистика!$C$10)/MAX(Статистика!$G$10-Статистика!$C$10,0.000001))))</f>
        <v>0.43509001772222228</v>
      </c>
      <c r="BU111" s="12">
        <f>IF(Y111="","",MAX(0,MAX(0,MIN(1,(((IF(Статистика!$C$4="Параллельный режим (активная мощность)",AB111,AM111)+Статистика!$J$4))-Статистика!$C$10)/MAX(Статистика!$G$10-Статистика!$C$10,0.000001)))-MAX(0,MIN(1,(((IF(Статистика!$C$4="Параллельный режим (активная мощность)",Z111,AK111)+Статистика!$J$4))-Статистика!$C$10)/MAX(Статистика!$G$10-Статистика!$C$10,0.000001)))))</f>
        <v>2.1933059499999852E-2</v>
      </c>
      <c r="BV111" s="12">
        <f>IF(Y111="","",MAX(0,MAX(0,MIN(1,(((IF(Статистика!$C$4="Параллельный режим (активная мощность)",AC111,AN111)+Статистика!$J$4))-Статистика!$C$10)/MAX(Статистика!$G$10-Статистика!$C$10,0.000001)))-MAX(0,MIN(1,(((IF(Статистика!$C$4="Параллельный режим (активная мощность)",AB111,AM111)+Статистика!$J$4))-Статистика!$C$10)/MAX(Статистика!$G$10-Статистика!$C$10,0.000001)))))</f>
        <v>6.9240942222222657E-2</v>
      </c>
      <c r="BW111" s="12">
        <f>IF(Y111="","",MAX(0,MAX(0,MIN(1,(((IF(Статистика!$C$4="Параллельный режим (активная мощность)",AD111,AO111)+Статистика!$J$4))-Статистика!$C$10)/MAX(Статистика!$G$10-Статистика!$C$10,0.000001)))-MAX(0,MIN(1,(((IF(Статистика!$C$4="Параллельный режим (активная мощность)",AC111,AN111)+Статистика!$J$4))-Статистика!$C$10)/MAX(Статистика!$G$10-Статистика!$C$10,0.000001)))))</f>
        <v>4.8379852777777121E-2</v>
      </c>
      <c r="BX111" s="12">
        <f>IF(Y111="","",MAX(0,MAX(0,MIN(1,(((IF(Статистика!$C$4="Параллельный режим (активная мощность)",AE111,AP111)+Статистика!$J$4))-Статистика!$C$10)/MAX(Статистика!$G$10-Статистика!$C$10,0.000001)))-MAX(0,MIN(1,(((IF(Статистика!$C$4="Параллельный режим (активная мощность)",AD111,AO111)+Статистика!$J$4))-Статистика!$C$10)/MAX(Статистика!$G$10-Статистика!$C$10,0.000001)))))</f>
        <v>6.1589833333333788E-2</v>
      </c>
      <c r="BY111" s="12">
        <f>IF(Y111="","",MAX(0,MAX(0,MIN(1,(((IF(Статистика!$C$4="Параллельный режим (активная мощность)",AF111,AQ111)+Статистика!$J$4))-Статистика!$C$10)/MAX(Статистика!$G$10-Статистика!$C$10,0.000001)))-MAX(0,MIN(1,(((IF(Статистика!$C$4="Параллельный режим (активная мощность)",AE111,AP111)+Статистика!$J$4))-Статистика!$C$10)/MAX(Статистика!$G$10-Статистика!$C$10,0.000001)))))</f>
        <v>0.17775363666666633</v>
      </c>
      <c r="BZ111" s="12">
        <f>IF(Y111="","",MAX(0,MAX(0,MIN(1,(((IF(Статистика!$C$4="Параллельный режим (активная мощность)",AH111,AS111)+Статистика!$J$4))-Статистика!$C$10)/MAX(Статистика!$G$10-Статистика!$C$10,0.000001)))-MAX(0,MIN(1,(((IF(Статистика!$C$4="Параллельный режим (активная мощность)",AF111,AQ111)+Статистика!$J$4))-Статистика!$C$10)/MAX(Статистика!$G$10-Статистика!$C$10,0.000001)))))</f>
        <v>6.2079292000000397E-2</v>
      </c>
      <c r="CA111" s="12">
        <f>IF(Y111="","",MAX(0,1-MAX(0,MIN(1,(((IF(Статистика!$C$4="Параллельный режим (активная мощность)",AH111,AS111)+Статистика!$J$4))-Статистика!$C$10)/MAX(Статистика!$G$10-Статистика!$C$10,0.000001)))))</f>
        <v>0.12393336577777758</v>
      </c>
      <c r="CB111" s="12">
        <f>IF(Y111="",NA(),IF(Статистика!$B$8="Вкл",(((IF(Статистика!$C$4="Параллельный режим (активная мощность)",AD111,AO111)+Статистика!$J$4))-Статистика!$C$10)/MAX(Статистика!$G$10-Статистика!$C$10,0.000001),NA()))</f>
        <v>0.57464387222222191</v>
      </c>
      <c r="CC111" s="12">
        <f>IF(Y111="",NA(),IF(Статистика!$D$8="Вкл",(((IF(Статистика!$C$4="Параллельный режим (активная мощность)",AC111,AN111)+Статистика!$J$4))-Статистика!$C$10)/MAX(Статистика!$G$10-Статистика!$C$10,0.000001),NA()))</f>
        <v>0.52626401944444479</v>
      </c>
      <c r="CD111" s="12">
        <f>IF(Y111="",NA(),IF(Статистика!$D$8="Вкл",(((IF(Статистика!$C$4="Параллельный режим (активная мощность)",AE111,AP111)+Статистика!$J$4))-Статистика!$C$10)/MAX(Статистика!$G$10-Статистика!$C$10,0.000001),NA()))</f>
        <v>0.6362337055555557</v>
      </c>
      <c r="CE111" s="12">
        <f>IF(Y111="",NA(),IF(Статистика!$F$8="Вкл",(((IF(Статистика!$C$4="Параллельный режим (активная мощность)",AB111,AM111)+Статистика!$J$4))-Статистика!$C$10)/MAX(Статистика!$G$10-Статистика!$C$10,0.000001),NA()))</f>
        <v>0.45702307722222213</v>
      </c>
      <c r="CF111" s="12">
        <f>IF(Y111="",NA(),IF(Статистика!$F$8="Вкл",(((IF(Статистика!$C$4="Параллельный режим (активная мощность)",AF111,AQ111)+Статистика!$J$4))-Статистика!$C$10)/MAX(Статистика!$G$10-Статистика!$C$10,0.000001),NA()))</f>
        <v>0.81398734222222202</v>
      </c>
      <c r="CG111" s="12">
        <f>IF(Y111="",NA(),IF(Статистика!$H$8="Вкл",(((IF(Статистика!$C$4="Параллельный режим (активная мощность)",Z111,AK111)+Статистика!$J$4))-Статистика!$C$10)/MAX(Статистика!$G$10-Статистика!$C$10,0.000001),NA()))</f>
        <v>0.43509001772222228</v>
      </c>
      <c r="CH111" s="12">
        <f>IF(Y111="",NA(),IF(Статистика!$H$8="Вкл",(((IF(Статистика!$C$4="Параллельный режим (активная мощность)",AH111,AS111)+Статистика!$J$4))-Статистика!$C$10)/MAX(Статистика!$G$10-Статистика!$C$10,0.000001),NA()))</f>
        <v>0.87606663422222242</v>
      </c>
      <c r="CI111" s="12" t="e">
        <f>IF(Y111="",NA(),IF(Статистика!$J$8="Вкл",(((IF(Статистика!$C$4="Параллельный режим (активная мощность)",AI111,AT111)+Статистика!$J$4))-Статистика!$C$10)/MAX(Статистика!$G$10-Статистика!$C$10,0.000001),NA()))</f>
        <v>#N/A</v>
      </c>
      <c r="CJ111" s="12" t="e">
        <f>IF(AND(Y111&lt;&gt;"",Статистика!$C$6="Вкл",Статистика!$B$6&gt;0),(Статистика!$B$6-Статистика!$C$10)/MAX(Статистика!$G$10-Статистика!$C$10,0.000001),NA())</f>
        <v>#N/A</v>
      </c>
      <c r="CK111" s="12" t="e">
        <f>IF(AND(Y111&lt;&gt;"",Статистика!$F$6="Вкл",Статистика!$E$6&gt;0),(Статистика!$E$6-Статистика!$C$10)/MAX(Статистика!$G$10-Статистика!$C$10,0.000001),NA())</f>
        <v>#N/A</v>
      </c>
      <c r="CL111" s="12" t="e">
        <f>IF(AND(Y111&lt;&gt;"",Статистика!$I$6="Вкл",Статистика!$H$6&gt;0),(Статистика!$H$6-Статистика!$C$10)/MAX(Статистика!$G$10-Статистика!$C$10,0.000001),NA())</f>
        <v>#N/A</v>
      </c>
      <c r="CM111" s="12" t="e">
        <f>IF(AND(Y111&lt;&gt;"",Статистика!$L$6="Вкл",Статистика!$K$6&gt;0),(Статистика!$K$6-Статистика!$C$10)/MAX(Статистика!$G$10-Статистика!$C$10,0.000001),NA())</f>
        <v>#N/A</v>
      </c>
      <c r="CN111" s="12" t="e">
        <f>IF(AND(Y111&lt;&gt;"",Статистика!$M$6="Вкл",Статистика!$O$6&gt;0),(Статистика!$O$6-Статистика!$C$10)/MAX(Статистика!$G$10-Статистика!$C$10,0.000001),NA())</f>
        <v>#N/A</v>
      </c>
      <c r="CO111" s="12">
        <f t="shared" si="3"/>
        <v>1</v>
      </c>
    </row>
    <row r="112" spans="1:93" ht="15" customHeight="1">
      <c r="A112" s="12" t="s">
        <v>510</v>
      </c>
      <c r="B112" s="12">
        <v>2054.1310760000001</v>
      </c>
      <c r="C112" s="12">
        <v>4725.956446666667</v>
      </c>
      <c r="D112" s="12">
        <v>6476.4802550000004</v>
      </c>
      <c r="E112" s="12">
        <v>7492.8790999999983</v>
      </c>
      <c r="F112" s="12">
        <v>7736.7783833333342</v>
      </c>
      <c r="G112" s="12">
        <v>7939.5450083333326</v>
      </c>
      <c r="H112" s="12">
        <v>8199.3772483333323</v>
      </c>
      <c r="I112" s="12">
        <v>8352.9634566666664</v>
      </c>
      <c r="J112" s="12">
        <v>8503.2450913333341</v>
      </c>
      <c r="K112" s="12">
        <v>8666.16</v>
      </c>
      <c r="L112" s="12" t="s">
        <v>511</v>
      </c>
      <c r="M112" s="12">
        <v>2497.7206540000002</v>
      </c>
      <c r="N112" s="12">
        <v>5440.4232700000011</v>
      </c>
      <c r="O112" s="12">
        <v>7369.6824850000003</v>
      </c>
      <c r="P112" s="12">
        <v>8411.1688416666657</v>
      </c>
      <c r="Q112" s="12">
        <v>8714.7087333333329</v>
      </c>
      <c r="R112" s="12">
        <v>8875.3852750000005</v>
      </c>
      <c r="S112" s="12">
        <v>9205.2021399999994</v>
      </c>
      <c r="T112" s="12">
        <v>9375.3220250000013</v>
      </c>
      <c r="U112" s="12">
        <v>9526.5274450000015</v>
      </c>
      <c r="V112" s="12">
        <v>9688.65</v>
      </c>
      <c r="W112" s="12" t="s">
        <v>511</v>
      </c>
      <c r="Y112" s="12" t="s">
        <v>510</v>
      </c>
      <c r="Z112" s="12">
        <v>7308.4400144999991</v>
      </c>
      <c r="AA112" s="12">
        <v>7323.1427391666657</v>
      </c>
      <c r="AB112" s="12">
        <v>7341.5211449999988</v>
      </c>
      <c r="AC112" s="12">
        <v>7567.4881666666661</v>
      </c>
      <c r="AD112" s="12">
        <v>7706.933633333334</v>
      </c>
      <c r="AE112" s="12">
        <v>8026.1613166666666</v>
      </c>
      <c r="AF112" s="12">
        <v>8521.2332799999986</v>
      </c>
      <c r="AG112" s="12">
        <v>8615.9949066666668</v>
      </c>
      <c r="AH112" s="12">
        <v>8691.8042079999996</v>
      </c>
      <c r="AI112" s="12">
        <v>8840.27</v>
      </c>
      <c r="AJ112" s="12" t="s">
        <v>512</v>
      </c>
      <c r="AK112" s="12">
        <v>8179.1183101666666</v>
      </c>
      <c r="AL112" s="12">
        <v>8209.4148841666665</v>
      </c>
      <c r="AM112" s="12">
        <v>8247.2856016666665</v>
      </c>
      <c r="AN112" s="12">
        <v>8571.2134666666661</v>
      </c>
      <c r="AO112" s="12">
        <v>8673.4970500000018</v>
      </c>
      <c r="AP112" s="12">
        <v>9001.4077250000009</v>
      </c>
      <c r="AQ112" s="12">
        <v>9419.8918966666661</v>
      </c>
      <c r="AR112" s="12">
        <v>9487.0443483333329</v>
      </c>
      <c r="AS112" s="12">
        <v>9540.7663096666656</v>
      </c>
      <c r="AT112" s="12">
        <v>9678.14</v>
      </c>
      <c r="AU112" s="12" t="s">
        <v>512</v>
      </c>
      <c r="AW112" s="12">
        <f>IF(A112="","",MAX(0,MIN(1,(((IF(Статистика!$C$4="Параллельный режим (активная мощность)",B112,M112)+Статистика!$J$4))-Статистика!$C$10)/MAX(Статистика!$G$10-Статистика!$C$10,0.000001))))</f>
        <v>0</v>
      </c>
      <c r="AX112" s="12">
        <f>IF(A112="","",MAX(0,MAX(0,MIN(1,(((IF(Статистика!$C$4="Параллельный режим (активная мощность)",D112,O112)+Статистика!$J$4))-Статистика!$C$10)/MAX(Статистика!$G$10-Статистика!$C$10,0.000001)))-MAX(0,MIN(1,(((IF(Статистика!$C$4="Параллельный режим (активная мощность)",B112,M112)+Статистика!$J$4))-Статистика!$C$10)/MAX(Статистика!$G$10-Статистика!$C$10,0.000001)))))</f>
        <v>0.15882675166666679</v>
      </c>
      <c r="AY112" s="12">
        <f>IF(A112="","",MAX(0,MAX(0,MIN(1,(((IF(Статистика!$C$4="Параллельный режим (активная мощность)",E112,P112)+Статистика!$J$4))-Статистика!$C$10)/MAX(Статистика!$G$10-Статистика!$C$10,0.000001)))-MAX(0,MIN(1,(((IF(Статистика!$C$4="Параллельный режим (активная мощность)",D112,O112)+Статистика!$J$4))-Статистика!$C$10)/MAX(Статистика!$G$10-Статистика!$C$10,0.000001)))))</f>
        <v>0.33879961499999933</v>
      </c>
      <c r="AZ112" s="12">
        <f>IF(A112="","",MAX(0,MAX(0,MIN(1,(((IF(Статистика!$C$4="Параллельный режим (активная мощность)",F112,Q112)+Статистика!$J$4))-Статистика!$C$10)/MAX(Статистика!$G$10-Статистика!$C$10,0.000001)))-MAX(0,MIN(1,(((IF(Статистика!$C$4="Параллельный режим (активная мощность)",E112,P112)+Статистика!$J$4))-Статистика!$C$10)/MAX(Статистика!$G$10-Статистика!$C$10,0.000001)))))</f>
        <v>8.1299761111111979E-2</v>
      </c>
      <c r="BA112" s="12">
        <f>IF(A112="","",MAX(0,MAX(0,MIN(1,(((IF(Статистика!$C$4="Параллельный режим (активная мощность)",G112,R112)+Статистика!$J$4))-Статистика!$C$10)/MAX(Статистика!$G$10-Статистика!$C$10,0.000001)))-MAX(0,MIN(1,(((IF(Статистика!$C$4="Параллельный режим (активная мощность)",F112,Q112)+Статистика!$J$4))-Статистика!$C$10)/MAX(Статистика!$G$10-Статистика!$C$10,0.000001)))))</f>
        <v>6.7588874999999438E-2</v>
      </c>
      <c r="BB112" s="12">
        <f>IF(A112="","",MAX(0,MAX(0,MIN(1,(((IF(Статистика!$C$4="Параллельный режим (активная мощность)",H112,S112)+Статистика!$J$4))-Статистика!$C$10)/MAX(Статистика!$G$10-Статистика!$C$10,0.000001)))-MAX(0,MIN(1,(((IF(Статистика!$C$4="Параллельный режим (активная мощность)",G112,R112)+Статистика!$J$4))-Статистика!$C$10)/MAX(Статистика!$G$10-Статистика!$C$10,0.000001)))))</f>
        <v>8.6610746666666572E-2</v>
      </c>
      <c r="BC112" s="12">
        <f>IF(A112="","",MAX(0,MAX(0,MIN(1,(((IF(Статистика!$C$4="Параллельный режим (активная мощность)",J112,U112)+Статистика!$J$4))-Статистика!$C$10)/MAX(Статистика!$G$10-Статистика!$C$10,0.000001)))-MAX(0,MIN(1,(((IF(Статистика!$C$4="Параллельный режим (активная мощность)",H112,S112)+Статистика!$J$4))-Статистика!$C$10)/MAX(Статистика!$G$10-Статистика!$C$10,0.000001)))))</f>
        <v>0.10128928100000067</v>
      </c>
      <c r="BD112" s="12">
        <f>IF(A112="","",MAX(0,1-MAX(0,MIN(1,(((IF(Статистика!$C$4="Параллельный режим (активная мощность)",J112,U112)+Статистика!$J$4))-Статистика!$C$10)/MAX(Статистика!$G$10-Статистика!$C$10,0.000001)))))</f>
        <v>0.16558496955555524</v>
      </c>
      <c r="BE112" s="12">
        <f>IF(A112="",NA(),IF(Статистика!$B$8="Вкл",(((IF(Статистика!$C$4="Параллельный режим (активная мощность)",F112,Q112)+Статистика!$J$4))-Статистика!$C$10)/MAX(Статистика!$G$10-Статистика!$C$10,0.000001),NA()))</f>
        <v>0.57892612777777808</v>
      </c>
      <c r="BF112" s="12">
        <f>IF(A112="",NA(),IF(Статистика!$D$8="Вкл",(((IF(Статистика!$C$4="Параллельный режим (активная мощность)",E112,P112)+Статистика!$J$4))-Статистика!$C$10)/MAX(Статистика!$G$10-Статистика!$C$10,0.000001),NA()))</f>
        <v>0.4976263666666661</v>
      </c>
      <c r="BG112" s="12">
        <f>IF(A112="",NA(),IF(Статистика!$D$8="Вкл",(((IF(Статистика!$C$4="Параллельный режим (активная мощность)",G112,R112)+Статистика!$J$4))-Статистика!$C$10)/MAX(Статистика!$G$10-Статистика!$C$10,0.000001),NA()))</f>
        <v>0.64651500277777751</v>
      </c>
      <c r="BH112" s="12">
        <f>IF(A112="",NA(),IF(Статистика!$F$8="Вкл",(((IF(Статистика!$C$4="Параллельный режим (активная мощность)",D112,O112)+Статистика!$J$4))-Статистика!$C$10)/MAX(Статистика!$G$10-Статистика!$C$10,0.000001),NA()))</f>
        <v>0.15882675166666679</v>
      </c>
      <c r="BI112" s="12">
        <f>IF(A112="",NA(),IF(Статистика!$F$8="Вкл",(((IF(Статистика!$C$4="Параллельный режим (активная мощность)",H112,S112)+Статистика!$J$4))-Статистика!$C$10)/MAX(Статистика!$G$10-Статистика!$C$10,0.000001),NA()))</f>
        <v>0.73312574944444409</v>
      </c>
      <c r="BJ112" s="12">
        <f>IF(A112="",NA(),IF(Статистика!$H$8="Вкл",(((IF(Статистика!$C$4="Параллельный режим (активная мощность)",B112,M112)+Статистика!$J$4))-Статистика!$C$10)/MAX(Статистика!$G$10-Статистика!$C$10,0.000001),NA()))</f>
        <v>-1.3152896413333333</v>
      </c>
      <c r="BK112" s="12">
        <f>IF(A112="",NA(),IF(Статистика!$H$8="Вкл",(((IF(Статистика!$C$4="Параллельный режим (активная мощность)",J112,U112)+Статистика!$J$4))-Статистика!$C$10)/MAX(Статистика!$G$10-Статистика!$C$10,0.000001),NA()))</f>
        <v>0.83441503044444476</v>
      </c>
      <c r="BL112" s="12" t="e">
        <f>IF(A112="",NA(),IF(Статистика!$J$8="Вкл",(((IF(Статистика!$C$4="Параллельный режим (активная мощность)",K112,V112)+Статистика!$J$4))-Статистика!$C$10)/MAX(Статистика!$G$10-Статистика!$C$10,0.000001),NA()))</f>
        <v>#N/A</v>
      </c>
      <c r="BM112" s="12" t="e">
        <f>IF(AND(A112&lt;&gt;"",Статистика!$C$6="Вкл",Статистика!$B$6&gt;0),(Статистика!$B$6-Статистика!$C$10)/MAX(Статистика!$G$10-Статистика!$C$10,0.000001),NA())</f>
        <v>#N/A</v>
      </c>
      <c r="BN112" s="12" t="e">
        <f>IF(AND(A112&lt;&gt;"",Статистика!$F$6="Вкл",Статистика!$E$6&gt;0),(Статистика!$E$6-Статистика!$C$10)/MAX(Статистика!$G$10-Статистика!$C$10,0.000001),NA())</f>
        <v>#N/A</v>
      </c>
      <c r="BO112" s="12" t="e">
        <f>IF(AND(A112&lt;&gt;"",Статистика!$I$6="Вкл",Статистика!$H$6&gt;0),(Статистика!$H$6-Статистика!$C$10)/MAX(Статистика!$G$10-Статистика!$C$10,0.000001),NA())</f>
        <v>#N/A</v>
      </c>
      <c r="BP112" s="12" t="e">
        <f>IF(AND(A112&lt;&gt;"",Статистика!$L$6="Вкл",Статистика!$K$6&gt;0),(Статистика!$K$6-Статистика!$C$10)/MAX(Статистика!$G$10-Статистика!$C$10,0.000001),NA())</f>
        <v>#N/A</v>
      </c>
      <c r="BQ112" s="12" t="e">
        <f>IF(AND(A112&lt;&gt;"",Статистика!$M$6="Вкл",Статистика!$O$6&gt;0),(Статистика!$O$6-Статистика!$C$10)/MAX(Статистика!$G$10-Статистика!$C$10,0.000001),NA())</f>
        <v>#N/A</v>
      </c>
      <c r="BR112" s="12">
        <f t="shared" si="2"/>
        <v>1</v>
      </c>
      <c r="BT112" s="12">
        <f>IF(Y112="","",MAX(0,MIN(1,(((IF(Статистика!$C$4="Параллельный режим (активная мощность)",Z112,AK112)+Статистика!$J$4))-Статистика!$C$10)/MAX(Статистика!$G$10-Статистика!$C$10,0.000001))))</f>
        <v>0.43614667149999969</v>
      </c>
      <c r="BU112" s="12">
        <f>IF(Y112="","",MAX(0,MAX(0,MIN(1,(((IF(Статистика!$C$4="Параллельный режим (активная мощность)",AB112,AM112)+Статистика!$J$4))-Статистика!$C$10)/MAX(Статистика!$G$10-Статистика!$C$10,0.000001)))-MAX(0,MIN(1,(((IF(Статистика!$C$4="Параллельный режим (активная мощность)",Z112,AK112)+Статистика!$J$4))-Статистика!$C$10)/MAX(Статистика!$G$10-Статистика!$C$10,0.000001)))))</f>
        <v>1.1027043499999889E-2</v>
      </c>
      <c r="BV112" s="12">
        <f>IF(Y112="","",MAX(0,MAX(0,MIN(1,(((IF(Статистика!$C$4="Параллельный режим (активная мощность)",AC112,AN112)+Статистика!$J$4))-Статистика!$C$10)/MAX(Статистика!$G$10-Статистика!$C$10,0.000001)))-MAX(0,MIN(1,(((IF(Статистика!$C$4="Параллельный режим (активная мощность)",AB112,AM112)+Статистика!$J$4))-Статистика!$C$10)/MAX(Статистика!$G$10-Статистика!$C$10,0.000001)))))</f>
        <v>7.5322340555555756E-2</v>
      </c>
      <c r="BW112" s="12">
        <f>IF(Y112="","",MAX(0,MAX(0,MIN(1,(((IF(Статистика!$C$4="Параллельный режим (активная мощность)",AD112,AO112)+Статистика!$J$4))-Статистика!$C$10)/MAX(Статистика!$G$10-Статистика!$C$10,0.000001)))-MAX(0,MIN(1,(((IF(Статистика!$C$4="Параллельный режим (активная мощность)",AC112,AN112)+Статистика!$J$4))-Статистика!$C$10)/MAX(Статистика!$G$10-Статистика!$C$10,0.000001)))))</f>
        <v>4.6481822222222635E-2</v>
      </c>
      <c r="BX112" s="12">
        <f>IF(Y112="","",MAX(0,MAX(0,MIN(1,(((IF(Статистика!$C$4="Параллельный режим (активная мощность)",AE112,AP112)+Статистика!$J$4))-Статистика!$C$10)/MAX(Статистика!$G$10-Статистика!$C$10,0.000001)))-MAX(0,MIN(1,(((IF(Статистика!$C$4="Параллельный режим (активная мощность)",AD112,AO112)+Статистика!$J$4))-Статистика!$C$10)/MAX(Статистика!$G$10-Статистика!$C$10,0.000001)))))</f>
        <v>0.10640922777777762</v>
      </c>
      <c r="BY112" s="12">
        <f>IF(Y112="","",MAX(0,MAX(0,MIN(1,(((IF(Статистика!$C$4="Параллельный режим (активная мощность)",AF112,AQ112)+Статистика!$J$4))-Статистика!$C$10)/MAX(Статистика!$G$10-Статистика!$C$10,0.000001)))-MAX(0,MIN(1,(((IF(Статистика!$C$4="Параллельный режим (активная мощность)",AE112,AP112)+Статистика!$J$4))-Статистика!$C$10)/MAX(Статистика!$G$10-Статистика!$C$10,0.000001)))))</f>
        <v>0.16502398777777727</v>
      </c>
      <c r="BZ112" s="12">
        <f>IF(Y112="","",MAX(0,MAX(0,MIN(1,(((IF(Статистика!$C$4="Параллельный режим (активная мощность)",AH112,AS112)+Статистика!$J$4))-Статистика!$C$10)/MAX(Статистика!$G$10-Статистика!$C$10,0.000001)))-MAX(0,MIN(1,(((IF(Статистика!$C$4="Параллельный режим (активная мощность)",AF112,AQ112)+Статистика!$J$4))-Статистика!$C$10)/MAX(Статистика!$G$10-Статистика!$C$10,0.000001)))))</f>
        <v>5.6856976000000281E-2</v>
      </c>
      <c r="CA112" s="12">
        <f>IF(Y112="","",MAX(0,1-MAX(0,MIN(1,(((IF(Статистика!$C$4="Параллельный режим (активная мощность)",AH112,AS112)+Статистика!$J$4))-Статистика!$C$10)/MAX(Статистика!$G$10-Статистика!$C$10,0.000001)))))</f>
        <v>0.10273193066666686</v>
      </c>
      <c r="CB112" s="12">
        <f>IF(Y112="",NA(),IF(Статистика!$B$8="Вкл",(((IF(Статистика!$C$4="Параллельный режим (активная мощность)",AD112,AO112)+Статистика!$J$4))-Статистика!$C$10)/MAX(Статистика!$G$10-Статистика!$C$10,0.000001),NA()))</f>
        <v>0.56897787777777797</v>
      </c>
      <c r="CC112" s="12">
        <f>IF(Y112="",NA(),IF(Статистика!$D$8="Вкл",(((IF(Статистика!$C$4="Параллельный режим (активная мощность)",AC112,AN112)+Статистика!$J$4))-Статистика!$C$10)/MAX(Статистика!$G$10-Статистика!$C$10,0.000001),NA()))</f>
        <v>0.52249605555555534</v>
      </c>
      <c r="CD112" s="12">
        <f>IF(Y112="",NA(),IF(Статистика!$D$8="Вкл",(((IF(Статистика!$C$4="Параллельный режим (активная мощность)",AE112,AP112)+Статистика!$J$4))-Статистика!$C$10)/MAX(Статистика!$G$10-Статистика!$C$10,0.000001),NA()))</f>
        <v>0.67538710555555559</v>
      </c>
      <c r="CE112" s="12">
        <f>IF(Y112="",NA(),IF(Статистика!$F$8="Вкл",(((IF(Статистика!$C$4="Параллельный режим (активная мощность)",AB112,AM112)+Статистика!$J$4))-Статистика!$C$10)/MAX(Статистика!$G$10-Статистика!$C$10,0.000001),NA()))</f>
        <v>0.44717371499999958</v>
      </c>
      <c r="CF112" s="12">
        <f>IF(Y112="",NA(),IF(Статистика!$F$8="Вкл",(((IF(Статистика!$C$4="Параллельный режим (активная мощность)",AF112,AQ112)+Статистика!$J$4))-Статистика!$C$10)/MAX(Статистика!$G$10-Статистика!$C$10,0.000001),NA()))</f>
        <v>0.84041109333333286</v>
      </c>
      <c r="CG112" s="12">
        <f>IF(Y112="",NA(),IF(Статистика!$H$8="Вкл",(((IF(Статистика!$C$4="Параллельный режим (активная мощность)",Z112,AK112)+Статистика!$J$4))-Статистика!$C$10)/MAX(Статистика!$G$10-Статистика!$C$10,0.000001),NA()))</f>
        <v>0.43614667149999969</v>
      </c>
      <c r="CH112" s="12">
        <f>IF(Y112="",NA(),IF(Статистика!$H$8="Вкл",(((IF(Статистика!$C$4="Параллельный режим (активная мощность)",AH112,AS112)+Статистика!$J$4))-Статистика!$C$10)/MAX(Статистика!$G$10-Статистика!$C$10,0.000001),NA()))</f>
        <v>0.89726806933333314</v>
      </c>
      <c r="CI112" s="12" t="e">
        <f>IF(Y112="",NA(),IF(Статистика!$J$8="Вкл",(((IF(Статистика!$C$4="Параллельный режим (активная мощность)",AI112,AT112)+Статистика!$J$4))-Статистика!$C$10)/MAX(Статистика!$G$10-Статистика!$C$10,0.000001),NA()))</f>
        <v>#N/A</v>
      </c>
      <c r="CJ112" s="12" t="e">
        <f>IF(AND(Y112&lt;&gt;"",Статистика!$C$6="Вкл",Статистика!$B$6&gt;0),(Статистика!$B$6-Статистика!$C$10)/MAX(Статистика!$G$10-Статистика!$C$10,0.000001),NA())</f>
        <v>#N/A</v>
      </c>
      <c r="CK112" s="12" t="e">
        <f>IF(AND(Y112&lt;&gt;"",Статистика!$F$6="Вкл",Статистика!$E$6&gt;0),(Статистика!$E$6-Статистика!$C$10)/MAX(Статистика!$G$10-Статистика!$C$10,0.000001),NA())</f>
        <v>#N/A</v>
      </c>
      <c r="CL112" s="12" t="e">
        <f>IF(AND(Y112&lt;&gt;"",Статистика!$I$6="Вкл",Статистика!$H$6&gt;0),(Статистика!$H$6-Статистика!$C$10)/MAX(Статистика!$G$10-Статистика!$C$10,0.000001),NA())</f>
        <v>#N/A</v>
      </c>
      <c r="CM112" s="12" t="e">
        <f>IF(AND(Y112&lt;&gt;"",Статистика!$L$6="Вкл",Статистика!$K$6&gt;0),(Статистика!$K$6-Статистика!$C$10)/MAX(Статистика!$G$10-Статистика!$C$10,0.000001),NA())</f>
        <v>#N/A</v>
      </c>
      <c r="CN112" s="12" t="e">
        <f>IF(AND(Y112&lt;&gt;"",Статистика!$M$6="Вкл",Статистика!$O$6&gt;0),(Статистика!$O$6-Статистика!$C$10)/MAX(Статистика!$G$10-Статистика!$C$10,0.000001),NA())</f>
        <v>#N/A</v>
      </c>
      <c r="CO112" s="12">
        <f t="shared" si="3"/>
        <v>1</v>
      </c>
    </row>
    <row r="113" spans="1:93" ht="15" customHeight="1">
      <c r="A113" s="12" t="s">
        <v>513</v>
      </c>
      <c r="B113" s="12">
        <v>2060.1464131666667</v>
      </c>
      <c r="C113" s="12">
        <v>4741.7271325000002</v>
      </c>
      <c r="D113" s="12">
        <v>6443.9766166666659</v>
      </c>
      <c r="E113" s="12">
        <v>7417.462908333333</v>
      </c>
      <c r="F113" s="12">
        <v>7717.7177666666666</v>
      </c>
      <c r="G113" s="12">
        <v>7886.8488833333331</v>
      </c>
      <c r="H113" s="12">
        <v>8136.0287466666668</v>
      </c>
      <c r="I113" s="12">
        <v>8283.2293241666666</v>
      </c>
      <c r="J113" s="12">
        <v>8494.2711981666671</v>
      </c>
      <c r="K113" s="12">
        <v>8693.89</v>
      </c>
      <c r="L113" s="12" t="s">
        <v>514</v>
      </c>
      <c r="M113" s="12">
        <v>2500.9792990000001</v>
      </c>
      <c r="N113" s="12">
        <v>5449.4244950000011</v>
      </c>
      <c r="O113" s="12">
        <v>7356.2225950000002</v>
      </c>
      <c r="P113" s="12">
        <v>8365.0555833333328</v>
      </c>
      <c r="Q113" s="12">
        <v>8686.398533333333</v>
      </c>
      <c r="R113" s="12">
        <v>8843.9609416666681</v>
      </c>
      <c r="S113" s="12">
        <v>9141.5127016666647</v>
      </c>
      <c r="T113" s="12">
        <v>9295.1231558333329</v>
      </c>
      <c r="U113" s="12">
        <v>9501.7999111666686</v>
      </c>
      <c r="V113" s="12">
        <v>9686.9500000000007</v>
      </c>
      <c r="W113" s="12" t="s">
        <v>514</v>
      </c>
      <c r="Y113" s="12" t="s">
        <v>513</v>
      </c>
      <c r="Z113" s="12">
        <v>7309.8409799999999</v>
      </c>
      <c r="AA113" s="12">
        <v>7330.4057000000003</v>
      </c>
      <c r="AB113" s="12">
        <v>7356.1116000000002</v>
      </c>
      <c r="AC113" s="12">
        <v>7526.2731416666675</v>
      </c>
      <c r="AD113" s="12">
        <v>7685.0532166666662</v>
      </c>
      <c r="AE113" s="12">
        <v>7988.6386000000002</v>
      </c>
      <c r="AF113" s="12">
        <v>8483.9256349999996</v>
      </c>
      <c r="AG113" s="12">
        <v>8583.6002008333344</v>
      </c>
      <c r="AH113" s="12">
        <v>8663.3398535000015</v>
      </c>
      <c r="AI113" s="12">
        <v>8979.6200000000008</v>
      </c>
      <c r="AJ113" s="12" t="s">
        <v>515</v>
      </c>
      <c r="AK113" s="12">
        <v>8169.1682525000006</v>
      </c>
      <c r="AL113" s="12">
        <v>8207.9943291666677</v>
      </c>
      <c r="AM113" s="12">
        <v>8256.5269250000001</v>
      </c>
      <c r="AN113" s="12">
        <v>8513.8533666666663</v>
      </c>
      <c r="AO113" s="12">
        <v>8660.4452999999994</v>
      </c>
      <c r="AP113" s="12">
        <v>8974.5963166666679</v>
      </c>
      <c r="AQ113" s="12">
        <v>9399.1695083333343</v>
      </c>
      <c r="AR113" s="12">
        <v>9475.1108041666666</v>
      </c>
      <c r="AS113" s="12">
        <v>9535.8638408333336</v>
      </c>
      <c r="AT113" s="12">
        <v>9941.69</v>
      </c>
      <c r="AU113" s="12" t="s">
        <v>515</v>
      </c>
      <c r="AW113" s="12">
        <f>IF(A113="","",MAX(0,MIN(1,(((IF(Статистика!$C$4="Параллельный режим (активная мощность)",B113,M113)+Статистика!$J$4))-Статистика!$C$10)/MAX(Статистика!$G$10-Статистика!$C$10,0.000001))))</f>
        <v>0</v>
      </c>
      <c r="AX113" s="12">
        <f>IF(A113="","",MAX(0,MAX(0,MIN(1,(((IF(Статистика!$C$4="Параллельный режим (активная мощность)",D113,O113)+Статистика!$J$4))-Статистика!$C$10)/MAX(Статистика!$G$10-Статистика!$C$10,0.000001)))-MAX(0,MIN(1,(((IF(Статистика!$C$4="Параллельный режим (активная мощность)",B113,M113)+Статистика!$J$4))-Статистика!$C$10)/MAX(Статистика!$G$10-Статистика!$C$10,0.000001)))))</f>
        <v>0.14799220555555531</v>
      </c>
      <c r="AY113" s="12">
        <f>IF(A113="","",MAX(0,MAX(0,MIN(1,(((IF(Статистика!$C$4="Параллельный режим (активная мощность)",E113,P113)+Статистика!$J$4))-Статистика!$C$10)/MAX(Статистика!$G$10-Статистика!$C$10,0.000001)))-MAX(0,MIN(1,(((IF(Статистика!$C$4="Параллельный режим (активная мощность)",D113,O113)+Статистика!$J$4))-Статистика!$C$10)/MAX(Статистика!$G$10-Статистика!$C$10,0.000001)))))</f>
        <v>0.32449543055555569</v>
      </c>
      <c r="AZ113" s="12">
        <f>IF(A113="","",MAX(0,MAX(0,MIN(1,(((IF(Статистика!$C$4="Параллельный режим (активная мощность)",F113,Q113)+Статистика!$J$4))-Статистика!$C$10)/MAX(Статистика!$G$10-Статистика!$C$10,0.000001)))-MAX(0,MIN(1,(((IF(Статистика!$C$4="Параллельный режим (активная мощность)",E113,P113)+Статистика!$J$4))-Статистика!$C$10)/MAX(Статистика!$G$10-Статистика!$C$10,0.000001)))))</f>
        <v>0.10008495277777785</v>
      </c>
      <c r="BA113" s="12">
        <f>IF(A113="","",MAX(0,MAX(0,MIN(1,(((IF(Статистика!$C$4="Параллельный режим (активная мощность)",G113,R113)+Статистика!$J$4))-Статистика!$C$10)/MAX(Статистика!$G$10-Статистика!$C$10,0.000001)))-MAX(0,MIN(1,(((IF(Статистика!$C$4="Параллельный режим (активная мощность)",F113,Q113)+Статистика!$J$4))-Статистика!$C$10)/MAX(Статистика!$G$10-Статистика!$C$10,0.000001)))))</f>
        <v>5.6377038888888897E-2</v>
      </c>
      <c r="BB113" s="12">
        <f>IF(A113="","",MAX(0,MAX(0,MIN(1,(((IF(Статистика!$C$4="Параллельный режим (активная мощность)",H113,S113)+Статистика!$J$4))-Статистика!$C$10)/MAX(Статистика!$G$10-Статистика!$C$10,0.000001)))-MAX(0,MIN(1,(((IF(Статистика!$C$4="Параллельный режим (активная мощность)",G113,R113)+Статистика!$J$4))-Статистика!$C$10)/MAX(Статистика!$G$10-Статистика!$C$10,0.000001)))))</f>
        <v>8.3059954444444584E-2</v>
      </c>
      <c r="BC113" s="12">
        <f>IF(A113="","",MAX(0,MAX(0,MIN(1,(((IF(Статистика!$C$4="Параллельный режим (активная мощность)",J113,U113)+Статистика!$J$4))-Статистика!$C$10)/MAX(Статистика!$G$10-Статистика!$C$10,0.000001)))-MAX(0,MIN(1,(((IF(Статистика!$C$4="Параллельный режим (активная мощность)",H113,S113)+Статистика!$J$4))-Статистика!$C$10)/MAX(Статистика!$G$10-Статистика!$C$10,0.000001)))))</f>
        <v>0.11941415050000004</v>
      </c>
      <c r="BD113" s="12">
        <f>IF(A113="","",MAX(0,1-MAX(0,MIN(1,(((IF(Статистика!$C$4="Параллельный режим (активная мощность)",J113,U113)+Статистика!$J$4))-Статистика!$C$10)/MAX(Статистика!$G$10-Статистика!$C$10,0.000001)))))</f>
        <v>0.16857626727777764</v>
      </c>
      <c r="BE113" s="12">
        <f>IF(A113="",NA(),IF(Статистика!$B$8="Вкл",(((IF(Статистика!$C$4="Параллельный режим (активная мощность)",F113,Q113)+Статистика!$J$4))-Статистика!$C$10)/MAX(Статистика!$G$10-Статистика!$C$10,0.000001),NA()))</f>
        <v>0.57257258888888884</v>
      </c>
      <c r="BF113" s="12">
        <f>IF(A113="",NA(),IF(Статистика!$D$8="Вкл",(((IF(Статистика!$C$4="Параллельный режим (активная мощность)",E113,P113)+Статистика!$J$4))-Статистика!$C$10)/MAX(Статистика!$G$10-Статистика!$C$10,0.000001),NA()))</f>
        <v>0.472487636111111</v>
      </c>
      <c r="BG113" s="12">
        <f>IF(A113="",NA(),IF(Статистика!$D$8="Вкл",(((IF(Статистика!$C$4="Параллельный режим (активная мощность)",G113,R113)+Статистика!$J$4))-Статистика!$C$10)/MAX(Статистика!$G$10-Статистика!$C$10,0.000001),NA()))</f>
        <v>0.62894962777777774</v>
      </c>
      <c r="BH113" s="12">
        <f>IF(A113="",NA(),IF(Статистика!$F$8="Вкл",(((IF(Статистика!$C$4="Параллельный режим (активная мощность)",D113,O113)+Статистика!$J$4))-Статистика!$C$10)/MAX(Статистика!$G$10-Статистика!$C$10,0.000001),NA()))</f>
        <v>0.14799220555555531</v>
      </c>
      <c r="BI113" s="12">
        <f>IF(A113="",NA(),IF(Статистика!$F$8="Вкл",(((IF(Статистика!$C$4="Параллельный режим (активная мощность)",H113,S113)+Статистика!$J$4))-Статистика!$C$10)/MAX(Статистика!$G$10-Статистика!$C$10,0.000001),NA()))</f>
        <v>0.71200958222222233</v>
      </c>
      <c r="BJ113" s="12">
        <f>IF(A113="",NA(),IF(Статистика!$H$8="Вкл",(((IF(Статистика!$C$4="Параллельный режим (активная мощность)",B113,M113)+Статистика!$J$4))-Статистика!$C$10)/MAX(Статистика!$G$10-Статистика!$C$10,0.000001),NA()))</f>
        <v>-1.3132845289444444</v>
      </c>
      <c r="BK113" s="12">
        <f>IF(A113="",NA(),IF(Статистика!$H$8="Вкл",(((IF(Статистика!$C$4="Параллельный режим (активная мощность)",J113,U113)+Статистика!$J$4))-Статистика!$C$10)/MAX(Статистика!$G$10-Статистика!$C$10,0.000001),NA()))</f>
        <v>0.83142373272222236</v>
      </c>
      <c r="BL113" s="12" t="e">
        <f>IF(A113="",NA(),IF(Статистика!$J$8="Вкл",(((IF(Статистика!$C$4="Параллельный режим (активная мощность)",K113,V113)+Статистика!$J$4))-Статистика!$C$10)/MAX(Статистика!$G$10-Статистика!$C$10,0.000001),NA()))</f>
        <v>#N/A</v>
      </c>
      <c r="BM113" s="12" t="e">
        <f>IF(AND(A113&lt;&gt;"",Статистика!$C$6="Вкл",Статистика!$B$6&gt;0),(Статистика!$B$6-Статистика!$C$10)/MAX(Статистика!$G$10-Статистика!$C$10,0.000001),NA())</f>
        <v>#N/A</v>
      </c>
      <c r="BN113" s="12" t="e">
        <f>IF(AND(A113&lt;&gt;"",Статистика!$F$6="Вкл",Статистика!$E$6&gt;0),(Статистика!$E$6-Статистика!$C$10)/MAX(Статистика!$G$10-Статистика!$C$10,0.000001),NA())</f>
        <v>#N/A</v>
      </c>
      <c r="BO113" s="12" t="e">
        <f>IF(AND(A113&lt;&gt;"",Статистика!$I$6="Вкл",Статистика!$H$6&gt;0),(Статистика!$H$6-Статистика!$C$10)/MAX(Статистика!$G$10-Статистика!$C$10,0.000001),NA())</f>
        <v>#N/A</v>
      </c>
      <c r="BP113" s="12" t="e">
        <f>IF(AND(A113&lt;&gt;"",Статистика!$L$6="Вкл",Статистика!$K$6&gt;0),(Статистика!$K$6-Статистика!$C$10)/MAX(Статистика!$G$10-Статистика!$C$10,0.000001),NA())</f>
        <v>#N/A</v>
      </c>
      <c r="BQ113" s="12" t="e">
        <f>IF(AND(A113&lt;&gt;"",Статистика!$M$6="Вкл",Статистика!$O$6&gt;0),(Статистика!$O$6-Статистика!$C$10)/MAX(Статистика!$G$10-Статистика!$C$10,0.000001),NA())</f>
        <v>#N/A</v>
      </c>
      <c r="BR113" s="12">
        <f t="shared" si="2"/>
        <v>1</v>
      </c>
      <c r="BT113" s="12">
        <f>IF(Y113="","",MAX(0,MIN(1,(((IF(Статистика!$C$4="Параллельный режим (активная мощность)",Z113,AK113)+Статистика!$J$4))-Статистика!$C$10)/MAX(Статистика!$G$10-Статистика!$C$10,0.000001))))</f>
        <v>0.43661365999999996</v>
      </c>
      <c r="BU113" s="12">
        <f>IF(Y113="","",MAX(0,MAX(0,MIN(1,(((IF(Статистика!$C$4="Параллельный режим (активная мощность)",AB113,AM113)+Статистика!$J$4))-Статистика!$C$10)/MAX(Статистика!$G$10-Статистика!$C$10,0.000001)))-MAX(0,MIN(1,(((IF(Статистика!$C$4="Параллельный режим (активная мощность)",Z113,AK113)+Статистика!$J$4))-Статистика!$C$10)/MAX(Статистика!$G$10-Статистика!$C$10,0.000001)))))</f>
        <v>1.5423540000000124E-2</v>
      </c>
      <c r="BV113" s="12">
        <f>IF(Y113="","",MAX(0,MAX(0,MIN(1,(((IF(Статистика!$C$4="Параллельный режим (активная мощность)",AC113,AN113)+Статистика!$J$4))-Статистика!$C$10)/MAX(Статистика!$G$10-Статистика!$C$10,0.000001)))-MAX(0,MIN(1,(((IF(Статистика!$C$4="Параллельный режим (активная мощность)",AB113,AM113)+Статистика!$J$4))-Статистика!$C$10)/MAX(Статистика!$G$10-Статистика!$C$10,0.000001)))))</f>
        <v>5.6720513888889046E-2</v>
      </c>
      <c r="BW113" s="12">
        <f>IF(Y113="","",MAX(0,MAX(0,MIN(1,(((IF(Статистика!$C$4="Параллельный режим (активная мощность)",AD113,AO113)+Статистика!$J$4))-Статистика!$C$10)/MAX(Статистика!$G$10-Статистика!$C$10,0.000001)))-MAX(0,MIN(1,(((IF(Статистика!$C$4="Параллельный режим (активная мощность)",AC113,AN113)+Статистика!$J$4))-Статистика!$C$10)/MAX(Статистика!$G$10-Статистика!$C$10,0.000001)))))</f>
        <v>5.2926691666666303E-2</v>
      </c>
      <c r="BX113" s="12">
        <f>IF(Y113="","",MAX(0,MAX(0,MIN(1,(((IF(Статистика!$C$4="Параллельный режим (активная мощность)",AE113,AP113)+Статистика!$J$4))-Статистика!$C$10)/MAX(Статистика!$G$10-Статистика!$C$10,0.000001)))-MAX(0,MIN(1,(((IF(Статистика!$C$4="Параллельный режим (активная мощность)",AD113,AO113)+Статистика!$J$4))-Статистика!$C$10)/MAX(Статистика!$G$10-Статистика!$C$10,0.000001)))))</f>
        <v>0.10119512777777795</v>
      </c>
      <c r="BY113" s="12">
        <f>IF(Y113="","",MAX(0,MAX(0,MIN(1,(((IF(Статистика!$C$4="Параллельный режим (активная мощность)",AF113,AQ113)+Статистика!$J$4))-Статистика!$C$10)/MAX(Статистика!$G$10-Статистика!$C$10,0.000001)))-MAX(0,MIN(1,(((IF(Статистика!$C$4="Параллельный режим (активная мощность)",AE113,AP113)+Статистика!$J$4))-Статистика!$C$10)/MAX(Статистика!$G$10-Статистика!$C$10,0.000001)))))</f>
        <v>0.16509567833333316</v>
      </c>
      <c r="BZ113" s="12">
        <f>IF(Y113="","",MAX(0,MAX(0,MIN(1,(((IF(Статистика!$C$4="Параллельный режим (активная мощность)",AH113,AS113)+Статистика!$J$4))-Статистика!$C$10)/MAX(Статистика!$G$10-Статистика!$C$10,0.000001)))-MAX(0,MIN(1,(((IF(Статистика!$C$4="Параллельный режим (активная мощность)",AF113,AQ113)+Статистика!$J$4))-Статистика!$C$10)/MAX(Статистика!$G$10-Статистика!$C$10,0.000001)))))</f>
        <v>5.9804739500000648E-2</v>
      </c>
      <c r="CA113" s="12">
        <f>IF(Y113="","",MAX(0,1-MAX(0,MIN(1,(((IF(Статистика!$C$4="Параллельный режим (активная мощность)",AH113,AS113)+Статистика!$J$4))-Статистика!$C$10)/MAX(Статистика!$G$10-Статистика!$C$10,0.000001)))))</f>
        <v>0.11222004883333281</v>
      </c>
      <c r="CB113" s="12">
        <f>IF(Y113="",NA(),IF(Статистика!$B$8="Вкл",(((IF(Статистика!$C$4="Параллельный режим (активная мощность)",AD113,AO113)+Статистика!$J$4))-Статистика!$C$10)/MAX(Статистика!$G$10-Статистика!$C$10,0.000001),NA()))</f>
        <v>0.56168440555555543</v>
      </c>
      <c r="CC113" s="12">
        <f>IF(Y113="",NA(),IF(Статистика!$D$8="Вкл",(((IF(Статистика!$C$4="Параллельный режим (активная мощность)",AC113,AN113)+Статистика!$J$4))-Статистика!$C$10)/MAX(Статистика!$G$10-Статистика!$C$10,0.000001),NA()))</f>
        <v>0.50875771388888913</v>
      </c>
      <c r="CD113" s="12">
        <f>IF(Y113="",NA(),IF(Статистика!$D$8="Вкл",(((IF(Статистика!$C$4="Параллельный режим (активная мощность)",AE113,AP113)+Статистика!$J$4))-Статистика!$C$10)/MAX(Статистика!$G$10-Статистика!$C$10,0.000001),NA()))</f>
        <v>0.66287953333333338</v>
      </c>
      <c r="CE113" s="12">
        <f>IF(Y113="",NA(),IF(Статистика!$F$8="Вкл",(((IF(Статистика!$C$4="Параллельный режим (активная мощность)",AB113,AM113)+Статистика!$J$4))-Статистика!$C$10)/MAX(Статистика!$G$10-Статистика!$C$10,0.000001),NA()))</f>
        <v>0.45203720000000008</v>
      </c>
      <c r="CF113" s="12">
        <f>IF(Y113="",NA(),IF(Статистика!$F$8="Вкл",(((IF(Статистика!$C$4="Параллельный режим (активная мощность)",AF113,AQ113)+Статистика!$J$4))-Статистика!$C$10)/MAX(Статистика!$G$10-Статистика!$C$10,0.000001),NA()))</f>
        <v>0.82797521166666654</v>
      </c>
      <c r="CG113" s="12">
        <f>IF(Y113="",NA(),IF(Статистика!$H$8="Вкл",(((IF(Статистика!$C$4="Параллельный режим (активная мощность)",Z113,AK113)+Статистика!$J$4))-Статистика!$C$10)/MAX(Статистика!$G$10-Статистика!$C$10,0.000001),NA()))</f>
        <v>0.43661365999999996</v>
      </c>
      <c r="CH113" s="12">
        <f>IF(Y113="",NA(),IF(Статистика!$H$8="Вкл",(((IF(Статистика!$C$4="Параллельный режим (активная мощность)",AH113,AS113)+Статистика!$J$4))-Статистика!$C$10)/MAX(Статистика!$G$10-Статистика!$C$10,0.000001),NA()))</f>
        <v>0.88777995116666719</v>
      </c>
      <c r="CI113" s="12" t="e">
        <f>IF(Y113="",NA(),IF(Статистика!$J$8="Вкл",(((IF(Статистика!$C$4="Параллельный режим (активная мощность)",AI113,AT113)+Статистика!$J$4))-Статистика!$C$10)/MAX(Статистика!$G$10-Статистика!$C$10,0.000001),NA()))</f>
        <v>#N/A</v>
      </c>
      <c r="CJ113" s="12" t="e">
        <f>IF(AND(Y113&lt;&gt;"",Статистика!$C$6="Вкл",Статистика!$B$6&gt;0),(Статистика!$B$6-Статистика!$C$10)/MAX(Статистика!$G$10-Статистика!$C$10,0.000001),NA())</f>
        <v>#N/A</v>
      </c>
      <c r="CK113" s="12" t="e">
        <f>IF(AND(Y113&lt;&gt;"",Статистика!$F$6="Вкл",Статистика!$E$6&gt;0),(Статистика!$E$6-Статистика!$C$10)/MAX(Статистика!$G$10-Статистика!$C$10,0.000001),NA())</f>
        <v>#N/A</v>
      </c>
      <c r="CL113" s="12" t="e">
        <f>IF(AND(Y113&lt;&gt;"",Статистика!$I$6="Вкл",Статистика!$H$6&gt;0),(Статистика!$H$6-Статистика!$C$10)/MAX(Статистика!$G$10-Статистика!$C$10,0.000001),NA())</f>
        <v>#N/A</v>
      </c>
      <c r="CM113" s="12" t="e">
        <f>IF(AND(Y113&lt;&gt;"",Статистика!$L$6="Вкл",Статистика!$K$6&gt;0),(Статистика!$K$6-Статистика!$C$10)/MAX(Статистика!$G$10-Статистика!$C$10,0.000001),NA())</f>
        <v>#N/A</v>
      </c>
      <c r="CN113" s="12" t="e">
        <f>IF(AND(Y113&lt;&gt;"",Статистика!$M$6="Вкл",Статистика!$O$6&gt;0),(Статистика!$O$6-Статистика!$C$10)/MAX(Статистика!$G$10-Статистика!$C$10,0.000001),NA())</f>
        <v>#N/A</v>
      </c>
      <c r="CO113" s="12">
        <f t="shared" si="3"/>
        <v>1</v>
      </c>
    </row>
    <row r="114" spans="1:93" ht="15" customHeight="1">
      <c r="A114" s="12" t="s">
        <v>516</v>
      </c>
      <c r="B114" s="12">
        <v>2037.0701398333331</v>
      </c>
      <c r="C114" s="12">
        <v>4722.4293658333336</v>
      </c>
      <c r="D114" s="12">
        <v>6449.5476283333337</v>
      </c>
      <c r="E114" s="12">
        <v>7418.3472499999998</v>
      </c>
      <c r="F114" s="12">
        <v>7693.5594500000007</v>
      </c>
      <c r="G114" s="12">
        <v>7847.7202083333341</v>
      </c>
      <c r="H114" s="12">
        <v>8137.6821649999993</v>
      </c>
      <c r="I114" s="12">
        <v>8263.9103733333341</v>
      </c>
      <c r="J114" s="12">
        <v>8406.4582879999998</v>
      </c>
      <c r="K114" s="12">
        <v>8515.09</v>
      </c>
      <c r="L114" s="12" t="s">
        <v>517</v>
      </c>
      <c r="M114" s="12">
        <v>2449.5308608333335</v>
      </c>
      <c r="N114" s="12">
        <v>5422.9895041666668</v>
      </c>
      <c r="O114" s="12">
        <v>7379.1328783333338</v>
      </c>
      <c r="P114" s="12">
        <v>8357.9725833333341</v>
      </c>
      <c r="Q114" s="12">
        <v>8624.8978500000012</v>
      </c>
      <c r="R114" s="12">
        <v>8814.8069416666676</v>
      </c>
      <c r="S114" s="12">
        <v>9143.6146199999985</v>
      </c>
      <c r="T114" s="12">
        <v>9271.5060141666654</v>
      </c>
      <c r="U114" s="12">
        <v>9410.2409895000001</v>
      </c>
      <c r="V114" s="12">
        <v>9513.52</v>
      </c>
      <c r="W114" s="12" t="s">
        <v>518</v>
      </c>
      <c r="Y114" s="12" t="s">
        <v>516</v>
      </c>
      <c r="Z114" s="12">
        <v>7170.2325036666671</v>
      </c>
      <c r="AA114" s="12">
        <v>7189.8051850000002</v>
      </c>
      <c r="AB114" s="12">
        <v>7214.271036666667</v>
      </c>
      <c r="AC114" s="12">
        <v>7503.8640750000004</v>
      </c>
      <c r="AD114" s="12">
        <v>7832.3939000000009</v>
      </c>
      <c r="AE114" s="12">
        <v>8039.4672250000003</v>
      </c>
      <c r="AF114" s="12">
        <v>8477.816901666667</v>
      </c>
      <c r="AG114" s="12">
        <v>8594.7002341666666</v>
      </c>
      <c r="AH114" s="12">
        <v>8688.2069001666678</v>
      </c>
      <c r="AI114" s="12">
        <v>8801.73</v>
      </c>
      <c r="AJ114" s="12" t="s">
        <v>519</v>
      </c>
      <c r="AK114" s="12">
        <v>8031.4366526666672</v>
      </c>
      <c r="AL114" s="12">
        <v>8071.4396633333336</v>
      </c>
      <c r="AM114" s="12">
        <v>8121.4434266666676</v>
      </c>
      <c r="AN114" s="12">
        <v>8486.6509166666674</v>
      </c>
      <c r="AO114" s="12">
        <v>8858.9582833333334</v>
      </c>
      <c r="AP114" s="12">
        <v>9000.2137416666683</v>
      </c>
      <c r="AQ114" s="12">
        <v>9456.72588</v>
      </c>
      <c r="AR114" s="12">
        <v>9578.8767733333334</v>
      </c>
      <c r="AS114" s="12">
        <v>9676.5974880000012</v>
      </c>
      <c r="AT114" s="12">
        <v>9823.06</v>
      </c>
      <c r="AU114" s="12" t="s">
        <v>519</v>
      </c>
      <c r="AW114" s="12">
        <f>IF(A114="","",MAX(0,MIN(1,(((IF(Статистика!$C$4="Параллельный режим (активная мощность)",B114,M114)+Статистика!$J$4))-Статистика!$C$10)/MAX(Статистика!$G$10-Статистика!$C$10,0.000001))))</f>
        <v>0</v>
      </c>
      <c r="AX114" s="12">
        <f>IF(A114="","",MAX(0,MAX(0,MIN(1,(((IF(Статистика!$C$4="Параллельный режим (активная мощность)",D114,O114)+Статистика!$J$4))-Статистика!$C$10)/MAX(Статистика!$G$10-Статистика!$C$10,0.000001)))-MAX(0,MIN(1,(((IF(Статистика!$C$4="Параллельный режим (активная мощность)",B114,M114)+Статистика!$J$4))-Статистика!$C$10)/MAX(Статистика!$G$10-Статистика!$C$10,0.000001)))))</f>
        <v>0.14984920944444458</v>
      </c>
      <c r="AY114" s="12">
        <f>IF(A114="","",MAX(0,MAX(0,MIN(1,(((IF(Статистика!$C$4="Параллельный режим (активная мощность)",E114,P114)+Статистика!$J$4))-Статистика!$C$10)/MAX(Статистика!$G$10-Статистика!$C$10,0.000001)))-MAX(0,MIN(1,(((IF(Статистика!$C$4="Параллельный режим (активная мощность)",D114,O114)+Статистика!$J$4))-Статистика!$C$10)/MAX(Статистика!$G$10-Статистика!$C$10,0.000001)))))</f>
        <v>0.32293320722222202</v>
      </c>
      <c r="AZ114" s="12">
        <f>IF(A114="","",MAX(0,MAX(0,MIN(1,(((IF(Статистика!$C$4="Параллельный режим (активная мощность)",F114,Q114)+Статистика!$J$4))-Статистика!$C$10)/MAX(Статистика!$G$10-Статистика!$C$10,0.000001)))-MAX(0,MIN(1,(((IF(Статистика!$C$4="Параллельный режим (активная мощность)",E114,P114)+Статистика!$J$4))-Статистика!$C$10)/MAX(Статистика!$G$10-Статистика!$C$10,0.000001)))))</f>
        <v>9.1737400000000247E-2</v>
      </c>
      <c r="BA114" s="12">
        <f>IF(A114="","",MAX(0,MAX(0,MIN(1,(((IF(Статистика!$C$4="Параллельный режим (активная мощность)",G114,R114)+Статистика!$J$4))-Статистика!$C$10)/MAX(Статистика!$G$10-Статистика!$C$10,0.000001)))-MAX(0,MIN(1,(((IF(Статистика!$C$4="Параллельный режим (активная мощность)",F114,Q114)+Статистика!$J$4))-Статистика!$C$10)/MAX(Статистика!$G$10-Статистика!$C$10,0.000001)))))</f>
        <v>5.1386919444444512E-2</v>
      </c>
      <c r="BB114" s="12">
        <f>IF(A114="","",MAX(0,MAX(0,MIN(1,(((IF(Статистика!$C$4="Параллельный режим (активная мощность)",H114,S114)+Статистика!$J$4))-Статистика!$C$10)/MAX(Статистика!$G$10-Статистика!$C$10,0.000001)))-MAX(0,MIN(1,(((IF(Статистика!$C$4="Параллельный режим (активная мощность)",G114,R114)+Статистика!$J$4))-Статистика!$C$10)/MAX(Статистика!$G$10-Статистика!$C$10,0.000001)))))</f>
        <v>9.6653985555555044E-2</v>
      </c>
      <c r="BC114" s="12">
        <f>IF(A114="","",MAX(0,MAX(0,MIN(1,(((IF(Статистика!$C$4="Параллельный режим (активная мощность)",J114,U114)+Статистика!$J$4))-Статистика!$C$10)/MAX(Статистика!$G$10-Статистика!$C$10,0.000001)))-MAX(0,MIN(1,(((IF(Статистика!$C$4="Параллельный режим (активная мощность)",H114,S114)+Статистика!$J$4))-Статистика!$C$10)/MAX(Статистика!$G$10-Статистика!$C$10,0.000001)))))</f>
        <v>8.9592041000000178E-2</v>
      </c>
      <c r="BD114" s="12">
        <f>IF(A114="","",MAX(0,1-MAX(0,MIN(1,(((IF(Статистика!$C$4="Параллельный режим (активная мощность)",J114,U114)+Статистика!$J$4))-Статистика!$C$10)/MAX(Статистика!$G$10-Статистика!$C$10,0.000001)))))</f>
        <v>0.19784723733333343</v>
      </c>
      <c r="BE114" s="12">
        <f>IF(A114="",NA(),IF(Статистика!$B$8="Вкл",(((IF(Статистика!$C$4="Параллельный режим (активная мощность)",F114,Q114)+Статистика!$J$4))-Статистика!$C$10)/MAX(Статистика!$G$10-Статистика!$C$10,0.000001),NA()))</f>
        <v>0.56451981666666684</v>
      </c>
      <c r="BF114" s="12">
        <f>IF(A114="",NA(),IF(Статистика!$D$8="Вкл",(((IF(Статистика!$C$4="Параллельный режим (активная мощность)",E114,P114)+Статистика!$J$4))-Статистика!$C$10)/MAX(Статистика!$G$10-Статистика!$C$10,0.000001),NA()))</f>
        <v>0.47278241666666659</v>
      </c>
      <c r="BG114" s="12">
        <f>IF(A114="",NA(),IF(Статистика!$D$8="Вкл",(((IF(Статистика!$C$4="Параллельный режим (активная мощность)",G114,R114)+Статистика!$J$4))-Статистика!$C$10)/MAX(Статистика!$G$10-Статистика!$C$10,0.000001),NA()))</f>
        <v>0.61590673611111135</v>
      </c>
      <c r="BH114" s="12">
        <f>IF(A114="",NA(),IF(Статистика!$F$8="Вкл",(((IF(Статистика!$C$4="Параллельный режим (активная мощность)",D114,O114)+Статистика!$J$4))-Статистика!$C$10)/MAX(Статистика!$G$10-Статистика!$C$10,0.000001),NA()))</f>
        <v>0.14984920944444458</v>
      </c>
      <c r="BI114" s="12">
        <f>IF(A114="",NA(),IF(Статистика!$F$8="Вкл",(((IF(Статистика!$C$4="Параллельный режим (активная мощность)",H114,S114)+Статистика!$J$4))-Статистика!$C$10)/MAX(Статистика!$G$10-Статистика!$C$10,0.000001),NA()))</f>
        <v>0.7125607216666664</v>
      </c>
      <c r="BJ114" s="12">
        <f>IF(A114="",NA(),IF(Статистика!$H$8="Вкл",(((IF(Статистика!$C$4="Параллельный режим (активная мощность)",B114,M114)+Статистика!$J$4))-Статистика!$C$10)/MAX(Статистика!$G$10-Статистика!$C$10,0.000001),NA()))</f>
        <v>-1.3209766200555557</v>
      </c>
      <c r="BK114" s="12">
        <f>IF(A114="",NA(),IF(Статистика!$H$8="Вкл",(((IF(Статистика!$C$4="Параллельный режим (активная мощность)",J114,U114)+Статистика!$J$4))-Статистика!$C$10)/MAX(Статистика!$G$10-Статистика!$C$10,0.000001),NA()))</f>
        <v>0.80215276266666657</v>
      </c>
      <c r="BL114" s="12" t="e">
        <f>IF(A114="",NA(),IF(Статистика!$J$8="Вкл",(((IF(Статистика!$C$4="Параллельный режим (активная мощность)",K114,V114)+Статистика!$J$4))-Статистика!$C$10)/MAX(Статистика!$G$10-Статистика!$C$10,0.000001),NA()))</f>
        <v>#N/A</v>
      </c>
      <c r="BM114" s="12" t="e">
        <f>IF(AND(A114&lt;&gt;"",Статистика!$C$6="Вкл",Статистика!$B$6&gt;0),(Статистика!$B$6-Статистика!$C$10)/MAX(Статистика!$G$10-Статистика!$C$10,0.000001),NA())</f>
        <v>#N/A</v>
      </c>
      <c r="BN114" s="12" t="e">
        <f>IF(AND(A114&lt;&gt;"",Статистика!$F$6="Вкл",Статистика!$E$6&gt;0),(Статистика!$E$6-Статистика!$C$10)/MAX(Статистика!$G$10-Статистика!$C$10,0.000001),NA())</f>
        <v>#N/A</v>
      </c>
      <c r="BO114" s="12" t="e">
        <f>IF(AND(A114&lt;&gt;"",Статистика!$I$6="Вкл",Статистика!$H$6&gt;0),(Статистика!$H$6-Статистика!$C$10)/MAX(Статистика!$G$10-Статистика!$C$10,0.000001),NA())</f>
        <v>#N/A</v>
      </c>
      <c r="BP114" s="12" t="e">
        <f>IF(AND(A114&lt;&gt;"",Статистика!$L$6="Вкл",Статистика!$K$6&gt;0),(Статистика!$K$6-Статистика!$C$10)/MAX(Статистика!$G$10-Статистика!$C$10,0.000001),NA())</f>
        <v>#N/A</v>
      </c>
      <c r="BQ114" s="12" t="e">
        <f>IF(AND(A114&lt;&gt;"",Статистика!$M$6="Вкл",Статистика!$O$6&gt;0),(Статистика!$O$6-Статистика!$C$10)/MAX(Статистика!$G$10-Статистика!$C$10,0.000001),NA())</f>
        <v>#N/A</v>
      </c>
      <c r="BR114" s="12">
        <f t="shared" si="2"/>
        <v>1</v>
      </c>
      <c r="BT114" s="12">
        <f>IF(Y114="","",MAX(0,MIN(1,(((IF(Статистика!$C$4="Параллельный режим (активная мощность)",Z114,AK114)+Статистика!$J$4))-Статистика!$C$10)/MAX(Статистика!$G$10-Статистика!$C$10,0.000001))))</f>
        <v>0.39007750122222234</v>
      </c>
      <c r="BU114" s="12">
        <f>IF(Y114="","",MAX(0,MAX(0,MIN(1,(((IF(Статистика!$C$4="Параллельный режим (активная мощность)",AB114,AM114)+Статистика!$J$4))-Статистика!$C$10)/MAX(Статистика!$G$10-Статистика!$C$10,0.000001)))-MAX(0,MIN(1,(((IF(Статистика!$C$4="Параллельный режим (активная мощность)",Z114,AK114)+Статистика!$J$4))-Статистика!$C$10)/MAX(Статистика!$G$10-Статистика!$C$10,0.000001)))))</f>
        <v>1.4679510999999978E-2</v>
      </c>
      <c r="BV114" s="12">
        <f>IF(Y114="","",MAX(0,MAX(0,MIN(1,(((IF(Статистика!$C$4="Параллельный режим (активная мощность)",AC114,AN114)+Статистика!$J$4))-Статистика!$C$10)/MAX(Статистика!$G$10-Статистика!$C$10,0.000001)))-MAX(0,MIN(1,(((IF(Статистика!$C$4="Параллельный режим (активная мощность)",AB114,AM114)+Статистика!$J$4))-Статистика!$C$10)/MAX(Статистика!$G$10-Статистика!$C$10,0.000001)))))</f>
        <v>9.6531012777777814E-2</v>
      </c>
      <c r="BW114" s="12">
        <f>IF(Y114="","",MAX(0,MAX(0,MIN(1,(((IF(Статистика!$C$4="Параллельный режим (активная мощность)",AD114,AO114)+Статистика!$J$4))-Статистика!$C$10)/MAX(Статистика!$G$10-Статистика!$C$10,0.000001)))-MAX(0,MIN(1,(((IF(Статистика!$C$4="Параллельный режим (активная мощность)",AC114,AN114)+Статистика!$J$4))-Статистика!$C$10)/MAX(Статистика!$G$10-Статистика!$C$10,0.000001)))))</f>
        <v>0.10950994166666683</v>
      </c>
      <c r="BX114" s="12">
        <f>IF(Y114="","",MAX(0,MAX(0,MIN(1,(((IF(Статистика!$C$4="Параллельный режим (активная мощность)",AE114,AP114)+Статистика!$J$4))-Статистика!$C$10)/MAX(Статистика!$G$10-Статистика!$C$10,0.000001)))-MAX(0,MIN(1,(((IF(Статистика!$C$4="Параллельный режим (активная мощность)",AD114,AO114)+Статистика!$J$4))-Статистика!$C$10)/MAX(Статистика!$G$10-Статистика!$C$10,0.000001)))))</f>
        <v>6.9024441666666436E-2</v>
      </c>
      <c r="BY114" s="12">
        <f>IF(Y114="","",MAX(0,MAX(0,MIN(1,(((IF(Статистика!$C$4="Параллельный режим (активная мощность)",AF114,AQ114)+Статистика!$J$4))-Статистика!$C$10)/MAX(Статистика!$G$10-Статистика!$C$10,0.000001)))-MAX(0,MIN(1,(((IF(Статистика!$C$4="Параллельный режим (активная мощность)",AE114,AP114)+Статистика!$J$4))-Статистика!$C$10)/MAX(Статистика!$G$10-Статистика!$C$10,0.000001)))))</f>
        <v>0.14611655888888897</v>
      </c>
      <c r="BZ114" s="12">
        <f>IF(Y114="","",MAX(0,MAX(0,MIN(1,(((IF(Статистика!$C$4="Параллельный режим (активная мощность)",AH114,AS114)+Статистика!$J$4))-Статистика!$C$10)/MAX(Статистика!$G$10-Статистика!$C$10,0.000001)))-MAX(0,MIN(1,(((IF(Статистика!$C$4="Параллельный режим (активная мощность)",AF114,AQ114)+Статистика!$J$4))-Статистика!$C$10)/MAX(Статистика!$G$10-Статистика!$C$10,0.000001)))))</f>
        <v>7.0129999500000206E-2</v>
      </c>
      <c r="CA114" s="12">
        <f>IF(Y114="","",MAX(0,1-MAX(0,MIN(1,(((IF(Статистика!$C$4="Параллельный режим (активная мощность)",AH114,AS114)+Статистика!$J$4))-Статистика!$C$10)/MAX(Статистика!$G$10-Статистика!$C$10,0.000001)))))</f>
        <v>0.10393103327777742</v>
      </c>
      <c r="CB114" s="12">
        <f>IF(Y114="",NA(),IF(Статистика!$B$8="Вкл",(((IF(Статистика!$C$4="Параллельный режим (активная мощность)",AD114,AO114)+Статистика!$J$4))-Статистика!$C$10)/MAX(Статистика!$G$10-Статистика!$C$10,0.000001),NA()))</f>
        <v>0.61079796666666697</v>
      </c>
      <c r="CC114" s="12">
        <f>IF(Y114="",NA(),IF(Статистика!$D$8="Вкл",(((IF(Статистика!$C$4="Параллельный режим (активная мощность)",AC114,AN114)+Статистика!$J$4))-Статистика!$C$10)/MAX(Статистика!$G$10-Статистика!$C$10,0.000001),NA()))</f>
        <v>0.50128802500000014</v>
      </c>
      <c r="CD114" s="12">
        <f>IF(Y114="",NA(),IF(Статистика!$D$8="Вкл",(((IF(Статистика!$C$4="Параллельный режим (активная мощность)",AE114,AP114)+Статистика!$J$4))-Статистика!$C$10)/MAX(Статистика!$G$10-Статистика!$C$10,0.000001),NA()))</f>
        <v>0.67982240833333341</v>
      </c>
      <c r="CE114" s="12">
        <f>IF(Y114="",NA(),IF(Статистика!$F$8="Вкл",(((IF(Статистика!$C$4="Параллельный режим (активная мощность)",AB114,AM114)+Статистика!$J$4))-Статистика!$C$10)/MAX(Статистика!$G$10-Статистика!$C$10,0.000001),NA()))</f>
        <v>0.40475701222222232</v>
      </c>
      <c r="CF114" s="12">
        <f>IF(Y114="",NA(),IF(Статистика!$F$8="Вкл",(((IF(Статистика!$C$4="Параллельный режим (активная мощность)",AF114,AQ114)+Статистика!$J$4))-Статистика!$C$10)/MAX(Статистика!$G$10-Статистика!$C$10,0.000001),NA()))</f>
        <v>0.82593896722222238</v>
      </c>
      <c r="CG114" s="12">
        <f>IF(Y114="",NA(),IF(Статистика!$H$8="Вкл",(((IF(Статистика!$C$4="Параллельный режим (активная мощность)",Z114,AK114)+Статистика!$J$4))-Статистика!$C$10)/MAX(Статистика!$G$10-Статистика!$C$10,0.000001),NA()))</f>
        <v>0.39007750122222234</v>
      </c>
      <c r="CH114" s="12">
        <f>IF(Y114="",NA(),IF(Статистика!$H$8="Вкл",(((IF(Статистика!$C$4="Параллельный режим (активная мощность)",AH114,AS114)+Статистика!$J$4))-Статистика!$C$10)/MAX(Статистика!$G$10-Статистика!$C$10,0.000001),NA()))</f>
        <v>0.89606896672222258</v>
      </c>
      <c r="CI114" s="12" t="e">
        <f>IF(Y114="",NA(),IF(Статистика!$J$8="Вкл",(((IF(Статистика!$C$4="Параллельный режим (активная мощность)",AI114,AT114)+Статистика!$J$4))-Статистика!$C$10)/MAX(Статистика!$G$10-Статистика!$C$10,0.000001),NA()))</f>
        <v>#N/A</v>
      </c>
      <c r="CJ114" s="12" t="e">
        <f>IF(AND(Y114&lt;&gt;"",Статистика!$C$6="Вкл",Статистика!$B$6&gt;0),(Статистика!$B$6-Статистика!$C$10)/MAX(Статистика!$G$10-Статистика!$C$10,0.000001),NA())</f>
        <v>#N/A</v>
      </c>
      <c r="CK114" s="12" t="e">
        <f>IF(AND(Y114&lt;&gt;"",Статистика!$F$6="Вкл",Статистика!$E$6&gt;0),(Статистика!$E$6-Статистика!$C$10)/MAX(Статистика!$G$10-Статистика!$C$10,0.000001),NA())</f>
        <v>#N/A</v>
      </c>
      <c r="CL114" s="12" t="e">
        <f>IF(AND(Y114&lt;&gt;"",Статистика!$I$6="Вкл",Статистика!$H$6&gt;0),(Статистика!$H$6-Статистика!$C$10)/MAX(Статистика!$G$10-Статистика!$C$10,0.000001),NA())</f>
        <v>#N/A</v>
      </c>
      <c r="CM114" s="12" t="e">
        <f>IF(AND(Y114&lt;&gt;"",Статистика!$L$6="Вкл",Статистика!$K$6&gt;0),(Статистика!$K$6-Статистика!$C$10)/MAX(Статистика!$G$10-Статистика!$C$10,0.000001),NA())</f>
        <v>#N/A</v>
      </c>
      <c r="CN114" s="12" t="e">
        <f>IF(AND(Y114&lt;&gt;"",Статистика!$M$6="Вкл",Статистика!$O$6&gt;0),(Статистика!$O$6-Статистика!$C$10)/MAX(Статистика!$G$10-Статистика!$C$10,0.000001),NA())</f>
        <v>#N/A</v>
      </c>
      <c r="CO114" s="12">
        <f t="shared" si="3"/>
        <v>1</v>
      </c>
    </row>
    <row r="115" spans="1:93" ht="15" customHeight="1">
      <c r="A115" s="12" t="s">
        <v>520</v>
      </c>
      <c r="B115" s="12">
        <v>2071.6065993333336</v>
      </c>
      <c r="C115" s="12">
        <v>4778.1751300000005</v>
      </c>
      <c r="D115" s="12">
        <v>6521.7303333333339</v>
      </c>
      <c r="E115" s="12">
        <v>7418.4640166666668</v>
      </c>
      <c r="F115" s="12">
        <v>7734.2748499999998</v>
      </c>
      <c r="G115" s="12">
        <v>7858.6173250000011</v>
      </c>
      <c r="H115" s="12">
        <v>8141.0933883333328</v>
      </c>
      <c r="I115" s="12">
        <v>8262.8226041666658</v>
      </c>
      <c r="J115" s="12">
        <v>8411.5596408333331</v>
      </c>
      <c r="K115" s="12">
        <v>8524.4</v>
      </c>
      <c r="L115" s="12" t="s">
        <v>521</v>
      </c>
      <c r="M115" s="12">
        <v>2494.8104825</v>
      </c>
      <c r="N115" s="12">
        <v>5505.9762791666672</v>
      </c>
      <c r="O115" s="12">
        <v>7470.7013600000009</v>
      </c>
      <c r="P115" s="12">
        <v>8372.5313249999999</v>
      </c>
      <c r="Q115" s="12">
        <v>8617.4175166666646</v>
      </c>
      <c r="R115" s="12">
        <v>8851.1311666666661</v>
      </c>
      <c r="S115" s="12">
        <v>9114.4869666666655</v>
      </c>
      <c r="T115" s="12">
        <v>9204.4598541666655</v>
      </c>
      <c r="U115" s="12">
        <v>9393.3742641666668</v>
      </c>
      <c r="V115" s="12">
        <v>9531.41</v>
      </c>
      <c r="W115" s="12" t="s">
        <v>521</v>
      </c>
      <c r="Y115" s="12" t="s">
        <v>520</v>
      </c>
      <c r="Z115" s="12">
        <v>7112.1235035</v>
      </c>
      <c r="AA115" s="12">
        <v>7153.8847175000001</v>
      </c>
      <c r="AB115" s="12">
        <v>7206.0862350000007</v>
      </c>
      <c r="AC115" s="12">
        <v>7507.5491416666673</v>
      </c>
      <c r="AD115" s="12">
        <v>7808.7539999999999</v>
      </c>
      <c r="AE115" s="12">
        <v>8192.2385166666663</v>
      </c>
      <c r="AF115" s="12">
        <v>8431.1212633333325</v>
      </c>
      <c r="AG115" s="12">
        <v>8523.3491316666677</v>
      </c>
      <c r="AH115" s="12">
        <v>8597.1314263333352</v>
      </c>
      <c r="AI115" s="12">
        <v>8727.3799999999992</v>
      </c>
      <c r="AJ115" s="12" t="s">
        <v>522</v>
      </c>
      <c r="AK115" s="12">
        <v>7984.2985768333328</v>
      </c>
      <c r="AL115" s="12">
        <v>8041.9426174999999</v>
      </c>
      <c r="AM115" s="12">
        <v>8113.9976683333334</v>
      </c>
      <c r="AN115" s="12">
        <v>8490.0830500000011</v>
      </c>
      <c r="AO115" s="12">
        <v>8827.7126166666676</v>
      </c>
      <c r="AP115" s="12">
        <v>9167.774875000001</v>
      </c>
      <c r="AQ115" s="12">
        <v>9419.4355866666665</v>
      </c>
      <c r="AR115" s="12">
        <v>9514.5779599999987</v>
      </c>
      <c r="AS115" s="12">
        <v>9590.691858666667</v>
      </c>
      <c r="AT115" s="12">
        <v>9749.6299999999992</v>
      </c>
      <c r="AU115" s="12" t="s">
        <v>523</v>
      </c>
      <c r="AW115" s="12">
        <f>IF(A115="","",MAX(0,MIN(1,(((IF(Статистика!$C$4="Параллельный режим (активная мощность)",B115,M115)+Статистика!$J$4))-Статистика!$C$10)/MAX(Статистика!$G$10-Статистика!$C$10,0.000001))))</f>
        <v>0</v>
      </c>
      <c r="AX115" s="12">
        <f>IF(A115="","",MAX(0,MAX(0,MIN(1,(((IF(Статистика!$C$4="Параллельный режим (активная мощность)",D115,O115)+Статистика!$J$4))-Статистика!$C$10)/MAX(Статистика!$G$10-Статистика!$C$10,0.000001)))-MAX(0,MIN(1,(((IF(Статистика!$C$4="Параллельный режим (активная мощность)",B115,M115)+Статистика!$J$4))-Статистика!$C$10)/MAX(Статистика!$G$10-Статистика!$C$10,0.000001)))))</f>
        <v>0.17391011111111129</v>
      </c>
      <c r="AY115" s="12">
        <f>IF(A115="","",MAX(0,MAX(0,MIN(1,(((IF(Статистика!$C$4="Параллельный режим (активная мощность)",E115,P115)+Статистика!$J$4))-Статистика!$C$10)/MAX(Статистика!$G$10-Статистика!$C$10,0.000001)))-MAX(0,MIN(1,(((IF(Статистика!$C$4="Параллельный режим (активная мощность)",D115,O115)+Статистика!$J$4))-Статистика!$C$10)/MAX(Статистика!$G$10-Статистика!$C$10,0.000001)))))</f>
        <v>0.29891122777777768</v>
      </c>
      <c r="AZ115" s="12">
        <f>IF(A115="","",MAX(0,MAX(0,MIN(1,(((IF(Статистика!$C$4="Параллельный режим (активная мощность)",F115,Q115)+Статистика!$J$4))-Статистика!$C$10)/MAX(Статистика!$G$10-Статистика!$C$10,0.000001)))-MAX(0,MIN(1,(((IF(Статистика!$C$4="Параллельный режим (активная мощность)",E115,P115)+Статистика!$J$4))-Статистика!$C$10)/MAX(Статистика!$G$10-Статистика!$C$10,0.000001)))))</f>
        <v>0.1052702777777777</v>
      </c>
      <c r="BA115" s="12">
        <f>IF(A115="","",MAX(0,MAX(0,MIN(1,(((IF(Статистика!$C$4="Параллельный режим (активная мощность)",G115,R115)+Статистика!$J$4))-Статистика!$C$10)/MAX(Статистика!$G$10-Статистика!$C$10,0.000001)))-MAX(0,MIN(1,(((IF(Статистика!$C$4="Параллельный режим (активная мощность)",F115,Q115)+Статистика!$J$4))-Статистика!$C$10)/MAX(Статистика!$G$10-Статистика!$C$10,0.000001)))))</f>
        <v>4.1447491666667058E-2</v>
      </c>
      <c r="BB115" s="12">
        <f>IF(A115="","",MAX(0,MAX(0,MIN(1,(((IF(Статистика!$C$4="Параллельный режим (активная мощность)",H115,S115)+Статистика!$J$4))-Статистика!$C$10)/MAX(Статистика!$G$10-Статистика!$C$10,0.000001)))-MAX(0,MIN(1,(((IF(Статистика!$C$4="Параллельный режим (активная мощность)",G115,R115)+Статистика!$J$4))-Статистика!$C$10)/MAX(Статистика!$G$10-Статистика!$C$10,0.000001)))))</f>
        <v>9.415868777777725E-2</v>
      </c>
      <c r="BC115" s="12">
        <f>IF(A115="","",MAX(0,MAX(0,MIN(1,(((IF(Статистика!$C$4="Параллельный режим (активная мощность)",J115,U115)+Статистика!$J$4))-Статистика!$C$10)/MAX(Статистика!$G$10-Статистика!$C$10,0.000001)))-MAX(0,MIN(1,(((IF(Статистика!$C$4="Параллельный режим (активная мощность)",H115,S115)+Статистика!$J$4))-Статистика!$C$10)/MAX(Статистика!$G$10-Статистика!$C$10,0.000001)))))</f>
        <v>9.0155417500000112E-2</v>
      </c>
      <c r="BD115" s="12">
        <f>IF(A115="","",MAX(0,1-MAX(0,MIN(1,(((IF(Статистика!$C$4="Параллельный режим (активная мощность)",J115,U115)+Статистика!$J$4))-Статистика!$C$10)/MAX(Статистика!$G$10-Статистика!$C$10,0.000001)))))</f>
        <v>0.19614678638888894</v>
      </c>
      <c r="BE115" s="12">
        <f>IF(A115="",NA(),IF(Статистика!$B$8="Вкл",(((IF(Статистика!$C$4="Параллельный режим (активная мощность)",F115,Q115)+Статистика!$J$4))-Статистика!$C$10)/MAX(Статистика!$G$10-Статистика!$C$10,0.000001),NA()))</f>
        <v>0.57809161666666664</v>
      </c>
      <c r="BF115" s="12">
        <f>IF(A115="",NA(),IF(Статистика!$D$8="Вкл",(((IF(Статистика!$C$4="Параллельный режим (активная мощность)",E115,P115)+Статистика!$J$4))-Статистика!$C$10)/MAX(Статистика!$G$10-Статистика!$C$10,0.000001),NA()))</f>
        <v>0.47282133888888894</v>
      </c>
      <c r="BG115" s="12">
        <f>IF(A115="",NA(),IF(Статистика!$D$8="Вкл",(((IF(Статистика!$C$4="Параллельный режим (активная мощность)",G115,R115)+Статистика!$J$4))-Статистика!$C$10)/MAX(Статистика!$G$10-Статистика!$C$10,0.000001),NA()))</f>
        <v>0.6195391083333337</v>
      </c>
      <c r="BH115" s="12">
        <f>IF(A115="",NA(),IF(Статистика!$F$8="Вкл",(((IF(Статистика!$C$4="Параллельный режим (активная мощность)",D115,O115)+Статистика!$J$4))-Статистика!$C$10)/MAX(Статистика!$G$10-Статистика!$C$10,0.000001),NA()))</f>
        <v>0.17391011111111129</v>
      </c>
      <c r="BI115" s="12">
        <f>IF(A115="",NA(),IF(Статистика!$F$8="Вкл",(((IF(Статистика!$C$4="Параллельный режим (активная мощность)",H115,S115)+Статистика!$J$4))-Статистика!$C$10)/MAX(Статистика!$G$10-Статистика!$C$10,0.000001),NA()))</f>
        <v>0.71369779611111095</v>
      </c>
      <c r="BJ115" s="12">
        <f>IF(A115="",NA(),IF(Статистика!$H$8="Вкл",(((IF(Статистика!$C$4="Параллельный режим (активная мощность)",B115,M115)+Статистика!$J$4))-Статистика!$C$10)/MAX(Статистика!$G$10-Статистика!$C$10,0.000001),NA()))</f>
        <v>-1.3094644668888888</v>
      </c>
      <c r="BK115" s="12">
        <f>IF(A115="",NA(),IF(Статистика!$H$8="Вкл",(((IF(Статистика!$C$4="Параллельный режим (активная мощность)",J115,U115)+Статистика!$J$4))-Статистика!$C$10)/MAX(Статистика!$G$10-Статистика!$C$10,0.000001),NA()))</f>
        <v>0.80385321361111106</v>
      </c>
      <c r="BL115" s="12" t="e">
        <f>IF(A115="",NA(),IF(Статистика!$J$8="Вкл",(((IF(Статистика!$C$4="Параллельный режим (активная мощность)",K115,V115)+Статистика!$J$4))-Статистика!$C$10)/MAX(Статистика!$G$10-Статистика!$C$10,0.000001),NA()))</f>
        <v>#N/A</v>
      </c>
      <c r="BM115" s="12" t="e">
        <f>IF(AND(A115&lt;&gt;"",Статистика!$C$6="Вкл",Статистика!$B$6&gt;0),(Статистика!$B$6-Статистика!$C$10)/MAX(Статистика!$G$10-Статистика!$C$10,0.000001),NA())</f>
        <v>#N/A</v>
      </c>
      <c r="BN115" s="12" t="e">
        <f>IF(AND(A115&lt;&gt;"",Статистика!$F$6="Вкл",Статистика!$E$6&gt;0),(Статистика!$E$6-Статистика!$C$10)/MAX(Статистика!$G$10-Статистика!$C$10,0.000001),NA())</f>
        <v>#N/A</v>
      </c>
      <c r="BO115" s="12" t="e">
        <f>IF(AND(A115&lt;&gt;"",Статистика!$I$6="Вкл",Статистика!$H$6&gt;0),(Статистика!$H$6-Статистика!$C$10)/MAX(Статистика!$G$10-Статистика!$C$10,0.000001),NA())</f>
        <v>#N/A</v>
      </c>
      <c r="BP115" s="12" t="e">
        <f>IF(AND(A115&lt;&gt;"",Статистика!$L$6="Вкл",Статистика!$K$6&gt;0),(Статистика!$K$6-Статистика!$C$10)/MAX(Статистика!$G$10-Статистика!$C$10,0.000001),NA())</f>
        <v>#N/A</v>
      </c>
      <c r="BQ115" s="12" t="e">
        <f>IF(AND(A115&lt;&gt;"",Статистика!$M$6="Вкл",Статистика!$O$6&gt;0),(Статистика!$O$6-Статистика!$C$10)/MAX(Статистика!$G$10-Статистика!$C$10,0.000001),NA())</f>
        <v>#N/A</v>
      </c>
      <c r="BR115" s="12">
        <f t="shared" si="2"/>
        <v>1</v>
      </c>
      <c r="BT115" s="12">
        <f>IF(Y115="","",MAX(0,MIN(1,(((IF(Статистика!$C$4="Параллельный режим (активная мощность)",Z115,AK115)+Статистика!$J$4))-Статистика!$C$10)/MAX(Статистика!$G$10-Статистика!$C$10,0.000001))))</f>
        <v>0.3707078345</v>
      </c>
      <c r="BU115" s="12">
        <f>IF(Y115="","",MAX(0,MAX(0,MIN(1,(((IF(Статистика!$C$4="Параллельный режим (активная мощность)",AB115,AM115)+Статистика!$J$4))-Статистика!$C$10)/MAX(Статистика!$G$10-Статистика!$C$10,0.000001)))-MAX(0,MIN(1,(((IF(Статистика!$C$4="Параллельный режим (активная мощность)",Z115,AK115)+Статистика!$J$4))-Статистика!$C$10)/MAX(Статистика!$G$10-Статистика!$C$10,0.000001)))))</f>
        <v>3.1320910500000243E-2</v>
      </c>
      <c r="BV115" s="12">
        <f>IF(Y115="","",MAX(0,MAX(0,MIN(1,(((IF(Статистика!$C$4="Параллельный режим (активная мощность)",AC115,AN115)+Статистика!$J$4))-Статистика!$C$10)/MAX(Статистика!$G$10-Статистика!$C$10,0.000001)))-MAX(0,MIN(1,(((IF(Статистика!$C$4="Параллельный режим (активная мощность)",AB115,AM115)+Статистика!$J$4))-Статистика!$C$10)/MAX(Статистика!$G$10-Статистика!$C$10,0.000001)))))</f>
        <v>0.10048763555555557</v>
      </c>
      <c r="BW115" s="12">
        <f>IF(Y115="","",MAX(0,MAX(0,MIN(1,(((IF(Статистика!$C$4="Параллельный режим (активная мощность)",AD115,AO115)+Статистика!$J$4))-Статистика!$C$10)/MAX(Статистика!$G$10-Статистика!$C$10,0.000001)))-MAX(0,MIN(1,(((IF(Статистика!$C$4="Параллельный режим (активная мощность)",AC115,AN115)+Статистика!$J$4))-Статистика!$C$10)/MAX(Статистика!$G$10-Статистика!$C$10,0.000001)))))</f>
        <v>0.10040161944444415</v>
      </c>
      <c r="BX115" s="12">
        <f>IF(Y115="","",MAX(0,MAX(0,MIN(1,(((IF(Статистика!$C$4="Параллельный режим (активная мощность)",AE115,AP115)+Статистика!$J$4))-Статистика!$C$10)/MAX(Статистика!$G$10-Статистика!$C$10,0.000001)))-MAX(0,MIN(1,(((IF(Статистика!$C$4="Параллельный режим (активная мощность)",AD115,AO115)+Статистика!$J$4))-Статистика!$C$10)/MAX(Статистика!$G$10-Статистика!$C$10,0.000001)))))</f>
        <v>0.1278281722222222</v>
      </c>
      <c r="BY115" s="12">
        <f>IF(Y115="","",MAX(0,MAX(0,MIN(1,(((IF(Статистика!$C$4="Параллельный режим (активная мощность)",AF115,AQ115)+Статистика!$J$4))-Статистика!$C$10)/MAX(Статистика!$G$10-Статистика!$C$10,0.000001)))-MAX(0,MIN(1,(((IF(Статистика!$C$4="Параллельный режим (активная мощность)",AE115,AP115)+Статистика!$J$4))-Статистика!$C$10)/MAX(Статистика!$G$10-Статистика!$C$10,0.000001)))))</f>
        <v>7.9627582222221993E-2</v>
      </c>
      <c r="BZ115" s="12">
        <f>IF(Y115="","",MAX(0,MAX(0,MIN(1,(((IF(Статистика!$C$4="Параллельный режим (активная мощность)",AH115,AS115)+Статистика!$J$4))-Статистика!$C$10)/MAX(Статистика!$G$10-Статистика!$C$10,0.000001)))-MAX(0,MIN(1,(((IF(Статистика!$C$4="Параллельный режим (активная мощность)",AF115,AQ115)+Статистика!$J$4))-Статистика!$C$10)/MAX(Статистика!$G$10-Статистика!$C$10,0.000001)))))</f>
        <v>5.5336721000000866E-2</v>
      </c>
      <c r="CA115" s="12">
        <f>IF(Y115="","",MAX(0,1-MAX(0,MIN(1,(((IF(Статистика!$C$4="Параллельный режим (активная мощность)",AH115,AS115)+Статистика!$J$4))-Статистика!$C$10)/MAX(Статистика!$G$10-Статистика!$C$10,0.000001)))))</f>
        <v>0.13428952455555498</v>
      </c>
      <c r="CB115" s="12">
        <f>IF(Y115="",NA(),IF(Статистика!$B$8="Вкл",(((IF(Статистика!$C$4="Параллельный режим (активная мощность)",AD115,AO115)+Статистика!$J$4))-Статистика!$C$10)/MAX(Статистика!$G$10-Статистика!$C$10,0.000001),NA()))</f>
        <v>0.60291799999999995</v>
      </c>
      <c r="CC115" s="12">
        <f>IF(Y115="",NA(),IF(Статистика!$D$8="Вкл",(((IF(Статистика!$C$4="Параллельный режим (активная мощность)",AC115,AN115)+Статистика!$J$4))-Статистика!$C$10)/MAX(Статистика!$G$10-Статистика!$C$10,0.000001),NA()))</f>
        <v>0.50251638055555581</v>
      </c>
      <c r="CD115" s="12">
        <f>IF(Y115="",NA(),IF(Статистика!$D$8="Вкл",(((IF(Статистика!$C$4="Параллельный режим (активная мощность)",AE115,AP115)+Статистика!$J$4))-Статистика!$C$10)/MAX(Статистика!$G$10-Статистика!$C$10,0.000001),NA()))</f>
        <v>0.73074617222222216</v>
      </c>
      <c r="CE115" s="12">
        <f>IF(Y115="",NA(),IF(Статистика!$F$8="Вкл",(((IF(Статистика!$C$4="Параллельный режим (активная мощность)",AB115,AM115)+Статистика!$J$4))-Статистика!$C$10)/MAX(Статистика!$G$10-Статистика!$C$10,0.000001),NA()))</f>
        <v>0.40202874500000024</v>
      </c>
      <c r="CF115" s="12">
        <f>IF(Y115="",NA(),IF(Статистика!$F$8="Вкл",(((IF(Статистика!$C$4="Параллельный режим (активная мощность)",AF115,AQ115)+Статистика!$J$4))-Статистика!$C$10)/MAX(Статистика!$G$10-Статистика!$C$10,0.000001),NA()))</f>
        <v>0.81037375444444415</v>
      </c>
      <c r="CG115" s="12">
        <f>IF(Y115="",NA(),IF(Статистика!$H$8="Вкл",(((IF(Статистика!$C$4="Параллельный режим (активная мощность)",Z115,AK115)+Статистика!$J$4))-Статистика!$C$10)/MAX(Статистика!$G$10-Статистика!$C$10,0.000001),NA()))</f>
        <v>0.3707078345</v>
      </c>
      <c r="CH115" s="12">
        <f>IF(Y115="",NA(),IF(Статистика!$H$8="Вкл",(((IF(Статистика!$C$4="Параллельный режим (активная мощность)",AH115,AS115)+Статистика!$J$4))-Статистика!$C$10)/MAX(Статистика!$G$10-Статистика!$C$10,0.000001),NA()))</f>
        <v>0.86571047544444502</v>
      </c>
      <c r="CI115" s="12" t="e">
        <f>IF(Y115="",NA(),IF(Статистика!$J$8="Вкл",(((IF(Статистика!$C$4="Параллельный режим (активная мощность)",AI115,AT115)+Статистика!$J$4))-Статистика!$C$10)/MAX(Статистика!$G$10-Статистика!$C$10,0.000001),NA()))</f>
        <v>#N/A</v>
      </c>
      <c r="CJ115" s="12" t="e">
        <f>IF(AND(Y115&lt;&gt;"",Статистика!$C$6="Вкл",Статистика!$B$6&gt;0),(Статистика!$B$6-Статистика!$C$10)/MAX(Статистика!$G$10-Статистика!$C$10,0.000001),NA())</f>
        <v>#N/A</v>
      </c>
      <c r="CK115" s="12" t="e">
        <f>IF(AND(Y115&lt;&gt;"",Статистика!$F$6="Вкл",Статистика!$E$6&gt;0),(Статистика!$E$6-Статистика!$C$10)/MAX(Статистика!$G$10-Статистика!$C$10,0.000001),NA())</f>
        <v>#N/A</v>
      </c>
      <c r="CL115" s="12" t="e">
        <f>IF(AND(Y115&lt;&gt;"",Статистика!$I$6="Вкл",Статистика!$H$6&gt;0),(Статистика!$H$6-Статистика!$C$10)/MAX(Статистика!$G$10-Статистика!$C$10,0.000001),NA())</f>
        <v>#N/A</v>
      </c>
      <c r="CM115" s="12" t="e">
        <f>IF(AND(Y115&lt;&gt;"",Статистика!$L$6="Вкл",Статистика!$K$6&gt;0),(Статистика!$K$6-Статистика!$C$10)/MAX(Статистика!$G$10-Статистика!$C$10,0.000001),NA())</f>
        <v>#N/A</v>
      </c>
      <c r="CN115" s="12" t="e">
        <f>IF(AND(Y115&lt;&gt;"",Статистика!$M$6="Вкл",Статистика!$O$6&gt;0),(Статистика!$O$6-Статистика!$C$10)/MAX(Статистика!$G$10-Статистика!$C$10,0.000001),NA())</f>
        <v>#N/A</v>
      </c>
      <c r="CO115" s="12">
        <f t="shared" si="3"/>
        <v>1</v>
      </c>
    </row>
    <row r="116" spans="1:93" ht="15" customHeight="1">
      <c r="A116" s="12" t="s">
        <v>524</v>
      </c>
      <c r="B116" s="12">
        <v>2060.9027098333336</v>
      </c>
      <c r="C116" s="12">
        <v>4811.4380825000007</v>
      </c>
      <c r="D116" s="12">
        <v>6566.7110233333333</v>
      </c>
      <c r="E116" s="12">
        <v>7438.9730166666668</v>
      </c>
      <c r="F116" s="12">
        <v>7716.1986666666671</v>
      </c>
      <c r="G116" s="12">
        <v>7916.4858166666663</v>
      </c>
      <c r="H116" s="12">
        <v>8268.5995983333323</v>
      </c>
      <c r="I116" s="12">
        <v>8386.9344708333338</v>
      </c>
      <c r="J116" s="12">
        <v>8477.1178008333336</v>
      </c>
      <c r="K116" s="12">
        <v>8694.84</v>
      </c>
      <c r="L116" s="12" t="s">
        <v>525</v>
      </c>
      <c r="M116" s="12">
        <v>2488.8197431666667</v>
      </c>
      <c r="N116" s="12">
        <v>5560.3000491666671</v>
      </c>
      <c r="O116" s="12">
        <v>7534.1298316666671</v>
      </c>
      <c r="P116" s="12">
        <v>8465.7148000000016</v>
      </c>
      <c r="Q116" s="12">
        <v>8631.0543166666666</v>
      </c>
      <c r="R116" s="12">
        <v>8845.3408750000017</v>
      </c>
      <c r="S116" s="12">
        <v>9248.983603333334</v>
      </c>
      <c r="T116" s="12">
        <v>9319.9772358333339</v>
      </c>
      <c r="U116" s="12">
        <v>9448.8817138333325</v>
      </c>
      <c r="V116" s="12">
        <v>10545.49</v>
      </c>
      <c r="W116" s="12" t="s">
        <v>526</v>
      </c>
      <c r="Y116" s="12" t="s">
        <v>524</v>
      </c>
      <c r="Z116" s="12">
        <v>7076.4495331666658</v>
      </c>
      <c r="AA116" s="12">
        <v>7144.5315324999992</v>
      </c>
      <c r="AB116" s="12">
        <v>7229.6340316666656</v>
      </c>
      <c r="AC116" s="12">
        <v>7564.3574499999995</v>
      </c>
      <c r="AD116" s="12">
        <v>7766.6031000000003</v>
      </c>
      <c r="AE116" s="12">
        <v>8191.6921750000001</v>
      </c>
      <c r="AF116" s="12">
        <v>8432.7190949999986</v>
      </c>
      <c r="AG116" s="12">
        <v>8504.3724808333318</v>
      </c>
      <c r="AH116" s="12">
        <v>8561.6951894999984</v>
      </c>
      <c r="AI116" s="12">
        <v>8703.66</v>
      </c>
      <c r="AJ116" s="12" t="s">
        <v>527</v>
      </c>
      <c r="AK116" s="12">
        <v>7949.7454959999995</v>
      </c>
      <c r="AL116" s="12">
        <v>8032.7134799999994</v>
      </c>
      <c r="AM116" s="12">
        <v>8136.42346</v>
      </c>
      <c r="AN116" s="12">
        <v>8535.5445833333324</v>
      </c>
      <c r="AO116" s="12">
        <v>8762.127466666665</v>
      </c>
      <c r="AP116" s="12">
        <v>9143.2717833333336</v>
      </c>
      <c r="AQ116" s="12">
        <v>9434.1244766666659</v>
      </c>
      <c r="AR116" s="12">
        <v>9508.2803716666658</v>
      </c>
      <c r="AS116" s="12">
        <v>9567.605087666665</v>
      </c>
      <c r="AT116" s="12">
        <v>9759.09</v>
      </c>
      <c r="AU116" s="12" t="s">
        <v>527</v>
      </c>
      <c r="AW116" s="12">
        <f>IF(A116="","",MAX(0,MIN(1,(((IF(Статистика!$C$4="Параллельный режим (активная мощность)",B116,M116)+Статистика!$J$4))-Статистика!$C$10)/MAX(Статистика!$G$10-Статистика!$C$10,0.000001))))</f>
        <v>0</v>
      </c>
      <c r="AX116" s="12">
        <f>IF(A116="","",MAX(0,MAX(0,MIN(1,(((IF(Статистика!$C$4="Параллельный режим (активная мощность)",D116,O116)+Статистика!$J$4))-Статистика!$C$10)/MAX(Статистика!$G$10-Статистика!$C$10,0.000001)))-MAX(0,MIN(1,(((IF(Статистика!$C$4="Параллельный режим (активная мощность)",B116,M116)+Статистика!$J$4))-Статистика!$C$10)/MAX(Статистика!$G$10-Статистика!$C$10,0.000001)))))</f>
        <v>0.18890367444444442</v>
      </c>
      <c r="AY116" s="12">
        <f>IF(A116="","",MAX(0,MAX(0,MIN(1,(((IF(Статистика!$C$4="Параллельный режим (активная мощность)",E116,P116)+Статистика!$J$4))-Статистика!$C$10)/MAX(Статистика!$G$10-Статистика!$C$10,0.000001)))-MAX(0,MIN(1,(((IF(Статистика!$C$4="Параллельный режим (активная мощность)",D116,O116)+Статистика!$J$4))-Статистика!$C$10)/MAX(Статистика!$G$10-Статистика!$C$10,0.000001)))))</f>
        <v>0.29075399777777788</v>
      </c>
      <c r="AZ116" s="12">
        <f>IF(A116="","",MAX(0,MAX(0,MIN(1,(((IF(Статистика!$C$4="Параллельный режим (активная мощность)",F116,Q116)+Статистика!$J$4))-Статистика!$C$10)/MAX(Статистика!$G$10-Статистика!$C$10,0.000001)))-MAX(0,MIN(1,(((IF(Статистика!$C$4="Параллельный режим (активная мощность)",E116,P116)+Статистика!$J$4))-Статистика!$C$10)/MAX(Статистика!$G$10-Статистика!$C$10,0.000001)))))</f>
        <v>9.2408550000000089E-2</v>
      </c>
      <c r="BA116" s="12">
        <f>IF(A116="","",MAX(0,MAX(0,MIN(1,(((IF(Статистика!$C$4="Параллельный режим (активная мощность)",G116,R116)+Статистика!$J$4))-Статистика!$C$10)/MAX(Статистика!$G$10-Статистика!$C$10,0.000001)))-MAX(0,MIN(1,(((IF(Статистика!$C$4="Параллельный режим (активная мощность)",F116,Q116)+Статистика!$J$4))-Статистика!$C$10)/MAX(Статистика!$G$10-Статистика!$C$10,0.000001)))))</f>
        <v>6.6762383333333064E-2</v>
      </c>
      <c r="BB116" s="12">
        <f>IF(A116="","",MAX(0,MAX(0,MIN(1,(((IF(Статистика!$C$4="Параллельный режим (активная мощность)",H116,S116)+Статистика!$J$4))-Статистика!$C$10)/MAX(Статистика!$G$10-Статистика!$C$10,0.000001)))-MAX(0,MIN(1,(((IF(Статистика!$C$4="Параллельный режим (активная мощность)",G116,R116)+Статистика!$J$4))-Статистика!$C$10)/MAX(Статистика!$G$10-Статистика!$C$10,0.000001)))))</f>
        <v>0.11737126055555536</v>
      </c>
      <c r="BC116" s="12">
        <f>IF(A116="","",MAX(0,MAX(0,MIN(1,(((IF(Статистика!$C$4="Параллельный режим (активная мощность)",J116,U116)+Статистика!$J$4))-Статистика!$C$10)/MAX(Статистика!$G$10-Статистика!$C$10,0.000001)))-MAX(0,MIN(1,(((IF(Статистика!$C$4="Параллельный режим (активная мощность)",H116,S116)+Статистика!$J$4))-Статистика!$C$10)/MAX(Статистика!$G$10-Статистика!$C$10,0.000001)))))</f>
        <v>6.9506067500000435E-2</v>
      </c>
      <c r="BD116" s="12">
        <f>IF(A116="","",MAX(0,1-MAX(0,MIN(1,(((IF(Статистика!$C$4="Параллельный режим (активная мощность)",J116,U116)+Статистика!$J$4))-Статистика!$C$10)/MAX(Статистика!$G$10-Статистика!$C$10,0.000001)))))</f>
        <v>0.17429406638888878</v>
      </c>
      <c r="BE116" s="12">
        <f>IF(A116="",NA(),IF(Статистика!$B$8="Вкл",(((IF(Статистика!$C$4="Параллельный режим (активная мощность)",F116,Q116)+Статистика!$J$4))-Статистика!$C$10)/MAX(Статистика!$G$10-Статистика!$C$10,0.000001),NA()))</f>
        <v>0.57206622222222236</v>
      </c>
      <c r="BF116" s="12">
        <f>IF(A116="",NA(),IF(Статистика!$D$8="Вкл",(((IF(Статистика!$C$4="Параллельный режим (активная мощность)",E116,P116)+Статистика!$J$4))-Статистика!$C$10)/MAX(Статистика!$G$10-Статистика!$C$10,0.000001),NA()))</f>
        <v>0.47965767222222228</v>
      </c>
      <c r="BG116" s="12">
        <f>IF(A116="",NA(),IF(Статистика!$D$8="Вкл",(((IF(Статистика!$C$4="Параллельный режим (активная мощность)",G116,R116)+Статистика!$J$4))-Статистика!$C$10)/MAX(Статистика!$G$10-Статистика!$C$10,0.000001),NA()))</f>
        <v>0.63882860555555543</v>
      </c>
      <c r="BH116" s="12">
        <f>IF(A116="",NA(),IF(Статистика!$F$8="Вкл",(((IF(Статистика!$C$4="Параллельный режим (активная мощность)",D116,O116)+Статистика!$J$4))-Статистика!$C$10)/MAX(Статистика!$G$10-Статистика!$C$10,0.000001),NA()))</f>
        <v>0.18890367444444442</v>
      </c>
      <c r="BI116" s="12">
        <f>IF(A116="",NA(),IF(Статистика!$F$8="Вкл",(((IF(Статистика!$C$4="Параллельный режим (активная мощность)",H116,S116)+Статистика!$J$4))-Статистика!$C$10)/MAX(Статистика!$G$10-Статистика!$C$10,0.000001),NA()))</f>
        <v>0.75619986611111079</v>
      </c>
      <c r="BJ116" s="12">
        <f>IF(A116="",NA(),IF(Статистика!$H$8="Вкл",(((IF(Статистика!$C$4="Параллельный режим (активная мощность)",B116,M116)+Статистика!$J$4))-Статистика!$C$10)/MAX(Статистика!$G$10-Статистика!$C$10,0.000001),NA()))</f>
        <v>-1.3130324300555554</v>
      </c>
      <c r="BK116" s="12">
        <f>IF(A116="",NA(),IF(Статистика!$H$8="Вкл",(((IF(Статистика!$C$4="Параллельный режим (активная мощность)",J116,U116)+Статистика!$J$4))-Статистика!$C$10)/MAX(Статистика!$G$10-Статистика!$C$10,0.000001),NA()))</f>
        <v>0.82570593361111122</v>
      </c>
      <c r="BL116" s="12" t="e">
        <f>IF(A116="",NA(),IF(Статистика!$J$8="Вкл",(((IF(Статистика!$C$4="Параллельный режим (активная мощность)",K116,V116)+Статистика!$J$4))-Статистика!$C$10)/MAX(Статистика!$G$10-Статистика!$C$10,0.000001),NA()))</f>
        <v>#N/A</v>
      </c>
      <c r="BM116" s="12" t="e">
        <f>IF(AND(A116&lt;&gt;"",Статистика!$C$6="Вкл",Статистика!$B$6&gt;0),(Статистика!$B$6-Статистика!$C$10)/MAX(Статистика!$G$10-Статистика!$C$10,0.000001),NA())</f>
        <v>#N/A</v>
      </c>
      <c r="BN116" s="12" t="e">
        <f>IF(AND(A116&lt;&gt;"",Статистика!$F$6="Вкл",Статистика!$E$6&gt;0),(Статистика!$E$6-Статистика!$C$10)/MAX(Статистика!$G$10-Статистика!$C$10,0.000001),NA())</f>
        <v>#N/A</v>
      </c>
      <c r="BO116" s="12" t="e">
        <f>IF(AND(A116&lt;&gt;"",Статистика!$I$6="Вкл",Статистика!$H$6&gt;0),(Статистика!$H$6-Статистика!$C$10)/MAX(Статистика!$G$10-Статистика!$C$10,0.000001),NA())</f>
        <v>#N/A</v>
      </c>
      <c r="BP116" s="12" t="e">
        <f>IF(AND(A116&lt;&gt;"",Статистика!$L$6="Вкл",Статистика!$K$6&gt;0),(Статистика!$K$6-Статистика!$C$10)/MAX(Статистика!$G$10-Статистика!$C$10,0.000001),NA())</f>
        <v>#N/A</v>
      </c>
      <c r="BQ116" s="12" t="e">
        <f>IF(AND(A116&lt;&gt;"",Статистика!$M$6="Вкл",Статистика!$O$6&gt;0),(Статистика!$O$6-Статистика!$C$10)/MAX(Статистика!$G$10-Статистика!$C$10,0.000001),NA())</f>
        <v>#N/A</v>
      </c>
      <c r="BR116" s="12">
        <f t="shared" si="2"/>
        <v>1</v>
      </c>
      <c r="BT116" s="12">
        <f>IF(Y116="","",MAX(0,MIN(1,(((IF(Статистика!$C$4="Параллельный режим (активная мощность)",Z116,AK116)+Статистика!$J$4))-Статистика!$C$10)/MAX(Статистика!$G$10-Статистика!$C$10,0.000001))))</f>
        <v>0.35881651105555529</v>
      </c>
      <c r="BU116" s="12">
        <f>IF(Y116="","",MAX(0,MAX(0,MIN(1,(((IF(Статистика!$C$4="Параллельный режим (активная мощность)",AB116,AM116)+Статистика!$J$4))-Статистика!$C$10)/MAX(Статистика!$G$10-Статистика!$C$10,0.000001)))-MAX(0,MIN(1,(((IF(Статистика!$C$4="Параллельный режим (активная мощность)",Z116,AK116)+Статистика!$J$4))-Статистика!$C$10)/MAX(Статистика!$G$10-Статистика!$C$10,0.000001)))))</f>
        <v>5.1061499499999885E-2</v>
      </c>
      <c r="BV116" s="12">
        <f>IF(Y116="","",MAX(0,MAX(0,MIN(1,(((IF(Статистика!$C$4="Параллельный режим (активная мощность)",AC116,AN116)+Статистика!$J$4))-Статистика!$C$10)/MAX(Статистика!$G$10-Статистика!$C$10,0.000001)))-MAX(0,MIN(1,(((IF(Статистика!$C$4="Параллельный режим (активная мощность)",AB116,AM116)+Статистика!$J$4))-Статистика!$C$10)/MAX(Статистика!$G$10-Статистика!$C$10,0.000001)))))</f>
        <v>0.11157447277777799</v>
      </c>
      <c r="BW116" s="12">
        <f>IF(Y116="","",MAX(0,MAX(0,MIN(1,(((IF(Статистика!$C$4="Параллельный режим (активная мощность)",AD116,AO116)+Статистика!$J$4))-Статистика!$C$10)/MAX(Статистика!$G$10-Статистика!$C$10,0.000001)))-MAX(0,MIN(1,(((IF(Статистика!$C$4="Параллельный режим (активная мощность)",AC116,AN116)+Статистика!$J$4))-Статистика!$C$10)/MAX(Статистика!$G$10-Статистика!$C$10,0.000001)))))</f>
        <v>6.7415216666666944E-2</v>
      </c>
      <c r="BX116" s="12">
        <f>IF(Y116="","",MAX(0,MAX(0,MIN(1,(((IF(Статистика!$C$4="Параллельный режим (активная мощность)",AE116,AP116)+Статистика!$J$4))-Статистика!$C$10)/MAX(Статистика!$G$10-Статистика!$C$10,0.000001)))-MAX(0,MIN(1,(((IF(Статистика!$C$4="Параллельный режим (активная мощность)",AD116,AO116)+Статистика!$J$4))-Статистика!$C$10)/MAX(Статистика!$G$10-Статистика!$C$10,0.000001)))))</f>
        <v>0.14169635833333327</v>
      </c>
      <c r="BY116" s="12">
        <f>IF(Y116="","",MAX(0,MAX(0,MIN(1,(((IF(Статистика!$C$4="Параллельный режим (активная мощность)",AF116,AQ116)+Статистика!$J$4))-Статистика!$C$10)/MAX(Статистика!$G$10-Статистика!$C$10,0.000001)))-MAX(0,MIN(1,(((IF(Статистика!$C$4="Параллельный режим (активная мощность)",AE116,AP116)+Статистика!$J$4))-Статистика!$C$10)/MAX(Статистика!$G$10-Статистика!$C$10,0.000001)))))</f>
        <v>8.0342306666666197E-2</v>
      </c>
      <c r="BZ116" s="12">
        <f>IF(Y116="","",MAX(0,MAX(0,MIN(1,(((IF(Статистика!$C$4="Параллельный режим (активная мощность)",AH116,AS116)+Статистика!$J$4))-Статистика!$C$10)/MAX(Статистика!$G$10-Статистика!$C$10,0.000001)))-MAX(0,MIN(1,(((IF(Статистика!$C$4="Параллельный режим (активная мощность)",AF116,AQ116)+Статистика!$J$4))-Статистика!$C$10)/MAX(Статистика!$G$10-Статистика!$C$10,0.000001)))))</f>
        <v>4.2992031499999861E-2</v>
      </c>
      <c r="CA116" s="12">
        <f>IF(Y116="","",MAX(0,1-MAX(0,MIN(1,(((IF(Статистика!$C$4="Параллельный режим (активная мощность)",AH116,AS116)+Статистика!$J$4))-Статистика!$C$10)/MAX(Статистика!$G$10-Статистика!$C$10,0.000001)))))</f>
        <v>0.14610160350000057</v>
      </c>
      <c r="CB116" s="12">
        <f>IF(Y116="",NA(),IF(Статистика!$B$8="Вкл",(((IF(Статистика!$C$4="Параллельный режим (активная мощность)",AD116,AO116)+Статистика!$J$4))-Статистика!$C$10)/MAX(Статистика!$G$10-Статистика!$C$10,0.000001),NA()))</f>
        <v>0.5888677000000001</v>
      </c>
      <c r="CC116" s="12">
        <f>IF(Y116="",NA(),IF(Статистика!$D$8="Вкл",(((IF(Статистика!$C$4="Параллельный режим (активная мощность)",AC116,AN116)+Статистика!$J$4))-Статистика!$C$10)/MAX(Статистика!$G$10-Статистика!$C$10,0.000001),NA()))</f>
        <v>0.52145248333333316</v>
      </c>
      <c r="CD116" s="12">
        <f>IF(Y116="",NA(),IF(Статистика!$D$8="Вкл",(((IF(Статистика!$C$4="Параллельный режим (активная мощность)",AE116,AP116)+Статистика!$J$4))-Статистика!$C$10)/MAX(Статистика!$G$10-Статистика!$C$10,0.000001),NA()))</f>
        <v>0.73056405833333338</v>
      </c>
      <c r="CE116" s="12">
        <f>IF(Y116="",NA(),IF(Статистика!$F$8="Вкл",(((IF(Статистика!$C$4="Параллельный режим (активная мощность)",AB116,AM116)+Статистика!$J$4))-Статистика!$C$10)/MAX(Статистика!$G$10-Статистика!$C$10,0.000001),NA()))</f>
        <v>0.40987801055555517</v>
      </c>
      <c r="CF116" s="12">
        <f>IF(Y116="",NA(),IF(Статистика!$F$8="Вкл",(((IF(Статистика!$C$4="Параллельный режим (активная мощность)",AF116,AQ116)+Статистика!$J$4))-Статистика!$C$10)/MAX(Статистика!$G$10-Статистика!$C$10,0.000001),NA()))</f>
        <v>0.81090636499999957</v>
      </c>
      <c r="CG116" s="12">
        <f>IF(Y116="",NA(),IF(Статистика!$H$8="Вкл",(((IF(Статистика!$C$4="Параллельный режим (активная мощность)",Z116,AK116)+Статистика!$J$4))-Статистика!$C$10)/MAX(Статистика!$G$10-Статистика!$C$10,0.000001),NA()))</f>
        <v>0.35881651105555529</v>
      </c>
      <c r="CH116" s="12">
        <f>IF(Y116="",NA(),IF(Статистика!$H$8="Вкл",(((IF(Статистика!$C$4="Параллельный режим (активная мощность)",AH116,AS116)+Статистика!$J$4))-Статистика!$C$10)/MAX(Статистика!$G$10-Статистика!$C$10,0.000001),NA()))</f>
        <v>0.85389839649999943</v>
      </c>
      <c r="CI116" s="12" t="e">
        <f>IF(Y116="",NA(),IF(Статистика!$J$8="Вкл",(((IF(Статистика!$C$4="Параллельный режим (активная мощность)",AI116,AT116)+Статистика!$J$4))-Статистика!$C$10)/MAX(Статистика!$G$10-Статистика!$C$10,0.000001),NA()))</f>
        <v>#N/A</v>
      </c>
      <c r="CJ116" s="12" t="e">
        <f>IF(AND(Y116&lt;&gt;"",Статистика!$C$6="Вкл",Статистика!$B$6&gt;0),(Статистика!$B$6-Статистика!$C$10)/MAX(Статистика!$G$10-Статистика!$C$10,0.000001),NA())</f>
        <v>#N/A</v>
      </c>
      <c r="CK116" s="12" t="e">
        <f>IF(AND(Y116&lt;&gt;"",Статистика!$F$6="Вкл",Статистика!$E$6&gt;0),(Статистика!$E$6-Статистика!$C$10)/MAX(Статистика!$G$10-Статистика!$C$10,0.000001),NA())</f>
        <v>#N/A</v>
      </c>
      <c r="CL116" s="12" t="e">
        <f>IF(AND(Y116&lt;&gt;"",Статистика!$I$6="Вкл",Статистика!$H$6&gt;0),(Статистика!$H$6-Статистика!$C$10)/MAX(Статистика!$G$10-Статистика!$C$10,0.000001),NA())</f>
        <v>#N/A</v>
      </c>
      <c r="CM116" s="12" t="e">
        <f>IF(AND(Y116&lt;&gt;"",Статистика!$L$6="Вкл",Статистика!$K$6&gt;0),(Статистика!$K$6-Статистика!$C$10)/MAX(Статистика!$G$10-Статистика!$C$10,0.000001),NA())</f>
        <v>#N/A</v>
      </c>
      <c r="CN116" s="12" t="e">
        <f>IF(AND(Y116&lt;&gt;"",Статистика!$M$6="Вкл",Статистика!$O$6&gt;0),(Статистика!$O$6-Статистика!$C$10)/MAX(Статистика!$G$10-Статистика!$C$10,0.000001),NA())</f>
        <v>#N/A</v>
      </c>
      <c r="CO116" s="12">
        <f t="shared" si="3"/>
        <v>1</v>
      </c>
    </row>
    <row r="117" spans="1:93" ht="15" customHeight="1">
      <c r="A117" s="12" t="s">
        <v>528</v>
      </c>
      <c r="B117" s="12">
        <v>2049.5943733333334</v>
      </c>
      <c r="C117" s="12">
        <v>4816.8741333333337</v>
      </c>
      <c r="D117" s="12">
        <v>6579.3285133333329</v>
      </c>
      <c r="E117" s="12">
        <v>7495.6977499999994</v>
      </c>
      <c r="F117" s="12">
        <v>7774.0218166666673</v>
      </c>
      <c r="G117" s="12">
        <v>7906.0993416666679</v>
      </c>
      <c r="H117" s="12">
        <v>8318.5808900000011</v>
      </c>
      <c r="I117" s="12">
        <v>8423.6873200000009</v>
      </c>
      <c r="J117" s="12">
        <v>8557.7489840000017</v>
      </c>
      <c r="K117" s="12">
        <v>8695.2000000000007</v>
      </c>
      <c r="L117" s="12" t="s">
        <v>529</v>
      </c>
      <c r="M117" s="12">
        <v>2474.7527333333333</v>
      </c>
      <c r="N117" s="12">
        <v>5568.3335333333343</v>
      </c>
      <c r="O117" s="12">
        <v>7554.9308633333349</v>
      </c>
      <c r="P117" s="12">
        <v>8491.9743833333341</v>
      </c>
      <c r="Q117" s="12">
        <v>8691.3211666666666</v>
      </c>
      <c r="R117" s="12">
        <v>8873.4602166666664</v>
      </c>
      <c r="S117" s="12">
        <v>9265.810515000001</v>
      </c>
      <c r="T117" s="12">
        <v>9362.0412949999991</v>
      </c>
      <c r="U117" s="12">
        <v>9526.4746590000013</v>
      </c>
      <c r="V117" s="12">
        <v>9656.25</v>
      </c>
      <c r="W117" s="12" t="s">
        <v>530</v>
      </c>
      <c r="Y117" s="12" t="s">
        <v>528</v>
      </c>
      <c r="Z117" s="12">
        <v>7124.5043771666651</v>
      </c>
      <c r="AA117" s="12">
        <v>7219.1405524999991</v>
      </c>
      <c r="AB117" s="12">
        <v>7337.4357716666655</v>
      </c>
      <c r="AC117" s="12">
        <v>7611.5592666666671</v>
      </c>
      <c r="AD117" s="12">
        <v>7795.4214499999998</v>
      </c>
      <c r="AE117" s="12">
        <v>8103.6910333333344</v>
      </c>
      <c r="AF117" s="12">
        <v>8424.4800816666684</v>
      </c>
      <c r="AG117" s="12">
        <v>8500.5405075000017</v>
      </c>
      <c r="AH117" s="12">
        <v>8561.388848166669</v>
      </c>
      <c r="AI117" s="12">
        <v>8706.15</v>
      </c>
      <c r="AJ117" s="12" t="s">
        <v>531</v>
      </c>
      <c r="AK117" s="12">
        <v>8007.5372550000002</v>
      </c>
      <c r="AL117" s="12">
        <v>8122.4258750000008</v>
      </c>
      <c r="AM117" s="12">
        <v>8266.03665</v>
      </c>
      <c r="AN117" s="12">
        <v>8532.4896750000007</v>
      </c>
      <c r="AO117" s="12">
        <v>8797.5171666666683</v>
      </c>
      <c r="AP117" s="12">
        <v>9053.4764166666682</v>
      </c>
      <c r="AQ117" s="12">
        <v>9424.1115966666657</v>
      </c>
      <c r="AR117" s="12">
        <v>9499.3209983333327</v>
      </c>
      <c r="AS117" s="12">
        <v>9559.4885196666655</v>
      </c>
      <c r="AT117" s="12">
        <v>9747.42</v>
      </c>
      <c r="AU117" s="12" t="s">
        <v>531</v>
      </c>
      <c r="AW117" s="12">
        <f>IF(A117="","",MAX(0,MIN(1,(((IF(Статистика!$C$4="Параллельный режим (активная мощность)",B117,M117)+Статистика!$J$4))-Статистика!$C$10)/MAX(Статистика!$G$10-Статистика!$C$10,0.000001))))</f>
        <v>0</v>
      </c>
      <c r="AX117" s="12">
        <f>IF(A117="","",MAX(0,MAX(0,MIN(1,(((IF(Статистика!$C$4="Параллельный режим (активная мощность)",D117,O117)+Статистика!$J$4))-Статистика!$C$10)/MAX(Статистика!$G$10-Статистика!$C$10,0.000001)))-MAX(0,MIN(1,(((IF(Статистика!$C$4="Параллельный режим (активная мощность)",B117,M117)+Статистика!$J$4))-Статистика!$C$10)/MAX(Статистика!$G$10-Статистика!$C$10,0.000001)))))</f>
        <v>0.1931095044444443</v>
      </c>
      <c r="AY117" s="12">
        <f>IF(A117="","",MAX(0,MAX(0,MIN(1,(((IF(Статистика!$C$4="Параллельный режим (активная мощность)",E117,P117)+Статистика!$J$4))-Статистика!$C$10)/MAX(Статистика!$G$10-Статистика!$C$10,0.000001)))-MAX(0,MIN(1,(((IF(Статистика!$C$4="Параллельный режим (активная мощность)",D117,O117)+Статистика!$J$4))-Статистика!$C$10)/MAX(Статистика!$G$10-Статистика!$C$10,0.000001)))))</f>
        <v>0.30545641222222214</v>
      </c>
      <c r="AZ117" s="12">
        <f>IF(A117="","",MAX(0,MAX(0,MIN(1,(((IF(Статистика!$C$4="Параллельный режим (активная мощность)",F117,Q117)+Статистика!$J$4))-Статистика!$C$10)/MAX(Статистика!$G$10-Статистика!$C$10,0.000001)))-MAX(0,MIN(1,(((IF(Статистика!$C$4="Параллельный режим (активная мощность)",E117,P117)+Статистика!$J$4))-Статистика!$C$10)/MAX(Статистика!$G$10-Статистика!$C$10,0.000001)))))</f>
        <v>9.2774688888889345E-2</v>
      </c>
      <c r="BA117" s="12">
        <f>IF(A117="","",MAX(0,MAX(0,MIN(1,(((IF(Статистика!$C$4="Параллельный режим (активная мощность)",G117,R117)+Статистика!$J$4))-Статистика!$C$10)/MAX(Статистика!$G$10-Статистика!$C$10,0.000001)))-MAX(0,MIN(1,(((IF(Статистика!$C$4="Параллельный режим (активная мощность)",F117,Q117)+Статистика!$J$4))-Статистика!$C$10)/MAX(Статистика!$G$10-Статистика!$C$10,0.000001)))))</f>
        <v>4.4025841666666898E-2</v>
      </c>
      <c r="BB117" s="12">
        <f>IF(A117="","",MAX(0,MAX(0,MIN(1,(((IF(Статистика!$C$4="Параллельный режим (активная мощность)",H117,S117)+Статистика!$J$4))-Статистика!$C$10)/MAX(Статистика!$G$10-Статистика!$C$10,0.000001)))-MAX(0,MIN(1,(((IF(Статистика!$C$4="Параллельный режим (активная мощность)",G117,R117)+Статистика!$J$4))-Статистика!$C$10)/MAX(Статистика!$G$10-Статистика!$C$10,0.000001)))))</f>
        <v>0.13749384944444432</v>
      </c>
      <c r="BC117" s="12">
        <f>IF(A117="","",MAX(0,MAX(0,MIN(1,(((IF(Статистика!$C$4="Параллельный режим (активная мощность)",J117,U117)+Статистика!$J$4))-Статистика!$C$10)/MAX(Статистика!$G$10-Статистика!$C$10,0.000001)))-MAX(0,MIN(1,(((IF(Статистика!$C$4="Параллельный режим (активная мощность)",H117,S117)+Статистика!$J$4))-Статистика!$C$10)/MAX(Статистика!$G$10-Статистика!$C$10,0.000001)))))</f>
        <v>7.9722698000000203E-2</v>
      </c>
      <c r="BD117" s="12">
        <f>IF(A117="","",MAX(0,1-MAX(0,MIN(1,(((IF(Статистика!$C$4="Параллельный режим (активная мощность)",J117,U117)+Статистика!$J$4))-Статистика!$C$10)/MAX(Статистика!$G$10-Статистика!$C$10,0.000001)))))</f>
        <v>0.1474170053333328</v>
      </c>
      <c r="BE117" s="12">
        <f>IF(A117="",NA(),IF(Статистика!$B$8="Вкл",(((IF(Статистика!$C$4="Параллельный режим (активная мощность)",F117,Q117)+Статистика!$J$4))-Статистика!$C$10)/MAX(Статистика!$G$10-Статистика!$C$10,0.000001),NA()))</f>
        <v>0.59134060555555579</v>
      </c>
      <c r="BF117" s="12">
        <f>IF(A117="",NA(),IF(Статистика!$D$8="Вкл",(((IF(Статистика!$C$4="Параллельный режим (активная мощность)",E117,P117)+Статистика!$J$4))-Статистика!$C$10)/MAX(Статистика!$G$10-Статистика!$C$10,0.000001),NA()))</f>
        <v>0.49856591666666644</v>
      </c>
      <c r="BG117" s="12">
        <f>IF(A117="",NA(),IF(Статистика!$D$8="Вкл",(((IF(Статистика!$C$4="Параллельный режим (активная мощность)",G117,R117)+Статистика!$J$4))-Статистика!$C$10)/MAX(Статистика!$G$10-Статистика!$C$10,0.000001),NA()))</f>
        <v>0.63536644722222269</v>
      </c>
      <c r="BH117" s="12">
        <f>IF(A117="",NA(),IF(Статистика!$F$8="Вкл",(((IF(Статистика!$C$4="Параллельный режим (активная мощность)",D117,O117)+Статистика!$J$4))-Статистика!$C$10)/MAX(Статистика!$G$10-Статистика!$C$10,0.000001),NA()))</f>
        <v>0.1931095044444443</v>
      </c>
      <c r="BI117" s="12">
        <f>IF(A117="",NA(),IF(Статистика!$F$8="Вкл",(((IF(Статистика!$C$4="Параллельный режим (активная мощность)",H117,S117)+Статистика!$J$4))-Статистика!$C$10)/MAX(Статистика!$G$10-Статистика!$C$10,0.000001),NA()))</f>
        <v>0.772860296666667</v>
      </c>
      <c r="BJ117" s="12">
        <f>IF(A117="",NA(),IF(Статистика!$H$8="Вкл",(((IF(Статистика!$C$4="Параллельный режим (активная мощность)",B117,M117)+Статистика!$J$4))-Статистика!$C$10)/MAX(Статистика!$G$10-Статистика!$C$10,0.000001),NA()))</f>
        <v>-1.3168018755555555</v>
      </c>
      <c r="BK117" s="12">
        <f>IF(A117="",NA(),IF(Статистика!$H$8="Вкл",(((IF(Статистика!$C$4="Параллельный режим (активная мощность)",J117,U117)+Статистика!$J$4))-Статистика!$C$10)/MAX(Статистика!$G$10-Статистика!$C$10,0.000001),NA()))</f>
        <v>0.8525829946666672</v>
      </c>
      <c r="BL117" s="12" t="e">
        <f>IF(A117="",NA(),IF(Статистика!$J$8="Вкл",(((IF(Статистика!$C$4="Параллельный режим (активная мощность)",K117,V117)+Статистика!$J$4))-Статистика!$C$10)/MAX(Статистика!$G$10-Статистика!$C$10,0.000001),NA()))</f>
        <v>#N/A</v>
      </c>
      <c r="BM117" s="12" t="e">
        <f>IF(AND(A117&lt;&gt;"",Статистика!$C$6="Вкл",Статистика!$B$6&gt;0),(Статистика!$B$6-Статистика!$C$10)/MAX(Статистика!$G$10-Статистика!$C$10,0.000001),NA())</f>
        <v>#N/A</v>
      </c>
      <c r="BN117" s="12" t="e">
        <f>IF(AND(A117&lt;&gt;"",Статистика!$F$6="Вкл",Статистика!$E$6&gt;0),(Статистика!$E$6-Статистика!$C$10)/MAX(Статистика!$G$10-Статистика!$C$10,0.000001),NA())</f>
        <v>#N/A</v>
      </c>
      <c r="BO117" s="12" t="e">
        <f>IF(AND(A117&lt;&gt;"",Статистика!$I$6="Вкл",Статистика!$H$6&gt;0),(Статистика!$H$6-Статистика!$C$10)/MAX(Статистика!$G$10-Статистика!$C$10,0.000001),NA())</f>
        <v>#N/A</v>
      </c>
      <c r="BP117" s="12" t="e">
        <f>IF(AND(A117&lt;&gt;"",Статистика!$L$6="Вкл",Статистика!$K$6&gt;0),(Статистика!$K$6-Статистика!$C$10)/MAX(Статистика!$G$10-Статистика!$C$10,0.000001),NA())</f>
        <v>#N/A</v>
      </c>
      <c r="BQ117" s="12" t="e">
        <f>IF(AND(A117&lt;&gt;"",Статистика!$M$6="Вкл",Статистика!$O$6&gt;0),(Статистика!$O$6-Статистика!$C$10)/MAX(Статистика!$G$10-Статистика!$C$10,0.000001),NA())</f>
        <v>#N/A</v>
      </c>
      <c r="BR117" s="12">
        <f t="shared" si="2"/>
        <v>1</v>
      </c>
      <c r="BT117" s="12">
        <f>IF(Y117="","",MAX(0,MIN(1,(((IF(Статистика!$C$4="Параллельный режим (активная мощность)",Z117,AK117)+Статистика!$J$4))-Статистика!$C$10)/MAX(Статистика!$G$10-Статистика!$C$10,0.000001))))</f>
        <v>0.37483479238888839</v>
      </c>
      <c r="BU117" s="12">
        <f>IF(Y117="","",MAX(0,MAX(0,MIN(1,(((IF(Статистика!$C$4="Параллельный режим (активная мощность)",AB117,AM117)+Статистика!$J$4))-Статистика!$C$10)/MAX(Статистика!$G$10-Статистика!$C$10,0.000001)))-MAX(0,MIN(1,(((IF(Статистика!$C$4="Параллельный режим (активная мощность)",Z117,AK117)+Статистика!$J$4))-Статистика!$C$10)/MAX(Статистика!$G$10-Статистика!$C$10,0.000001)))))</f>
        <v>7.0977131500000068E-2</v>
      </c>
      <c r="BV117" s="12">
        <f>IF(Y117="","",MAX(0,MAX(0,MIN(1,(((IF(Статистика!$C$4="Параллельный режим (активная мощность)",AC117,AN117)+Статистика!$J$4))-Статистика!$C$10)/MAX(Статистика!$G$10-Статистика!$C$10,0.000001)))-MAX(0,MIN(1,(((IF(Статистика!$C$4="Параллельный режим (активная мощность)",AB117,AM117)+Статистика!$J$4))-Статистика!$C$10)/MAX(Статистика!$G$10-Статистика!$C$10,0.000001)))))</f>
        <v>9.1374498333333887E-2</v>
      </c>
      <c r="BW117" s="12">
        <f>IF(Y117="","",MAX(0,MAX(0,MIN(1,(((IF(Статистика!$C$4="Параллельный режим (активная мощность)",AD117,AO117)+Статистика!$J$4))-Статистика!$C$10)/MAX(Статистика!$G$10-Статистика!$C$10,0.000001)))-MAX(0,MIN(1,(((IF(Статистика!$C$4="Параллельный режим (активная мощность)",AC117,AN117)+Статистика!$J$4))-Статистика!$C$10)/MAX(Статистика!$G$10-Статистика!$C$10,0.000001)))))</f>
        <v>6.128739444444431E-2</v>
      </c>
      <c r="BX117" s="12">
        <f>IF(Y117="","",MAX(0,MAX(0,MIN(1,(((IF(Статистика!$C$4="Параллельный режим (активная мощность)",AE117,AP117)+Статистика!$J$4))-Статистика!$C$10)/MAX(Статистика!$G$10-Статистика!$C$10,0.000001)))-MAX(0,MIN(1,(((IF(Статистика!$C$4="Параллельный режим (активная мощность)",AD117,AO117)+Статистика!$J$4))-Статистика!$C$10)/MAX(Статистика!$G$10-Статистика!$C$10,0.000001)))))</f>
        <v>0.10275652777777811</v>
      </c>
      <c r="BY117" s="12">
        <f>IF(Y117="","",MAX(0,MAX(0,MIN(1,(((IF(Статистика!$C$4="Параллельный режим (активная мощность)",AF117,AQ117)+Статистика!$J$4))-Статистика!$C$10)/MAX(Статистика!$G$10-Статистика!$C$10,0.000001)))-MAX(0,MIN(1,(((IF(Статистика!$C$4="Параллельный режим (активная мощность)",AE117,AP117)+Статистика!$J$4))-Статистика!$C$10)/MAX(Статистика!$G$10-Статистика!$C$10,0.000001)))))</f>
        <v>0.10692968277777803</v>
      </c>
      <c r="BZ117" s="12">
        <f>IF(Y117="","",MAX(0,MAX(0,MIN(1,(((IF(Статистика!$C$4="Параллельный режим (активная мощность)",AH117,AS117)+Статистика!$J$4))-Статистика!$C$10)/MAX(Статистика!$G$10-Статистика!$C$10,0.000001)))-MAX(0,MIN(1,(((IF(Статистика!$C$4="Параллельный режим (активная мощность)",AF117,AQ117)+Статистика!$J$4))-Статистика!$C$10)/MAX(Статистика!$G$10-Статистика!$C$10,0.000001)))))</f>
        <v>4.5636255500000167E-2</v>
      </c>
      <c r="CA117" s="12">
        <f>IF(Y117="","",MAX(0,1-MAX(0,MIN(1,(((IF(Статистика!$C$4="Параллельный режим (активная мощность)",AH117,AS117)+Статистика!$J$4))-Статистика!$C$10)/MAX(Статистика!$G$10-Статистика!$C$10,0.000001)))))</f>
        <v>0.14620371727777703</v>
      </c>
      <c r="CB117" s="12">
        <f>IF(Y117="",NA(),IF(Статистика!$B$8="Вкл",(((IF(Статистика!$C$4="Параллельный режим (активная мощность)",AD117,AO117)+Статистика!$J$4))-Статистика!$C$10)/MAX(Статистика!$G$10-Статистика!$C$10,0.000001),NA()))</f>
        <v>0.59847381666666666</v>
      </c>
      <c r="CC117" s="12">
        <f>IF(Y117="",NA(),IF(Статистика!$D$8="Вкл",(((IF(Статистика!$C$4="Параллельный режим (активная мощность)",AC117,AN117)+Статистика!$J$4))-Статистика!$C$10)/MAX(Статистика!$G$10-Статистика!$C$10,0.000001),NA()))</f>
        <v>0.53718642222222235</v>
      </c>
      <c r="CD117" s="12">
        <f>IF(Y117="",NA(),IF(Статистика!$D$8="Вкл",(((IF(Статистика!$C$4="Параллельный режим (активная мощность)",AE117,AP117)+Статистика!$J$4))-Статистика!$C$10)/MAX(Статистика!$G$10-Статистика!$C$10,0.000001),NA()))</f>
        <v>0.70123034444444476</v>
      </c>
      <c r="CE117" s="12">
        <f>IF(Y117="",NA(),IF(Статистика!$F$8="Вкл",(((IF(Статистика!$C$4="Параллельный режим (активная мощность)",AB117,AM117)+Статистика!$J$4))-Статистика!$C$10)/MAX(Статистика!$G$10-Статистика!$C$10,0.000001),NA()))</f>
        <v>0.44581192388888846</v>
      </c>
      <c r="CF117" s="12">
        <f>IF(Y117="",NA(),IF(Статистика!$F$8="Вкл",(((IF(Статистика!$C$4="Параллельный режим (активная мощность)",AF117,AQ117)+Статистика!$J$4))-Статистика!$C$10)/MAX(Статистика!$G$10-Статистика!$C$10,0.000001),NA()))</f>
        <v>0.8081600272222228</v>
      </c>
      <c r="CG117" s="12">
        <f>IF(Y117="",NA(),IF(Статистика!$H$8="Вкл",(((IF(Статистика!$C$4="Параллельный режим (активная мощность)",Z117,AK117)+Статистика!$J$4))-Статистика!$C$10)/MAX(Статистика!$G$10-Статистика!$C$10,0.000001),NA()))</f>
        <v>0.37483479238888839</v>
      </c>
      <c r="CH117" s="12">
        <f>IF(Y117="",NA(),IF(Статистика!$H$8="Вкл",(((IF(Статистика!$C$4="Параллельный режим (активная мощность)",AH117,AS117)+Статистика!$J$4))-Статистика!$C$10)/MAX(Статистика!$G$10-Статистика!$C$10,0.000001),NA()))</f>
        <v>0.85379628272222297</v>
      </c>
      <c r="CI117" s="12" t="e">
        <f>IF(Y117="",NA(),IF(Статистика!$J$8="Вкл",(((IF(Статистика!$C$4="Параллельный режим (активная мощность)",AI117,AT117)+Статистика!$J$4))-Статистика!$C$10)/MAX(Статистика!$G$10-Статистика!$C$10,0.000001),NA()))</f>
        <v>#N/A</v>
      </c>
      <c r="CJ117" s="12" t="e">
        <f>IF(AND(Y117&lt;&gt;"",Статистика!$C$6="Вкл",Статистика!$B$6&gt;0),(Статистика!$B$6-Статистика!$C$10)/MAX(Статистика!$G$10-Статистика!$C$10,0.000001),NA())</f>
        <v>#N/A</v>
      </c>
      <c r="CK117" s="12" t="e">
        <f>IF(AND(Y117&lt;&gt;"",Статистика!$F$6="Вкл",Статистика!$E$6&gt;0),(Статистика!$E$6-Статистика!$C$10)/MAX(Статистика!$G$10-Статистика!$C$10,0.000001),NA())</f>
        <v>#N/A</v>
      </c>
      <c r="CL117" s="12" t="e">
        <f>IF(AND(Y117&lt;&gt;"",Статистика!$I$6="Вкл",Статистика!$H$6&gt;0),(Статистика!$H$6-Статистика!$C$10)/MAX(Статистика!$G$10-Статистика!$C$10,0.000001),NA())</f>
        <v>#N/A</v>
      </c>
      <c r="CM117" s="12" t="e">
        <f>IF(AND(Y117&lt;&gt;"",Статистика!$L$6="Вкл",Статистика!$K$6&gt;0),(Статистика!$K$6-Статистика!$C$10)/MAX(Статистика!$G$10-Статистика!$C$10,0.000001),NA())</f>
        <v>#N/A</v>
      </c>
      <c r="CN117" s="12" t="e">
        <f>IF(AND(Y117&lt;&gt;"",Статистика!$M$6="Вкл",Статистика!$O$6&gt;0),(Статистика!$O$6-Статистика!$C$10)/MAX(Статистика!$G$10-Статистика!$C$10,0.000001),NA())</f>
        <v>#N/A</v>
      </c>
      <c r="CO117" s="12">
        <f t="shared" si="3"/>
        <v>1</v>
      </c>
    </row>
    <row r="118" spans="1:93" ht="15" customHeight="1">
      <c r="A118" s="12" t="s">
        <v>532</v>
      </c>
      <c r="B118" s="12">
        <v>2069.8442964999999</v>
      </c>
      <c r="C118" s="12">
        <v>4836.5902825000012</v>
      </c>
      <c r="D118" s="12">
        <v>6616.3246750000008</v>
      </c>
      <c r="E118" s="12">
        <v>7534.6847583333329</v>
      </c>
      <c r="F118" s="12">
        <v>7780.5905166666671</v>
      </c>
      <c r="G118" s="12">
        <v>7929.0677583333327</v>
      </c>
      <c r="H118" s="12">
        <v>8247.9114333333328</v>
      </c>
      <c r="I118" s="12">
        <v>8373.8133191666657</v>
      </c>
      <c r="J118" s="12">
        <v>8499.2381838333331</v>
      </c>
      <c r="K118" s="12">
        <v>8723.3700000000008</v>
      </c>
      <c r="L118" s="12" t="s">
        <v>533</v>
      </c>
      <c r="M118" s="12">
        <v>2491.5748045</v>
      </c>
      <c r="N118" s="12">
        <v>5594.3401558333335</v>
      </c>
      <c r="O118" s="12">
        <v>7596.9696549999999</v>
      </c>
      <c r="P118" s="12">
        <v>8493.9265999999989</v>
      </c>
      <c r="Q118" s="12">
        <v>8766.3290333333352</v>
      </c>
      <c r="R118" s="12">
        <v>8904.2327583333317</v>
      </c>
      <c r="S118" s="12">
        <v>9194.9188699999995</v>
      </c>
      <c r="T118" s="12">
        <v>9303.4703758333326</v>
      </c>
      <c r="U118" s="12">
        <v>9457.4472485000024</v>
      </c>
      <c r="V118" s="12">
        <v>9674.32</v>
      </c>
      <c r="W118" s="12" t="s">
        <v>534</v>
      </c>
      <c r="Y118" s="12" t="s">
        <v>532</v>
      </c>
      <c r="Z118" s="12">
        <v>7114.9217196666668</v>
      </c>
      <c r="AA118" s="12">
        <v>7214.0209983333334</v>
      </c>
      <c r="AB118" s="12">
        <v>7337.8950966666671</v>
      </c>
      <c r="AC118" s="12">
        <v>7634.6958583333335</v>
      </c>
      <c r="AD118" s="12">
        <v>7877.1789166666676</v>
      </c>
      <c r="AE118" s="12">
        <v>8162.2932916666678</v>
      </c>
      <c r="AF118" s="12">
        <v>8432.563336666668</v>
      </c>
      <c r="AG118" s="12">
        <v>8497.9962683333342</v>
      </c>
      <c r="AH118" s="12">
        <v>8550.3426136666676</v>
      </c>
      <c r="AI118" s="12">
        <v>8652.9</v>
      </c>
      <c r="AJ118" s="12" t="s">
        <v>535</v>
      </c>
      <c r="AK118" s="12">
        <v>7991.2986871666681</v>
      </c>
      <c r="AL118" s="12">
        <v>8106.5786358333344</v>
      </c>
      <c r="AM118" s="12">
        <v>8250.6785716666673</v>
      </c>
      <c r="AN118" s="12">
        <v>8589.445233333332</v>
      </c>
      <c r="AO118" s="12">
        <v>8942.9690666666684</v>
      </c>
      <c r="AP118" s="12">
        <v>9114.0986416666674</v>
      </c>
      <c r="AQ118" s="12">
        <v>9438.1962333333322</v>
      </c>
      <c r="AR118" s="12">
        <v>9500.4840999999997</v>
      </c>
      <c r="AS118" s="12">
        <v>9550.3143933333322</v>
      </c>
      <c r="AT118" s="12">
        <v>9654.31</v>
      </c>
      <c r="AU118" s="12" t="s">
        <v>536</v>
      </c>
      <c r="AW118" s="12">
        <f>IF(A118="","",MAX(0,MIN(1,(((IF(Статистика!$C$4="Параллельный режим (активная мощность)",B118,M118)+Статистика!$J$4))-Статистика!$C$10)/MAX(Статистика!$G$10-Статистика!$C$10,0.000001))))</f>
        <v>0</v>
      </c>
      <c r="AX118" s="12">
        <f>IF(A118="","",MAX(0,MAX(0,MIN(1,(((IF(Статистика!$C$4="Параллельный режим (активная мощность)",D118,O118)+Статистика!$J$4))-Статистика!$C$10)/MAX(Статистика!$G$10-Статистика!$C$10,0.000001)))-MAX(0,MIN(1,(((IF(Статистика!$C$4="Параллельный режим (активная мощность)",B118,M118)+Статистика!$J$4))-Статистика!$C$10)/MAX(Статистика!$G$10-Статистика!$C$10,0.000001)))))</f>
        <v>0.20544155833333358</v>
      </c>
      <c r="AY118" s="12">
        <f>IF(A118="","",MAX(0,MAX(0,MIN(1,(((IF(Статистика!$C$4="Параллельный режим (активная мощность)",E118,P118)+Статистика!$J$4))-Статистика!$C$10)/MAX(Статистика!$G$10-Статистика!$C$10,0.000001)))-MAX(0,MIN(1,(((IF(Статистика!$C$4="Параллельный режим (активная мощность)",D118,O118)+Статистика!$J$4))-Статистика!$C$10)/MAX(Статистика!$G$10-Статистика!$C$10,0.000001)))))</f>
        <v>0.30612002777777736</v>
      </c>
      <c r="AZ118" s="12">
        <f>IF(A118="","",MAX(0,MAX(0,MIN(1,(((IF(Статистика!$C$4="Параллельный режим (активная мощность)",F118,Q118)+Статистика!$J$4))-Статистика!$C$10)/MAX(Статистика!$G$10-Статистика!$C$10,0.000001)))-MAX(0,MIN(1,(((IF(Статистика!$C$4="Параллельный режим (активная мощность)",E118,P118)+Статистика!$J$4))-Статистика!$C$10)/MAX(Статистика!$G$10-Статистика!$C$10,0.000001)))))</f>
        <v>8.1968586111111463E-2</v>
      </c>
      <c r="BA118" s="12">
        <f>IF(A118="","",MAX(0,MAX(0,MIN(1,(((IF(Статистика!$C$4="Параллельный режим (активная мощность)",G118,R118)+Статистика!$J$4))-Статистика!$C$10)/MAX(Статистика!$G$10-Статистика!$C$10,0.000001)))-MAX(0,MIN(1,(((IF(Статистика!$C$4="Параллельный режим (активная мощность)",F118,Q118)+Статистика!$J$4))-Статистика!$C$10)/MAX(Статистика!$G$10-Статистика!$C$10,0.000001)))))</f>
        <v>4.9492413888888476E-2</v>
      </c>
      <c r="BB118" s="12">
        <f>IF(A118="","",MAX(0,MAX(0,MIN(1,(((IF(Статистика!$C$4="Параллельный режим (активная мощность)",H118,S118)+Статистика!$J$4))-Статистика!$C$10)/MAX(Статистика!$G$10-Статистика!$C$10,0.000001)))-MAX(0,MIN(1,(((IF(Статистика!$C$4="Параллельный режим (активная мощность)",G118,R118)+Статистика!$J$4))-Статистика!$C$10)/MAX(Статистика!$G$10-Статистика!$C$10,0.000001)))))</f>
        <v>0.10628122500000003</v>
      </c>
      <c r="BC118" s="12">
        <f>IF(A118="","",MAX(0,MAX(0,MIN(1,(((IF(Статистика!$C$4="Параллельный режим (активная мощность)",J118,U118)+Статистика!$J$4))-Статистика!$C$10)/MAX(Статистика!$G$10-Статистика!$C$10,0.000001)))-MAX(0,MIN(1,(((IF(Статистика!$C$4="Параллельный режим (активная мощность)",H118,S118)+Статистика!$J$4))-Статистика!$C$10)/MAX(Статистика!$G$10-Статистика!$C$10,0.000001)))))</f>
        <v>8.3775583500000139E-2</v>
      </c>
      <c r="BD118" s="12">
        <f>IF(A118="","",MAX(0,1-MAX(0,MIN(1,(((IF(Статистика!$C$4="Параллельный режим (активная мощность)",J118,U118)+Статистика!$J$4))-Статистика!$C$10)/MAX(Статистика!$G$10-Статистика!$C$10,0.000001)))))</f>
        <v>0.16692060538888898</v>
      </c>
      <c r="BE118" s="12">
        <f>IF(A118="",NA(),IF(Статистика!$B$8="Вкл",(((IF(Статистика!$C$4="Параллельный режим (активная мощность)",F118,Q118)+Статистика!$J$4))-Статистика!$C$10)/MAX(Статистика!$G$10-Статистика!$C$10,0.000001),NA()))</f>
        <v>0.59353017222222237</v>
      </c>
      <c r="BF118" s="12">
        <f>IF(A118="",NA(),IF(Статистика!$D$8="Вкл",(((IF(Статистика!$C$4="Параллельный режим (активная мощность)",E118,P118)+Статистика!$J$4))-Статистика!$C$10)/MAX(Статистика!$G$10-Статистика!$C$10,0.000001),NA()))</f>
        <v>0.51156158611111091</v>
      </c>
      <c r="BG118" s="12">
        <f>IF(A118="",NA(),IF(Статистика!$D$8="Вкл",(((IF(Статистика!$C$4="Параллельный режим (активная мощность)",G118,R118)+Статистика!$J$4))-Статистика!$C$10)/MAX(Статистика!$G$10-Статистика!$C$10,0.000001),NA()))</f>
        <v>0.64302258611111085</v>
      </c>
      <c r="BH118" s="12">
        <f>IF(A118="",NA(),IF(Статистика!$F$8="Вкл",(((IF(Статистика!$C$4="Параллельный режим (активная мощность)",D118,O118)+Статистика!$J$4))-Статистика!$C$10)/MAX(Статистика!$G$10-Статистика!$C$10,0.000001),NA()))</f>
        <v>0.20544155833333358</v>
      </c>
      <c r="BI118" s="12">
        <f>IF(A118="",NA(),IF(Статистика!$F$8="Вкл",(((IF(Статистика!$C$4="Параллельный режим (активная мощность)",H118,S118)+Статистика!$J$4))-Статистика!$C$10)/MAX(Статистика!$G$10-Статистика!$C$10,0.000001),NA()))</f>
        <v>0.74930381111111088</v>
      </c>
      <c r="BJ118" s="12">
        <f>IF(A118="",NA(),IF(Статистика!$H$8="Вкл",(((IF(Статистика!$C$4="Параллельный режим (активная мощность)",B118,M118)+Статистика!$J$4))-Статистика!$C$10)/MAX(Статистика!$G$10-Статистика!$C$10,0.000001),NA()))</f>
        <v>-1.3100519011666667</v>
      </c>
      <c r="BK118" s="12">
        <f>IF(A118="",NA(),IF(Статистика!$H$8="Вкл",(((IF(Статистика!$C$4="Параллельный режим (активная мощность)",J118,U118)+Статистика!$J$4))-Статистика!$C$10)/MAX(Статистика!$G$10-Статистика!$C$10,0.000001),NA()))</f>
        <v>0.83307939461111102</v>
      </c>
      <c r="BL118" s="12" t="e">
        <f>IF(A118="",NA(),IF(Статистика!$J$8="Вкл",(((IF(Статистика!$C$4="Параллельный режим (активная мощность)",K118,V118)+Статистика!$J$4))-Статистика!$C$10)/MAX(Статистика!$G$10-Статистика!$C$10,0.000001),NA()))</f>
        <v>#N/A</v>
      </c>
      <c r="BM118" s="12" t="e">
        <f>IF(AND(A118&lt;&gt;"",Статистика!$C$6="Вкл",Статистика!$B$6&gt;0),(Статистика!$B$6-Статистика!$C$10)/MAX(Статистика!$G$10-Статистика!$C$10,0.000001),NA())</f>
        <v>#N/A</v>
      </c>
      <c r="BN118" s="12" t="e">
        <f>IF(AND(A118&lt;&gt;"",Статистика!$F$6="Вкл",Статистика!$E$6&gt;0),(Статистика!$E$6-Статистика!$C$10)/MAX(Статистика!$G$10-Статистика!$C$10,0.000001),NA())</f>
        <v>#N/A</v>
      </c>
      <c r="BO118" s="12" t="e">
        <f>IF(AND(A118&lt;&gt;"",Статистика!$I$6="Вкл",Статистика!$H$6&gt;0),(Статистика!$H$6-Статистика!$C$10)/MAX(Статистика!$G$10-Статистика!$C$10,0.000001),NA())</f>
        <v>#N/A</v>
      </c>
      <c r="BP118" s="12" t="e">
        <f>IF(AND(A118&lt;&gt;"",Статистика!$L$6="Вкл",Статистика!$K$6&gt;0),(Статистика!$K$6-Статистика!$C$10)/MAX(Статистика!$G$10-Статистика!$C$10,0.000001),NA())</f>
        <v>#N/A</v>
      </c>
      <c r="BQ118" s="12" t="e">
        <f>IF(AND(A118&lt;&gt;"",Статистика!$M$6="Вкл",Статистика!$O$6&gt;0),(Статистика!$O$6-Статистика!$C$10)/MAX(Статистика!$G$10-Статистика!$C$10,0.000001),NA())</f>
        <v>#N/A</v>
      </c>
      <c r="BR118" s="12">
        <f t="shared" si="2"/>
        <v>1</v>
      </c>
      <c r="BT118" s="12">
        <f>IF(Y118="","",MAX(0,MIN(1,(((IF(Статистика!$C$4="Параллельный режим (активная мощность)",Z118,AK118)+Статистика!$J$4))-Статистика!$C$10)/MAX(Статистика!$G$10-Статистика!$C$10,0.000001))))</f>
        <v>0.37164057322222227</v>
      </c>
      <c r="BU118" s="12">
        <f>IF(Y118="","",MAX(0,MAX(0,MIN(1,(((IF(Статистика!$C$4="Параллельный режим (активная мощность)",AB118,AM118)+Статистика!$J$4))-Статистика!$C$10)/MAX(Статистика!$G$10-Статистика!$C$10,0.000001)))-MAX(0,MIN(1,(((IF(Статистика!$C$4="Параллельный режим (активная мощность)",Z118,AK118)+Статистика!$J$4))-Статистика!$C$10)/MAX(Статистика!$G$10-Статистика!$C$10,0.000001)))))</f>
        <v>7.4324459000000065E-2</v>
      </c>
      <c r="BV118" s="12">
        <f>IF(Y118="","",MAX(0,MAX(0,MIN(1,(((IF(Статистика!$C$4="Параллельный режим (активная мощность)",AC118,AN118)+Статистика!$J$4))-Статистика!$C$10)/MAX(Статистика!$G$10-Статистика!$C$10,0.000001)))-MAX(0,MIN(1,(((IF(Статистика!$C$4="Параллельный режим (активная мощность)",AB118,AM118)+Статистика!$J$4))-Статистика!$C$10)/MAX(Статистика!$G$10-Статистика!$C$10,0.000001)))))</f>
        <v>9.8933587222222175E-2</v>
      </c>
      <c r="BW118" s="12">
        <f>IF(Y118="","",MAX(0,MAX(0,MIN(1,(((IF(Статистика!$C$4="Параллельный режим (активная мощность)",AD118,AO118)+Статистика!$J$4))-Статистика!$C$10)/MAX(Статистика!$G$10-Статистика!$C$10,0.000001)))-MAX(0,MIN(1,(((IF(Статистика!$C$4="Параллельный режим (активная мощность)",AC118,AN118)+Статистика!$J$4))-Статистика!$C$10)/MAX(Статистика!$G$10-Статистика!$C$10,0.000001)))))</f>
        <v>8.0827686111111352E-2</v>
      </c>
      <c r="BX118" s="12">
        <f>IF(Y118="","",MAX(0,MAX(0,MIN(1,(((IF(Статистика!$C$4="Параллельный режим (активная мощность)",AE118,AP118)+Статистика!$J$4))-Статистика!$C$10)/MAX(Статистика!$G$10-Статистика!$C$10,0.000001)))-MAX(0,MIN(1,(((IF(Статистика!$C$4="Параллельный режим (активная мощность)",AD118,AO118)+Статистика!$J$4))-Статистика!$C$10)/MAX(Статистика!$G$10-Статистика!$C$10,0.000001)))))</f>
        <v>9.5038125000000084E-2</v>
      </c>
      <c r="BY118" s="12">
        <f>IF(Y118="","",MAX(0,MAX(0,MIN(1,(((IF(Статистика!$C$4="Параллельный режим (активная мощность)",AF118,AQ118)+Статистика!$J$4))-Статистика!$C$10)/MAX(Статистика!$G$10-Статистика!$C$10,0.000001)))-MAX(0,MIN(1,(((IF(Статистика!$C$4="Параллельный режим (активная мощность)",AE118,AP118)+Статистика!$J$4))-Статистика!$C$10)/MAX(Статистика!$G$10-Статистика!$C$10,0.000001)))))</f>
        <v>9.0090015000000023E-2</v>
      </c>
      <c r="BZ118" s="12">
        <f>IF(Y118="","",MAX(0,MAX(0,MIN(1,(((IF(Статистика!$C$4="Параллельный режим (активная мощность)",AH118,AS118)+Статистика!$J$4))-Статистика!$C$10)/MAX(Статистика!$G$10-Статистика!$C$10,0.000001)))-MAX(0,MIN(1,(((IF(Статистика!$C$4="Параллельный режим (активная мощность)",AF118,AQ118)+Статистика!$J$4))-Статистика!$C$10)/MAX(Статистика!$G$10-Статистика!$C$10,0.000001)))))</f>
        <v>3.9259758999999894E-2</v>
      </c>
      <c r="CA118" s="12">
        <f>IF(Y118="","",MAX(0,1-MAX(0,MIN(1,(((IF(Статистика!$C$4="Параллельный режим (активная мощность)",AH118,AS118)+Статистика!$J$4))-Статистика!$C$10)/MAX(Статистика!$G$10-Статистика!$C$10,0.000001)))))</f>
        <v>0.14988579544444414</v>
      </c>
      <c r="CB118" s="12">
        <f>IF(Y118="",NA(),IF(Статистика!$B$8="Вкл",(((IF(Статистика!$C$4="Параллельный режим (активная мощность)",AD118,AO118)+Статистика!$J$4))-Статистика!$C$10)/MAX(Статистика!$G$10-Статистика!$C$10,0.000001),NA()))</f>
        <v>0.62572630555555586</v>
      </c>
      <c r="CC118" s="12">
        <f>IF(Y118="",NA(),IF(Статистика!$D$8="Вкл",(((IF(Статистика!$C$4="Параллельный режим (активная мощность)",AC118,AN118)+Статистика!$J$4))-Статистика!$C$10)/MAX(Статистика!$G$10-Статистика!$C$10,0.000001),NA()))</f>
        <v>0.54489861944444451</v>
      </c>
      <c r="CD118" s="12">
        <f>IF(Y118="",NA(),IF(Статистика!$D$8="Вкл",(((IF(Статистика!$C$4="Параллельный режим (активная мощность)",AE118,AP118)+Статистика!$J$4))-Статистика!$C$10)/MAX(Статистика!$G$10-Статистика!$C$10,0.000001),NA()))</f>
        <v>0.72076443055555595</v>
      </c>
      <c r="CE118" s="12">
        <f>IF(Y118="",NA(),IF(Статистика!$F$8="Вкл",(((IF(Статистика!$C$4="Параллельный режим (активная мощность)",AB118,AM118)+Статистика!$J$4))-Статистика!$C$10)/MAX(Статистика!$G$10-Статистика!$C$10,0.000001),NA()))</f>
        <v>0.44596503222222234</v>
      </c>
      <c r="CF118" s="12">
        <f>IF(Y118="",NA(),IF(Статистика!$F$8="Вкл",(((IF(Статистика!$C$4="Параллельный режим (активная мощность)",AF118,AQ118)+Статистика!$J$4))-Статистика!$C$10)/MAX(Статистика!$G$10-Статистика!$C$10,0.000001),NA()))</f>
        <v>0.81085444555555597</v>
      </c>
      <c r="CG118" s="12">
        <f>IF(Y118="",NA(),IF(Статистика!$H$8="Вкл",(((IF(Статистика!$C$4="Параллельный режим (активная мощность)",Z118,AK118)+Статистика!$J$4))-Статистика!$C$10)/MAX(Статистика!$G$10-Статистика!$C$10,0.000001),NA()))</f>
        <v>0.37164057322222227</v>
      </c>
      <c r="CH118" s="12">
        <f>IF(Y118="",NA(),IF(Статистика!$H$8="Вкл",(((IF(Статистика!$C$4="Параллельный режим (активная мощность)",AH118,AS118)+Статистика!$J$4))-Статистика!$C$10)/MAX(Статистика!$G$10-Статистика!$C$10,0.000001),NA()))</f>
        <v>0.85011420455555586</v>
      </c>
      <c r="CI118" s="12" t="e">
        <f>IF(Y118="",NA(),IF(Статистика!$J$8="Вкл",(((IF(Статистика!$C$4="Параллельный режим (активная мощность)",AI118,AT118)+Статистика!$J$4))-Статистика!$C$10)/MAX(Статистика!$G$10-Статистика!$C$10,0.000001),NA()))</f>
        <v>#N/A</v>
      </c>
      <c r="CJ118" s="12" t="e">
        <f>IF(AND(Y118&lt;&gt;"",Статистика!$C$6="Вкл",Статистика!$B$6&gt;0),(Статистика!$B$6-Статистика!$C$10)/MAX(Статистика!$G$10-Статистика!$C$10,0.000001),NA())</f>
        <v>#N/A</v>
      </c>
      <c r="CK118" s="12" t="e">
        <f>IF(AND(Y118&lt;&gt;"",Статистика!$F$6="Вкл",Статистика!$E$6&gt;0),(Статистика!$E$6-Статистика!$C$10)/MAX(Статистика!$G$10-Статистика!$C$10,0.000001),NA())</f>
        <v>#N/A</v>
      </c>
      <c r="CL118" s="12" t="e">
        <f>IF(AND(Y118&lt;&gt;"",Статистика!$I$6="Вкл",Статистика!$H$6&gt;0),(Статистика!$H$6-Статистика!$C$10)/MAX(Статистика!$G$10-Статистика!$C$10,0.000001),NA())</f>
        <v>#N/A</v>
      </c>
      <c r="CM118" s="12" t="e">
        <f>IF(AND(Y118&lt;&gt;"",Статистика!$L$6="Вкл",Статистика!$K$6&gt;0),(Статистика!$K$6-Статистика!$C$10)/MAX(Статистика!$G$10-Статистика!$C$10,0.000001),NA())</f>
        <v>#N/A</v>
      </c>
      <c r="CN118" s="12" t="e">
        <f>IF(AND(Y118&lt;&gt;"",Статистика!$M$6="Вкл",Статистика!$O$6&gt;0),(Статистика!$O$6-Статистика!$C$10)/MAX(Статистика!$G$10-Статистика!$C$10,0.000001),NA())</f>
        <v>#N/A</v>
      </c>
      <c r="CO118" s="12">
        <f t="shared" si="3"/>
        <v>1</v>
      </c>
    </row>
    <row r="119" spans="1:93" ht="15" customHeight="1">
      <c r="A119" s="12" t="s">
        <v>537</v>
      </c>
      <c r="B119" s="12">
        <v>2097.0812871666667</v>
      </c>
      <c r="C119" s="12">
        <v>4939.6359025000002</v>
      </c>
      <c r="D119" s="12">
        <v>6722.0404566666675</v>
      </c>
      <c r="E119" s="12">
        <v>7596.809225</v>
      </c>
      <c r="F119" s="12">
        <v>7827.9239166666666</v>
      </c>
      <c r="G119" s="12">
        <v>7950.6554916666673</v>
      </c>
      <c r="H119" s="12">
        <v>8259.5282616666664</v>
      </c>
      <c r="I119" s="12">
        <v>8405.2456574999997</v>
      </c>
      <c r="J119" s="12">
        <v>8612.2545981666681</v>
      </c>
      <c r="K119" s="12">
        <v>8833.94</v>
      </c>
      <c r="L119" s="12" t="s">
        <v>538</v>
      </c>
      <c r="M119" s="12">
        <v>2518.5397503333334</v>
      </c>
      <c r="N119" s="12">
        <v>5687.2467516666675</v>
      </c>
      <c r="O119" s="12">
        <v>7670.2973883333343</v>
      </c>
      <c r="P119" s="12">
        <v>8528.6509000000005</v>
      </c>
      <c r="Q119" s="12">
        <v>8807.5027000000009</v>
      </c>
      <c r="R119" s="12">
        <v>8963.3058083333344</v>
      </c>
      <c r="S119" s="12">
        <v>9234.7004550000001</v>
      </c>
      <c r="T119" s="12">
        <v>9355.5037150000007</v>
      </c>
      <c r="U119" s="12">
        <v>9557.1921029999994</v>
      </c>
      <c r="V119" s="12">
        <v>9783.68</v>
      </c>
      <c r="W119" s="12" t="s">
        <v>538</v>
      </c>
      <c r="Y119" s="12" t="s">
        <v>537</v>
      </c>
      <c r="Z119" s="12">
        <v>7141.3437833333328</v>
      </c>
      <c r="AA119" s="12">
        <v>7230.6821166666659</v>
      </c>
      <c r="AB119" s="12">
        <v>7342.3550333333324</v>
      </c>
      <c r="AC119" s="12">
        <v>7671.8290583333337</v>
      </c>
      <c r="AD119" s="12">
        <v>7925.2062833333348</v>
      </c>
      <c r="AE119" s="12">
        <v>8241.7329916666658</v>
      </c>
      <c r="AF119" s="12">
        <v>8432.7601899999991</v>
      </c>
      <c r="AG119" s="12">
        <v>8484.7372616666671</v>
      </c>
      <c r="AH119" s="12">
        <v>8526.3189189999994</v>
      </c>
      <c r="AI119" s="12">
        <v>8676.81</v>
      </c>
      <c r="AJ119" s="12" t="s">
        <v>539</v>
      </c>
      <c r="AK119" s="12">
        <v>8035.6488923333327</v>
      </c>
      <c r="AL119" s="12">
        <v>8135.0801949999995</v>
      </c>
      <c r="AM119" s="12">
        <v>8259.3693233333324</v>
      </c>
      <c r="AN119" s="12">
        <v>8622.964841666666</v>
      </c>
      <c r="AO119" s="12">
        <v>8986.0416999999998</v>
      </c>
      <c r="AP119" s="12">
        <v>9202.9962749999995</v>
      </c>
      <c r="AQ119" s="12">
        <v>9427.6675849999992</v>
      </c>
      <c r="AR119" s="12">
        <v>9477.4218591666668</v>
      </c>
      <c r="AS119" s="12">
        <v>9517.2252785000001</v>
      </c>
      <c r="AT119" s="12">
        <v>9737.26</v>
      </c>
      <c r="AU119" s="12" t="s">
        <v>539</v>
      </c>
      <c r="AW119" s="12">
        <f>IF(A119="","",MAX(0,MIN(1,(((IF(Статистика!$C$4="Параллельный режим (активная мощность)",B119,M119)+Статистика!$J$4))-Статистика!$C$10)/MAX(Статистика!$G$10-Статистика!$C$10,0.000001))))</f>
        <v>0</v>
      </c>
      <c r="AX119" s="12">
        <f>IF(A119="","",MAX(0,MAX(0,MIN(1,(((IF(Статистика!$C$4="Параллельный режим (активная мощность)",D119,O119)+Статистика!$J$4))-Статистика!$C$10)/MAX(Статистика!$G$10-Статистика!$C$10,0.000001)))-MAX(0,MIN(1,(((IF(Статистика!$C$4="Параллельный режим (активная мощность)",B119,M119)+Статистика!$J$4))-Статистика!$C$10)/MAX(Статистика!$G$10-Статистика!$C$10,0.000001)))))</f>
        <v>0.2406801522222225</v>
      </c>
      <c r="AY119" s="12">
        <f>IF(A119="","",MAX(0,MAX(0,MIN(1,(((IF(Статистика!$C$4="Параллельный режим (активная мощность)",E119,P119)+Статистика!$J$4))-Статистика!$C$10)/MAX(Статистика!$G$10-Статистика!$C$10,0.000001)))-MAX(0,MIN(1,(((IF(Статистика!$C$4="Параллельный режим (активная мощность)",D119,O119)+Статистика!$J$4))-Статистика!$C$10)/MAX(Статистика!$G$10-Статистика!$C$10,0.000001)))))</f>
        <v>0.29158958944444413</v>
      </c>
      <c r="AZ119" s="12">
        <f>IF(A119="","",MAX(0,MAX(0,MIN(1,(((IF(Статистика!$C$4="Параллельный режим (активная мощность)",F119,Q119)+Статистика!$J$4))-Статистика!$C$10)/MAX(Статистика!$G$10-Статистика!$C$10,0.000001)))-MAX(0,MIN(1,(((IF(Статистика!$C$4="Параллельный режим (активная мощность)",E119,P119)+Статистика!$J$4))-Статистика!$C$10)/MAX(Статистика!$G$10-Статистика!$C$10,0.000001)))))</f>
        <v>7.7038230555555587E-2</v>
      </c>
      <c r="BA119" s="12">
        <f>IF(A119="","",MAX(0,MAX(0,MIN(1,(((IF(Статистика!$C$4="Параллельный режим (активная мощность)",G119,R119)+Статистика!$J$4))-Статистика!$C$10)/MAX(Статистика!$G$10-Статистика!$C$10,0.000001)))-MAX(0,MIN(1,(((IF(Статистика!$C$4="Параллельный режим (активная мощность)",F119,Q119)+Статистика!$J$4))-Статистика!$C$10)/MAX(Статистика!$G$10-Статистика!$C$10,0.000001)))))</f>
        <v>4.0910525000000253E-2</v>
      </c>
      <c r="BB119" s="12">
        <f>IF(A119="","",MAX(0,MAX(0,MIN(1,(((IF(Статистика!$C$4="Параллельный режим (активная мощность)",H119,S119)+Статистика!$J$4))-Статистика!$C$10)/MAX(Статистика!$G$10-Статистика!$C$10,0.000001)))-MAX(0,MIN(1,(((IF(Статистика!$C$4="Параллельный режим (активная мощность)",G119,R119)+Статистика!$J$4))-Статистика!$C$10)/MAX(Статистика!$G$10-Статистика!$C$10,0.000001)))))</f>
        <v>0.1029575899999996</v>
      </c>
      <c r="BC119" s="12">
        <f>IF(A119="","",MAX(0,MAX(0,MIN(1,(((IF(Статистика!$C$4="Параллельный режим (активная мощность)",J119,U119)+Статистика!$J$4))-Статистика!$C$10)/MAX(Статистика!$G$10-Статистика!$C$10,0.000001)))-MAX(0,MIN(1,(((IF(Статистика!$C$4="Параллельный режим (активная мощность)",H119,S119)+Статистика!$J$4))-Статистика!$C$10)/MAX(Статистика!$G$10-Статистика!$C$10,0.000001)))))</f>
        <v>0.11757544550000065</v>
      </c>
      <c r="BD119" s="12">
        <f>IF(A119="","",MAX(0,1-MAX(0,MIN(1,(((IF(Статистика!$C$4="Параллельный режим (активная мощность)",J119,U119)+Статистика!$J$4))-Статистика!$C$10)/MAX(Статистика!$G$10-Статистика!$C$10,0.000001)))))</f>
        <v>0.12924846727777728</v>
      </c>
      <c r="BE119" s="12">
        <f>IF(A119="",NA(),IF(Статистика!$B$8="Вкл",(((IF(Статистика!$C$4="Параллельный режим (активная мощность)",F119,Q119)+Статистика!$J$4))-Статистика!$C$10)/MAX(Статистика!$G$10-Статистика!$C$10,0.000001),NA()))</f>
        <v>0.60930797222222222</v>
      </c>
      <c r="BF119" s="12">
        <f>IF(A119="",NA(),IF(Статистика!$D$8="Вкл",(((IF(Статистика!$C$4="Параллельный режим (активная мощность)",E119,P119)+Статистика!$J$4))-Статистика!$C$10)/MAX(Статистика!$G$10-Статистика!$C$10,0.000001),NA()))</f>
        <v>0.53226974166666663</v>
      </c>
      <c r="BG119" s="12">
        <f>IF(A119="",NA(),IF(Статистика!$D$8="Вкл",(((IF(Статистика!$C$4="Параллельный режим (активная мощность)",G119,R119)+Статистика!$J$4))-Статистика!$C$10)/MAX(Статистика!$G$10-Статистика!$C$10,0.000001),NA()))</f>
        <v>0.65021849722222247</v>
      </c>
      <c r="BH119" s="12">
        <f>IF(A119="",NA(),IF(Статистика!$F$8="Вкл",(((IF(Статистика!$C$4="Параллельный режим (активная мощность)",D119,O119)+Статистика!$J$4))-Статистика!$C$10)/MAX(Статистика!$G$10-Статистика!$C$10,0.000001),NA()))</f>
        <v>0.2406801522222225</v>
      </c>
      <c r="BI119" s="12">
        <f>IF(A119="",NA(),IF(Статистика!$F$8="Вкл",(((IF(Статистика!$C$4="Параллельный режим (активная мощность)",H119,S119)+Статистика!$J$4))-Статистика!$C$10)/MAX(Статистика!$G$10-Статистика!$C$10,0.000001),NA()))</f>
        <v>0.75317608722222207</v>
      </c>
      <c r="BJ119" s="12">
        <f>IF(A119="",NA(),IF(Статистика!$H$8="Вкл",(((IF(Статистика!$C$4="Параллельный режим (активная мощность)",B119,M119)+Статистика!$J$4))-Статистика!$C$10)/MAX(Статистика!$G$10-Статистика!$C$10,0.000001),NA()))</f>
        <v>-1.3009729042777778</v>
      </c>
      <c r="BK119" s="12">
        <f>IF(A119="",NA(),IF(Статистика!$H$8="Вкл",(((IF(Статистика!$C$4="Параллельный режим (активная мощность)",J119,U119)+Статистика!$J$4))-Статистика!$C$10)/MAX(Статистика!$G$10-Статистика!$C$10,0.000001),NA()))</f>
        <v>0.87075153272222272</v>
      </c>
      <c r="BL119" s="12" t="e">
        <f>IF(A119="",NA(),IF(Статистика!$J$8="Вкл",(((IF(Статистика!$C$4="Параллельный режим (активная мощность)",K119,V119)+Статистика!$J$4))-Статистика!$C$10)/MAX(Статистика!$G$10-Статистика!$C$10,0.000001),NA()))</f>
        <v>#N/A</v>
      </c>
      <c r="BM119" s="12" t="e">
        <f>IF(AND(A119&lt;&gt;"",Статистика!$C$6="Вкл",Статистика!$B$6&gt;0),(Статистика!$B$6-Статистика!$C$10)/MAX(Статистика!$G$10-Статистика!$C$10,0.000001),NA())</f>
        <v>#N/A</v>
      </c>
      <c r="BN119" s="12" t="e">
        <f>IF(AND(A119&lt;&gt;"",Статистика!$F$6="Вкл",Статистика!$E$6&gt;0),(Статистика!$E$6-Статистика!$C$10)/MAX(Статистика!$G$10-Статистика!$C$10,0.000001),NA())</f>
        <v>#N/A</v>
      </c>
      <c r="BO119" s="12" t="e">
        <f>IF(AND(A119&lt;&gt;"",Статистика!$I$6="Вкл",Статистика!$H$6&gt;0),(Статистика!$H$6-Статистика!$C$10)/MAX(Статистика!$G$10-Статистика!$C$10,0.000001),NA())</f>
        <v>#N/A</v>
      </c>
      <c r="BP119" s="12" t="e">
        <f>IF(AND(A119&lt;&gt;"",Статистика!$L$6="Вкл",Статистика!$K$6&gt;0),(Статистика!$K$6-Статистика!$C$10)/MAX(Статистика!$G$10-Статистика!$C$10,0.000001),NA())</f>
        <v>#N/A</v>
      </c>
      <c r="BQ119" s="12" t="e">
        <f>IF(AND(A119&lt;&gt;"",Статистика!$M$6="Вкл",Статистика!$O$6&gt;0),(Статистика!$O$6-Статистика!$C$10)/MAX(Статистика!$G$10-Статистика!$C$10,0.000001),NA())</f>
        <v>#N/A</v>
      </c>
      <c r="BR119" s="12">
        <f t="shared" si="2"/>
        <v>1</v>
      </c>
      <c r="BT119" s="12">
        <f>IF(Y119="","",MAX(0,MIN(1,(((IF(Статистика!$C$4="Параллельный режим (активная мощность)",Z119,AK119)+Статистика!$J$4))-Статистика!$C$10)/MAX(Статистика!$G$10-Статистика!$C$10,0.000001))))</f>
        <v>0.38044792777777758</v>
      </c>
      <c r="BU119" s="12">
        <f>IF(Y119="","",MAX(0,MAX(0,MIN(1,(((IF(Статистика!$C$4="Параллельный режим (активная мощность)",AB119,AM119)+Статистика!$J$4))-Статистика!$C$10)/MAX(Статистика!$G$10-Статистика!$C$10,0.000001)))-MAX(0,MIN(1,(((IF(Статистика!$C$4="Параллельный режим (активная мощность)",Z119,AK119)+Статистика!$J$4))-Статистика!$C$10)/MAX(Статистика!$G$10-Статистика!$C$10,0.000001)))))</f>
        <v>6.7003749999999862E-2</v>
      </c>
      <c r="BV119" s="12">
        <f>IF(Y119="","",MAX(0,MAX(0,MIN(1,(((IF(Статистика!$C$4="Параллельный режим (активная мощность)",AC119,AN119)+Статистика!$J$4))-Статистика!$C$10)/MAX(Статистика!$G$10-Статистика!$C$10,0.000001)))-MAX(0,MIN(1,(((IF(Статистика!$C$4="Параллельный режим (активная мощность)",AB119,AM119)+Статистика!$J$4))-Статистика!$C$10)/MAX(Статистика!$G$10-Статистика!$C$10,0.000001)))))</f>
        <v>0.10982467500000043</v>
      </c>
      <c r="BW119" s="12">
        <f>IF(Y119="","",MAX(0,MAX(0,MIN(1,(((IF(Статистика!$C$4="Параллельный режим (активная мощность)",AD119,AO119)+Статистика!$J$4))-Статистика!$C$10)/MAX(Статистика!$G$10-Статистика!$C$10,0.000001)))-MAX(0,MIN(1,(((IF(Статистика!$C$4="Параллельный режим (активная мощность)",AC119,AN119)+Статистика!$J$4))-Статистика!$C$10)/MAX(Статистика!$G$10-Статистика!$C$10,0.000001)))))</f>
        <v>8.4459075000000383E-2</v>
      </c>
      <c r="BX119" s="12">
        <f>IF(Y119="","",MAX(0,MAX(0,MIN(1,(((IF(Статистика!$C$4="Параллельный режим (активная мощность)",AE119,AP119)+Статистика!$J$4))-Статистика!$C$10)/MAX(Статистика!$G$10-Статистика!$C$10,0.000001)))-MAX(0,MIN(1,(((IF(Статистика!$C$4="Параллельный режим (активная мощность)",AD119,AO119)+Статистика!$J$4))-Статистика!$C$10)/MAX(Статистика!$G$10-Статистика!$C$10,0.000001)))))</f>
        <v>0.10550890277777702</v>
      </c>
      <c r="BY119" s="12">
        <f>IF(Y119="","",MAX(0,MAX(0,MIN(1,(((IF(Статистика!$C$4="Параллельный режим (активная мощность)",AF119,AQ119)+Статистика!$J$4))-Статистика!$C$10)/MAX(Статистика!$G$10-Статистика!$C$10,0.000001)))-MAX(0,MIN(1,(((IF(Статистика!$C$4="Параллельный режим (активная мощность)",AE119,AP119)+Статистика!$J$4))-Статистика!$C$10)/MAX(Статистика!$G$10-Статистика!$C$10,0.000001)))))</f>
        <v>6.3675732777777716E-2</v>
      </c>
      <c r="BZ119" s="12">
        <f>IF(Y119="","",MAX(0,MAX(0,MIN(1,(((IF(Статистика!$C$4="Параллельный режим (активная мощность)",AH119,AS119)+Статистика!$J$4))-Статистика!$C$10)/MAX(Статистика!$G$10-Статистика!$C$10,0.000001)))-MAX(0,MIN(1,(((IF(Статистика!$C$4="Параллельный режим (активная мощность)",AF119,AQ119)+Статистика!$J$4))-Статистика!$C$10)/MAX(Статистика!$G$10-Статистика!$C$10,0.000001)))))</f>
        <v>3.1186243000000169E-2</v>
      </c>
      <c r="CA119" s="12">
        <f>IF(Y119="","",MAX(0,1-MAX(0,MIN(1,(((IF(Статистика!$C$4="Параллельный режим (активная мощность)",AH119,AS119)+Статистика!$J$4))-Статистика!$C$10)/MAX(Статистика!$G$10-Статистика!$C$10,0.000001)))))</f>
        <v>0.15789369366666683</v>
      </c>
      <c r="CB119" s="12">
        <f>IF(Y119="",NA(),IF(Статистика!$B$8="Вкл",(((IF(Статистика!$C$4="Параллельный режим (активная мощность)",AD119,AO119)+Статистика!$J$4))-Статистика!$C$10)/MAX(Статистика!$G$10-Статистика!$C$10,0.000001),NA()))</f>
        <v>0.64173542777777826</v>
      </c>
      <c r="CC119" s="12">
        <f>IF(Y119="",NA(),IF(Статистика!$D$8="Вкл",(((IF(Статистика!$C$4="Параллельный режим (активная мощность)",AC119,AN119)+Статистика!$J$4))-Статистика!$C$10)/MAX(Статистика!$G$10-Статистика!$C$10,0.000001),NA()))</f>
        <v>0.55727635277777787</v>
      </c>
      <c r="CD119" s="12">
        <f>IF(Y119="",NA(),IF(Статистика!$D$8="Вкл",(((IF(Статистика!$C$4="Параллельный режим (активная мощность)",AE119,AP119)+Статистика!$J$4))-Статистика!$C$10)/MAX(Статистика!$G$10-Статистика!$C$10,0.000001),NA()))</f>
        <v>0.74724433055555528</v>
      </c>
      <c r="CE119" s="12">
        <f>IF(Y119="",NA(),IF(Статистика!$F$8="Вкл",(((IF(Статистика!$C$4="Параллельный режим (активная мощность)",AB119,AM119)+Статистика!$J$4))-Статистика!$C$10)/MAX(Статистика!$G$10-Статистика!$C$10,0.000001),NA()))</f>
        <v>0.44745167777777745</v>
      </c>
      <c r="CF119" s="12">
        <f>IF(Y119="",NA(),IF(Статистика!$F$8="Вкл",(((IF(Статистика!$C$4="Параллельный режим (активная мощность)",AF119,AQ119)+Статистика!$J$4))-Статистика!$C$10)/MAX(Статистика!$G$10-Статистика!$C$10,0.000001),NA()))</f>
        <v>0.810920063333333</v>
      </c>
      <c r="CG119" s="12">
        <f>IF(Y119="",NA(),IF(Статистика!$H$8="Вкл",(((IF(Статистика!$C$4="Параллельный режим (активная мощность)",Z119,AK119)+Статистика!$J$4))-Статистика!$C$10)/MAX(Статистика!$G$10-Статистика!$C$10,0.000001),NA()))</f>
        <v>0.38044792777777758</v>
      </c>
      <c r="CH119" s="12">
        <f>IF(Y119="",NA(),IF(Статистика!$H$8="Вкл",(((IF(Статистика!$C$4="Параллельный режим (активная мощность)",AH119,AS119)+Статистика!$J$4))-Статистика!$C$10)/MAX(Статистика!$G$10-Статистика!$C$10,0.000001),NA()))</f>
        <v>0.84210630633333317</v>
      </c>
      <c r="CI119" s="12" t="e">
        <f>IF(Y119="",NA(),IF(Статистика!$J$8="Вкл",(((IF(Статистика!$C$4="Параллельный режим (активная мощность)",AI119,AT119)+Статистика!$J$4))-Статистика!$C$10)/MAX(Статистика!$G$10-Статистика!$C$10,0.000001),NA()))</f>
        <v>#N/A</v>
      </c>
      <c r="CJ119" s="12" t="e">
        <f>IF(AND(Y119&lt;&gt;"",Статистика!$C$6="Вкл",Статистика!$B$6&gt;0),(Статистика!$B$6-Статистика!$C$10)/MAX(Статистика!$G$10-Статистика!$C$10,0.000001),NA())</f>
        <v>#N/A</v>
      </c>
      <c r="CK119" s="12" t="e">
        <f>IF(AND(Y119&lt;&gt;"",Статистика!$F$6="Вкл",Статистика!$E$6&gt;0),(Статистика!$E$6-Статистика!$C$10)/MAX(Статистика!$G$10-Статистика!$C$10,0.000001),NA())</f>
        <v>#N/A</v>
      </c>
      <c r="CL119" s="12" t="e">
        <f>IF(AND(Y119&lt;&gt;"",Статистика!$I$6="Вкл",Статистика!$H$6&gt;0),(Статистика!$H$6-Статистика!$C$10)/MAX(Статистика!$G$10-Статистика!$C$10,0.000001),NA())</f>
        <v>#N/A</v>
      </c>
      <c r="CM119" s="12" t="e">
        <f>IF(AND(Y119&lt;&gt;"",Статистика!$L$6="Вкл",Статистика!$K$6&gt;0),(Статистика!$K$6-Статистика!$C$10)/MAX(Статистика!$G$10-Статистика!$C$10,0.000001),NA())</f>
        <v>#N/A</v>
      </c>
      <c r="CN119" s="12" t="e">
        <f>IF(AND(Y119&lt;&gt;"",Статистика!$M$6="Вкл",Статистика!$O$6&gt;0),(Статистика!$O$6-Статистика!$C$10)/MAX(Статистика!$G$10-Статистика!$C$10,0.000001),NA())</f>
        <v>#N/A</v>
      </c>
      <c r="CO119" s="12">
        <f t="shared" si="3"/>
        <v>1</v>
      </c>
    </row>
    <row r="120" spans="1:93" ht="15" customHeight="1">
      <c r="A120" s="12" t="s">
        <v>540</v>
      </c>
      <c r="B120" s="12">
        <v>2146.0212318333333</v>
      </c>
      <c r="C120" s="12">
        <v>5141.2413591666673</v>
      </c>
      <c r="D120" s="12">
        <v>6847.6164633333337</v>
      </c>
      <c r="E120" s="12">
        <v>7606.9849000000004</v>
      </c>
      <c r="F120" s="12">
        <v>7788.6031666666659</v>
      </c>
      <c r="G120" s="12">
        <v>7951.6859333333341</v>
      </c>
      <c r="H120" s="12">
        <v>8247.7992516666654</v>
      </c>
      <c r="I120" s="12">
        <v>8420.9629041666649</v>
      </c>
      <c r="J120" s="12">
        <v>8598.2854341666662</v>
      </c>
      <c r="K120" s="12">
        <v>8771.32</v>
      </c>
      <c r="L120" s="12" t="s">
        <v>541</v>
      </c>
      <c r="M120" s="12">
        <v>2566.115886</v>
      </c>
      <c r="N120" s="12">
        <v>5885.730496666667</v>
      </c>
      <c r="O120" s="12">
        <v>7803.2124150000009</v>
      </c>
      <c r="P120" s="12">
        <v>8511.0446416666655</v>
      </c>
      <c r="Q120" s="12">
        <v>8784.1711333333333</v>
      </c>
      <c r="R120" s="12">
        <v>8948.2700333333323</v>
      </c>
      <c r="S120" s="12">
        <v>9273.8041849999991</v>
      </c>
      <c r="T120" s="12">
        <v>9415.6989516666654</v>
      </c>
      <c r="U120" s="12">
        <v>9558.1578169999993</v>
      </c>
      <c r="V120" s="12">
        <v>9767.2900000000009</v>
      </c>
      <c r="W120" s="12" t="s">
        <v>541</v>
      </c>
      <c r="Y120" s="12" t="s">
        <v>540</v>
      </c>
      <c r="Z120" s="12">
        <v>7132.3705855000017</v>
      </c>
      <c r="AA120" s="12">
        <v>7218.9059941666674</v>
      </c>
      <c r="AB120" s="12">
        <v>7327.0752549999997</v>
      </c>
      <c r="AC120" s="12">
        <v>7761.9265083333339</v>
      </c>
      <c r="AD120" s="12">
        <v>7964.5394833333339</v>
      </c>
      <c r="AE120" s="12">
        <v>8181.2431166666674</v>
      </c>
      <c r="AF120" s="12">
        <v>8420.501416666666</v>
      </c>
      <c r="AG120" s="12">
        <v>8485.5727416666668</v>
      </c>
      <c r="AH120" s="12">
        <v>8537.629801666666</v>
      </c>
      <c r="AI120" s="12">
        <v>8688.39</v>
      </c>
      <c r="AJ120" s="12" t="s">
        <v>542</v>
      </c>
      <c r="AK120" s="12">
        <v>8021.3247451666675</v>
      </c>
      <c r="AL120" s="12">
        <v>8116.2346591666674</v>
      </c>
      <c r="AM120" s="12">
        <v>8234.8720516666672</v>
      </c>
      <c r="AN120" s="12">
        <v>8689.2276916666651</v>
      </c>
      <c r="AO120" s="12">
        <v>8958.2565333333332</v>
      </c>
      <c r="AP120" s="12">
        <v>9136.5071416666651</v>
      </c>
      <c r="AQ120" s="12">
        <v>9417.539518333333</v>
      </c>
      <c r="AR120" s="12">
        <v>9480.5434758333322</v>
      </c>
      <c r="AS120" s="12">
        <v>9530.9466418333341</v>
      </c>
      <c r="AT120" s="12">
        <v>9709.7800000000007</v>
      </c>
      <c r="AU120" s="12" t="s">
        <v>542</v>
      </c>
      <c r="AW120" s="12">
        <f>IF(A120="","",MAX(0,MIN(1,(((IF(Статистика!$C$4="Параллельный режим (активная мощность)",B120,M120)+Статистика!$J$4))-Статистика!$C$10)/MAX(Статистика!$G$10-Статистика!$C$10,0.000001))))</f>
        <v>0</v>
      </c>
      <c r="AX120" s="12">
        <f>IF(A120="","",MAX(0,MAX(0,MIN(1,(((IF(Статистика!$C$4="Параллельный режим (активная мощность)",D120,O120)+Статистика!$J$4))-Статистика!$C$10)/MAX(Статистика!$G$10-Статистика!$C$10,0.000001)))-MAX(0,MIN(1,(((IF(Статистика!$C$4="Параллельный режим (активная мощность)",B120,M120)+Статистика!$J$4))-Статистика!$C$10)/MAX(Статистика!$G$10-Статистика!$C$10,0.000001)))))</f>
        <v>0.28253882111111123</v>
      </c>
      <c r="AY120" s="12">
        <f>IF(A120="","",MAX(0,MAX(0,MIN(1,(((IF(Статистика!$C$4="Параллельный режим (активная мощность)",E120,P120)+Статистика!$J$4))-Статистика!$C$10)/MAX(Статистика!$G$10-Статистика!$C$10,0.000001)))-MAX(0,MIN(1,(((IF(Статистика!$C$4="Параллельный режим (активная мощность)",D120,O120)+Статистика!$J$4))-Статистика!$C$10)/MAX(Статистика!$G$10-Статистика!$C$10,0.000001)))))</f>
        <v>0.25312281222222227</v>
      </c>
      <c r="AZ120" s="12">
        <f>IF(A120="","",MAX(0,MAX(0,MIN(1,(((IF(Статистика!$C$4="Параллельный режим (активная мощность)",F120,Q120)+Статистика!$J$4))-Статистика!$C$10)/MAX(Статистика!$G$10-Статистика!$C$10,0.000001)))-MAX(0,MIN(1,(((IF(Статистика!$C$4="Параллельный режим (активная мощность)",E120,P120)+Статистика!$J$4))-Статистика!$C$10)/MAX(Статистика!$G$10-Статистика!$C$10,0.000001)))))</f>
        <v>6.053942222222175E-2</v>
      </c>
      <c r="BA120" s="12">
        <f>IF(A120="","",MAX(0,MAX(0,MIN(1,(((IF(Статистика!$C$4="Параллельный режим (активная мощность)",G120,R120)+Статистика!$J$4))-Статистика!$C$10)/MAX(Статистика!$G$10-Статистика!$C$10,0.000001)))-MAX(0,MIN(1,(((IF(Статистика!$C$4="Параллельный режим (активная мощность)",F120,Q120)+Статистика!$J$4))-Статистика!$C$10)/MAX(Статистика!$G$10-Статистика!$C$10,0.000001)))))</f>
        <v>5.4360922222222774E-2</v>
      </c>
      <c r="BB120" s="12">
        <f>IF(A120="","",MAX(0,MAX(0,MIN(1,(((IF(Статистика!$C$4="Параллельный режим (активная мощность)",H120,S120)+Статистика!$J$4))-Статистика!$C$10)/MAX(Статистика!$G$10-Статистика!$C$10,0.000001)))-MAX(0,MIN(1,(((IF(Статистика!$C$4="Параллельный режим (активная мощность)",G120,R120)+Статистика!$J$4))-Статистика!$C$10)/MAX(Статистика!$G$10-Статистика!$C$10,0.000001)))))</f>
        <v>9.8704439444443737E-2</v>
      </c>
      <c r="BC120" s="12">
        <f>IF(A120="","",MAX(0,MAX(0,MIN(1,(((IF(Статистика!$C$4="Параллельный режим (активная мощность)",J120,U120)+Статистика!$J$4))-Статистика!$C$10)/MAX(Статистика!$G$10-Статистика!$C$10,0.000001)))-MAX(0,MIN(1,(((IF(Статистика!$C$4="Параллельный режим (активная мощность)",H120,S120)+Статистика!$J$4))-Статистика!$C$10)/MAX(Статистика!$G$10-Статистика!$C$10,0.000001)))))</f>
        <v>0.11682872750000028</v>
      </c>
      <c r="BD120" s="12">
        <f>IF(A120="","",MAX(0,1-MAX(0,MIN(1,(((IF(Статистика!$C$4="Параллельный режим (активная мощность)",J120,U120)+Статистика!$J$4))-Статистика!$C$10)/MAX(Статистика!$G$10-Статистика!$C$10,0.000001)))))</f>
        <v>0.13390485527777796</v>
      </c>
      <c r="BE120" s="12">
        <f>IF(A120="",NA(),IF(Статистика!$B$8="Вкл",(((IF(Статистика!$C$4="Параллельный режим (активная мощность)",F120,Q120)+Статистика!$J$4))-Статистика!$C$10)/MAX(Статистика!$G$10-Статистика!$C$10,0.000001),NA()))</f>
        <v>0.59620105555555525</v>
      </c>
      <c r="BF120" s="12">
        <f>IF(A120="",NA(),IF(Статистика!$D$8="Вкл",(((IF(Статистика!$C$4="Параллельный режим (активная мощность)",E120,P120)+Статистика!$J$4))-Статистика!$C$10)/MAX(Статистика!$G$10-Статистика!$C$10,0.000001),NA()))</f>
        <v>0.5356616333333335</v>
      </c>
      <c r="BG120" s="12">
        <f>IF(A120="",NA(),IF(Статистика!$D$8="Вкл",(((IF(Статистика!$C$4="Параллельный режим (активная мощность)",G120,R120)+Статистика!$J$4))-Статистика!$C$10)/MAX(Статистика!$G$10-Статистика!$C$10,0.000001),NA()))</f>
        <v>0.65056197777777802</v>
      </c>
      <c r="BH120" s="12">
        <f>IF(A120="",NA(),IF(Статистика!$F$8="Вкл",(((IF(Статистика!$C$4="Параллельный режим (активная мощность)",D120,O120)+Статистика!$J$4))-Статистика!$C$10)/MAX(Статистика!$G$10-Статистика!$C$10,0.000001),NA()))</f>
        <v>0.28253882111111123</v>
      </c>
      <c r="BI120" s="12">
        <f>IF(A120="",NA(),IF(Статистика!$F$8="Вкл",(((IF(Статистика!$C$4="Параллельный режим (активная мощность)",H120,S120)+Статистика!$J$4))-Статистика!$C$10)/MAX(Статистика!$G$10-Статистика!$C$10,0.000001),NA()))</f>
        <v>0.74926641722222176</v>
      </c>
      <c r="BJ120" s="12">
        <f>IF(A120="",NA(),IF(Статистика!$H$8="Вкл",(((IF(Статистика!$C$4="Параллельный режим (активная мощность)",B120,M120)+Статистика!$J$4))-Статистика!$C$10)/MAX(Статистика!$G$10-Статистика!$C$10,0.000001),NA()))</f>
        <v>-1.2846595893888888</v>
      </c>
      <c r="BK120" s="12">
        <f>IF(A120="",NA(),IF(Статистика!$H$8="Вкл",(((IF(Статистика!$C$4="Параллельный режим (активная мощность)",J120,U120)+Статистика!$J$4))-Статистика!$C$10)/MAX(Статистика!$G$10-Статистика!$C$10,0.000001),NA()))</f>
        <v>0.86609514472222204</v>
      </c>
      <c r="BL120" s="12" t="e">
        <f>IF(A120="",NA(),IF(Статистика!$J$8="Вкл",(((IF(Статистика!$C$4="Параллельный режим (активная мощность)",K120,V120)+Статистика!$J$4))-Статистика!$C$10)/MAX(Статистика!$G$10-Статистика!$C$10,0.000001),NA()))</f>
        <v>#N/A</v>
      </c>
      <c r="BM120" s="12" t="e">
        <f>IF(AND(A120&lt;&gt;"",Статистика!$C$6="Вкл",Статистика!$B$6&gt;0),(Статистика!$B$6-Статистика!$C$10)/MAX(Статистика!$G$10-Статистика!$C$10,0.000001),NA())</f>
        <v>#N/A</v>
      </c>
      <c r="BN120" s="12" t="e">
        <f>IF(AND(A120&lt;&gt;"",Статистика!$F$6="Вкл",Статистика!$E$6&gt;0),(Статистика!$E$6-Статистика!$C$10)/MAX(Статистика!$G$10-Статистика!$C$10,0.000001),NA())</f>
        <v>#N/A</v>
      </c>
      <c r="BO120" s="12" t="e">
        <f>IF(AND(A120&lt;&gt;"",Статистика!$I$6="Вкл",Статистика!$H$6&gt;0),(Статистика!$H$6-Статистика!$C$10)/MAX(Статистика!$G$10-Статистика!$C$10,0.000001),NA())</f>
        <v>#N/A</v>
      </c>
      <c r="BP120" s="12" t="e">
        <f>IF(AND(A120&lt;&gt;"",Статистика!$L$6="Вкл",Статистика!$K$6&gt;0),(Статистика!$K$6-Статистика!$C$10)/MAX(Статистика!$G$10-Статистика!$C$10,0.000001),NA())</f>
        <v>#N/A</v>
      </c>
      <c r="BQ120" s="12" t="e">
        <f>IF(AND(A120&lt;&gt;"",Статистика!$M$6="Вкл",Статистика!$O$6&gt;0),(Статистика!$O$6-Статистика!$C$10)/MAX(Статистика!$G$10-Статистика!$C$10,0.000001),NA())</f>
        <v>#N/A</v>
      </c>
      <c r="BR120" s="12">
        <f t="shared" si="2"/>
        <v>1</v>
      </c>
      <c r="BT120" s="12">
        <f>IF(Y120="","",MAX(0,MIN(1,(((IF(Статистика!$C$4="Параллельный режим (активная мощность)",Z120,AK120)+Статистика!$J$4))-Статистика!$C$10)/MAX(Статистика!$G$10-Статистика!$C$10,0.000001))))</f>
        <v>0.37745686183333388</v>
      </c>
      <c r="BU120" s="12">
        <f>IF(Y120="","",MAX(0,MAX(0,MIN(1,(((IF(Статистика!$C$4="Параллельный режим (активная мощность)",AB120,AM120)+Статистика!$J$4))-Статистика!$C$10)/MAX(Статистика!$G$10-Статистика!$C$10,0.000001)))-MAX(0,MIN(1,(((IF(Статистика!$C$4="Параллельный режим (активная мощность)",Z120,AK120)+Статистика!$J$4))-Статистика!$C$10)/MAX(Статистика!$G$10-Статистика!$C$10,0.000001)))))</f>
        <v>6.4901556499999347E-2</v>
      </c>
      <c r="BV120" s="12">
        <f>IF(Y120="","",MAX(0,MAX(0,MIN(1,(((IF(Статистика!$C$4="Параллельный режим (активная мощность)",AC120,AN120)+Статистика!$J$4))-Статистика!$C$10)/MAX(Статистика!$G$10-Статистика!$C$10,0.000001)))-MAX(0,MIN(1,(((IF(Статистика!$C$4="Параллельный режим (активная мощность)",AB120,AM120)+Статистика!$J$4))-Статистика!$C$10)/MAX(Статистика!$G$10-Статистика!$C$10,0.000001)))))</f>
        <v>0.14495041777777806</v>
      </c>
      <c r="BW120" s="12">
        <f>IF(Y120="","",MAX(0,MAX(0,MIN(1,(((IF(Статистика!$C$4="Параллельный режим (активная мощность)",AD120,AO120)+Статистика!$J$4))-Статистика!$C$10)/MAX(Статистика!$G$10-Статистика!$C$10,0.000001)))-MAX(0,MIN(1,(((IF(Статистика!$C$4="Параллельный режим (активная мощность)",AC120,AN120)+Статистика!$J$4))-Статистика!$C$10)/MAX(Статистика!$G$10-Статистика!$C$10,0.000001)))))</f>
        <v>6.7537658333333361E-2</v>
      </c>
      <c r="BX120" s="12">
        <f>IF(Y120="","",MAX(0,MAX(0,MIN(1,(((IF(Статистика!$C$4="Параллельный режим (активная мощность)",AE120,AP120)+Статистика!$J$4))-Статистика!$C$10)/MAX(Статистика!$G$10-Статистика!$C$10,0.000001)))-MAX(0,MIN(1,(((IF(Статистика!$C$4="Параллельный режим (активная мощность)",AD120,AO120)+Статистика!$J$4))-Статистика!$C$10)/MAX(Статистика!$G$10-Статистика!$C$10,0.000001)))))</f>
        <v>7.2234544444444548E-2</v>
      </c>
      <c r="BY120" s="12">
        <f>IF(Y120="","",MAX(0,MAX(0,MIN(1,(((IF(Статистика!$C$4="Параллельный режим (активная мощность)",AF120,AQ120)+Статистика!$J$4))-Статистика!$C$10)/MAX(Статистика!$G$10-Статистика!$C$10,0.000001)))-MAX(0,MIN(1,(((IF(Статистика!$C$4="Параллельный режим (активная мощность)",AE120,AP120)+Статистика!$J$4))-Статистика!$C$10)/MAX(Статистика!$G$10-Статистика!$C$10,0.000001)))))</f>
        <v>7.9752766666666197E-2</v>
      </c>
      <c r="BZ120" s="12">
        <f>IF(Y120="","",MAX(0,MAX(0,MIN(1,(((IF(Статистика!$C$4="Параллельный режим (активная мощность)",AH120,AS120)+Статистика!$J$4))-Статистика!$C$10)/MAX(Статистика!$G$10-Статистика!$C$10,0.000001)))-MAX(0,MIN(1,(((IF(Статистика!$C$4="Параллельный режим (активная мощность)",AF120,AQ120)+Статистика!$J$4))-Статистика!$C$10)/MAX(Статистика!$G$10-Статистика!$C$10,0.000001)))))</f>
        <v>3.9042794999999964E-2</v>
      </c>
      <c r="CA120" s="12">
        <f>IF(Y120="","",MAX(0,1-MAX(0,MIN(1,(((IF(Статистика!$C$4="Параллельный режим (активная мощность)",AH120,AS120)+Статистика!$J$4))-Статистика!$C$10)/MAX(Статистика!$G$10-Статистика!$C$10,0.000001)))))</f>
        <v>0.15412339944444464</v>
      </c>
      <c r="CB120" s="12">
        <f>IF(Y120="",NA(),IF(Статистика!$B$8="Вкл",(((IF(Статистика!$C$4="Параллельный режим (активная мощность)",AD120,AO120)+Статистика!$J$4))-Статистика!$C$10)/MAX(Статистика!$G$10-Статистика!$C$10,0.000001),NA()))</f>
        <v>0.65484649444444465</v>
      </c>
      <c r="CC120" s="12">
        <f>IF(Y120="",NA(),IF(Статистика!$D$8="Вкл",(((IF(Статистика!$C$4="Параллельный режим (активная мощность)",AC120,AN120)+Статистика!$J$4))-Статистика!$C$10)/MAX(Статистика!$G$10-Статистика!$C$10,0.000001),NA()))</f>
        <v>0.58730883611111129</v>
      </c>
      <c r="CD120" s="12">
        <f>IF(Y120="",NA(),IF(Статистика!$D$8="Вкл",(((IF(Статистика!$C$4="Параллельный режим (активная мощность)",AE120,AP120)+Статистика!$J$4))-Статистика!$C$10)/MAX(Статистика!$G$10-Статистика!$C$10,0.000001),NA()))</f>
        <v>0.7270810388888892</v>
      </c>
      <c r="CE120" s="12">
        <f>IF(Y120="",NA(),IF(Статистика!$F$8="Вкл",(((IF(Статистика!$C$4="Параллельный режим (активная мощность)",AB120,AM120)+Статистика!$J$4))-Статистика!$C$10)/MAX(Статистика!$G$10-Статистика!$C$10,0.000001),NA()))</f>
        <v>0.44235841833333323</v>
      </c>
      <c r="CF120" s="12">
        <f>IF(Y120="",NA(),IF(Статистика!$F$8="Вкл",(((IF(Статистика!$C$4="Параллельный режим (активная мощность)",AF120,AQ120)+Статистика!$J$4))-Статистика!$C$10)/MAX(Статистика!$G$10-Статистика!$C$10,0.000001),NA()))</f>
        <v>0.80683380555555539</v>
      </c>
      <c r="CG120" s="12">
        <f>IF(Y120="",NA(),IF(Статистика!$H$8="Вкл",(((IF(Статистика!$C$4="Параллельный режим (активная мощность)",Z120,AK120)+Статистика!$J$4))-Статистика!$C$10)/MAX(Статистика!$G$10-Статистика!$C$10,0.000001),NA()))</f>
        <v>0.37745686183333388</v>
      </c>
      <c r="CH120" s="12">
        <f>IF(Y120="",NA(),IF(Статистика!$H$8="Вкл",(((IF(Статистика!$C$4="Параллельный режим (активная мощность)",AH120,AS120)+Статистика!$J$4))-Статистика!$C$10)/MAX(Статистика!$G$10-Статистика!$C$10,0.000001),NA()))</f>
        <v>0.84587660055555536</v>
      </c>
      <c r="CI120" s="12" t="e">
        <f>IF(Y120="",NA(),IF(Статистика!$J$8="Вкл",(((IF(Статистика!$C$4="Параллельный режим (активная мощность)",AI120,AT120)+Статистика!$J$4))-Статистика!$C$10)/MAX(Статистика!$G$10-Статистика!$C$10,0.000001),NA()))</f>
        <v>#N/A</v>
      </c>
      <c r="CJ120" s="12" t="e">
        <f>IF(AND(Y120&lt;&gt;"",Статистика!$C$6="Вкл",Статистика!$B$6&gt;0),(Статистика!$B$6-Статистика!$C$10)/MAX(Статистика!$G$10-Статистика!$C$10,0.000001),NA())</f>
        <v>#N/A</v>
      </c>
      <c r="CK120" s="12" t="e">
        <f>IF(AND(Y120&lt;&gt;"",Статистика!$F$6="Вкл",Статистика!$E$6&gt;0),(Статистика!$E$6-Статистика!$C$10)/MAX(Статистика!$G$10-Статистика!$C$10,0.000001),NA())</f>
        <v>#N/A</v>
      </c>
      <c r="CL120" s="12" t="e">
        <f>IF(AND(Y120&lt;&gt;"",Статистика!$I$6="Вкл",Статистика!$H$6&gt;0),(Статистика!$H$6-Статистика!$C$10)/MAX(Статистика!$G$10-Статистика!$C$10,0.000001),NA())</f>
        <v>#N/A</v>
      </c>
      <c r="CM120" s="12" t="e">
        <f>IF(AND(Y120&lt;&gt;"",Статистика!$L$6="Вкл",Статистика!$K$6&gt;0),(Статистика!$K$6-Статистика!$C$10)/MAX(Статистика!$G$10-Статистика!$C$10,0.000001),NA())</f>
        <v>#N/A</v>
      </c>
      <c r="CN120" s="12" t="e">
        <f>IF(AND(Y120&lt;&gt;"",Статистика!$M$6="Вкл",Статистика!$O$6&gt;0),(Статистика!$O$6-Статистика!$C$10)/MAX(Статистика!$G$10-Статистика!$C$10,0.000001),NA())</f>
        <v>#N/A</v>
      </c>
      <c r="CO120" s="12">
        <f t="shared" si="3"/>
        <v>1</v>
      </c>
    </row>
    <row r="121" spans="1:93" ht="15" customHeight="1">
      <c r="A121" s="12" t="s">
        <v>543</v>
      </c>
      <c r="B121" s="12">
        <v>2112.2439273333334</v>
      </c>
      <c r="C121" s="12">
        <v>5047.0461700000005</v>
      </c>
      <c r="D121" s="12">
        <v>6796.8052083333332</v>
      </c>
      <c r="E121" s="12">
        <v>7552.1825249999993</v>
      </c>
      <c r="F121" s="12">
        <v>7824.4179166666672</v>
      </c>
      <c r="G121" s="12">
        <v>7956.6369750000003</v>
      </c>
      <c r="H121" s="12">
        <v>8276.2450066666661</v>
      </c>
      <c r="I121" s="12">
        <v>8464.9961199999998</v>
      </c>
      <c r="J121" s="12">
        <v>8727.4318906666667</v>
      </c>
      <c r="K121" s="12">
        <v>8909.6</v>
      </c>
      <c r="L121" s="12" t="s">
        <v>544</v>
      </c>
      <c r="M121" s="12">
        <v>2529.8309691666664</v>
      </c>
      <c r="N121" s="12">
        <v>5798.081379166666</v>
      </c>
      <c r="O121" s="12">
        <v>7767.1774416666658</v>
      </c>
      <c r="P121" s="12">
        <v>8467.409008333334</v>
      </c>
      <c r="Q121" s="12">
        <v>8829.042449999999</v>
      </c>
      <c r="R121" s="12">
        <v>8950.3006000000005</v>
      </c>
      <c r="S121" s="12">
        <v>9333.0777316666663</v>
      </c>
      <c r="T121" s="12">
        <v>9486.0743708333339</v>
      </c>
      <c r="U121" s="12">
        <v>9699.5061541666655</v>
      </c>
      <c r="V121" s="12">
        <v>9878.1299999999992</v>
      </c>
      <c r="W121" s="12" t="s">
        <v>545</v>
      </c>
      <c r="Y121" s="12" t="s">
        <v>543</v>
      </c>
      <c r="Z121" s="12">
        <v>7101.0451778333336</v>
      </c>
      <c r="AA121" s="12">
        <v>7193.8286891666667</v>
      </c>
      <c r="AB121" s="12">
        <v>7309.8080783333326</v>
      </c>
      <c r="AC121" s="12">
        <v>7700.3221166666663</v>
      </c>
      <c r="AD121" s="12">
        <v>7928.0806500000017</v>
      </c>
      <c r="AE121" s="12">
        <v>8124.7788416666663</v>
      </c>
      <c r="AF121" s="12">
        <v>8444.6051900000002</v>
      </c>
      <c r="AG121" s="12">
        <v>8514.3443283333327</v>
      </c>
      <c r="AH121" s="12">
        <v>8570.1356390000001</v>
      </c>
      <c r="AI121" s="12">
        <v>8785.74</v>
      </c>
      <c r="AJ121" s="12" t="s">
        <v>546</v>
      </c>
      <c r="AK121" s="12">
        <v>7985.7257988333322</v>
      </c>
      <c r="AL121" s="12">
        <v>8088.3452608333328</v>
      </c>
      <c r="AM121" s="12">
        <v>8216.619588333333</v>
      </c>
      <c r="AN121" s="12">
        <v>8709.4350333333332</v>
      </c>
      <c r="AO121" s="12">
        <v>8885.5341000000008</v>
      </c>
      <c r="AP121" s="12">
        <v>9062.2449500000002</v>
      </c>
      <c r="AQ121" s="12">
        <v>9447.4398266666667</v>
      </c>
      <c r="AR121" s="12">
        <v>9520.0050300000003</v>
      </c>
      <c r="AS121" s="12">
        <v>9578.0571926666671</v>
      </c>
      <c r="AT121" s="12">
        <v>9821.8700000000008</v>
      </c>
      <c r="AU121" s="12" t="s">
        <v>546</v>
      </c>
      <c r="AW121" s="12">
        <f>IF(A121="","",MAX(0,MIN(1,(((IF(Статистика!$C$4="Параллельный режим (активная мощность)",B121,M121)+Статистика!$J$4))-Статистика!$C$10)/MAX(Статистика!$G$10-Статистика!$C$10,0.000001))))</f>
        <v>0</v>
      </c>
      <c r="AX121" s="12">
        <f>IF(A121="","",MAX(0,MAX(0,MIN(1,(((IF(Статистика!$C$4="Параллельный режим (активная мощность)",D121,O121)+Статистика!$J$4))-Статистика!$C$10)/MAX(Статистика!$G$10-Статистика!$C$10,0.000001)))-MAX(0,MIN(1,(((IF(Статистика!$C$4="Параллельный режим (активная мощность)",B121,M121)+Статистика!$J$4))-Статистика!$C$10)/MAX(Статистика!$G$10-Статистика!$C$10,0.000001)))))</f>
        <v>0.2656017361111111</v>
      </c>
      <c r="AY121" s="12">
        <f>IF(A121="","",MAX(0,MAX(0,MIN(1,(((IF(Статистика!$C$4="Параллельный режим (активная мощность)",E121,P121)+Статистика!$J$4))-Статистика!$C$10)/MAX(Статистика!$G$10-Статистика!$C$10,0.000001)))-MAX(0,MIN(1,(((IF(Статистика!$C$4="Параллельный режим (активная мощность)",D121,O121)+Статистика!$J$4))-Статистика!$C$10)/MAX(Статистика!$G$10-Статистика!$C$10,0.000001)))))</f>
        <v>0.25179243888888864</v>
      </c>
      <c r="AZ121" s="12">
        <f>IF(A121="","",MAX(0,MAX(0,MIN(1,(((IF(Статистика!$C$4="Параллельный режим (активная мощность)",F121,Q121)+Статистика!$J$4))-Статистика!$C$10)/MAX(Статистика!$G$10-Статистика!$C$10,0.000001)))-MAX(0,MIN(1,(((IF(Статистика!$C$4="Параллельный режим (активная мощность)",E121,P121)+Статистика!$J$4))-Статистика!$C$10)/MAX(Статистика!$G$10-Статистика!$C$10,0.000001)))))</f>
        <v>9.0745130555555997E-2</v>
      </c>
      <c r="BA121" s="12">
        <f>IF(A121="","",MAX(0,MAX(0,MIN(1,(((IF(Статистика!$C$4="Параллельный режим (активная мощность)",G121,R121)+Статистика!$J$4))-Статистика!$C$10)/MAX(Статистика!$G$10-Статистика!$C$10,0.000001)))-MAX(0,MIN(1,(((IF(Статистика!$C$4="Параллельный режим (активная мощность)",F121,Q121)+Статистика!$J$4))-Статистика!$C$10)/MAX(Статистика!$G$10-Статистика!$C$10,0.000001)))))</f>
        <v>4.4073019444444417E-2</v>
      </c>
      <c r="BB121" s="12">
        <f>IF(A121="","",MAX(0,MAX(0,MIN(1,(((IF(Статистика!$C$4="Параллельный режим (активная мощность)",H121,S121)+Статистика!$J$4))-Статистика!$C$10)/MAX(Статистика!$G$10-Статистика!$C$10,0.000001)))-MAX(0,MIN(1,(((IF(Статистика!$C$4="Параллельный режим (активная мощность)",G121,R121)+Статистика!$J$4))-Статистика!$C$10)/MAX(Статистика!$G$10-Статистика!$C$10,0.000001)))))</f>
        <v>0.10653601055555517</v>
      </c>
      <c r="BC121" s="12">
        <f>IF(A121="","",MAX(0,MAX(0,MIN(1,(((IF(Статистика!$C$4="Параллельный режим (активная мощность)",J121,U121)+Статистика!$J$4))-Статистика!$C$10)/MAX(Статистика!$G$10-Статистика!$C$10,0.000001)))-MAX(0,MIN(1,(((IF(Статистика!$C$4="Параллельный режим (активная мощность)",H121,S121)+Статистика!$J$4))-Статистика!$C$10)/MAX(Статистика!$G$10-Статистика!$C$10,0.000001)))))</f>
        <v>0.15039562800000028</v>
      </c>
      <c r="BD121" s="12">
        <f>IF(A121="","",MAX(0,1-MAX(0,MIN(1,(((IF(Статистика!$C$4="Параллельный режим (активная мощность)",J121,U121)+Статистика!$J$4))-Статистика!$C$10)/MAX(Статистика!$G$10-Статистика!$C$10,0.000001)))))</f>
        <v>9.0856036444444399E-2</v>
      </c>
      <c r="BE121" s="12">
        <f>IF(A121="",NA(),IF(Статистика!$B$8="Вкл",(((IF(Статистика!$C$4="Параллельный режим (активная мощность)",F121,Q121)+Статистика!$J$4))-Статистика!$C$10)/MAX(Статистика!$G$10-Статистика!$C$10,0.000001),NA()))</f>
        <v>0.60813930555555573</v>
      </c>
      <c r="BF121" s="12">
        <f>IF(A121="",NA(),IF(Статистика!$D$8="Вкл",(((IF(Статистика!$C$4="Параллельный режим (активная мощность)",E121,P121)+Статистика!$J$4))-Статистика!$C$10)/MAX(Статистика!$G$10-Статистика!$C$10,0.000001),NA()))</f>
        <v>0.51739417499999973</v>
      </c>
      <c r="BG121" s="12">
        <f>IF(A121="",NA(),IF(Статистика!$D$8="Вкл",(((IF(Статистика!$C$4="Параллельный режим (активная мощность)",G121,R121)+Статистика!$J$4))-Статистика!$C$10)/MAX(Статистика!$G$10-Статистика!$C$10,0.000001),NA()))</f>
        <v>0.65221232500000015</v>
      </c>
      <c r="BH121" s="12">
        <f>IF(A121="",NA(),IF(Статистика!$F$8="Вкл",(((IF(Статистика!$C$4="Параллельный режим (активная мощность)",D121,O121)+Статистика!$J$4))-Статистика!$C$10)/MAX(Статистика!$G$10-Статистика!$C$10,0.000001),NA()))</f>
        <v>0.2656017361111111</v>
      </c>
      <c r="BI121" s="12">
        <f>IF(A121="",NA(),IF(Статистика!$F$8="Вкл",(((IF(Статистика!$C$4="Параллельный режим (активная мощность)",H121,S121)+Статистика!$J$4))-Статистика!$C$10)/MAX(Статистика!$G$10-Статистика!$C$10,0.000001),NA()))</f>
        <v>0.75874833555555532</v>
      </c>
      <c r="BJ121" s="12">
        <f>IF(A121="",NA(),IF(Статистика!$H$8="Вкл",(((IF(Статистика!$C$4="Параллельный режим (активная мощность)",B121,M121)+Статистика!$J$4))-Статистика!$C$10)/MAX(Статистика!$G$10-Статистика!$C$10,0.000001),NA()))</f>
        <v>-1.2959186908888889</v>
      </c>
      <c r="BK121" s="12">
        <f>IF(A121="",NA(),IF(Статистика!$H$8="Вкл",(((IF(Статистика!$C$4="Параллельный режим (активная мощность)",J121,U121)+Статистика!$J$4))-Статистика!$C$10)/MAX(Статистика!$G$10-Статистика!$C$10,0.000001),NA()))</f>
        <v>0.9091439635555556</v>
      </c>
      <c r="BL121" s="12" t="e">
        <f>IF(A121="",NA(),IF(Статистика!$J$8="Вкл",(((IF(Статистика!$C$4="Параллельный режим (активная мощность)",K121,V121)+Статистика!$J$4))-Статистика!$C$10)/MAX(Статистика!$G$10-Статистика!$C$10,0.000001),NA()))</f>
        <v>#N/A</v>
      </c>
      <c r="BM121" s="12" t="e">
        <f>IF(AND(A121&lt;&gt;"",Статистика!$C$6="Вкл",Статистика!$B$6&gt;0),(Статистика!$B$6-Статистика!$C$10)/MAX(Статистика!$G$10-Статистика!$C$10,0.000001),NA())</f>
        <v>#N/A</v>
      </c>
      <c r="BN121" s="12" t="e">
        <f>IF(AND(A121&lt;&gt;"",Статистика!$F$6="Вкл",Статистика!$E$6&gt;0),(Статистика!$E$6-Статистика!$C$10)/MAX(Статистика!$G$10-Статистика!$C$10,0.000001),NA())</f>
        <v>#N/A</v>
      </c>
      <c r="BO121" s="12" t="e">
        <f>IF(AND(A121&lt;&gt;"",Статистика!$I$6="Вкл",Статистика!$H$6&gt;0),(Статистика!$H$6-Статистика!$C$10)/MAX(Статистика!$G$10-Статистика!$C$10,0.000001),NA())</f>
        <v>#N/A</v>
      </c>
      <c r="BP121" s="12" t="e">
        <f>IF(AND(A121&lt;&gt;"",Статистика!$L$6="Вкл",Статистика!$K$6&gt;0),(Статистика!$K$6-Статистика!$C$10)/MAX(Статистика!$G$10-Статистика!$C$10,0.000001),NA())</f>
        <v>#N/A</v>
      </c>
      <c r="BQ121" s="12" t="e">
        <f>IF(AND(A121&lt;&gt;"",Статистика!$M$6="Вкл",Статистика!$O$6&gt;0),(Статистика!$O$6-Статистика!$C$10)/MAX(Статистика!$G$10-Статистика!$C$10,0.000001),NA())</f>
        <v>#N/A</v>
      </c>
      <c r="BR121" s="12">
        <f t="shared" si="2"/>
        <v>1</v>
      </c>
      <c r="BT121" s="12">
        <f>IF(Y121="","",MAX(0,MIN(1,(((IF(Статистика!$C$4="Параллельный режим (активная мощность)",Z121,AK121)+Статистика!$J$4))-Статистика!$C$10)/MAX(Статистика!$G$10-Статистика!$C$10,0.000001))))</f>
        <v>0.36701505927777783</v>
      </c>
      <c r="BU121" s="12">
        <f>IF(Y121="","",MAX(0,MAX(0,MIN(1,(((IF(Статистика!$C$4="Параллельный режим (активная мощность)",AB121,AM121)+Статистика!$J$4))-Статистика!$C$10)/MAX(Статистика!$G$10-Статистика!$C$10,0.000001)))-MAX(0,MIN(1,(((IF(Статистика!$C$4="Параллельный режим (активная мощность)",Z121,AK121)+Статистика!$J$4))-Статистика!$C$10)/MAX(Статистика!$G$10-Статистика!$C$10,0.000001)))))</f>
        <v>6.958763349999969E-2</v>
      </c>
      <c r="BV121" s="12">
        <f>IF(Y121="","",MAX(0,MAX(0,MIN(1,(((IF(Статистика!$C$4="Параллельный режим (активная мощность)",AC121,AN121)+Статистика!$J$4))-Статистика!$C$10)/MAX(Статистика!$G$10-Статистика!$C$10,0.000001)))-MAX(0,MIN(1,(((IF(Статистика!$C$4="Параллельный режим (активная мощность)",AB121,AM121)+Статистика!$J$4))-Статистика!$C$10)/MAX(Статистика!$G$10-Статистика!$C$10,0.000001)))))</f>
        <v>0.13017134611111125</v>
      </c>
      <c r="BW121" s="12">
        <f>IF(Y121="","",MAX(0,MAX(0,MIN(1,(((IF(Статистика!$C$4="Параллельный режим (активная мощность)",AD121,AO121)+Статистика!$J$4))-Статистика!$C$10)/MAX(Статистика!$G$10-Статистика!$C$10,0.000001)))-MAX(0,MIN(1,(((IF(Статистика!$C$4="Параллельный режим (активная мощность)",AC121,AN121)+Статистика!$J$4))-Статистика!$C$10)/MAX(Статистика!$G$10-Статистика!$C$10,0.000001)))))</f>
        <v>7.5919511111111837E-2</v>
      </c>
      <c r="BX121" s="12">
        <f>IF(Y121="","",MAX(0,MAX(0,MIN(1,(((IF(Статистика!$C$4="Параллельный режим (активная мощность)",AE121,AP121)+Статистика!$J$4))-Статистика!$C$10)/MAX(Статистика!$G$10-Статистика!$C$10,0.000001)))-MAX(0,MIN(1,(((IF(Статистика!$C$4="Параллельный режим (активная мощность)",AD121,AO121)+Статистика!$J$4))-Статистика!$C$10)/MAX(Статистика!$G$10-Статистика!$C$10,0.000001)))))</f>
        <v>6.5566063888888193E-2</v>
      </c>
      <c r="BY121" s="12">
        <f>IF(Y121="","",MAX(0,MAX(0,MIN(1,(((IF(Статистика!$C$4="Параллельный режим (активная мощность)",AF121,AQ121)+Статистика!$J$4))-Статистика!$C$10)/MAX(Статистика!$G$10-Статистика!$C$10,0.000001)))-MAX(0,MIN(1,(((IF(Статистика!$C$4="Параллельный режим (активная мощность)",AE121,AP121)+Статистика!$J$4))-Статистика!$C$10)/MAX(Статистика!$G$10-Статистика!$C$10,0.000001)))))</f>
        <v>0.10660878277777797</v>
      </c>
      <c r="BZ121" s="12">
        <f>IF(Y121="","",MAX(0,MAX(0,MIN(1,(((IF(Статистика!$C$4="Параллельный режим (активная мощность)",AH121,AS121)+Статистика!$J$4))-Статистика!$C$10)/MAX(Статистика!$G$10-Статистика!$C$10,0.000001)))-MAX(0,MIN(1,(((IF(Статистика!$C$4="Параллельный режим (активная мощность)",AF121,AQ121)+Статистика!$J$4))-Статистика!$C$10)/MAX(Статистика!$G$10-Статистика!$C$10,0.000001)))))</f>
        <v>4.1843482999999959E-2</v>
      </c>
      <c r="CA121" s="12">
        <f>IF(Y121="","",MAX(0,1-MAX(0,MIN(1,(((IF(Статистика!$C$4="Параллельный режим (активная мощность)",AH121,AS121)+Статистика!$J$4))-Статистика!$C$10)/MAX(Статистика!$G$10-Статистика!$C$10,0.000001)))))</f>
        <v>0.14328812033333327</v>
      </c>
      <c r="CB121" s="12">
        <f>IF(Y121="",NA(),IF(Статистика!$B$8="Вкл",(((IF(Статистика!$C$4="Параллельный режим (активная мощность)",AD121,AO121)+Статистика!$J$4))-Статистика!$C$10)/MAX(Статистика!$G$10-Статистика!$C$10,0.000001),NA()))</f>
        <v>0.64269355000000061</v>
      </c>
      <c r="CC121" s="12">
        <f>IF(Y121="",NA(),IF(Статистика!$D$8="Вкл",(((IF(Статистика!$C$4="Параллельный режим (активная мощность)",AC121,AN121)+Статистика!$J$4))-Статистика!$C$10)/MAX(Статистика!$G$10-Статистика!$C$10,0.000001),NA()))</f>
        <v>0.56677403888888878</v>
      </c>
      <c r="CD121" s="12">
        <f>IF(Y121="",NA(),IF(Статистика!$D$8="Вкл",(((IF(Статистика!$C$4="Параллельный режим (активная мощность)",AE121,AP121)+Статистика!$J$4))-Статистика!$C$10)/MAX(Статистика!$G$10-Статистика!$C$10,0.000001),NA()))</f>
        <v>0.70825961388888881</v>
      </c>
      <c r="CE121" s="12">
        <f>IF(Y121="",NA(),IF(Статистика!$F$8="Вкл",(((IF(Статистика!$C$4="Параллельный режим (активная мощность)",AB121,AM121)+Статистика!$J$4))-Статистика!$C$10)/MAX(Статистика!$G$10-Статистика!$C$10,0.000001),NA()))</f>
        <v>0.43660269277777752</v>
      </c>
      <c r="CF121" s="12">
        <f>IF(Y121="",NA(),IF(Статистика!$F$8="Вкл",(((IF(Статистика!$C$4="Параллельный режим (активная мощность)",AF121,AQ121)+Статистика!$J$4))-Статистика!$C$10)/MAX(Статистика!$G$10-Статистика!$C$10,0.000001),NA()))</f>
        <v>0.81486839666666677</v>
      </c>
      <c r="CG121" s="12">
        <f>IF(Y121="",NA(),IF(Статистика!$H$8="Вкл",(((IF(Статистика!$C$4="Параллельный режим (активная мощность)",Z121,AK121)+Статистика!$J$4))-Статистика!$C$10)/MAX(Статистика!$G$10-Статистика!$C$10,0.000001),NA()))</f>
        <v>0.36701505927777783</v>
      </c>
      <c r="CH121" s="12">
        <f>IF(Y121="",NA(),IF(Статистика!$H$8="Вкл",(((IF(Статистика!$C$4="Параллельный режим (активная мощность)",AH121,AS121)+Статистика!$J$4))-Статистика!$C$10)/MAX(Статистика!$G$10-Статистика!$C$10,0.000001),NA()))</f>
        <v>0.85671187966666673</v>
      </c>
      <c r="CI121" s="12" t="e">
        <f>IF(Y121="",NA(),IF(Статистика!$J$8="Вкл",(((IF(Статистика!$C$4="Параллельный режим (активная мощность)",AI121,AT121)+Статистика!$J$4))-Статистика!$C$10)/MAX(Статистика!$G$10-Статистика!$C$10,0.000001),NA()))</f>
        <v>#N/A</v>
      </c>
      <c r="CJ121" s="12" t="e">
        <f>IF(AND(Y121&lt;&gt;"",Статистика!$C$6="Вкл",Статистика!$B$6&gt;0),(Статистика!$B$6-Статистика!$C$10)/MAX(Статистика!$G$10-Статистика!$C$10,0.000001),NA())</f>
        <v>#N/A</v>
      </c>
      <c r="CK121" s="12" t="e">
        <f>IF(AND(Y121&lt;&gt;"",Статистика!$F$6="Вкл",Статистика!$E$6&gt;0),(Статистика!$E$6-Статистика!$C$10)/MAX(Статистика!$G$10-Статистика!$C$10,0.000001),NA())</f>
        <v>#N/A</v>
      </c>
      <c r="CL121" s="12" t="e">
        <f>IF(AND(Y121&lt;&gt;"",Статистика!$I$6="Вкл",Статистика!$H$6&gt;0),(Статистика!$H$6-Статистика!$C$10)/MAX(Статистика!$G$10-Статистика!$C$10,0.000001),NA())</f>
        <v>#N/A</v>
      </c>
      <c r="CM121" s="12" t="e">
        <f>IF(AND(Y121&lt;&gt;"",Статистика!$L$6="Вкл",Статистика!$K$6&gt;0),(Статистика!$K$6-Статистика!$C$10)/MAX(Статистика!$G$10-Статистика!$C$10,0.000001),NA())</f>
        <v>#N/A</v>
      </c>
      <c r="CN121" s="12" t="e">
        <f>IF(AND(Y121&lt;&gt;"",Статистика!$M$6="Вкл",Статистика!$O$6&gt;0),(Статистика!$O$6-Статистика!$C$10)/MAX(Статистика!$G$10-Статистика!$C$10,0.000001),NA())</f>
        <v>#N/A</v>
      </c>
      <c r="CO121" s="12">
        <f t="shared" si="3"/>
        <v>1</v>
      </c>
    </row>
    <row r="122" spans="1:93" ht="15" customHeight="1">
      <c r="A122" s="12" t="s">
        <v>547</v>
      </c>
      <c r="B122" s="12">
        <v>2119.5629031666667</v>
      </c>
      <c r="C122" s="12">
        <v>5092.2081158333331</v>
      </c>
      <c r="D122" s="12">
        <v>6809.3036316666667</v>
      </c>
      <c r="E122" s="12">
        <v>7680.8229083333345</v>
      </c>
      <c r="F122" s="12">
        <v>7834.1330166666667</v>
      </c>
      <c r="G122" s="12">
        <v>7961.0648500000016</v>
      </c>
      <c r="H122" s="12">
        <v>8252.1495799999993</v>
      </c>
      <c r="I122" s="12">
        <v>8474.6596216666658</v>
      </c>
      <c r="J122" s="12">
        <v>8748.1792310000001</v>
      </c>
      <c r="K122" s="12">
        <v>9672.86</v>
      </c>
      <c r="L122" s="12" t="s">
        <v>548</v>
      </c>
      <c r="M122" s="12">
        <v>2538.6513646666667</v>
      </c>
      <c r="N122" s="12">
        <v>5852.9100233333338</v>
      </c>
      <c r="O122" s="12">
        <v>7766.465086666667</v>
      </c>
      <c r="P122" s="12">
        <v>8630.1659083333343</v>
      </c>
      <c r="Q122" s="12">
        <v>8826.1841333333323</v>
      </c>
      <c r="R122" s="12">
        <v>8946.4542416666663</v>
      </c>
      <c r="S122" s="12">
        <v>9309.3857700000008</v>
      </c>
      <c r="T122" s="12">
        <v>9507.0108466666661</v>
      </c>
      <c r="U122" s="12">
        <v>9742.5746760000002</v>
      </c>
      <c r="V122" s="12">
        <v>10760.75</v>
      </c>
      <c r="W122" s="12" t="s">
        <v>548</v>
      </c>
      <c r="Y122" s="12" t="s">
        <v>547</v>
      </c>
      <c r="Z122" s="12">
        <v>7141.0068156666666</v>
      </c>
      <c r="AA122" s="12">
        <v>7216.0895449999998</v>
      </c>
      <c r="AB122" s="12">
        <v>7309.9429566666668</v>
      </c>
      <c r="AC122" s="12">
        <v>7636.6090249999997</v>
      </c>
      <c r="AD122" s="12">
        <v>7932.1605166666668</v>
      </c>
      <c r="AE122" s="12">
        <v>8102.4673666666658</v>
      </c>
      <c r="AF122" s="12">
        <v>8390.1146233333329</v>
      </c>
      <c r="AG122" s="12">
        <v>8474.6051283333327</v>
      </c>
      <c r="AH122" s="12">
        <v>8542.1975323333318</v>
      </c>
      <c r="AI122" s="12">
        <v>8675.18</v>
      </c>
      <c r="AJ122" s="12" t="s">
        <v>549</v>
      </c>
      <c r="AK122" s="12">
        <v>8041.5887673333327</v>
      </c>
      <c r="AL122" s="12">
        <v>8121.1947699999992</v>
      </c>
      <c r="AM122" s="12">
        <v>8220.7022733333324</v>
      </c>
      <c r="AN122" s="12">
        <v>8632.3202083333308</v>
      </c>
      <c r="AO122" s="12">
        <v>8877.8089166666668</v>
      </c>
      <c r="AP122" s="12">
        <v>9028.928483333335</v>
      </c>
      <c r="AQ122" s="12">
        <v>9382.1589316666668</v>
      </c>
      <c r="AR122" s="12">
        <v>9474.3890824999999</v>
      </c>
      <c r="AS122" s="12">
        <v>9548.173203166667</v>
      </c>
      <c r="AT122" s="12">
        <v>9678.2199999999993</v>
      </c>
      <c r="AU122" s="12" t="s">
        <v>549</v>
      </c>
      <c r="AW122" s="12">
        <f>IF(A122="","",MAX(0,MIN(1,(((IF(Статистика!$C$4="Параллельный режим (активная мощность)",B122,M122)+Статистика!$J$4))-Статистика!$C$10)/MAX(Статистика!$G$10-Статистика!$C$10,0.000001))))</f>
        <v>0</v>
      </c>
      <c r="AX122" s="12">
        <f>IF(A122="","",MAX(0,MAX(0,MIN(1,(((IF(Статистика!$C$4="Параллельный режим (активная мощность)",D122,O122)+Статистика!$J$4))-Статистика!$C$10)/MAX(Статистика!$G$10-Статистика!$C$10,0.000001)))-MAX(0,MIN(1,(((IF(Статистика!$C$4="Параллельный режим (активная мощность)",B122,M122)+Статистика!$J$4))-Статистика!$C$10)/MAX(Статистика!$G$10-Статистика!$C$10,0.000001)))))</f>
        <v>0.26976787722222223</v>
      </c>
      <c r="AY122" s="12">
        <f>IF(A122="","",MAX(0,MAX(0,MIN(1,(((IF(Статистика!$C$4="Параллельный режим (активная мощность)",E122,P122)+Статистика!$J$4))-Статистика!$C$10)/MAX(Статистика!$G$10-Статистика!$C$10,0.000001)))-MAX(0,MIN(1,(((IF(Статистика!$C$4="Параллельный режим (активная мощность)",D122,O122)+Статистика!$J$4))-Статистика!$C$10)/MAX(Статистика!$G$10-Статистика!$C$10,0.000001)))))</f>
        <v>0.29050642555555589</v>
      </c>
      <c r="AZ122" s="12">
        <f>IF(A122="","",MAX(0,MAX(0,MIN(1,(((IF(Статистика!$C$4="Параллельный режим (активная мощность)",F122,Q122)+Статистика!$J$4))-Статистика!$C$10)/MAX(Статистика!$G$10-Статистика!$C$10,0.000001)))-MAX(0,MIN(1,(((IF(Статистика!$C$4="Параллельный режим (активная мощность)",E122,P122)+Статистика!$J$4))-Статистика!$C$10)/MAX(Статистика!$G$10-Статистика!$C$10,0.000001)))))</f>
        <v>5.1103369444444047E-2</v>
      </c>
      <c r="BA122" s="12">
        <f>IF(A122="","",MAX(0,MAX(0,MIN(1,(((IF(Статистика!$C$4="Параллельный режим (активная мощность)",G122,R122)+Статистика!$J$4))-Статистика!$C$10)/MAX(Статистика!$G$10-Статистика!$C$10,0.000001)))-MAX(0,MIN(1,(((IF(Статистика!$C$4="Параллельный режим (активная мощность)",F122,Q122)+Статистика!$J$4))-Статистика!$C$10)/MAX(Статистика!$G$10-Статистика!$C$10,0.000001)))))</f>
        <v>4.2310611111111673E-2</v>
      </c>
      <c r="BB122" s="12">
        <f>IF(A122="","",MAX(0,MAX(0,MIN(1,(((IF(Статистика!$C$4="Параллельный режим (активная мощность)",H122,S122)+Статистика!$J$4))-Статистика!$C$10)/MAX(Статистика!$G$10-Статистика!$C$10,0.000001)))-MAX(0,MIN(1,(((IF(Статистика!$C$4="Параллельный режим (активная мощность)",G122,R122)+Статистика!$J$4))-Статистика!$C$10)/MAX(Статистика!$G$10-Статистика!$C$10,0.000001)))))</f>
        <v>9.7028243333332598E-2</v>
      </c>
      <c r="BC122" s="12">
        <f>IF(A122="","",MAX(0,MAX(0,MIN(1,(((IF(Статистика!$C$4="Параллельный режим (активная мощность)",J122,U122)+Статистика!$J$4))-Статистика!$C$10)/MAX(Статистика!$G$10-Статистика!$C$10,0.000001)))-MAX(0,MIN(1,(((IF(Статистика!$C$4="Параллельный режим (активная мощность)",H122,S122)+Статистика!$J$4))-Статистика!$C$10)/MAX(Статистика!$G$10-Статистика!$C$10,0.000001)))))</f>
        <v>0.16534321700000021</v>
      </c>
      <c r="BD122" s="12">
        <f>IF(A122="","",MAX(0,1-MAX(0,MIN(1,(((IF(Статистика!$C$4="Параллельный режим (активная мощность)",J122,U122)+Статистика!$J$4))-Статистика!$C$10)/MAX(Статистика!$G$10-Статистика!$C$10,0.000001)))))</f>
        <v>8.3940256333333352E-2</v>
      </c>
      <c r="BE122" s="12">
        <f>IF(A122="",NA(),IF(Статистика!$B$8="Вкл",(((IF(Статистика!$C$4="Параллельный режим (активная мощность)",F122,Q122)+Статистика!$J$4))-Статистика!$C$10)/MAX(Статистика!$G$10-Статистика!$C$10,0.000001),NA()))</f>
        <v>0.61137767222222217</v>
      </c>
      <c r="BF122" s="12">
        <f>IF(A122="",NA(),IF(Статистика!$D$8="Вкл",(((IF(Статистика!$C$4="Параллельный режим (активная мощность)",E122,P122)+Статистика!$J$4))-Статистика!$C$10)/MAX(Статистика!$G$10-Статистика!$C$10,0.000001),NA()))</f>
        <v>0.56027430277777812</v>
      </c>
      <c r="BG122" s="12">
        <f>IF(A122="",NA(),IF(Статистика!$D$8="Вкл",(((IF(Статистика!$C$4="Параллельный режим (активная мощность)",G122,R122)+Статистика!$J$4))-Статистика!$C$10)/MAX(Статистика!$G$10-Статистика!$C$10,0.000001),NA()))</f>
        <v>0.65368828333333384</v>
      </c>
      <c r="BH122" s="12">
        <f>IF(A122="",NA(),IF(Статистика!$F$8="Вкл",(((IF(Статистика!$C$4="Параллельный режим (активная мощность)",D122,O122)+Статистика!$J$4))-Статистика!$C$10)/MAX(Статистика!$G$10-Статистика!$C$10,0.000001),NA()))</f>
        <v>0.26976787722222223</v>
      </c>
      <c r="BI122" s="12">
        <f>IF(A122="",NA(),IF(Статистика!$F$8="Вкл",(((IF(Статистика!$C$4="Параллельный режим (активная мощность)",H122,S122)+Статистика!$J$4))-Статистика!$C$10)/MAX(Статистика!$G$10-Статистика!$C$10,0.000001),NA()))</f>
        <v>0.75071652666666644</v>
      </c>
      <c r="BJ122" s="12">
        <f>IF(A122="",NA(),IF(Статистика!$H$8="Вкл",(((IF(Статистика!$C$4="Параллельный режим (активная мощность)",B122,M122)+Статистика!$J$4))-Статистика!$C$10)/MAX(Статистика!$G$10-Статистика!$C$10,0.000001),NA()))</f>
        <v>-1.2934790322777778</v>
      </c>
      <c r="BK122" s="12">
        <f>IF(A122="",NA(),IF(Статистика!$H$8="Вкл",(((IF(Статистика!$C$4="Параллельный режим (активная мощность)",J122,U122)+Статистика!$J$4))-Статистика!$C$10)/MAX(Статистика!$G$10-Статистика!$C$10,0.000001),NA()))</f>
        <v>0.91605974366666665</v>
      </c>
      <c r="BL122" s="12" t="e">
        <f>IF(A122="",NA(),IF(Статистика!$J$8="Вкл",(((IF(Статистика!$C$4="Параллельный режим (активная мощность)",K122,V122)+Статистика!$J$4))-Статистика!$C$10)/MAX(Статистика!$G$10-Статистика!$C$10,0.000001),NA()))</f>
        <v>#N/A</v>
      </c>
      <c r="BM122" s="12" t="e">
        <f>IF(AND(A122&lt;&gt;"",Статистика!$C$6="Вкл",Статистика!$B$6&gt;0),(Статистика!$B$6-Статистика!$C$10)/MAX(Статистика!$G$10-Статистика!$C$10,0.000001),NA())</f>
        <v>#N/A</v>
      </c>
      <c r="BN122" s="12" t="e">
        <f>IF(AND(A122&lt;&gt;"",Статистика!$F$6="Вкл",Статистика!$E$6&gt;0),(Статистика!$E$6-Статистика!$C$10)/MAX(Статистика!$G$10-Статистика!$C$10,0.000001),NA())</f>
        <v>#N/A</v>
      </c>
      <c r="BO122" s="12" t="e">
        <f>IF(AND(A122&lt;&gt;"",Статистика!$I$6="Вкл",Статистика!$H$6&gt;0),(Статистика!$H$6-Статистика!$C$10)/MAX(Статистика!$G$10-Статистика!$C$10,0.000001),NA())</f>
        <v>#N/A</v>
      </c>
      <c r="BP122" s="12" t="e">
        <f>IF(AND(A122&lt;&gt;"",Статистика!$L$6="Вкл",Статистика!$K$6&gt;0),(Статистика!$K$6-Статистика!$C$10)/MAX(Статистика!$G$10-Статистика!$C$10,0.000001),NA())</f>
        <v>#N/A</v>
      </c>
      <c r="BQ122" s="12" t="e">
        <f>IF(AND(A122&lt;&gt;"",Статистика!$M$6="Вкл",Статистика!$O$6&gt;0),(Статистика!$O$6-Статистика!$C$10)/MAX(Статистика!$G$10-Статистика!$C$10,0.000001),NA())</f>
        <v>#N/A</v>
      </c>
      <c r="BR122" s="12">
        <f t="shared" si="2"/>
        <v>1</v>
      </c>
      <c r="BT122" s="12">
        <f>IF(Y122="","",MAX(0,MIN(1,(((IF(Статистика!$C$4="Параллельный режим (активная мощность)",Z122,AK122)+Статистика!$J$4))-Статистика!$C$10)/MAX(Статистика!$G$10-Статистика!$C$10,0.000001))))</f>
        <v>0.38033560522222221</v>
      </c>
      <c r="BU122" s="12">
        <f>IF(Y122="","",MAX(0,MAX(0,MIN(1,(((IF(Статистика!$C$4="Параллельный режим (активная мощность)",AB122,AM122)+Статистика!$J$4))-Статистика!$C$10)/MAX(Статистика!$G$10-Статистика!$C$10,0.000001)))-MAX(0,MIN(1,(((IF(Статистика!$C$4="Параллельный режим (активная мощность)",Z122,AK122)+Статистика!$J$4))-Статистика!$C$10)/MAX(Статистика!$G$10-Статистика!$C$10,0.000001)))))</f>
        <v>5.6312047000000032E-2</v>
      </c>
      <c r="BV122" s="12">
        <f>IF(Y122="","",MAX(0,MAX(0,MIN(1,(((IF(Статистика!$C$4="Параллельный режим (активная мощность)",AC122,AN122)+Статистика!$J$4))-Статистика!$C$10)/MAX(Статистика!$G$10-Статистика!$C$10,0.000001)))-MAX(0,MIN(1,(((IF(Статистика!$C$4="Параллельный режим (активная мощность)",AB122,AM122)+Статистика!$J$4))-Статистика!$C$10)/MAX(Статистика!$G$10-Статистика!$C$10,0.000001)))))</f>
        <v>0.1088886894444443</v>
      </c>
      <c r="BW122" s="12">
        <f>IF(Y122="","",MAX(0,MAX(0,MIN(1,(((IF(Статистика!$C$4="Параллельный режим (активная мощность)",AD122,AO122)+Статистика!$J$4))-Статистика!$C$10)/MAX(Статистика!$G$10-Статистика!$C$10,0.000001)))-MAX(0,MIN(1,(((IF(Статистика!$C$4="Параллельный режим (активная мощность)",AC122,AN122)+Статистика!$J$4))-Статистика!$C$10)/MAX(Статистика!$G$10-Статистика!$C$10,0.000001)))))</f>
        <v>9.8517163888889092E-2</v>
      </c>
      <c r="BX122" s="12">
        <f>IF(Y122="","",MAX(0,MAX(0,MIN(1,(((IF(Статистика!$C$4="Параллельный режим (активная мощность)",AE122,AP122)+Статистика!$J$4))-Статистика!$C$10)/MAX(Статистика!$G$10-Статистика!$C$10,0.000001)))-MAX(0,MIN(1,(((IF(Статистика!$C$4="Параллельный режим (активная мощность)",AD122,AO122)+Статистика!$J$4))-Статистика!$C$10)/MAX(Статистика!$G$10-Статистика!$C$10,0.000001)))))</f>
        <v>5.6768949999999707E-2</v>
      </c>
      <c r="BY122" s="12">
        <f>IF(Y122="","",MAX(0,MAX(0,MIN(1,(((IF(Статистика!$C$4="Параллельный режим (активная мощность)",AF122,AQ122)+Статистика!$J$4))-Статистика!$C$10)/MAX(Статистика!$G$10-Статистика!$C$10,0.000001)))-MAX(0,MIN(1,(((IF(Статистика!$C$4="Параллельный режим (активная мощность)",AE122,AP122)+Статистика!$J$4))-Статистика!$C$10)/MAX(Статистика!$G$10-Статистика!$C$10,0.000001)))))</f>
        <v>9.5882418888888932E-2</v>
      </c>
      <c r="BZ122" s="12">
        <f>IF(Y122="","",MAX(0,MAX(0,MIN(1,(((IF(Статистика!$C$4="Параллельный режим (активная мощность)",AH122,AS122)+Статистика!$J$4))-Статистика!$C$10)/MAX(Статистика!$G$10-Статистика!$C$10,0.000001)))-MAX(0,MIN(1,(((IF(Статистика!$C$4="Параллельный режим (активная мощность)",AF122,AQ122)+Статистика!$J$4))-Статистика!$C$10)/MAX(Статистика!$G$10-Статистика!$C$10,0.000001)))))</f>
        <v>5.0694302999999663E-2</v>
      </c>
      <c r="CA122" s="12">
        <f>IF(Y122="","",MAX(0,1-MAX(0,MIN(1,(((IF(Статистика!$C$4="Параллельный режим (активная мощность)",AH122,AS122)+Статистика!$J$4))-Статистика!$C$10)/MAX(Статистика!$G$10-Статистика!$C$10,0.000001)))))</f>
        <v>0.15260082255555607</v>
      </c>
      <c r="CB122" s="12">
        <f>IF(Y122="",NA(),IF(Статистика!$B$8="Вкл",(((IF(Статистика!$C$4="Параллельный режим (активная мощность)",AD122,AO122)+Статистика!$J$4))-Статистика!$C$10)/MAX(Статистика!$G$10-Статистика!$C$10,0.000001),NA()))</f>
        <v>0.64405350555555563</v>
      </c>
      <c r="CC122" s="12">
        <f>IF(Y122="",NA(),IF(Статистика!$D$8="Вкл",(((IF(Статистика!$C$4="Параллельный режим (активная мощность)",AC122,AN122)+Статистика!$J$4))-Статистика!$C$10)/MAX(Статистика!$G$10-Статистика!$C$10,0.000001),NA()))</f>
        <v>0.54553634166666654</v>
      </c>
      <c r="CD122" s="12">
        <f>IF(Y122="",NA(),IF(Статистика!$D$8="Вкл",(((IF(Статистика!$C$4="Параллельный режим (активная мощность)",AE122,AP122)+Статистика!$J$4))-Статистика!$C$10)/MAX(Статистика!$G$10-Статистика!$C$10,0.000001),NA()))</f>
        <v>0.70082245555555533</v>
      </c>
      <c r="CE122" s="12">
        <f>IF(Y122="",NA(),IF(Статистика!$F$8="Вкл",(((IF(Статистика!$C$4="Параллельный режим (активная мощность)",AB122,AM122)+Статистика!$J$4))-Статистика!$C$10)/MAX(Статистика!$G$10-Статистика!$C$10,0.000001),NA()))</f>
        <v>0.43664765222222224</v>
      </c>
      <c r="CF122" s="12">
        <f>IF(Y122="",NA(),IF(Статистика!$F$8="Вкл",(((IF(Статистика!$C$4="Параллельный режим (активная мощность)",AF122,AQ122)+Статистика!$J$4))-Статистика!$C$10)/MAX(Статистика!$G$10-Статистика!$C$10,0.000001),NA()))</f>
        <v>0.79670487444444427</v>
      </c>
      <c r="CG122" s="12">
        <f>IF(Y122="",NA(),IF(Статистика!$H$8="Вкл",(((IF(Статистика!$C$4="Параллельный режим (активная мощность)",Z122,AK122)+Статистика!$J$4))-Статистика!$C$10)/MAX(Статистика!$G$10-Статистика!$C$10,0.000001),NA()))</f>
        <v>0.38033560522222221</v>
      </c>
      <c r="CH122" s="12">
        <f>IF(Y122="",NA(),IF(Статистика!$H$8="Вкл",(((IF(Статистика!$C$4="Параллельный режим (активная мощность)",AH122,AS122)+Статистика!$J$4))-Статистика!$C$10)/MAX(Статистика!$G$10-Статистика!$C$10,0.000001),NA()))</f>
        <v>0.84739917744444393</v>
      </c>
      <c r="CI122" s="12" t="e">
        <f>IF(Y122="",NA(),IF(Статистика!$J$8="Вкл",(((IF(Статистика!$C$4="Параллельный режим (активная мощность)",AI122,AT122)+Статистика!$J$4))-Статистика!$C$10)/MAX(Статистика!$G$10-Статистика!$C$10,0.000001),NA()))</f>
        <v>#N/A</v>
      </c>
      <c r="CJ122" s="12" t="e">
        <f>IF(AND(Y122&lt;&gt;"",Статистика!$C$6="Вкл",Статистика!$B$6&gt;0),(Статистика!$B$6-Статистика!$C$10)/MAX(Статистика!$G$10-Статистика!$C$10,0.000001),NA())</f>
        <v>#N/A</v>
      </c>
      <c r="CK122" s="12" t="e">
        <f>IF(AND(Y122&lt;&gt;"",Статистика!$F$6="Вкл",Статистика!$E$6&gt;0),(Статистика!$E$6-Статистика!$C$10)/MAX(Статистика!$G$10-Статистика!$C$10,0.000001),NA())</f>
        <v>#N/A</v>
      </c>
      <c r="CL122" s="12" t="e">
        <f>IF(AND(Y122&lt;&gt;"",Статистика!$I$6="Вкл",Статистика!$H$6&gt;0),(Статистика!$H$6-Статистика!$C$10)/MAX(Статистика!$G$10-Статистика!$C$10,0.000001),NA())</f>
        <v>#N/A</v>
      </c>
      <c r="CM122" s="12" t="e">
        <f>IF(AND(Y122&lt;&gt;"",Статистика!$L$6="Вкл",Статистика!$K$6&gt;0),(Статистика!$K$6-Статистика!$C$10)/MAX(Статистика!$G$10-Статистика!$C$10,0.000001),NA())</f>
        <v>#N/A</v>
      </c>
      <c r="CN122" s="12" t="e">
        <f>IF(AND(Y122&lt;&gt;"",Статистика!$M$6="Вкл",Статистика!$O$6&gt;0),(Статистика!$O$6-Статистика!$C$10)/MAX(Статистика!$G$10-Статистика!$C$10,0.000001),NA())</f>
        <v>#N/A</v>
      </c>
      <c r="CO122" s="12">
        <f t="shared" si="3"/>
        <v>1</v>
      </c>
    </row>
    <row r="123" spans="1:93" ht="15" customHeight="1">
      <c r="A123" s="12" t="s">
        <v>550</v>
      </c>
      <c r="B123" s="12">
        <v>2111.7571429999998</v>
      </c>
      <c r="C123" s="12">
        <v>5223.6002483333341</v>
      </c>
      <c r="D123" s="12">
        <v>6943.9844149999999</v>
      </c>
      <c r="E123" s="12">
        <v>7619.3132666666661</v>
      </c>
      <c r="F123" s="12">
        <v>7851.4196333333339</v>
      </c>
      <c r="G123" s="12">
        <v>7981.4629750000004</v>
      </c>
      <c r="H123" s="12">
        <v>8358.4671099999996</v>
      </c>
      <c r="I123" s="12">
        <v>8462.5740475000002</v>
      </c>
      <c r="J123" s="12">
        <v>8676.4484095000007</v>
      </c>
      <c r="K123" s="12">
        <v>8909.2900000000009</v>
      </c>
      <c r="L123" s="12" t="s">
        <v>551</v>
      </c>
      <c r="M123" s="12">
        <v>2538.2400149999999</v>
      </c>
      <c r="N123" s="12">
        <v>6006.7910083333336</v>
      </c>
      <c r="O123" s="12">
        <v>7903.3476299999993</v>
      </c>
      <c r="P123" s="12">
        <v>8566.9278083333338</v>
      </c>
      <c r="Q123" s="12">
        <v>8854.4261499999993</v>
      </c>
      <c r="R123" s="12">
        <v>8979.0467000000008</v>
      </c>
      <c r="S123" s="12">
        <v>9368.7794366666676</v>
      </c>
      <c r="T123" s="12">
        <v>9481.8148174999988</v>
      </c>
      <c r="U123" s="12">
        <v>9633.9873101666672</v>
      </c>
      <c r="V123" s="12">
        <v>9914.43</v>
      </c>
      <c r="W123" s="12" t="s">
        <v>551</v>
      </c>
      <c r="Y123" s="12" t="s">
        <v>550</v>
      </c>
      <c r="Z123" s="12">
        <v>7246.2847486666678</v>
      </c>
      <c r="AA123" s="12">
        <v>7312.4576100000013</v>
      </c>
      <c r="AB123" s="12">
        <v>7395.173686666667</v>
      </c>
      <c r="AC123" s="12">
        <v>7663.526425</v>
      </c>
      <c r="AD123" s="12">
        <v>7902.299766666667</v>
      </c>
      <c r="AE123" s="12">
        <v>8134.3185416666674</v>
      </c>
      <c r="AF123" s="12">
        <v>8408.0612033333327</v>
      </c>
      <c r="AG123" s="12">
        <v>8497.7064183333332</v>
      </c>
      <c r="AH123" s="12">
        <v>8569.4225903333336</v>
      </c>
      <c r="AI123" s="12">
        <v>8767.59</v>
      </c>
      <c r="AJ123" s="12" t="s">
        <v>552</v>
      </c>
      <c r="AK123" s="12">
        <v>8202.9109005000009</v>
      </c>
      <c r="AL123" s="12">
        <v>8251.0709025000015</v>
      </c>
      <c r="AM123" s="12">
        <v>8311.2709050000012</v>
      </c>
      <c r="AN123" s="12">
        <v>8667.4747750000006</v>
      </c>
      <c r="AO123" s="12">
        <v>8837.6830166666659</v>
      </c>
      <c r="AP123" s="12">
        <v>9083.216375</v>
      </c>
      <c r="AQ123" s="12">
        <v>9397.8476100000007</v>
      </c>
      <c r="AR123" s="12">
        <v>9494.6658883333348</v>
      </c>
      <c r="AS123" s="12">
        <v>9572.120511000001</v>
      </c>
      <c r="AT123" s="12">
        <v>9825.43</v>
      </c>
      <c r="AU123" s="12" t="s">
        <v>553</v>
      </c>
      <c r="AW123" s="12">
        <f>IF(A123="","",MAX(0,MIN(1,(((IF(Статистика!$C$4="Параллельный режим (активная мощность)",B123,M123)+Статистика!$J$4))-Статистика!$C$10)/MAX(Статистика!$G$10-Статистика!$C$10,0.000001))))</f>
        <v>0</v>
      </c>
      <c r="AX123" s="12">
        <f>IF(A123="","",MAX(0,MAX(0,MIN(1,(((IF(Статистика!$C$4="Параллельный режим (активная мощность)",D123,O123)+Статистика!$J$4))-Статистика!$C$10)/MAX(Статистика!$G$10-Статистика!$C$10,0.000001)))-MAX(0,MIN(1,(((IF(Статистика!$C$4="Параллельный режим (активная мощность)",B123,M123)+Статистика!$J$4))-Статистика!$C$10)/MAX(Статистика!$G$10-Статистика!$C$10,0.000001)))))</f>
        <v>0.31466147166666664</v>
      </c>
      <c r="AY123" s="12">
        <f>IF(A123="","",MAX(0,MAX(0,MIN(1,(((IF(Статистика!$C$4="Параллельный режим (активная мощность)",E123,P123)+Статистика!$J$4))-Статистика!$C$10)/MAX(Статистика!$G$10-Статистика!$C$10,0.000001)))-MAX(0,MIN(1,(((IF(Статистика!$C$4="Параллельный режим (активная мощность)",D123,O123)+Статистика!$J$4))-Статистика!$C$10)/MAX(Статистика!$G$10-Статистика!$C$10,0.000001)))))</f>
        <v>0.22510961722222206</v>
      </c>
      <c r="AZ123" s="12">
        <f>IF(A123="","",MAX(0,MAX(0,MIN(1,(((IF(Статистика!$C$4="Параллельный режим (активная мощность)",F123,Q123)+Статистика!$J$4))-Статистика!$C$10)/MAX(Статистика!$G$10-Статистика!$C$10,0.000001)))-MAX(0,MIN(1,(((IF(Статистика!$C$4="Параллельный режим (активная мощность)",E123,P123)+Статистика!$J$4))-Статистика!$C$10)/MAX(Статистика!$G$10-Статистика!$C$10,0.000001)))))</f>
        <v>7.7368788888889317E-2</v>
      </c>
      <c r="BA123" s="12">
        <f>IF(A123="","",MAX(0,MAX(0,MIN(1,(((IF(Статистика!$C$4="Параллельный режим (активная мощность)",G123,R123)+Статистика!$J$4))-Статистика!$C$10)/MAX(Статистика!$G$10-Статистика!$C$10,0.000001)))-MAX(0,MIN(1,(((IF(Статистика!$C$4="Параллельный режим (активная мощность)",F123,Q123)+Статистика!$J$4))-Статистика!$C$10)/MAX(Статистика!$G$10-Статистика!$C$10,0.000001)))))</f>
        <v>4.3347780555555437E-2</v>
      </c>
      <c r="BB123" s="12">
        <f>IF(A123="","",MAX(0,MAX(0,MIN(1,(((IF(Статистика!$C$4="Параллельный режим (активная мощность)",H123,S123)+Статистика!$J$4))-Статистика!$C$10)/MAX(Статистика!$G$10-Статистика!$C$10,0.000001)))-MAX(0,MIN(1,(((IF(Статистика!$C$4="Параллельный режим (активная мощность)",G123,R123)+Статистика!$J$4))-Статистика!$C$10)/MAX(Статистика!$G$10-Статистика!$C$10,0.000001)))))</f>
        <v>0.12566804499999973</v>
      </c>
      <c r="BC123" s="12">
        <f>IF(A123="","",MAX(0,MAX(0,MIN(1,(((IF(Статистика!$C$4="Параллельный режим (активная мощность)",J123,U123)+Статистика!$J$4))-Статистика!$C$10)/MAX(Статистика!$G$10-Статистика!$C$10,0.000001)))-MAX(0,MIN(1,(((IF(Статистика!$C$4="Параллельный режим (активная мощность)",H123,S123)+Статистика!$J$4))-Статистика!$C$10)/MAX(Статистика!$G$10-Статистика!$C$10,0.000001)))))</f>
        <v>0.10599376650000036</v>
      </c>
      <c r="BD123" s="12">
        <f>IF(A123="","",MAX(0,1-MAX(0,MIN(1,(((IF(Статистика!$C$4="Параллельный режим (активная мощность)",J123,U123)+Статистика!$J$4))-Статистика!$C$10)/MAX(Статистика!$G$10-Статистика!$C$10,0.000001)))))</f>
        <v>0.10785053016666646</v>
      </c>
      <c r="BE123" s="12">
        <f>IF(A123="",NA(),IF(Статистика!$B$8="Вкл",(((IF(Статистика!$C$4="Параллельный режим (активная мощность)",F123,Q123)+Статистика!$J$4))-Статистика!$C$10)/MAX(Статистика!$G$10-Статистика!$C$10,0.000001),NA()))</f>
        <v>0.61713987777777801</v>
      </c>
      <c r="BF123" s="12">
        <f>IF(A123="",NA(),IF(Статистика!$D$8="Вкл",(((IF(Статистика!$C$4="Параллельный режим (активная мощность)",E123,P123)+Статистика!$J$4))-Статистика!$C$10)/MAX(Статистика!$G$10-Статистика!$C$10,0.000001),NA()))</f>
        <v>0.53977108888888869</v>
      </c>
      <c r="BG123" s="12">
        <f>IF(A123="",NA(),IF(Статистика!$D$8="Вкл",(((IF(Статистика!$C$4="Параллельный режим (активная мощность)",G123,R123)+Статистика!$J$4))-Статистика!$C$10)/MAX(Статистика!$G$10-Статистика!$C$10,0.000001),NA()))</f>
        <v>0.66048765833333345</v>
      </c>
      <c r="BH123" s="12">
        <f>IF(A123="",NA(),IF(Статистика!$F$8="Вкл",(((IF(Статистика!$C$4="Параллельный режим (активная мощность)",D123,O123)+Статистика!$J$4))-Статистика!$C$10)/MAX(Статистика!$G$10-Статистика!$C$10,0.000001),NA()))</f>
        <v>0.31466147166666664</v>
      </c>
      <c r="BI123" s="12">
        <f>IF(A123="",NA(),IF(Статистика!$F$8="Вкл",(((IF(Статистика!$C$4="Параллельный режим (активная мощность)",H123,S123)+Статистика!$J$4))-Статистика!$C$10)/MAX(Статистика!$G$10-Статистика!$C$10,0.000001),NA()))</f>
        <v>0.78615570333333318</v>
      </c>
      <c r="BJ123" s="12">
        <f>IF(A123="",NA(),IF(Статистика!$H$8="Вкл",(((IF(Статистика!$C$4="Параллельный режим (активная мощность)",B123,M123)+Статистика!$J$4))-Статистика!$C$10)/MAX(Статистика!$G$10-Статистика!$C$10,0.000001),NA()))</f>
        <v>-1.2960809523333334</v>
      </c>
      <c r="BK123" s="12">
        <f>IF(A123="",NA(),IF(Статистика!$H$8="Вкл",(((IF(Статистика!$C$4="Параллельный режим (активная мощность)",J123,U123)+Статистика!$J$4))-Статистика!$C$10)/MAX(Статистика!$G$10-Статистика!$C$10,0.000001),NA()))</f>
        <v>0.89214946983333354</v>
      </c>
      <c r="BL123" s="12" t="e">
        <f>IF(A123="",NA(),IF(Статистика!$J$8="Вкл",(((IF(Статистика!$C$4="Параллельный режим (активная мощность)",K123,V123)+Статистика!$J$4))-Статистика!$C$10)/MAX(Статистика!$G$10-Статистика!$C$10,0.000001),NA()))</f>
        <v>#N/A</v>
      </c>
      <c r="BM123" s="12" t="e">
        <f>IF(AND(A123&lt;&gt;"",Статистика!$C$6="Вкл",Статистика!$B$6&gt;0),(Статистика!$B$6-Статистика!$C$10)/MAX(Статистика!$G$10-Статистика!$C$10,0.000001),NA())</f>
        <v>#N/A</v>
      </c>
      <c r="BN123" s="12" t="e">
        <f>IF(AND(A123&lt;&gt;"",Статистика!$F$6="Вкл",Статистика!$E$6&gt;0),(Статистика!$E$6-Статистика!$C$10)/MAX(Статистика!$G$10-Статистика!$C$10,0.000001),NA())</f>
        <v>#N/A</v>
      </c>
      <c r="BO123" s="12" t="e">
        <f>IF(AND(A123&lt;&gt;"",Статистика!$I$6="Вкл",Статистика!$H$6&gt;0),(Статистика!$H$6-Статистика!$C$10)/MAX(Статистика!$G$10-Статистика!$C$10,0.000001),NA())</f>
        <v>#N/A</v>
      </c>
      <c r="BP123" s="12" t="e">
        <f>IF(AND(A123&lt;&gt;"",Статистика!$L$6="Вкл",Статистика!$K$6&gt;0),(Статистика!$K$6-Статистика!$C$10)/MAX(Статистика!$G$10-Статистика!$C$10,0.000001),NA())</f>
        <v>#N/A</v>
      </c>
      <c r="BQ123" s="12" t="e">
        <f>IF(AND(A123&lt;&gt;"",Статистика!$M$6="Вкл",Статистика!$O$6&gt;0),(Статистика!$O$6-Статистика!$C$10)/MAX(Статистика!$G$10-Статистика!$C$10,0.000001),NA())</f>
        <v>#N/A</v>
      </c>
      <c r="BR123" s="12">
        <f t="shared" si="2"/>
        <v>1</v>
      </c>
      <c r="BT123" s="12">
        <f>IF(Y123="","",MAX(0,MIN(1,(((IF(Статистика!$C$4="Параллельный режим (активная мощность)",Z123,AK123)+Статистика!$J$4))-Статистика!$C$10)/MAX(Статистика!$G$10-Статистика!$C$10,0.000001))))</f>
        <v>0.41542824955555596</v>
      </c>
      <c r="BU123" s="12">
        <f>IF(Y123="","",MAX(0,MAX(0,MIN(1,(((IF(Статистика!$C$4="Параллельный режим (активная мощность)",AB123,AM123)+Статистика!$J$4))-Статистика!$C$10)/MAX(Статистика!$G$10-Статистика!$C$10,0.000001)))-MAX(0,MIN(1,(((IF(Статистика!$C$4="Параллельный режим (активная мощность)",Z123,AK123)+Статистика!$J$4))-Статистика!$C$10)/MAX(Статистика!$G$10-Статистика!$C$10,0.000001)))))</f>
        <v>4.9629645999999694E-2</v>
      </c>
      <c r="BV123" s="12">
        <f>IF(Y123="","",MAX(0,MAX(0,MIN(1,(((IF(Статистика!$C$4="Параллельный режим (активная мощность)",AC123,AN123)+Статистика!$J$4))-Статистика!$C$10)/MAX(Статистика!$G$10-Статистика!$C$10,0.000001)))-MAX(0,MIN(1,(((IF(Статистика!$C$4="Параллельный режим (активная мощность)",AB123,AM123)+Статистика!$J$4))-Статистика!$C$10)/MAX(Статистика!$G$10-Статистика!$C$10,0.000001)))))</f>
        <v>8.9450912777777725E-2</v>
      </c>
      <c r="BW123" s="12">
        <f>IF(Y123="","",MAX(0,MAX(0,MIN(1,(((IF(Статистика!$C$4="Параллельный режим (активная мощность)",AD123,AO123)+Статистика!$J$4))-Статистика!$C$10)/MAX(Статистика!$G$10-Статистика!$C$10,0.000001)))-MAX(0,MIN(1,(((IF(Статистика!$C$4="Параллельный режим (активная мощность)",AC123,AN123)+Статистика!$J$4))-Статистика!$C$10)/MAX(Статистика!$G$10-Статистика!$C$10,0.000001)))))</f>
        <v>7.9591113888888954E-2</v>
      </c>
      <c r="BX123" s="12">
        <f>IF(Y123="","",MAX(0,MAX(0,MIN(1,(((IF(Статистика!$C$4="Параллельный режим (активная мощность)",AE123,AP123)+Статистика!$J$4))-Статистика!$C$10)/MAX(Статистика!$G$10-Статистика!$C$10,0.000001)))-MAX(0,MIN(1,(((IF(Статистика!$C$4="Параллельный режим (активная мощность)",AD123,AO123)+Статистика!$J$4))-Статистика!$C$10)/MAX(Статистика!$G$10-Статистика!$C$10,0.000001)))))</f>
        <v>7.7339591666666818E-2</v>
      </c>
      <c r="BY123" s="12">
        <f>IF(Y123="","",MAX(0,MAX(0,MIN(1,(((IF(Статистика!$C$4="Параллельный режим (активная мощность)",AF123,AQ123)+Статистика!$J$4))-Статистика!$C$10)/MAX(Статистика!$G$10-Статистика!$C$10,0.000001)))-MAX(0,MIN(1,(((IF(Статистика!$C$4="Параллельный режим (активная мощность)",AE123,AP123)+Статистика!$J$4))-Статистика!$C$10)/MAX(Статистика!$G$10-Статистика!$C$10,0.000001)))))</f>
        <v>9.1247553888888389E-2</v>
      </c>
      <c r="BZ123" s="12">
        <f>IF(Y123="","",MAX(0,MAX(0,MIN(1,(((IF(Статистика!$C$4="Параллельный режим (активная мощность)",AH123,AS123)+Статистика!$J$4))-Статистика!$C$10)/MAX(Статистика!$G$10-Статистика!$C$10,0.000001)))-MAX(0,MIN(1,(((IF(Статистика!$C$4="Параллельный режим (активная мощность)",AF123,AQ123)+Статистика!$J$4))-Статистика!$C$10)/MAX(Статистика!$G$10-Статистика!$C$10,0.000001)))))</f>
        <v>5.3787129000000267E-2</v>
      </c>
      <c r="CA123" s="12">
        <f>IF(Y123="","",MAX(0,1-MAX(0,MIN(1,(((IF(Статистика!$C$4="Параллельный режим (активная мощность)",AH123,AS123)+Статистика!$J$4))-Статистика!$C$10)/MAX(Статистика!$G$10-Статистика!$C$10,0.000001)))))</f>
        <v>0.14352580322222219</v>
      </c>
      <c r="CB123" s="12">
        <f>IF(Y123="",NA(),IF(Статистика!$B$8="Вкл",(((IF(Статистика!$C$4="Параллельный режим (активная мощность)",AD123,AO123)+Статистика!$J$4))-Статистика!$C$10)/MAX(Статистика!$G$10-Статистика!$C$10,0.000001),NA()))</f>
        <v>0.63409992222222233</v>
      </c>
      <c r="CC123" s="12">
        <f>IF(Y123="",NA(),IF(Статистика!$D$8="Вкл",(((IF(Статистика!$C$4="Параллельный режим (активная мощность)",AC123,AN123)+Статистика!$J$4))-Статистика!$C$10)/MAX(Статистика!$G$10-Статистика!$C$10,0.000001),NA()))</f>
        <v>0.55450880833333338</v>
      </c>
      <c r="CD123" s="12">
        <f>IF(Y123="",NA(),IF(Статистика!$D$8="Вкл",(((IF(Статистика!$C$4="Параллельный режим (активная мощность)",AE123,AP123)+Статистика!$J$4))-Статистика!$C$10)/MAX(Статистика!$G$10-Статистика!$C$10,0.000001),NA()))</f>
        <v>0.71143951388888915</v>
      </c>
      <c r="CE123" s="12">
        <f>IF(Y123="",NA(),IF(Статистика!$F$8="Вкл",(((IF(Статистика!$C$4="Параллельный режим (активная мощность)",AB123,AM123)+Статистика!$J$4))-Статистика!$C$10)/MAX(Статистика!$G$10-Статистика!$C$10,0.000001),NA()))</f>
        <v>0.46505789555555566</v>
      </c>
      <c r="CF123" s="12">
        <f>IF(Y123="",NA(),IF(Статистика!$F$8="Вкл",(((IF(Статистика!$C$4="Параллельный режим (активная мощность)",AF123,AQ123)+Статистика!$J$4))-Статистика!$C$10)/MAX(Статистика!$G$10-Статистика!$C$10,0.000001),NA()))</f>
        <v>0.80268706777777754</v>
      </c>
      <c r="CG123" s="12">
        <f>IF(Y123="",NA(),IF(Статистика!$H$8="Вкл",(((IF(Статистика!$C$4="Параллельный режим (активная мощность)",Z123,AK123)+Статистика!$J$4))-Статистика!$C$10)/MAX(Статистика!$G$10-Статистика!$C$10,0.000001),NA()))</f>
        <v>0.41542824955555596</v>
      </c>
      <c r="CH123" s="12">
        <f>IF(Y123="",NA(),IF(Статистика!$H$8="Вкл",(((IF(Статистика!$C$4="Параллельный режим (активная мощность)",AH123,AS123)+Статистика!$J$4))-Статистика!$C$10)/MAX(Статистика!$G$10-Статистика!$C$10,0.000001),NA()))</f>
        <v>0.85647419677777781</v>
      </c>
      <c r="CI123" s="12" t="e">
        <f>IF(Y123="",NA(),IF(Статистика!$J$8="Вкл",(((IF(Статистика!$C$4="Параллельный режим (активная мощность)",AI123,AT123)+Статистика!$J$4))-Статистика!$C$10)/MAX(Статистика!$G$10-Статистика!$C$10,0.000001),NA()))</f>
        <v>#N/A</v>
      </c>
      <c r="CJ123" s="12" t="e">
        <f>IF(AND(Y123&lt;&gt;"",Статистика!$C$6="Вкл",Статистика!$B$6&gt;0),(Статистика!$B$6-Статистика!$C$10)/MAX(Статистика!$G$10-Статистика!$C$10,0.000001),NA())</f>
        <v>#N/A</v>
      </c>
      <c r="CK123" s="12" t="e">
        <f>IF(AND(Y123&lt;&gt;"",Статистика!$F$6="Вкл",Статистика!$E$6&gt;0),(Статистика!$E$6-Статистика!$C$10)/MAX(Статистика!$G$10-Статистика!$C$10,0.000001),NA())</f>
        <v>#N/A</v>
      </c>
      <c r="CL123" s="12" t="e">
        <f>IF(AND(Y123&lt;&gt;"",Статистика!$I$6="Вкл",Статистика!$H$6&gt;0),(Статистика!$H$6-Статистика!$C$10)/MAX(Статистика!$G$10-Статистика!$C$10,0.000001),NA())</f>
        <v>#N/A</v>
      </c>
      <c r="CM123" s="12" t="e">
        <f>IF(AND(Y123&lt;&gt;"",Статистика!$L$6="Вкл",Статистика!$K$6&gt;0),(Статистика!$K$6-Статистика!$C$10)/MAX(Статистика!$G$10-Статистика!$C$10,0.000001),NA())</f>
        <v>#N/A</v>
      </c>
      <c r="CN123" s="12" t="e">
        <f>IF(AND(Y123&lt;&gt;"",Статистика!$M$6="Вкл",Статистика!$O$6&gt;0),(Статистика!$O$6-Статистика!$C$10)/MAX(Статистика!$G$10-Статистика!$C$10,0.000001),NA())</f>
        <v>#N/A</v>
      </c>
      <c r="CO123" s="12">
        <f t="shared" si="3"/>
        <v>1</v>
      </c>
    </row>
    <row r="124" spans="1:93" ht="15" customHeight="1">
      <c r="A124" s="12" t="s">
        <v>554</v>
      </c>
      <c r="B124" s="12">
        <v>2181.6027165000005</v>
      </c>
      <c r="C124" s="12">
        <v>5644.3657158333344</v>
      </c>
      <c r="D124" s="12">
        <v>7290.2006100000008</v>
      </c>
      <c r="E124" s="12">
        <v>7658.6926416666665</v>
      </c>
      <c r="F124" s="12">
        <v>7827.8375166666665</v>
      </c>
      <c r="G124" s="12">
        <v>7979.6521666666667</v>
      </c>
      <c r="H124" s="12">
        <v>8287.4434516666661</v>
      </c>
      <c r="I124" s="12">
        <v>8482.6973866666649</v>
      </c>
      <c r="J124" s="12">
        <v>8700.3672106666672</v>
      </c>
      <c r="K124" s="12">
        <v>8842.8799999999992</v>
      </c>
      <c r="L124" s="12" t="s">
        <v>555</v>
      </c>
      <c r="M124" s="12">
        <v>2590.9498268333332</v>
      </c>
      <c r="N124" s="12">
        <v>6359.0688675000001</v>
      </c>
      <c r="O124" s="12">
        <v>8216.0052983333335</v>
      </c>
      <c r="P124" s="12">
        <v>8661.3916916666676</v>
      </c>
      <c r="Q124" s="12">
        <v>8841.6450833333329</v>
      </c>
      <c r="R124" s="12">
        <v>9018.4056583333331</v>
      </c>
      <c r="S124" s="12">
        <v>9329.9399549999998</v>
      </c>
      <c r="T124" s="12">
        <v>9499.787860833334</v>
      </c>
      <c r="U124" s="12">
        <v>9653.9952255000007</v>
      </c>
      <c r="V124" s="12">
        <v>9816.77</v>
      </c>
      <c r="W124" s="12" t="s">
        <v>556</v>
      </c>
      <c r="Y124" s="12" t="s">
        <v>554</v>
      </c>
      <c r="Z124" s="12">
        <v>7296.2711425000007</v>
      </c>
      <c r="AA124" s="12">
        <v>7353.0091791666673</v>
      </c>
      <c r="AB124" s="12">
        <v>7423.9317250000004</v>
      </c>
      <c r="AC124" s="12">
        <v>7646.5747499999998</v>
      </c>
      <c r="AD124" s="12">
        <v>7893.4853833333336</v>
      </c>
      <c r="AE124" s="12">
        <v>8117.9631250000002</v>
      </c>
      <c r="AF124" s="12">
        <v>8431.322313333334</v>
      </c>
      <c r="AG124" s="12">
        <v>8520.3811733333332</v>
      </c>
      <c r="AH124" s="12">
        <v>8591.6282613333351</v>
      </c>
      <c r="AI124" s="12">
        <v>8700.8799999999992</v>
      </c>
      <c r="AJ124" s="12" t="s">
        <v>557</v>
      </c>
      <c r="AK124" s="12">
        <v>8271.9711060000009</v>
      </c>
      <c r="AL124" s="12">
        <v>8305.6595300000008</v>
      </c>
      <c r="AM124" s="12">
        <v>8347.7700600000007</v>
      </c>
      <c r="AN124" s="12">
        <v>8663.4224166666681</v>
      </c>
      <c r="AO124" s="12">
        <v>8814.8556666666664</v>
      </c>
      <c r="AP124" s="12">
        <v>9072.8903750000009</v>
      </c>
      <c r="AQ124" s="12">
        <v>9421.1428766666668</v>
      </c>
      <c r="AR124" s="12">
        <v>9517.2080216666673</v>
      </c>
      <c r="AS124" s="12">
        <v>9594.0601376666673</v>
      </c>
      <c r="AT124" s="12">
        <v>9704.17</v>
      </c>
      <c r="AU124" s="12" t="s">
        <v>557</v>
      </c>
      <c r="AW124" s="12">
        <f>IF(A124="","",MAX(0,MIN(1,(((IF(Статистика!$C$4="Параллельный режим (активная мощность)",B124,M124)+Статистика!$J$4))-Статистика!$C$10)/MAX(Статистика!$G$10-Статистика!$C$10,0.000001))))</f>
        <v>0</v>
      </c>
      <c r="AX124" s="12">
        <f>IF(A124="","",MAX(0,MAX(0,MIN(1,(((IF(Статистика!$C$4="Параллельный режим (активная мощность)",D124,O124)+Статистика!$J$4))-Статистика!$C$10)/MAX(Статистика!$G$10-Статистика!$C$10,0.000001)))-MAX(0,MIN(1,(((IF(Статистика!$C$4="Параллельный режим (активная мощность)",B124,M124)+Статистика!$J$4))-Статистика!$C$10)/MAX(Статистика!$G$10-Статистика!$C$10,0.000001)))))</f>
        <v>0.43006687000000027</v>
      </c>
      <c r="AY124" s="12">
        <f>IF(A124="","",MAX(0,MAX(0,MIN(1,(((IF(Статистика!$C$4="Параллельный режим (активная мощность)",E124,P124)+Статистика!$J$4))-Статистика!$C$10)/MAX(Статистика!$G$10-Статистика!$C$10,0.000001)))-MAX(0,MIN(1,(((IF(Статистика!$C$4="Параллельный режим (активная мощность)",D124,O124)+Статистика!$J$4))-Статистика!$C$10)/MAX(Статистика!$G$10-Статистика!$C$10,0.000001)))))</f>
        <v>0.12283067722222191</v>
      </c>
      <c r="AZ124" s="12">
        <f>IF(A124="","",MAX(0,MAX(0,MIN(1,(((IF(Статистика!$C$4="Параллельный режим (активная мощность)",F124,Q124)+Статистика!$J$4))-Статистика!$C$10)/MAX(Статистика!$G$10-Статистика!$C$10,0.000001)))-MAX(0,MIN(1,(((IF(Статистика!$C$4="Параллельный режим (активная мощность)",E124,P124)+Статистика!$J$4))-Статистика!$C$10)/MAX(Статистика!$G$10-Статистика!$C$10,0.000001)))))</f>
        <v>5.6381624999999991E-2</v>
      </c>
      <c r="BA124" s="12">
        <f>IF(A124="","",MAX(0,MAX(0,MIN(1,(((IF(Статистика!$C$4="Параллельный режим (активная мощность)",G124,R124)+Статистика!$J$4))-Статистика!$C$10)/MAX(Статистика!$G$10-Статистика!$C$10,0.000001)))-MAX(0,MIN(1,(((IF(Статистика!$C$4="Параллельный режим (активная мощность)",F124,Q124)+Статистика!$J$4))-Статистика!$C$10)/MAX(Статистика!$G$10-Статистика!$C$10,0.000001)))))</f>
        <v>5.0604883333333461E-2</v>
      </c>
      <c r="BB124" s="12">
        <f>IF(A124="","",MAX(0,MAX(0,MIN(1,(((IF(Статистика!$C$4="Параллельный режим (активная мощность)",H124,S124)+Статистика!$J$4))-Статистика!$C$10)/MAX(Статистика!$G$10-Статистика!$C$10,0.000001)))-MAX(0,MIN(1,(((IF(Статистика!$C$4="Параллельный режим (активная мощность)",G124,R124)+Статистика!$J$4))-Статистика!$C$10)/MAX(Статистика!$G$10-Статистика!$C$10,0.000001)))))</f>
        <v>0.10259709499999969</v>
      </c>
      <c r="BC124" s="12">
        <f>IF(A124="","",MAX(0,MAX(0,MIN(1,(((IF(Статистика!$C$4="Параллельный режим (активная мощность)",J124,U124)+Статистика!$J$4))-Статистика!$C$10)/MAX(Статистика!$G$10-Статистика!$C$10,0.000001)))-MAX(0,MIN(1,(((IF(Статистика!$C$4="Параллельный режим (активная мощность)",H124,S124)+Статистика!$J$4))-Статистика!$C$10)/MAX(Статистика!$G$10-Статистика!$C$10,0.000001)))))</f>
        <v>0.13764125300000041</v>
      </c>
      <c r="BD124" s="12">
        <f>IF(A124="","",MAX(0,1-MAX(0,MIN(1,(((IF(Статистика!$C$4="Параллельный режим (активная мощность)",J124,U124)+Статистика!$J$4))-Статистика!$C$10)/MAX(Статистика!$G$10-Статистика!$C$10,0.000001)))))</f>
        <v>9.9877596444444272E-2</v>
      </c>
      <c r="BE124" s="12">
        <f>IF(A124="",NA(),IF(Статистика!$B$8="Вкл",(((IF(Статистика!$C$4="Параллельный режим (активная мощность)",F124,Q124)+Статистика!$J$4))-Статистика!$C$10)/MAX(Статистика!$G$10-Статистика!$C$10,0.000001),NA()))</f>
        <v>0.60927917222222217</v>
      </c>
      <c r="BF124" s="12">
        <f>IF(A124="",NA(),IF(Статистика!$D$8="Вкл",(((IF(Статистика!$C$4="Параллельный режим (активная мощность)",E124,P124)+Статистика!$J$4))-Статистика!$C$10)/MAX(Статистика!$G$10-Статистика!$C$10,0.000001),NA()))</f>
        <v>0.55289754722222217</v>
      </c>
      <c r="BG124" s="12">
        <f>IF(A124="",NA(),IF(Статистика!$D$8="Вкл",(((IF(Статистика!$C$4="Параллельный режим (активная мощность)",G124,R124)+Статистика!$J$4))-Статистика!$C$10)/MAX(Статистика!$G$10-Статистика!$C$10,0.000001),NA()))</f>
        <v>0.65988405555555563</v>
      </c>
      <c r="BH124" s="12">
        <f>IF(A124="",NA(),IF(Статистика!$F$8="Вкл",(((IF(Статистика!$C$4="Параллельный режим (активная мощность)",D124,O124)+Статистика!$J$4))-Статистика!$C$10)/MAX(Статистика!$G$10-Статистика!$C$10,0.000001),NA()))</f>
        <v>0.43006687000000027</v>
      </c>
      <c r="BI124" s="12">
        <f>IF(A124="",NA(),IF(Статистика!$F$8="Вкл",(((IF(Статистика!$C$4="Параллельный режим (активная мощность)",H124,S124)+Статистика!$J$4))-Статистика!$C$10)/MAX(Статистика!$G$10-Статистика!$C$10,0.000001),NA()))</f>
        <v>0.76248115055555532</v>
      </c>
      <c r="BJ124" s="12">
        <f>IF(A124="",NA(),IF(Статистика!$H$8="Вкл",(((IF(Статистика!$C$4="Параллельный режим (активная мощность)",B124,M124)+Статистика!$J$4))-Статистика!$C$10)/MAX(Статистика!$G$10-Статистика!$C$10,0.000001),NA()))</f>
        <v>-1.2727990944999998</v>
      </c>
      <c r="BK124" s="12">
        <f>IF(A124="",NA(),IF(Статистика!$H$8="Вкл",(((IF(Статистика!$C$4="Параллельный режим (активная мощность)",J124,U124)+Статистика!$J$4))-Статистика!$C$10)/MAX(Статистика!$G$10-Статистика!$C$10,0.000001),NA()))</f>
        <v>0.90012240355555573</v>
      </c>
      <c r="BL124" s="12" t="e">
        <f>IF(A124="",NA(),IF(Статистика!$J$8="Вкл",(((IF(Статистика!$C$4="Параллельный режим (активная мощность)",K124,V124)+Статистика!$J$4))-Статистика!$C$10)/MAX(Статистика!$G$10-Статистика!$C$10,0.000001),NA()))</f>
        <v>#N/A</v>
      </c>
      <c r="BM124" s="12" t="e">
        <f>IF(AND(A124&lt;&gt;"",Статистика!$C$6="Вкл",Статистика!$B$6&gt;0),(Статистика!$B$6-Статистика!$C$10)/MAX(Статистика!$G$10-Статистика!$C$10,0.000001),NA())</f>
        <v>#N/A</v>
      </c>
      <c r="BN124" s="12" t="e">
        <f>IF(AND(A124&lt;&gt;"",Статистика!$F$6="Вкл",Статистика!$E$6&gt;0),(Статистика!$E$6-Статистика!$C$10)/MAX(Статистика!$G$10-Статистика!$C$10,0.000001),NA())</f>
        <v>#N/A</v>
      </c>
      <c r="BO124" s="12" t="e">
        <f>IF(AND(A124&lt;&gt;"",Статистика!$I$6="Вкл",Статистика!$H$6&gt;0),(Статистика!$H$6-Статистика!$C$10)/MAX(Статистика!$G$10-Статистика!$C$10,0.000001),NA())</f>
        <v>#N/A</v>
      </c>
      <c r="BP124" s="12" t="e">
        <f>IF(AND(A124&lt;&gt;"",Статистика!$L$6="Вкл",Статистика!$K$6&gt;0),(Статистика!$K$6-Статистика!$C$10)/MAX(Статистика!$G$10-Статистика!$C$10,0.000001),NA())</f>
        <v>#N/A</v>
      </c>
      <c r="BQ124" s="12" t="e">
        <f>IF(AND(A124&lt;&gt;"",Статистика!$M$6="Вкл",Статистика!$O$6&gt;0),(Статистика!$O$6-Статистика!$C$10)/MAX(Статистика!$G$10-Статистика!$C$10,0.000001),NA())</f>
        <v>#N/A</v>
      </c>
      <c r="BR124" s="12">
        <f t="shared" si="2"/>
        <v>1</v>
      </c>
      <c r="BT124" s="12">
        <f>IF(Y124="","",MAX(0,MIN(1,(((IF(Статистика!$C$4="Параллельный режим (активная мощность)",Z124,AK124)+Статистика!$J$4))-Статистика!$C$10)/MAX(Статистика!$G$10-Статистика!$C$10,0.000001))))</f>
        <v>0.43209038083333356</v>
      </c>
      <c r="BU124" s="12">
        <f>IF(Y124="","",MAX(0,MAX(0,MIN(1,(((IF(Статистика!$C$4="Параллельный режим (активная мощность)",AB124,AM124)+Статистика!$J$4))-Статистика!$C$10)/MAX(Статистика!$G$10-Статистика!$C$10,0.000001)))-MAX(0,MIN(1,(((IF(Статистика!$C$4="Параллельный режим (активная мощность)",Z124,AK124)+Статистика!$J$4))-Статистика!$C$10)/MAX(Статистика!$G$10-Статистика!$C$10,0.000001)))))</f>
        <v>4.255352749999991E-2</v>
      </c>
      <c r="BV124" s="12">
        <f>IF(Y124="","",MAX(0,MAX(0,MIN(1,(((IF(Статистика!$C$4="Параллельный режим (активная мощность)",AC124,AN124)+Статистика!$J$4))-Статистика!$C$10)/MAX(Статистика!$G$10-Статистика!$C$10,0.000001)))-MAX(0,MIN(1,(((IF(Статистика!$C$4="Параллельный режим (активная мощность)",AB124,AM124)+Статистика!$J$4))-Статистика!$C$10)/MAX(Статистика!$G$10-Статистика!$C$10,0.000001)))))</f>
        <v>7.4214341666666406E-2</v>
      </c>
      <c r="BW124" s="12">
        <f>IF(Y124="","",MAX(0,MAX(0,MIN(1,(((IF(Статистика!$C$4="Параллельный режим (активная мощность)",AD124,AO124)+Статистика!$J$4))-Статистика!$C$10)/MAX(Статистика!$G$10-Статистика!$C$10,0.000001)))-MAX(0,MIN(1,(((IF(Статистика!$C$4="Параллельный режим (активная мощность)",AC124,AN124)+Статистика!$J$4))-Статистика!$C$10)/MAX(Статистика!$G$10-Статистика!$C$10,0.000001)))))</f>
        <v>8.2303544444444654E-2</v>
      </c>
      <c r="BX124" s="12">
        <f>IF(Y124="","",MAX(0,MAX(0,MIN(1,(((IF(Статистика!$C$4="Параллельный режим (активная мощность)",AE124,AP124)+Статистика!$J$4))-Статистика!$C$10)/MAX(Статистика!$G$10-Статистика!$C$10,0.000001)))-MAX(0,MIN(1,(((IF(Статистика!$C$4="Параллельный режим (активная мощность)",AD124,AO124)+Статистика!$J$4))-Статистика!$C$10)/MAX(Статистика!$G$10-Статистика!$C$10,0.000001)))))</f>
        <v>7.4825913888888818E-2</v>
      </c>
      <c r="BY124" s="12">
        <f>IF(Y124="","",MAX(0,MAX(0,MIN(1,(((IF(Статистика!$C$4="Параллельный режим (активная мощность)",AF124,AQ124)+Статистика!$J$4))-Статистика!$C$10)/MAX(Статистика!$G$10-Статистика!$C$10,0.000001)))-MAX(0,MIN(1,(((IF(Статистика!$C$4="Параллельный режим (активная мощность)",AE124,AP124)+Статистика!$J$4))-Статистика!$C$10)/MAX(Статистика!$G$10-Статистика!$C$10,0.000001)))))</f>
        <v>0.10445306277777799</v>
      </c>
      <c r="BZ124" s="12">
        <f>IF(Y124="","",MAX(0,MAX(0,MIN(1,(((IF(Статистика!$C$4="Параллельный режим (активная мощность)",AH124,AS124)+Статистика!$J$4))-Статистика!$C$10)/MAX(Статистика!$G$10-Статистика!$C$10,0.000001)))-MAX(0,MIN(1,(((IF(Статистика!$C$4="Параллельный режим (активная мощность)",AF124,AQ124)+Статистика!$J$4))-Статистика!$C$10)/MAX(Статистика!$G$10-Статистика!$C$10,0.000001)))))</f>
        <v>5.3435316000000399E-2</v>
      </c>
      <c r="CA124" s="12">
        <f>IF(Y124="","",MAX(0,1-MAX(0,MIN(1,(((IF(Статистика!$C$4="Параллельный режим (активная мощность)",AH124,AS124)+Статистика!$J$4))-Статистика!$C$10)/MAX(Статистика!$G$10-Статистика!$C$10,0.000001)))))</f>
        <v>0.13612391288888825</v>
      </c>
      <c r="CB124" s="12">
        <f>IF(Y124="",NA(),IF(Статистика!$B$8="Вкл",(((IF(Статистика!$C$4="Параллельный режим (активная мощность)",AD124,AO124)+Статистика!$J$4))-Статистика!$C$10)/MAX(Статистика!$G$10-Статистика!$C$10,0.000001),NA()))</f>
        <v>0.63116179444444453</v>
      </c>
      <c r="CC124" s="12">
        <f>IF(Y124="",NA(),IF(Статистика!$D$8="Вкл",(((IF(Статистика!$C$4="Параллельный режим (активная мощность)",AC124,AN124)+Статистика!$J$4))-Статистика!$C$10)/MAX(Статистика!$G$10-Статистика!$C$10,0.000001),NA()))</f>
        <v>0.54885824999999988</v>
      </c>
      <c r="CD124" s="12">
        <f>IF(Y124="",NA(),IF(Статистика!$D$8="Вкл",(((IF(Статистика!$C$4="Параллельный режим (активная мощность)",AE124,AP124)+Статистика!$J$4))-Статистика!$C$10)/MAX(Статистика!$G$10-Статистика!$C$10,0.000001),NA()))</f>
        <v>0.70598770833333335</v>
      </c>
      <c r="CE124" s="12">
        <f>IF(Y124="",NA(),IF(Статистика!$F$8="Вкл",(((IF(Статистика!$C$4="Параллельный режим (активная мощность)",AB124,AM124)+Статистика!$J$4))-Статистика!$C$10)/MAX(Статистика!$G$10-Статистика!$C$10,0.000001),NA()))</f>
        <v>0.47464390833333348</v>
      </c>
      <c r="CF124" s="12">
        <f>IF(Y124="",NA(),IF(Статистика!$F$8="Вкл",(((IF(Статистика!$C$4="Параллельный режим (активная мощность)",AF124,AQ124)+Статистика!$J$4))-Статистика!$C$10)/MAX(Статистика!$G$10-Статистика!$C$10,0.000001),NA()))</f>
        <v>0.81044077111111135</v>
      </c>
      <c r="CG124" s="12">
        <f>IF(Y124="",NA(),IF(Статистика!$H$8="Вкл",(((IF(Статистика!$C$4="Параллельный режим (активная мощность)",Z124,AK124)+Статистика!$J$4))-Статистика!$C$10)/MAX(Статистика!$G$10-Статистика!$C$10,0.000001),NA()))</f>
        <v>0.43209038083333356</v>
      </c>
      <c r="CH124" s="12">
        <f>IF(Y124="",NA(),IF(Статистика!$H$8="Вкл",(((IF(Статистика!$C$4="Параллельный режим (активная мощность)",AH124,AS124)+Статистика!$J$4))-Статистика!$C$10)/MAX(Статистика!$G$10-Статистика!$C$10,0.000001),NA()))</f>
        <v>0.86387608711111175</v>
      </c>
      <c r="CI124" s="12" t="e">
        <f>IF(Y124="",NA(),IF(Статистика!$J$8="Вкл",(((IF(Статистика!$C$4="Параллельный режим (активная мощность)",AI124,AT124)+Статистика!$J$4))-Статистика!$C$10)/MAX(Статистика!$G$10-Статистика!$C$10,0.000001),NA()))</f>
        <v>#N/A</v>
      </c>
      <c r="CJ124" s="12" t="e">
        <f>IF(AND(Y124&lt;&gt;"",Статистика!$C$6="Вкл",Статистика!$B$6&gt;0),(Статистика!$B$6-Статистика!$C$10)/MAX(Статистика!$G$10-Статистика!$C$10,0.000001),NA())</f>
        <v>#N/A</v>
      </c>
      <c r="CK124" s="12" t="e">
        <f>IF(AND(Y124&lt;&gt;"",Статистика!$F$6="Вкл",Статистика!$E$6&gt;0),(Статистика!$E$6-Статистика!$C$10)/MAX(Статистика!$G$10-Статистика!$C$10,0.000001),NA())</f>
        <v>#N/A</v>
      </c>
      <c r="CL124" s="12" t="e">
        <f>IF(AND(Y124&lt;&gt;"",Статистика!$I$6="Вкл",Статистика!$H$6&gt;0),(Статистика!$H$6-Статистика!$C$10)/MAX(Статистика!$G$10-Статистика!$C$10,0.000001),NA())</f>
        <v>#N/A</v>
      </c>
      <c r="CM124" s="12" t="e">
        <f>IF(AND(Y124&lt;&gt;"",Статистика!$L$6="Вкл",Статистика!$K$6&gt;0),(Статистика!$K$6-Статистика!$C$10)/MAX(Статистика!$G$10-Статистика!$C$10,0.000001),NA())</f>
        <v>#N/A</v>
      </c>
      <c r="CN124" s="12" t="e">
        <f>IF(AND(Y124&lt;&gt;"",Статистика!$M$6="Вкл",Статистика!$O$6&gt;0),(Статистика!$O$6-Статистика!$C$10)/MAX(Статистика!$G$10-Статистика!$C$10,0.000001),NA())</f>
        <v>#N/A</v>
      </c>
      <c r="CO124" s="12">
        <f t="shared" si="3"/>
        <v>1</v>
      </c>
    </row>
    <row r="125" spans="1:93" ht="15" customHeight="1">
      <c r="A125" s="12" t="s">
        <v>558</v>
      </c>
      <c r="B125" s="12">
        <v>2166.4774559999996</v>
      </c>
      <c r="C125" s="12">
        <v>5630.3260799999998</v>
      </c>
      <c r="D125" s="12">
        <v>7294.4678100000001</v>
      </c>
      <c r="E125" s="12">
        <v>7694.9996416666663</v>
      </c>
      <c r="F125" s="12">
        <v>7846.0703500000009</v>
      </c>
      <c r="G125" s="12">
        <v>8038.3377166666669</v>
      </c>
      <c r="H125" s="12">
        <v>8308.9576966666682</v>
      </c>
      <c r="I125" s="12">
        <v>8468.227294166667</v>
      </c>
      <c r="J125" s="12">
        <v>8681.6441521666675</v>
      </c>
      <c r="K125" s="12">
        <v>8858.83</v>
      </c>
      <c r="L125" s="12" t="s">
        <v>559</v>
      </c>
      <c r="M125" s="12">
        <v>2564.3209674999998</v>
      </c>
      <c r="N125" s="12">
        <v>6314.8473708333331</v>
      </c>
      <c r="O125" s="12">
        <v>8190.6882249999999</v>
      </c>
      <c r="P125" s="12">
        <v>8630.3256083333326</v>
      </c>
      <c r="Q125" s="12">
        <v>8881.5082999999977</v>
      </c>
      <c r="R125" s="12">
        <v>9029.5755583333321</v>
      </c>
      <c r="S125" s="12">
        <v>9332.8635449999983</v>
      </c>
      <c r="T125" s="12">
        <v>9478.9004150000001</v>
      </c>
      <c r="U125" s="12">
        <v>9629.5070430000014</v>
      </c>
      <c r="V125" s="12">
        <v>9824.66</v>
      </c>
      <c r="W125" s="12" t="s">
        <v>559</v>
      </c>
      <c r="Y125" s="12" t="s">
        <v>558</v>
      </c>
      <c r="Z125" s="12">
        <v>7305.1042085000017</v>
      </c>
      <c r="AA125" s="12">
        <v>7354.1190425000013</v>
      </c>
      <c r="AB125" s="12">
        <v>7415.3875850000004</v>
      </c>
      <c r="AC125" s="12">
        <v>7655.6669083333327</v>
      </c>
      <c r="AD125" s="12">
        <v>7895.9781166666653</v>
      </c>
      <c r="AE125" s="12">
        <v>8080.8354666666664</v>
      </c>
      <c r="AF125" s="12">
        <v>8439.7225583333329</v>
      </c>
      <c r="AG125" s="12">
        <v>8527.9535125000002</v>
      </c>
      <c r="AH125" s="12">
        <v>8598.5382758333326</v>
      </c>
      <c r="AI125" s="12">
        <v>8723.42</v>
      </c>
      <c r="AJ125" s="12" t="s">
        <v>560</v>
      </c>
      <c r="AK125" s="12">
        <v>8304.948875</v>
      </c>
      <c r="AL125" s="12">
        <v>8339.1057083333326</v>
      </c>
      <c r="AM125" s="12">
        <v>8381.8017500000005</v>
      </c>
      <c r="AN125" s="12">
        <v>8679.6817499999997</v>
      </c>
      <c r="AO125" s="12">
        <v>8832.7619166666664</v>
      </c>
      <c r="AP125" s="12">
        <v>9031.5610916666665</v>
      </c>
      <c r="AQ125" s="12">
        <v>9437.6345116666671</v>
      </c>
      <c r="AR125" s="12">
        <v>9536.0599724999993</v>
      </c>
      <c r="AS125" s="12">
        <v>9614.8003411666668</v>
      </c>
      <c r="AT125" s="12">
        <v>9776.2099999999991</v>
      </c>
      <c r="AU125" s="12" t="s">
        <v>560</v>
      </c>
      <c r="AW125" s="12">
        <f>IF(A125="","",MAX(0,MIN(1,(((IF(Статистика!$C$4="Параллельный режим (активная мощность)",B125,M125)+Статистика!$J$4))-Статистика!$C$10)/MAX(Статистика!$G$10-Статистика!$C$10,0.000001))))</f>
        <v>0</v>
      </c>
      <c r="AX125" s="12">
        <f>IF(A125="","",MAX(0,MAX(0,MIN(1,(((IF(Статистика!$C$4="Параллельный режим (активная мощность)",D125,O125)+Статистика!$J$4))-Статистика!$C$10)/MAX(Статистика!$G$10-Статистика!$C$10,0.000001)))-MAX(0,MIN(1,(((IF(Статистика!$C$4="Параллельный режим (активная мощность)",B125,M125)+Статистика!$J$4))-Статистика!$C$10)/MAX(Статистика!$G$10-Статистика!$C$10,0.000001)))))</f>
        <v>0.43148927000000004</v>
      </c>
      <c r="AY125" s="12">
        <f>IF(A125="","",MAX(0,MAX(0,MIN(1,(((IF(Статистика!$C$4="Параллельный режим (активная мощность)",E125,P125)+Статистика!$J$4))-Статистика!$C$10)/MAX(Статистика!$G$10-Статистика!$C$10,0.000001)))-MAX(0,MIN(1,(((IF(Статистика!$C$4="Параллельный режим (активная мощность)",D125,O125)+Статистика!$J$4))-Статистика!$C$10)/MAX(Статистика!$G$10-Статистика!$C$10,0.000001)))))</f>
        <v>0.13351061055555535</v>
      </c>
      <c r="AZ125" s="12">
        <f>IF(A125="","",MAX(0,MAX(0,MIN(1,(((IF(Статистика!$C$4="Параллельный режим (активная мощность)",F125,Q125)+Статистика!$J$4))-Статистика!$C$10)/MAX(Статистика!$G$10-Статистика!$C$10,0.000001)))-MAX(0,MIN(1,(((IF(Статистика!$C$4="Параллельный режим (активная мощность)",E125,P125)+Статистика!$J$4))-Статистика!$C$10)/MAX(Статистика!$G$10-Статистика!$C$10,0.000001)))))</f>
        <v>5.0356902777778267E-2</v>
      </c>
      <c r="BA125" s="12">
        <f>IF(A125="","",MAX(0,MAX(0,MIN(1,(((IF(Статистика!$C$4="Параллельный режим (активная мощность)",G125,R125)+Статистика!$J$4))-Статистика!$C$10)/MAX(Статистика!$G$10-Статистика!$C$10,0.000001)))-MAX(0,MIN(1,(((IF(Статистика!$C$4="Параллельный режим (активная мощность)",F125,Q125)+Статистика!$J$4))-Статистика!$C$10)/MAX(Статистика!$G$10-Статистика!$C$10,0.000001)))))</f>
        <v>6.4089122222221961E-2</v>
      </c>
      <c r="BB125" s="12">
        <f>IF(A125="","",MAX(0,MAX(0,MIN(1,(((IF(Статистика!$C$4="Параллельный режим (активная мощность)",H125,S125)+Статистика!$J$4))-Статистика!$C$10)/MAX(Статистика!$G$10-Статистика!$C$10,0.000001)))-MAX(0,MIN(1,(((IF(Статистика!$C$4="Параллельный режим (активная мощность)",G125,R125)+Статистика!$J$4))-Статистика!$C$10)/MAX(Статистика!$G$10-Статистика!$C$10,0.000001)))))</f>
        <v>9.0206660000000438E-2</v>
      </c>
      <c r="BC125" s="12">
        <f>IF(A125="","",MAX(0,MAX(0,MIN(1,(((IF(Статистика!$C$4="Параллельный режим (активная мощность)",J125,U125)+Статистика!$J$4))-Статистика!$C$10)/MAX(Статистика!$G$10-Статистика!$C$10,0.000001)))-MAX(0,MIN(1,(((IF(Статистика!$C$4="Параллельный режим (активная мощность)",H125,S125)+Статистика!$J$4))-Статистика!$C$10)/MAX(Статистика!$G$10-Статистика!$C$10,0.000001)))))</f>
        <v>0.12422881849999978</v>
      </c>
      <c r="BD125" s="12">
        <f>IF(A125="","",MAX(0,1-MAX(0,MIN(1,(((IF(Статистика!$C$4="Параллельный режим (активная мощность)",J125,U125)+Статистика!$J$4))-Статистика!$C$10)/MAX(Статистика!$G$10-Статистика!$C$10,0.000001)))))</f>
        <v>0.10611861594444416</v>
      </c>
      <c r="BE125" s="12">
        <f>IF(A125="",NA(),IF(Статистика!$B$8="Вкл",(((IF(Статистика!$C$4="Параллельный режим (активная мощность)",F125,Q125)+Статистика!$J$4))-Статистика!$C$10)/MAX(Статистика!$G$10-Статистика!$C$10,0.000001),NA()))</f>
        <v>0.61535678333333366</v>
      </c>
      <c r="BF125" s="12">
        <f>IF(A125="",NA(),IF(Статистика!$D$8="Вкл",(((IF(Статистика!$C$4="Параллельный режим (активная мощность)",E125,P125)+Статистика!$J$4))-Статистика!$C$10)/MAX(Статистика!$G$10-Статистика!$C$10,0.000001),NA()))</f>
        <v>0.56499988055555539</v>
      </c>
      <c r="BG125" s="12">
        <f>IF(A125="",NA(),IF(Статистика!$D$8="Вкл",(((IF(Статистика!$C$4="Параллельный режим (активная мощность)",G125,R125)+Статистика!$J$4))-Статистика!$C$10)/MAX(Статистика!$G$10-Статистика!$C$10,0.000001),NA()))</f>
        <v>0.67944590555555562</v>
      </c>
      <c r="BH125" s="12">
        <f>IF(A125="",NA(),IF(Статистика!$F$8="Вкл",(((IF(Статистика!$C$4="Параллельный режим (активная мощность)",D125,O125)+Статистика!$J$4))-Статистика!$C$10)/MAX(Статистика!$G$10-Статистика!$C$10,0.000001),NA()))</f>
        <v>0.43148927000000004</v>
      </c>
      <c r="BI125" s="12">
        <f>IF(A125="",NA(),IF(Статистика!$F$8="Вкл",(((IF(Статистика!$C$4="Параллельный режим (активная мощность)",H125,S125)+Статистика!$J$4))-Статистика!$C$10)/MAX(Статистика!$G$10-Статистика!$C$10,0.000001),NA()))</f>
        <v>0.76965256555555606</v>
      </c>
      <c r="BJ125" s="12">
        <f>IF(A125="",NA(),IF(Статистика!$H$8="Вкл",(((IF(Статистика!$C$4="Параллельный режим (активная мощность)",B125,M125)+Статистика!$J$4))-Статистика!$C$10)/MAX(Статистика!$G$10-Статистика!$C$10,0.000001),NA()))</f>
        <v>-1.2778408480000001</v>
      </c>
      <c r="BK125" s="12">
        <f>IF(A125="",NA(),IF(Статистика!$H$8="Вкл",(((IF(Статистика!$C$4="Параллельный режим (активная мощность)",J125,U125)+Статистика!$J$4))-Статистика!$C$10)/MAX(Статистика!$G$10-Статистика!$C$10,0.000001),NA()))</f>
        <v>0.89388138405555584</v>
      </c>
      <c r="BL125" s="12" t="e">
        <f>IF(A125="",NA(),IF(Статистика!$J$8="Вкл",(((IF(Статистика!$C$4="Параллельный режим (активная мощность)",K125,V125)+Статистика!$J$4))-Статистика!$C$10)/MAX(Статистика!$G$10-Статистика!$C$10,0.000001),NA()))</f>
        <v>#N/A</v>
      </c>
      <c r="BM125" s="12" t="e">
        <f>IF(AND(A125&lt;&gt;"",Статистика!$C$6="Вкл",Статистика!$B$6&gt;0),(Статистика!$B$6-Статистика!$C$10)/MAX(Статистика!$G$10-Статистика!$C$10,0.000001),NA())</f>
        <v>#N/A</v>
      </c>
      <c r="BN125" s="12" t="e">
        <f>IF(AND(A125&lt;&gt;"",Статистика!$F$6="Вкл",Статистика!$E$6&gt;0),(Статистика!$E$6-Статистика!$C$10)/MAX(Статистика!$G$10-Статистика!$C$10,0.000001),NA())</f>
        <v>#N/A</v>
      </c>
      <c r="BO125" s="12" t="e">
        <f>IF(AND(A125&lt;&gt;"",Статистика!$I$6="Вкл",Статистика!$H$6&gt;0),(Статистика!$H$6-Статистика!$C$10)/MAX(Статистика!$G$10-Статистика!$C$10,0.000001),NA())</f>
        <v>#N/A</v>
      </c>
      <c r="BP125" s="12" t="e">
        <f>IF(AND(A125&lt;&gt;"",Статистика!$L$6="Вкл",Статистика!$K$6&gt;0),(Статистика!$K$6-Статистика!$C$10)/MAX(Статистика!$G$10-Статистика!$C$10,0.000001),NA())</f>
        <v>#N/A</v>
      </c>
      <c r="BQ125" s="12" t="e">
        <f>IF(AND(A125&lt;&gt;"",Статистика!$M$6="Вкл",Статистика!$O$6&gt;0),(Статистика!$O$6-Статистика!$C$10)/MAX(Статистика!$G$10-Статистика!$C$10,0.000001),NA())</f>
        <v>#N/A</v>
      </c>
      <c r="BR125" s="12">
        <f t="shared" si="2"/>
        <v>1</v>
      </c>
      <c r="BT125" s="12">
        <f>IF(Y125="","",MAX(0,MIN(1,(((IF(Статистика!$C$4="Параллельный режим (активная мощность)",Z125,AK125)+Статистика!$J$4))-Статистика!$C$10)/MAX(Статистика!$G$10-Статистика!$C$10,0.000001))))</f>
        <v>0.43503473616666727</v>
      </c>
      <c r="BU125" s="12">
        <f>IF(Y125="","",MAX(0,MAX(0,MIN(1,(((IF(Статистика!$C$4="Параллельный режим (активная мощность)",AB125,AM125)+Статистика!$J$4))-Статистика!$C$10)/MAX(Статистика!$G$10-Статистика!$C$10,0.000001)))-MAX(0,MIN(1,(((IF(Статистика!$C$4="Параллельный режим (активная мощность)",Z125,AK125)+Статистика!$J$4))-Статистика!$C$10)/MAX(Статистика!$G$10-Статистика!$C$10,0.000001)))))</f>
        <v>3.6761125499999547E-2</v>
      </c>
      <c r="BV125" s="12">
        <f>IF(Y125="","",MAX(0,MAX(0,MIN(1,(((IF(Статистика!$C$4="Параллельный режим (активная мощность)",AC125,AN125)+Статистика!$J$4))-Статистика!$C$10)/MAX(Статистика!$G$10-Статистика!$C$10,0.000001)))-MAX(0,MIN(1,(((IF(Статистика!$C$4="Параллельный режим (активная мощность)",AB125,AM125)+Статистика!$J$4))-Статистика!$C$10)/MAX(Статистика!$G$10-Статистика!$C$10,0.000001)))))</f>
        <v>8.0093107777777395E-2</v>
      </c>
      <c r="BW125" s="12">
        <f>IF(Y125="","",MAX(0,MAX(0,MIN(1,(((IF(Статистика!$C$4="Параллельный режим (активная мощность)",AD125,AO125)+Статистика!$J$4))-Статистика!$C$10)/MAX(Статистика!$G$10-Статистика!$C$10,0.000001)))-MAX(0,MIN(1,(((IF(Статистика!$C$4="Параллельный режим (активная мощность)",AC125,AN125)+Статистика!$J$4))-Статистика!$C$10)/MAX(Статистика!$G$10-Статистика!$C$10,0.000001)))))</f>
        <v>8.0103736111110879E-2</v>
      </c>
      <c r="BX125" s="12">
        <f>IF(Y125="","",MAX(0,MAX(0,MIN(1,(((IF(Статистика!$C$4="Параллельный режим (активная мощность)",AE125,AP125)+Статистика!$J$4))-Статистика!$C$10)/MAX(Статистика!$G$10-Статистика!$C$10,0.000001)))-MAX(0,MIN(1,(((IF(Статистика!$C$4="Параллельный режим (активная мощность)",AD125,AO125)+Статистика!$J$4))-Статистика!$C$10)/MAX(Статистика!$G$10-Статистика!$C$10,0.000001)))))</f>
        <v>6.1619116666667084E-2</v>
      </c>
      <c r="BY125" s="12">
        <f>IF(Y125="","",MAX(0,MAX(0,MIN(1,(((IF(Статистика!$C$4="Параллельный режим (активная мощность)",AF125,AQ125)+Статистика!$J$4))-Статистика!$C$10)/MAX(Статистика!$G$10-Статистика!$C$10,0.000001)))-MAX(0,MIN(1,(((IF(Статистика!$C$4="Параллельный режим (активная мощность)",AE125,AP125)+Статистика!$J$4))-Статистика!$C$10)/MAX(Статистика!$G$10-Статистика!$C$10,0.000001)))))</f>
        <v>0.11962903055555552</v>
      </c>
      <c r="BZ125" s="12">
        <f>IF(Y125="","",MAX(0,MAX(0,MIN(1,(((IF(Статистика!$C$4="Параллельный режим (активная мощность)",AH125,AS125)+Статистика!$J$4))-Статистика!$C$10)/MAX(Статистика!$G$10-Статистика!$C$10,0.000001)))-MAX(0,MIN(1,(((IF(Статистика!$C$4="Параллельный режим (активная мощность)",AF125,AQ125)+Статистика!$J$4))-Статистика!$C$10)/MAX(Статистика!$G$10-Статистика!$C$10,0.000001)))))</f>
        <v>5.2938572499999892E-2</v>
      </c>
      <c r="CA125" s="12">
        <f>IF(Y125="","",MAX(0,1-MAX(0,MIN(1,(((IF(Статистика!$C$4="Параллельный режим (активная мощность)",AH125,AS125)+Статистика!$J$4))-Статистика!$C$10)/MAX(Статистика!$G$10-Статистика!$C$10,0.000001)))))</f>
        <v>0.13382057472222242</v>
      </c>
      <c r="CB125" s="12">
        <f>IF(Y125="",NA(),IF(Статистика!$B$8="Вкл",(((IF(Статистика!$C$4="Параллельный режим (активная мощность)",AD125,AO125)+Статистика!$J$4))-Статистика!$C$10)/MAX(Статистика!$G$10-Статистика!$C$10,0.000001),NA()))</f>
        <v>0.63199270555555509</v>
      </c>
      <c r="CC125" s="12">
        <f>IF(Y125="",NA(),IF(Статистика!$D$8="Вкл",(((IF(Статистика!$C$4="Параллельный режим (активная мощность)",AC125,AN125)+Статистика!$J$4))-Статистика!$C$10)/MAX(Статистика!$G$10-Статистика!$C$10,0.000001),NA()))</f>
        <v>0.55188896944444421</v>
      </c>
      <c r="CD125" s="12">
        <f>IF(Y125="",NA(),IF(Статистика!$D$8="Вкл",(((IF(Статистика!$C$4="Параллельный режим (активная мощность)",AE125,AP125)+Статистика!$J$4))-Статистика!$C$10)/MAX(Статистика!$G$10-Статистика!$C$10,0.000001),NA()))</f>
        <v>0.69361182222222217</v>
      </c>
      <c r="CE125" s="12">
        <f>IF(Y125="",NA(),IF(Статистика!$F$8="Вкл",(((IF(Статистика!$C$4="Параллельный режим (активная мощность)",AB125,AM125)+Статистика!$J$4))-Статистика!$C$10)/MAX(Статистика!$G$10-Статистика!$C$10,0.000001),NA()))</f>
        <v>0.47179586166666682</v>
      </c>
      <c r="CF125" s="12">
        <f>IF(Y125="",NA(),IF(Статистика!$F$8="Вкл",(((IF(Статистика!$C$4="Параллельный режим (активная мощность)",AF125,AQ125)+Статистика!$J$4))-Статистика!$C$10)/MAX(Статистика!$G$10-Статистика!$C$10,0.000001),NA()))</f>
        <v>0.81324085277777769</v>
      </c>
      <c r="CG125" s="12">
        <f>IF(Y125="",NA(),IF(Статистика!$H$8="Вкл",(((IF(Статистика!$C$4="Параллельный режим (активная мощность)",Z125,AK125)+Статистика!$J$4))-Статистика!$C$10)/MAX(Статистика!$G$10-Статистика!$C$10,0.000001),NA()))</f>
        <v>0.43503473616666727</v>
      </c>
      <c r="CH125" s="12">
        <f>IF(Y125="",NA(),IF(Статистика!$H$8="Вкл",(((IF(Статистика!$C$4="Параллельный режим (активная мощность)",AH125,AS125)+Статистика!$J$4))-Статистика!$C$10)/MAX(Статистика!$G$10-Статистика!$C$10,0.000001),NA()))</f>
        <v>0.86617942527777758</v>
      </c>
      <c r="CI125" s="12" t="e">
        <f>IF(Y125="",NA(),IF(Статистика!$J$8="Вкл",(((IF(Статистика!$C$4="Параллельный режим (активная мощность)",AI125,AT125)+Статистика!$J$4))-Статистика!$C$10)/MAX(Статистика!$G$10-Статистика!$C$10,0.000001),NA()))</f>
        <v>#N/A</v>
      </c>
      <c r="CJ125" s="12" t="e">
        <f>IF(AND(Y125&lt;&gt;"",Статистика!$C$6="Вкл",Статистика!$B$6&gt;0),(Статистика!$B$6-Статистика!$C$10)/MAX(Статистика!$G$10-Статистика!$C$10,0.000001),NA())</f>
        <v>#N/A</v>
      </c>
      <c r="CK125" s="12" t="e">
        <f>IF(AND(Y125&lt;&gt;"",Статистика!$F$6="Вкл",Статистика!$E$6&gt;0),(Статистика!$E$6-Статистика!$C$10)/MAX(Статистика!$G$10-Статистика!$C$10,0.000001),NA())</f>
        <v>#N/A</v>
      </c>
      <c r="CL125" s="12" t="e">
        <f>IF(AND(Y125&lt;&gt;"",Статистика!$I$6="Вкл",Статистика!$H$6&gt;0),(Статистика!$H$6-Статистика!$C$10)/MAX(Статистика!$G$10-Статистика!$C$10,0.000001),NA())</f>
        <v>#N/A</v>
      </c>
      <c r="CM125" s="12" t="e">
        <f>IF(AND(Y125&lt;&gt;"",Статистика!$L$6="Вкл",Статистика!$K$6&gt;0),(Статистика!$K$6-Статистика!$C$10)/MAX(Статистика!$G$10-Статистика!$C$10,0.000001),NA())</f>
        <v>#N/A</v>
      </c>
      <c r="CN125" s="12" t="e">
        <f>IF(AND(Y125&lt;&gt;"",Статистика!$M$6="Вкл",Статистика!$O$6&gt;0),(Статистика!$O$6-Статистика!$C$10)/MAX(Статистика!$G$10-Статистика!$C$10,0.000001),NA())</f>
        <v>#N/A</v>
      </c>
      <c r="CO125" s="12">
        <f t="shared" si="3"/>
        <v>1</v>
      </c>
    </row>
    <row r="126" spans="1:93" ht="15" customHeight="1">
      <c r="A126" s="12" t="s">
        <v>561</v>
      </c>
      <c r="B126" s="12">
        <v>2183.8867733333332</v>
      </c>
      <c r="C126" s="12">
        <v>5677.9722666666657</v>
      </c>
      <c r="D126" s="12">
        <v>7335.327038333332</v>
      </c>
      <c r="E126" s="12">
        <v>7718.0457416666668</v>
      </c>
      <c r="F126" s="12">
        <v>7881.0303333333322</v>
      </c>
      <c r="G126" s="12">
        <v>8064.2173833333327</v>
      </c>
      <c r="H126" s="12">
        <v>8322.9016249999986</v>
      </c>
      <c r="I126" s="12">
        <v>8474.8864991666669</v>
      </c>
      <c r="J126" s="12">
        <v>8729.1258065000002</v>
      </c>
      <c r="K126" s="12">
        <v>8900.67</v>
      </c>
      <c r="L126" s="12" t="s">
        <v>562</v>
      </c>
      <c r="M126" s="12">
        <v>2598.4575888333334</v>
      </c>
      <c r="N126" s="12">
        <v>6452.9863441666685</v>
      </c>
      <c r="O126" s="12">
        <v>8310.740838333335</v>
      </c>
      <c r="P126" s="12">
        <v>8644.9405833333331</v>
      </c>
      <c r="Q126" s="12">
        <v>8887.4617833333323</v>
      </c>
      <c r="R126" s="12">
        <v>9062.1819916666664</v>
      </c>
      <c r="S126" s="12">
        <v>9344.0459183333332</v>
      </c>
      <c r="T126" s="12">
        <v>9492.3592783333334</v>
      </c>
      <c r="U126" s="12">
        <v>9712.4830823333341</v>
      </c>
      <c r="V126" s="12">
        <v>9878.0400000000009</v>
      </c>
      <c r="W126" s="12" t="s">
        <v>563</v>
      </c>
      <c r="Y126" s="12" t="s">
        <v>561</v>
      </c>
      <c r="Z126" s="12">
        <v>7284.7457885000003</v>
      </c>
      <c r="AA126" s="12">
        <v>7340.0062758333333</v>
      </c>
      <c r="AB126" s="12">
        <v>7409.0818849999996</v>
      </c>
      <c r="AC126" s="12">
        <v>7654.9764833333329</v>
      </c>
      <c r="AD126" s="12">
        <v>7883.4424666666673</v>
      </c>
      <c r="AE126" s="12">
        <v>8114.2531666666655</v>
      </c>
      <c r="AF126" s="12">
        <v>8430.6192649999994</v>
      </c>
      <c r="AG126" s="12">
        <v>8511.370549166666</v>
      </c>
      <c r="AH126" s="12">
        <v>8575.9715765000001</v>
      </c>
      <c r="AI126" s="12">
        <v>8678.17</v>
      </c>
      <c r="AJ126" s="12" t="s">
        <v>564</v>
      </c>
      <c r="AK126" s="12">
        <v>8288.7009354999991</v>
      </c>
      <c r="AL126" s="12">
        <v>8325.9952108333327</v>
      </c>
      <c r="AM126" s="12">
        <v>8372.6130549999998</v>
      </c>
      <c r="AN126" s="12">
        <v>8671.7023416666671</v>
      </c>
      <c r="AO126" s="12">
        <v>8807.6894833333317</v>
      </c>
      <c r="AP126" s="12">
        <v>9096.7981666666674</v>
      </c>
      <c r="AQ126" s="12">
        <v>9422.1742200000008</v>
      </c>
      <c r="AR126" s="12">
        <v>9513.546526666667</v>
      </c>
      <c r="AS126" s="12">
        <v>9586.6443720000025</v>
      </c>
      <c r="AT126" s="12">
        <v>9699.83</v>
      </c>
      <c r="AU126" s="12" t="s">
        <v>564</v>
      </c>
      <c r="AW126" s="12">
        <f>IF(A126="","",MAX(0,MIN(1,(((IF(Статистика!$C$4="Параллельный режим (активная мощность)",B126,M126)+Статистика!$J$4))-Статистика!$C$10)/MAX(Статистика!$G$10-Статистика!$C$10,0.000001))))</f>
        <v>0</v>
      </c>
      <c r="AX126" s="12">
        <f>IF(A126="","",MAX(0,MAX(0,MIN(1,(((IF(Статистика!$C$4="Параллельный режим (активная мощность)",D126,O126)+Статистика!$J$4))-Статистика!$C$10)/MAX(Статистика!$G$10-Статистика!$C$10,0.000001)))-MAX(0,MIN(1,(((IF(Статистика!$C$4="Параллельный режим (активная мощность)",B126,M126)+Статистика!$J$4))-Статистика!$C$10)/MAX(Статистика!$G$10-Статистика!$C$10,0.000001)))))</f>
        <v>0.44510901277777731</v>
      </c>
      <c r="AY126" s="12">
        <f>IF(A126="","",MAX(0,MAX(0,MIN(1,(((IF(Статистика!$C$4="Параллельный режим (активная мощность)",E126,P126)+Статистика!$J$4))-Статистика!$C$10)/MAX(Статистика!$G$10-Статистика!$C$10,0.000001)))-MAX(0,MIN(1,(((IF(Статистика!$C$4="Параллельный режим (активная мощность)",D126,O126)+Статистика!$J$4))-Статистика!$C$10)/MAX(Статистика!$G$10-Статистика!$C$10,0.000001)))))</f>
        <v>0.12757290111111158</v>
      </c>
      <c r="AZ126" s="12">
        <f>IF(A126="","",MAX(0,MAX(0,MIN(1,(((IF(Статистика!$C$4="Параллельный режим (активная мощность)",F126,Q126)+Статистика!$J$4))-Статистика!$C$10)/MAX(Статистика!$G$10-Статистика!$C$10,0.000001)))-MAX(0,MIN(1,(((IF(Статистика!$C$4="Параллельный режим (активная мощность)",E126,P126)+Статистика!$J$4))-Статистика!$C$10)/MAX(Статистика!$G$10-Статистика!$C$10,0.000001)))))</f>
        <v>5.4328197222221819E-2</v>
      </c>
      <c r="BA126" s="12">
        <f>IF(A126="","",MAX(0,MAX(0,MIN(1,(((IF(Статистика!$C$4="Параллельный режим (активная мощность)",G126,R126)+Статистика!$J$4))-Статистика!$C$10)/MAX(Статистика!$G$10-Статистика!$C$10,0.000001)))-MAX(0,MIN(1,(((IF(Статистика!$C$4="Параллельный режим (активная мощность)",F126,Q126)+Статистика!$J$4))-Статистика!$C$10)/MAX(Статистика!$G$10-Статистика!$C$10,0.000001)))))</f>
        <v>6.1062350000000154E-2</v>
      </c>
      <c r="BB126" s="12">
        <f>IF(A126="","",MAX(0,MAX(0,MIN(1,(((IF(Статистика!$C$4="Параллельный режим (активная мощность)",H126,S126)+Статистика!$J$4))-Статистика!$C$10)/MAX(Статистика!$G$10-Статистика!$C$10,0.000001)))-MAX(0,MIN(1,(((IF(Статистика!$C$4="Параллельный режим (активная мощность)",G126,R126)+Статистика!$J$4))-Статистика!$C$10)/MAX(Статистика!$G$10-Статистика!$C$10,0.000001)))))</f>
        <v>8.6228080555555309E-2</v>
      </c>
      <c r="BC126" s="12">
        <f>IF(A126="","",MAX(0,MAX(0,MIN(1,(((IF(Статистика!$C$4="Параллельный режим (активная мощность)",J126,U126)+Статистика!$J$4))-Статистика!$C$10)/MAX(Статистика!$G$10-Статистика!$C$10,0.000001)))-MAX(0,MIN(1,(((IF(Статистика!$C$4="Параллельный режим (активная мощность)",H126,S126)+Статистика!$J$4))-Статистика!$C$10)/MAX(Статистика!$G$10-Статистика!$C$10,0.000001)))))</f>
        <v>0.13540806050000054</v>
      </c>
      <c r="BD126" s="12">
        <f>IF(A126="","",MAX(0,1-MAX(0,MIN(1,(((IF(Статистика!$C$4="Параллельный режим (активная мощность)",J126,U126)+Статистика!$J$4))-Статистика!$C$10)/MAX(Статистика!$G$10-Статистика!$C$10,0.000001)))))</f>
        <v>9.0291397833333287E-2</v>
      </c>
      <c r="BE126" s="12">
        <f>IF(A126="",NA(),IF(Статистика!$B$8="Вкл",(((IF(Статистика!$C$4="Параллельный режим (активная мощность)",F126,Q126)+Статистика!$J$4))-Статистика!$C$10)/MAX(Статистика!$G$10-Статистика!$C$10,0.000001),NA()))</f>
        <v>0.62701011111111071</v>
      </c>
      <c r="BF126" s="12">
        <f>IF(A126="",NA(),IF(Статистика!$D$8="Вкл",(((IF(Статистика!$C$4="Параллельный режим (активная мощность)",E126,P126)+Статистика!$J$4))-Статистика!$C$10)/MAX(Статистика!$G$10-Статистика!$C$10,0.000001),NA()))</f>
        <v>0.57268191388888889</v>
      </c>
      <c r="BG126" s="12">
        <f>IF(A126="",NA(),IF(Статистика!$D$8="Вкл",(((IF(Статистика!$C$4="Параллельный режим (активная мощность)",G126,R126)+Статистика!$J$4))-Статистика!$C$10)/MAX(Статистика!$G$10-Статистика!$C$10,0.000001),NA()))</f>
        <v>0.68807246111111087</v>
      </c>
      <c r="BH126" s="12">
        <f>IF(A126="",NA(),IF(Статистика!$F$8="Вкл",(((IF(Статистика!$C$4="Параллельный режим (активная мощность)",D126,O126)+Статистика!$J$4))-Статистика!$C$10)/MAX(Статистика!$G$10-Статистика!$C$10,0.000001),NA()))</f>
        <v>0.44510901277777731</v>
      </c>
      <c r="BI126" s="12">
        <f>IF(A126="",NA(),IF(Статистика!$F$8="Вкл",(((IF(Статистика!$C$4="Параллельный режим (активная мощность)",H126,S126)+Статистика!$J$4))-Статистика!$C$10)/MAX(Статистика!$G$10-Статистика!$C$10,0.000001),NA()))</f>
        <v>0.77430054166666618</v>
      </c>
      <c r="BJ126" s="12">
        <f>IF(A126="",NA(),IF(Статистика!$H$8="Вкл",(((IF(Статистика!$C$4="Параллельный режим (активная мощность)",B126,M126)+Статистика!$J$4))-Статистика!$C$10)/MAX(Статистика!$G$10-Статистика!$C$10,0.000001),NA()))</f>
        <v>-1.2720377422222222</v>
      </c>
      <c r="BK126" s="12">
        <f>IF(A126="",NA(),IF(Статистика!$H$8="Вкл",(((IF(Статистика!$C$4="Параллельный режим (активная мощность)",J126,U126)+Статистика!$J$4))-Статистика!$C$10)/MAX(Статистика!$G$10-Статистика!$C$10,0.000001),NA()))</f>
        <v>0.90970860216666671</v>
      </c>
      <c r="BL126" s="12" t="e">
        <f>IF(A126="",NA(),IF(Статистика!$J$8="Вкл",(((IF(Статистика!$C$4="Параллельный режим (активная мощность)",K126,V126)+Статистика!$J$4))-Статистика!$C$10)/MAX(Статистика!$G$10-Статистика!$C$10,0.000001),NA()))</f>
        <v>#N/A</v>
      </c>
      <c r="BM126" s="12" t="e">
        <f>IF(AND(A126&lt;&gt;"",Статистика!$C$6="Вкл",Статистика!$B$6&gt;0),(Статистика!$B$6-Статистика!$C$10)/MAX(Статистика!$G$10-Статистика!$C$10,0.000001),NA())</f>
        <v>#N/A</v>
      </c>
      <c r="BN126" s="12" t="e">
        <f>IF(AND(A126&lt;&gt;"",Статистика!$F$6="Вкл",Статистика!$E$6&gt;0),(Статистика!$E$6-Статистика!$C$10)/MAX(Статистика!$G$10-Статистика!$C$10,0.000001),NA())</f>
        <v>#N/A</v>
      </c>
      <c r="BO126" s="12" t="e">
        <f>IF(AND(A126&lt;&gt;"",Статистика!$I$6="Вкл",Статистика!$H$6&gt;0),(Статистика!$H$6-Статистика!$C$10)/MAX(Статистика!$G$10-Статистика!$C$10,0.000001),NA())</f>
        <v>#N/A</v>
      </c>
      <c r="BP126" s="12" t="e">
        <f>IF(AND(A126&lt;&gt;"",Статистика!$L$6="Вкл",Статистика!$K$6&gt;0),(Статистика!$K$6-Статистика!$C$10)/MAX(Статистика!$G$10-Статистика!$C$10,0.000001),NA())</f>
        <v>#N/A</v>
      </c>
      <c r="BQ126" s="12" t="e">
        <f>IF(AND(A126&lt;&gt;"",Статистика!$M$6="Вкл",Статистика!$O$6&gt;0),(Статистика!$O$6-Статистика!$C$10)/MAX(Статистика!$G$10-Статистика!$C$10,0.000001),NA())</f>
        <v>#N/A</v>
      </c>
      <c r="BR126" s="12">
        <f t="shared" si="2"/>
        <v>1</v>
      </c>
      <c r="BT126" s="12">
        <f>IF(Y126="","",MAX(0,MIN(1,(((IF(Статистика!$C$4="Параллельный режим (активная мощность)",Z126,AK126)+Статистика!$J$4))-Статистика!$C$10)/MAX(Статистика!$G$10-Статистика!$C$10,0.000001))))</f>
        <v>0.42824859616666677</v>
      </c>
      <c r="BU126" s="12">
        <f>IF(Y126="","",MAX(0,MAX(0,MIN(1,(((IF(Статистика!$C$4="Параллельный режим (активная мощность)",AB126,AM126)+Статистика!$J$4))-Статистика!$C$10)/MAX(Статистика!$G$10-Статистика!$C$10,0.000001)))-MAX(0,MIN(1,(((IF(Статистика!$C$4="Параллельный режим (активная мощность)",Z126,AK126)+Статистика!$J$4))-Статистика!$C$10)/MAX(Статистика!$G$10-Статистика!$C$10,0.000001)))))</f>
        <v>4.1445365499999776E-2</v>
      </c>
      <c r="BV126" s="12">
        <f>IF(Y126="","",MAX(0,MAX(0,MIN(1,(((IF(Статистика!$C$4="Параллельный режим (активная мощность)",AC126,AN126)+Статистика!$J$4))-Статистика!$C$10)/MAX(Статистика!$G$10-Статистика!$C$10,0.000001)))-MAX(0,MIN(1,(((IF(Статистика!$C$4="Параллельный режим (активная мощность)",AB126,AM126)+Статистика!$J$4))-Статистика!$C$10)/MAX(Статистика!$G$10-Статистика!$C$10,0.000001)))))</f>
        <v>8.196486611111109E-2</v>
      </c>
      <c r="BW126" s="12">
        <f>IF(Y126="","",MAX(0,MAX(0,MIN(1,(((IF(Статистика!$C$4="Параллельный режим (активная мощность)",AD126,AO126)+Статистика!$J$4))-Статистика!$C$10)/MAX(Статистика!$G$10-Статистика!$C$10,0.000001)))-MAX(0,MIN(1,(((IF(Статистика!$C$4="Параллельный режим (активная мощность)",AC126,AN126)+Статистика!$J$4))-Статистика!$C$10)/MAX(Статистика!$G$10-Статистика!$C$10,0.000001)))))</f>
        <v>7.6155327777778115E-2</v>
      </c>
      <c r="BX126" s="12">
        <f>IF(Y126="","",MAX(0,MAX(0,MIN(1,(((IF(Статистика!$C$4="Параллельный режим (активная мощность)",AE126,AP126)+Статистика!$J$4))-Статистика!$C$10)/MAX(Статистика!$G$10-Статистика!$C$10,0.000001)))-MAX(0,MIN(1,(((IF(Статистика!$C$4="Параллельный режим (активная мощность)",AD126,AO126)+Статистика!$J$4))-Статистика!$C$10)/MAX(Статистика!$G$10-Статистика!$C$10,0.000001)))))</f>
        <v>7.693689999999942E-2</v>
      </c>
      <c r="BY126" s="12">
        <f>IF(Y126="","",MAX(0,MAX(0,MIN(1,(((IF(Статистика!$C$4="Параллельный режим (активная мощность)",AF126,AQ126)+Статистика!$J$4))-Статистика!$C$10)/MAX(Статистика!$G$10-Статистика!$C$10,0.000001)))-MAX(0,MIN(1,(((IF(Статистика!$C$4="Параллельный режим (активная мощность)",AE126,AP126)+Статистика!$J$4))-Статистика!$C$10)/MAX(Статистика!$G$10-Статистика!$C$10,0.000001)))))</f>
        <v>0.10545536611111128</v>
      </c>
      <c r="BZ126" s="12">
        <f>IF(Y126="","",MAX(0,MAX(0,MIN(1,(((IF(Статистика!$C$4="Параллельный режим (активная мощность)",AH126,AS126)+Статистика!$J$4))-Статистика!$C$10)/MAX(Статистика!$G$10-Статистика!$C$10,0.000001)))-MAX(0,MIN(1,(((IF(Статистика!$C$4="Параллельный режим (активная мощность)",AF126,AQ126)+Статистика!$J$4))-Статистика!$C$10)/MAX(Статистика!$G$10-Статистика!$C$10,0.000001)))))</f>
        <v>4.845077050000024E-2</v>
      </c>
      <c r="CA126" s="12">
        <f>IF(Y126="","",MAX(0,1-MAX(0,MIN(1,(((IF(Статистика!$C$4="Параллельный режим (активная мощность)",AH126,AS126)+Статистика!$J$4))-Статистика!$C$10)/MAX(Статистика!$G$10-Статистика!$C$10,0.000001)))))</f>
        <v>0.14134280783333331</v>
      </c>
      <c r="CB126" s="12">
        <f>IF(Y126="",NA(),IF(Статистика!$B$8="Вкл",(((IF(Статистика!$C$4="Параллельный режим (активная мощность)",AD126,AO126)+Статистика!$J$4))-Статистика!$C$10)/MAX(Статистика!$G$10-Статистика!$C$10,0.000001),NA()))</f>
        <v>0.62781415555555575</v>
      </c>
      <c r="CC126" s="12">
        <f>IF(Y126="",NA(),IF(Статистика!$D$8="Вкл",(((IF(Статистика!$C$4="Параллельный режим (активная мощность)",AC126,AN126)+Статистика!$J$4))-Статистика!$C$10)/MAX(Статистика!$G$10-Статистика!$C$10,0.000001),NA()))</f>
        <v>0.55165882777777764</v>
      </c>
      <c r="CD126" s="12">
        <f>IF(Y126="",NA(),IF(Статистика!$D$8="Вкл",(((IF(Статистика!$C$4="Параллельный режим (активная мощность)",AE126,AP126)+Статистика!$J$4))-Статистика!$C$10)/MAX(Статистика!$G$10-Статистика!$C$10,0.000001),NA()))</f>
        <v>0.70475105555555517</v>
      </c>
      <c r="CE126" s="12">
        <f>IF(Y126="",NA(),IF(Статистика!$F$8="Вкл",(((IF(Статистика!$C$4="Параллельный режим (активная мощность)",AB126,AM126)+Статистика!$J$4))-Статистика!$C$10)/MAX(Статистика!$G$10-Статистика!$C$10,0.000001),NA()))</f>
        <v>0.46969396166666655</v>
      </c>
      <c r="CF126" s="12">
        <f>IF(Y126="",NA(),IF(Статистика!$F$8="Вкл",(((IF(Статистика!$C$4="Параллельный режим (активная мощность)",AF126,AQ126)+Статистика!$J$4))-Статистика!$C$10)/MAX(Статистика!$G$10-Статистика!$C$10,0.000001),NA()))</f>
        <v>0.81020642166666645</v>
      </c>
      <c r="CG126" s="12">
        <f>IF(Y126="",NA(),IF(Статистика!$H$8="Вкл",(((IF(Статистика!$C$4="Параллельный режим (активная мощность)",Z126,AK126)+Статистика!$J$4))-Статистика!$C$10)/MAX(Статистика!$G$10-Статистика!$C$10,0.000001),NA()))</f>
        <v>0.42824859616666677</v>
      </c>
      <c r="CH126" s="12">
        <f>IF(Y126="",NA(),IF(Статистика!$H$8="Вкл",(((IF(Статистика!$C$4="Параллельный режим (активная мощность)",AH126,AS126)+Статистика!$J$4))-Статистика!$C$10)/MAX(Статистика!$G$10-Статистика!$C$10,0.000001),NA()))</f>
        <v>0.85865719216666669</v>
      </c>
      <c r="CI126" s="12" t="e">
        <f>IF(Y126="",NA(),IF(Статистика!$J$8="Вкл",(((IF(Статистика!$C$4="Параллельный режим (активная мощность)",AI126,AT126)+Статистика!$J$4))-Статистика!$C$10)/MAX(Статистика!$G$10-Статистика!$C$10,0.000001),NA()))</f>
        <v>#N/A</v>
      </c>
      <c r="CJ126" s="12" t="e">
        <f>IF(AND(Y126&lt;&gt;"",Статистика!$C$6="Вкл",Статистика!$B$6&gt;0),(Статистика!$B$6-Статистика!$C$10)/MAX(Статистика!$G$10-Статистика!$C$10,0.000001),NA())</f>
        <v>#N/A</v>
      </c>
      <c r="CK126" s="12" t="e">
        <f>IF(AND(Y126&lt;&gt;"",Статистика!$F$6="Вкл",Статистика!$E$6&gt;0),(Статистика!$E$6-Статистика!$C$10)/MAX(Статистика!$G$10-Статистика!$C$10,0.000001),NA())</f>
        <v>#N/A</v>
      </c>
      <c r="CL126" s="12" t="e">
        <f>IF(AND(Y126&lt;&gt;"",Статистика!$I$6="Вкл",Статистика!$H$6&gt;0),(Статистика!$H$6-Статистика!$C$10)/MAX(Статистика!$G$10-Статистика!$C$10,0.000001),NA())</f>
        <v>#N/A</v>
      </c>
      <c r="CM126" s="12" t="e">
        <f>IF(AND(Y126&lt;&gt;"",Статистика!$L$6="Вкл",Статистика!$K$6&gt;0),(Статистика!$K$6-Статистика!$C$10)/MAX(Статистика!$G$10-Статистика!$C$10,0.000001),NA())</f>
        <v>#N/A</v>
      </c>
      <c r="CN126" s="12" t="e">
        <f>IF(AND(Y126&lt;&gt;"",Статистика!$M$6="Вкл",Статистика!$O$6&gt;0),(Статистика!$O$6-Статистика!$C$10)/MAX(Статистика!$G$10-Статистика!$C$10,0.000001),NA())</f>
        <v>#N/A</v>
      </c>
      <c r="CO126" s="12">
        <f t="shared" si="3"/>
        <v>1</v>
      </c>
    </row>
    <row r="127" spans="1:93" ht="15" customHeight="1">
      <c r="A127" s="12" t="s">
        <v>565</v>
      </c>
      <c r="B127" s="12">
        <v>2194.6872213333331</v>
      </c>
      <c r="C127" s="12">
        <v>5680.3331733333343</v>
      </c>
      <c r="D127" s="12">
        <v>7365.527208333333</v>
      </c>
      <c r="E127" s="12">
        <v>7718.6588416666664</v>
      </c>
      <c r="F127" s="12">
        <v>7859.2469833333325</v>
      </c>
      <c r="G127" s="12">
        <v>8098.7465583333333</v>
      </c>
      <c r="H127" s="12">
        <v>8296.1613266666664</v>
      </c>
      <c r="I127" s="12">
        <v>8453.7130749999997</v>
      </c>
      <c r="J127" s="12">
        <v>8717.6291216666668</v>
      </c>
      <c r="K127" s="12">
        <v>8865.07</v>
      </c>
      <c r="L127" s="12" t="s">
        <v>566</v>
      </c>
      <c r="M127" s="12">
        <v>2612.4582908333332</v>
      </c>
      <c r="N127" s="12">
        <v>6469.0949208333341</v>
      </c>
      <c r="O127" s="12">
        <v>8307.5932883333335</v>
      </c>
      <c r="P127" s="12">
        <v>8654.0331166666674</v>
      </c>
      <c r="Q127" s="12">
        <v>8897.362133333334</v>
      </c>
      <c r="R127" s="12">
        <v>9140.9665499999992</v>
      </c>
      <c r="S127" s="12">
        <v>9350.726856666668</v>
      </c>
      <c r="T127" s="12">
        <v>9490.6668641666674</v>
      </c>
      <c r="U127" s="12">
        <v>9721.9400661666659</v>
      </c>
      <c r="V127" s="12">
        <v>9871.69</v>
      </c>
      <c r="W127" s="12" t="s">
        <v>566</v>
      </c>
      <c r="Y127" s="12" t="s">
        <v>565</v>
      </c>
      <c r="Z127" s="12">
        <v>7272.7286061666664</v>
      </c>
      <c r="AA127" s="12">
        <v>7331.1251641666659</v>
      </c>
      <c r="AB127" s="12">
        <v>7404.1208616666663</v>
      </c>
      <c r="AC127" s="12">
        <v>7747.3940000000002</v>
      </c>
      <c r="AD127" s="12">
        <v>7847.0399166666666</v>
      </c>
      <c r="AE127" s="12">
        <v>8151.5395249999992</v>
      </c>
      <c r="AF127" s="12">
        <v>8450.429208333333</v>
      </c>
      <c r="AG127" s="12">
        <v>8545.9380375000001</v>
      </c>
      <c r="AH127" s="12">
        <v>8622.3451008333341</v>
      </c>
      <c r="AI127" s="12">
        <v>8783.34</v>
      </c>
      <c r="AJ127" s="12" t="s">
        <v>567</v>
      </c>
      <c r="AK127" s="12">
        <v>8276.4711666666681</v>
      </c>
      <c r="AL127" s="12">
        <v>8322.2003666666678</v>
      </c>
      <c r="AM127" s="12">
        <v>8379.3618666666662</v>
      </c>
      <c r="AN127" s="12">
        <v>8648.3512749999991</v>
      </c>
      <c r="AO127" s="12">
        <v>8859.9627999999993</v>
      </c>
      <c r="AP127" s="12">
        <v>9164.7102500000001</v>
      </c>
      <c r="AQ127" s="12">
        <v>9445.7107116666666</v>
      </c>
      <c r="AR127" s="12">
        <v>9548.6639558333318</v>
      </c>
      <c r="AS127" s="12">
        <v>9631.0265511666657</v>
      </c>
      <c r="AT127" s="12">
        <v>9793.06</v>
      </c>
      <c r="AU127" s="12" t="s">
        <v>567</v>
      </c>
      <c r="AW127" s="12">
        <f>IF(A127="","",MAX(0,MIN(1,(((IF(Статистика!$C$4="Параллельный режим (активная мощность)",B127,M127)+Статистика!$J$4))-Статистика!$C$10)/MAX(Статистика!$G$10-Статистика!$C$10,0.000001))))</f>
        <v>0</v>
      </c>
      <c r="AX127" s="12">
        <f>IF(A127="","",MAX(0,MAX(0,MIN(1,(((IF(Статистика!$C$4="Параллельный режим (активная мощность)",D127,O127)+Статистика!$J$4))-Статистика!$C$10)/MAX(Статистика!$G$10-Статистика!$C$10,0.000001)))-MAX(0,MIN(1,(((IF(Статистика!$C$4="Параллельный режим (активная мощность)",B127,M127)+Статистика!$J$4))-Статистика!$C$10)/MAX(Статистика!$G$10-Статистика!$C$10,0.000001)))))</f>
        <v>0.45517573611111101</v>
      </c>
      <c r="AY127" s="12">
        <f>IF(A127="","",MAX(0,MAX(0,MIN(1,(((IF(Статистика!$C$4="Параллельный режим (активная мощность)",E127,P127)+Статистика!$J$4))-Статистика!$C$10)/MAX(Статистика!$G$10-Статистика!$C$10,0.000001)))-MAX(0,MIN(1,(((IF(Статистика!$C$4="Параллельный режим (активная мощность)",D127,O127)+Статистика!$J$4))-Статистика!$C$10)/MAX(Статистика!$G$10-Статистика!$C$10,0.000001)))))</f>
        <v>0.11771054444444445</v>
      </c>
      <c r="AZ127" s="12">
        <f>IF(A127="","",MAX(0,MAX(0,MIN(1,(((IF(Статистика!$C$4="Параллельный режим (активная мощность)",F127,Q127)+Статистика!$J$4))-Статистика!$C$10)/MAX(Статистика!$G$10-Статистика!$C$10,0.000001)))-MAX(0,MIN(1,(((IF(Статистика!$C$4="Параллельный режим (активная мощность)",E127,P127)+Статистика!$J$4))-Статистика!$C$10)/MAX(Статистика!$G$10-Статистика!$C$10,0.000001)))))</f>
        <v>4.6862713888888741E-2</v>
      </c>
      <c r="BA127" s="12">
        <f>IF(A127="","",MAX(0,MAX(0,MIN(1,(((IF(Статистика!$C$4="Параллельный режим (активная мощность)",G127,R127)+Статистика!$J$4))-Статистика!$C$10)/MAX(Статистика!$G$10-Статистика!$C$10,0.000001)))-MAX(0,MIN(1,(((IF(Статистика!$C$4="Параллельный режим (активная мощность)",F127,Q127)+Статистика!$J$4))-Статистика!$C$10)/MAX(Статистика!$G$10-Статистика!$C$10,0.000001)))))</f>
        <v>7.9833191666666914E-2</v>
      </c>
      <c r="BB127" s="12">
        <f>IF(A127="","",MAX(0,MAX(0,MIN(1,(((IF(Статистика!$C$4="Параллельный режим (активная мощность)",H127,S127)+Статистика!$J$4))-Статистика!$C$10)/MAX(Статистика!$G$10-Статистика!$C$10,0.000001)))-MAX(0,MIN(1,(((IF(Статистика!$C$4="Параллельный режим (активная мощность)",G127,R127)+Статистика!$J$4))-Статистика!$C$10)/MAX(Статистика!$G$10-Статистика!$C$10,0.000001)))))</f>
        <v>6.5804922777777719E-2</v>
      </c>
      <c r="BC127" s="12">
        <f>IF(A127="","",MAX(0,MAX(0,MIN(1,(((IF(Статистика!$C$4="Параллельный режим (активная мощность)",J127,U127)+Статистика!$J$4))-Статистика!$C$10)/MAX(Статистика!$G$10-Статистика!$C$10,0.000001)))-MAX(0,MIN(1,(((IF(Статистика!$C$4="Параллельный режим (активная мощность)",H127,S127)+Статистика!$J$4))-Статистика!$C$10)/MAX(Статистика!$G$10-Статистика!$C$10,0.000001)))))</f>
        <v>0.14048926500000014</v>
      </c>
      <c r="BD127" s="12">
        <f>IF(A127="","",MAX(0,1-MAX(0,MIN(1,(((IF(Статистика!$C$4="Параллельный режим (активная мощность)",J127,U127)+Статистика!$J$4))-Статистика!$C$10)/MAX(Статистика!$G$10-Статистика!$C$10,0.000001)))))</f>
        <v>9.4123626111111025E-2</v>
      </c>
      <c r="BE127" s="12">
        <f>IF(A127="",NA(),IF(Статистика!$B$8="Вкл",(((IF(Статистика!$C$4="Параллельный режим (активная мощность)",F127,Q127)+Статистика!$J$4))-Статистика!$C$10)/MAX(Статистика!$G$10-Статистика!$C$10,0.000001),NA()))</f>
        <v>0.6197489944444442</v>
      </c>
      <c r="BF127" s="12">
        <f>IF(A127="",NA(),IF(Статистика!$D$8="Вкл",(((IF(Статистика!$C$4="Параллельный режим (активная мощность)",E127,P127)+Статистика!$J$4))-Статистика!$C$10)/MAX(Статистика!$G$10-Статистика!$C$10,0.000001),NA()))</f>
        <v>0.57288628055555546</v>
      </c>
      <c r="BG127" s="12">
        <f>IF(A127="",NA(),IF(Статистика!$D$8="Вкл",(((IF(Статистика!$C$4="Параллельный режим (активная мощность)",G127,R127)+Статистика!$J$4))-Статистика!$C$10)/MAX(Статистика!$G$10-Статистика!$C$10,0.000001),NA()))</f>
        <v>0.69958218611111112</v>
      </c>
      <c r="BH127" s="12">
        <f>IF(A127="",NA(),IF(Статистика!$F$8="Вкл",(((IF(Статистика!$C$4="Параллельный режим (активная мощность)",D127,O127)+Статистика!$J$4))-Статистика!$C$10)/MAX(Статистика!$G$10-Статистика!$C$10,0.000001),NA()))</f>
        <v>0.45517573611111101</v>
      </c>
      <c r="BI127" s="12">
        <f>IF(A127="",NA(),IF(Статистика!$F$8="Вкл",(((IF(Статистика!$C$4="Параллельный режим (активная мощность)",H127,S127)+Статистика!$J$4))-Статистика!$C$10)/MAX(Статистика!$G$10-Статистика!$C$10,0.000001),NA()))</f>
        <v>0.76538710888888883</v>
      </c>
      <c r="BJ127" s="12">
        <f>IF(A127="",NA(),IF(Статистика!$H$8="Вкл",(((IF(Статистика!$C$4="Параллельный режим (активная мощность)",B127,M127)+Статистика!$J$4))-Статистика!$C$10)/MAX(Статистика!$G$10-Статистика!$C$10,0.000001),NA()))</f>
        <v>-1.2684375928888889</v>
      </c>
      <c r="BK127" s="12">
        <f>IF(A127="",NA(),IF(Статистика!$H$8="Вкл",(((IF(Статистика!$C$4="Параллельный режим (активная мощность)",J127,U127)+Статистика!$J$4))-Статистика!$C$10)/MAX(Статистика!$G$10-Статистика!$C$10,0.000001),NA()))</f>
        <v>0.90587637388888897</v>
      </c>
      <c r="BL127" s="12" t="e">
        <f>IF(A127="",NA(),IF(Статистика!$J$8="Вкл",(((IF(Статистика!$C$4="Параллельный режим (активная мощность)",K127,V127)+Статистика!$J$4))-Статистика!$C$10)/MAX(Статистика!$G$10-Статистика!$C$10,0.000001),NA()))</f>
        <v>#N/A</v>
      </c>
      <c r="BM127" s="12" t="e">
        <f>IF(AND(A127&lt;&gt;"",Статистика!$C$6="Вкл",Статистика!$B$6&gt;0),(Статистика!$B$6-Статистика!$C$10)/MAX(Статистика!$G$10-Статистика!$C$10,0.000001),NA())</f>
        <v>#N/A</v>
      </c>
      <c r="BN127" s="12" t="e">
        <f>IF(AND(A127&lt;&gt;"",Статистика!$F$6="Вкл",Статистика!$E$6&gt;0),(Статистика!$E$6-Статистика!$C$10)/MAX(Статистика!$G$10-Статистика!$C$10,0.000001),NA())</f>
        <v>#N/A</v>
      </c>
      <c r="BO127" s="12" t="e">
        <f>IF(AND(A127&lt;&gt;"",Статистика!$I$6="Вкл",Статистика!$H$6&gt;0),(Статистика!$H$6-Статистика!$C$10)/MAX(Статистика!$G$10-Статистика!$C$10,0.000001),NA())</f>
        <v>#N/A</v>
      </c>
      <c r="BP127" s="12" t="e">
        <f>IF(AND(A127&lt;&gt;"",Статистика!$L$6="Вкл",Статистика!$K$6&gt;0),(Статистика!$K$6-Статистика!$C$10)/MAX(Статистика!$G$10-Статистика!$C$10,0.000001),NA())</f>
        <v>#N/A</v>
      </c>
      <c r="BQ127" s="12" t="e">
        <f>IF(AND(A127&lt;&gt;"",Статистика!$M$6="Вкл",Статистика!$O$6&gt;0),(Статистика!$O$6-Статистика!$C$10)/MAX(Статистика!$G$10-Статистика!$C$10,0.000001),NA())</f>
        <v>#N/A</v>
      </c>
      <c r="BR127" s="12">
        <f t="shared" si="2"/>
        <v>1</v>
      </c>
      <c r="BT127" s="12">
        <f>IF(Y127="","",MAX(0,MIN(1,(((IF(Статистика!$C$4="Параллельный режим (активная мощность)",Z127,AK127)+Статистика!$J$4))-Статистика!$C$10)/MAX(Статистика!$G$10-Статистика!$C$10,0.000001))))</f>
        <v>0.42424286872222211</v>
      </c>
      <c r="BU127" s="12">
        <f>IF(Y127="","",MAX(0,MAX(0,MIN(1,(((IF(Статистика!$C$4="Параллельный режим (активная мощность)",AB127,AM127)+Статистика!$J$4))-Статистика!$C$10)/MAX(Статистика!$G$10-Статистика!$C$10,0.000001)))-MAX(0,MIN(1,(((IF(Статистика!$C$4="Параллельный режим (активная мощность)",Z127,AK127)+Статистика!$J$4))-Статистика!$C$10)/MAX(Статистика!$G$10-Статистика!$C$10,0.000001)))))</f>
        <v>4.3797418500000018E-2</v>
      </c>
      <c r="BV127" s="12">
        <f>IF(Y127="","",MAX(0,MAX(0,MIN(1,(((IF(Статистика!$C$4="Параллельный режим (активная мощность)",AC127,AN127)+Статистика!$J$4))-Статистика!$C$10)/MAX(Статистика!$G$10-Статистика!$C$10,0.000001)))-MAX(0,MIN(1,(((IF(Статистика!$C$4="Параллельный режим (активная мощность)",AB127,AM127)+Статистика!$J$4))-Статистика!$C$10)/MAX(Статистика!$G$10-Статистика!$C$10,0.000001)))))</f>
        <v>0.11442437944444461</v>
      </c>
      <c r="BW127" s="12">
        <f>IF(Y127="","",MAX(0,MAX(0,MIN(1,(((IF(Статистика!$C$4="Параллельный режим (активная мощность)",AD127,AO127)+Статистика!$J$4))-Статистика!$C$10)/MAX(Статистика!$G$10-Статистика!$C$10,0.000001)))-MAX(0,MIN(1,(((IF(Статистика!$C$4="Параллельный режим (активная мощность)",AC127,AN127)+Статистика!$J$4))-Статистика!$C$10)/MAX(Статистика!$G$10-Статистика!$C$10,0.000001)))))</f>
        <v>3.3215305555555408E-2</v>
      </c>
      <c r="BX127" s="12">
        <f>IF(Y127="","",MAX(0,MAX(0,MIN(1,(((IF(Статистика!$C$4="Параллельный режим (активная мощность)",AE127,AP127)+Статистика!$J$4))-Статистика!$C$10)/MAX(Статистика!$G$10-Статистика!$C$10,0.000001)))-MAX(0,MIN(1,(((IF(Статистика!$C$4="Параллельный режим (активная мощность)",AD127,AO127)+Статистика!$J$4))-Статистика!$C$10)/MAX(Статистика!$G$10-Статистика!$C$10,0.000001)))))</f>
        <v>0.10149986944444422</v>
      </c>
      <c r="BY127" s="12">
        <f>IF(Y127="","",MAX(0,MAX(0,MIN(1,(((IF(Статистика!$C$4="Параллельный режим (активная мощность)",AF127,AQ127)+Статистика!$J$4))-Статистика!$C$10)/MAX(Статистика!$G$10-Статистика!$C$10,0.000001)))-MAX(0,MIN(1,(((IF(Статистика!$C$4="Параллельный режим (активная мощность)",AE127,AP127)+Статистика!$J$4))-Статистика!$C$10)/MAX(Статистика!$G$10-Статистика!$C$10,0.000001)))))</f>
        <v>9.9629894444444589E-2</v>
      </c>
      <c r="BZ127" s="12">
        <f>IF(Y127="","",MAX(0,MAX(0,MIN(1,(((IF(Статистика!$C$4="Параллельный режим (активная мощность)",AH127,AS127)+Статистика!$J$4))-Статистика!$C$10)/MAX(Статистика!$G$10-Статистика!$C$10,0.000001)))-MAX(0,MIN(1,(((IF(Статистика!$C$4="Параллельный режим (активная мощность)",AF127,AQ127)+Статистика!$J$4))-Статистика!$C$10)/MAX(Статистика!$G$10-Статистика!$C$10,0.000001)))))</f>
        <v>5.7305297500000352E-2</v>
      </c>
      <c r="CA127" s="12">
        <f>IF(Y127="","",MAX(0,1-MAX(0,MIN(1,(((IF(Статистика!$C$4="Параллельный режим (активная мощность)",AH127,AS127)+Статистика!$J$4))-Статистика!$C$10)/MAX(Статистика!$G$10-Статистика!$C$10,0.000001)))))</f>
        <v>0.12588496638888869</v>
      </c>
      <c r="CB127" s="12">
        <f>IF(Y127="",NA(),IF(Статистика!$B$8="Вкл",(((IF(Статистика!$C$4="Параллельный режим (активная мощность)",AD127,AO127)+Статистика!$J$4))-Статистика!$C$10)/MAX(Статистика!$G$10-Статистика!$C$10,0.000001),NA()))</f>
        <v>0.61567997222222215</v>
      </c>
      <c r="CC127" s="12">
        <f>IF(Y127="",NA(),IF(Статистика!$D$8="Вкл",(((IF(Статистика!$C$4="Параллельный режим (активная мощность)",AC127,AN127)+Статистика!$J$4))-Статистика!$C$10)/MAX(Статистика!$G$10-Статистика!$C$10,0.000001),NA()))</f>
        <v>0.58246466666666674</v>
      </c>
      <c r="CD127" s="12">
        <f>IF(Y127="",NA(),IF(Статистика!$D$8="Вкл",(((IF(Статистика!$C$4="Параллельный режим (активная мощность)",AE127,AP127)+Статистика!$J$4))-Статистика!$C$10)/MAX(Статистика!$G$10-Статистика!$C$10,0.000001),NA()))</f>
        <v>0.71717984166666637</v>
      </c>
      <c r="CE127" s="12">
        <f>IF(Y127="",NA(),IF(Статистика!$F$8="Вкл",(((IF(Статистика!$C$4="Параллельный режим (активная мощность)",AB127,AM127)+Статистика!$J$4))-Статистика!$C$10)/MAX(Статистика!$G$10-Статистика!$C$10,0.000001),NA()))</f>
        <v>0.46804028722222213</v>
      </c>
      <c r="CF127" s="12">
        <f>IF(Y127="",NA(),IF(Статистика!$F$8="Вкл",(((IF(Статистика!$C$4="Параллельный режим (активная мощность)",AF127,AQ127)+Статистика!$J$4))-Статистика!$C$10)/MAX(Статистика!$G$10-Статистика!$C$10,0.000001),NA()))</f>
        <v>0.81680973611111096</v>
      </c>
      <c r="CG127" s="12">
        <f>IF(Y127="",NA(),IF(Статистика!$H$8="Вкл",(((IF(Статистика!$C$4="Параллельный режим (активная мощность)",Z127,AK127)+Статистика!$J$4))-Статистика!$C$10)/MAX(Статистика!$G$10-Статистика!$C$10,0.000001),NA()))</f>
        <v>0.42424286872222211</v>
      </c>
      <c r="CH127" s="12">
        <f>IF(Y127="",NA(),IF(Статистика!$H$8="Вкл",(((IF(Статистика!$C$4="Параллельный режим (активная мощность)",AH127,AS127)+Статистика!$J$4))-Статистика!$C$10)/MAX(Статистика!$G$10-Статистика!$C$10,0.000001),NA()))</f>
        <v>0.87411503361111131</v>
      </c>
      <c r="CI127" s="12" t="e">
        <f>IF(Y127="",NA(),IF(Статистика!$J$8="Вкл",(((IF(Статистика!$C$4="Параллельный режим (активная мощность)",AI127,AT127)+Статистика!$J$4))-Статистика!$C$10)/MAX(Статистика!$G$10-Статистика!$C$10,0.000001),NA()))</f>
        <v>#N/A</v>
      </c>
      <c r="CJ127" s="12" t="e">
        <f>IF(AND(Y127&lt;&gt;"",Статистика!$C$6="Вкл",Статистика!$B$6&gt;0),(Статистика!$B$6-Статистика!$C$10)/MAX(Статистика!$G$10-Статистика!$C$10,0.000001),NA())</f>
        <v>#N/A</v>
      </c>
      <c r="CK127" s="12" t="e">
        <f>IF(AND(Y127&lt;&gt;"",Статистика!$F$6="Вкл",Статистика!$E$6&gt;0),(Статистика!$E$6-Статистика!$C$10)/MAX(Статистика!$G$10-Статистика!$C$10,0.000001),NA())</f>
        <v>#N/A</v>
      </c>
      <c r="CL127" s="12" t="e">
        <f>IF(AND(Y127&lt;&gt;"",Статистика!$I$6="Вкл",Статистика!$H$6&gt;0),(Статистика!$H$6-Статистика!$C$10)/MAX(Статистика!$G$10-Статистика!$C$10,0.000001),NA())</f>
        <v>#N/A</v>
      </c>
      <c r="CM127" s="12" t="e">
        <f>IF(AND(Y127&lt;&gt;"",Статистика!$L$6="Вкл",Статистика!$K$6&gt;0),(Статистика!$K$6-Статистика!$C$10)/MAX(Статистика!$G$10-Статистика!$C$10,0.000001),NA())</f>
        <v>#N/A</v>
      </c>
      <c r="CN127" s="12" t="e">
        <f>IF(AND(Y127&lt;&gt;"",Статистика!$M$6="Вкл",Статистика!$O$6&gt;0),(Статистика!$O$6-Статистика!$C$10)/MAX(Статистика!$G$10-Статистика!$C$10,0.000001),NA())</f>
        <v>#N/A</v>
      </c>
      <c r="CO127" s="12">
        <f t="shared" si="3"/>
        <v>1</v>
      </c>
    </row>
    <row r="128" spans="1:93" ht="15" customHeight="1">
      <c r="A128" s="12" t="s">
        <v>568</v>
      </c>
      <c r="B128" s="12">
        <v>2185.1509636666669</v>
      </c>
      <c r="C128" s="12">
        <v>5649.0686850000002</v>
      </c>
      <c r="D128" s="12">
        <v>7348.7467966666663</v>
      </c>
      <c r="E128" s="12">
        <v>7725.0692499999996</v>
      </c>
      <c r="F128" s="12">
        <v>7855.9328333333324</v>
      </c>
      <c r="G128" s="12">
        <v>8078.9721916666667</v>
      </c>
      <c r="H128" s="12">
        <v>8258.0105899999999</v>
      </c>
      <c r="I128" s="12">
        <v>8414.0652216666658</v>
      </c>
      <c r="J128" s="12">
        <v>8671.7253110000001</v>
      </c>
      <c r="K128" s="12">
        <v>8846.59</v>
      </c>
      <c r="L128" s="12" t="s">
        <v>569</v>
      </c>
      <c r="M128" s="12">
        <v>2599.6422984999999</v>
      </c>
      <c r="N128" s="12">
        <v>6428.9062924999998</v>
      </c>
      <c r="O128" s="12">
        <v>8283.2372349999987</v>
      </c>
      <c r="P128" s="12">
        <v>8698.0844000000016</v>
      </c>
      <c r="Q128" s="12">
        <v>8845.1314166666671</v>
      </c>
      <c r="R128" s="12">
        <v>9105.4411499999987</v>
      </c>
      <c r="S128" s="12">
        <v>9261.4096283333347</v>
      </c>
      <c r="T128" s="12">
        <v>9399.5364808333343</v>
      </c>
      <c r="U128" s="12">
        <v>9643.5151628333333</v>
      </c>
      <c r="V128" s="12">
        <v>9982.09</v>
      </c>
      <c r="W128" s="12" t="s">
        <v>570</v>
      </c>
      <c r="Y128" s="12" t="s">
        <v>568</v>
      </c>
      <c r="Z128" s="12">
        <v>7365.8666931666667</v>
      </c>
      <c r="AA128" s="12">
        <v>7400.9483991666666</v>
      </c>
      <c r="AB128" s="12">
        <v>7444.8005316666668</v>
      </c>
      <c r="AC128" s="12">
        <v>7681.3737333333338</v>
      </c>
      <c r="AD128" s="12">
        <v>7917.2200166666662</v>
      </c>
      <c r="AE128" s="12">
        <v>8159.2967166666676</v>
      </c>
      <c r="AF128" s="12">
        <v>8567.3648116666664</v>
      </c>
      <c r="AG128" s="12">
        <v>8639.828255833334</v>
      </c>
      <c r="AH128" s="12">
        <v>8697.7990111666677</v>
      </c>
      <c r="AI128" s="12">
        <v>8832.26</v>
      </c>
      <c r="AJ128" s="12" t="s">
        <v>571</v>
      </c>
      <c r="AK128" s="12">
        <v>8397.0931778333343</v>
      </c>
      <c r="AL128" s="12">
        <v>8412.2328225000001</v>
      </c>
      <c r="AM128" s="12">
        <v>8431.1573783333333</v>
      </c>
      <c r="AN128" s="12">
        <v>8599.6196416666662</v>
      </c>
      <c r="AO128" s="12">
        <v>8871.9183166666662</v>
      </c>
      <c r="AP128" s="12">
        <v>9210.7157916666674</v>
      </c>
      <c r="AQ128" s="12">
        <v>9547.7443149999999</v>
      </c>
      <c r="AR128" s="12">
        <v>9628.3310574999996</v>
      </c>
      <c r="AS128" s="12">
        <v>9692.8004514999993</v>
      </c>
      <c r="AT128" s="12">
        <v>9820.99</v>
      </c>
      <c r="AU128" s="12" t="s">
        <v>572</v>
      </c>
      <c r="AW128" s="12">
        <f>IF(A128="","",MAX(0,MIN(1,(((IF(Статистика!$C$4="Параллельный режим (активная мощность)",B128,M128)+Статистика!$J$4))-Статистика!$C$10)/MAX(Статистика!$G$10-Статистика!$C$10,0.000001))))</f>
        <v>0</v>
      </c>
      <c r="AX128" s="12">
        <f>IF(A128="","",MAX(0,MAX(0,MIN(1,(((IF(Статистика!$C$4="Параллельный режим (активная мощность)",D128,O128)+Статистика!$J$4))-Статистика!$C$10)/MAX(Статистика!$G$10-Статистика!$C$10,0.000001)))-MAX(0,MIN(1,(((IF(Статистика!$C$4="Параллельный режим (активная мощность)",B128,M128)+Статистика!$J$4))-Статистика!$C$10)/MAX(Статистика!$G$10-Статистика!$C$10,0.000001)))))</f>
        <v>0.44958226555555547</v>
      </c>
      <c r="AY128" s="12">
        <f>IF(A128="","",MAX(0,MAX(0,MIN(1,(((IF(Статистика!$C$4="Параллельный режим (активная мощность)",E128,P128)+Статистика!$J$4))-Статистика!$C$10)/MAX(Статистика!$G$10-Статистика!$C$10,0.000001)))-MAX(0,MIN(1,(((IF(Статистика!$C$4="Параллельный режим (активная мощность)",D128,O128)+Статистика!$J$4))-Статистика!$C$10)/MAX(Статистика!$G$10-Статистика!$C$10,0.000001)))))</f>
        <v>0.12544081777777771</v>
      </c>
      <c r="AZ128" s="12">
        <f>IF(A128="","",MAX(0,MAX(0,MIN(1,(((IF(Статистика!$C$4="Параллельный режим (активная мощность)",F128,Q128)+Статистика!$J$4))-Статистика!$C$10)/MAX(Статистика!$G$10-Статистика!$C$10,0.000001)))-MAX(0,MIN(1,(((IF(Статистика!$C$4="Параллельный режим (активная мощность)",E128,P128)+Статистика!$J$4))-Статистика!$C$10)/MAX(Статистика!$G$10-Статистика!$C$10,0.000001)))))</f>
        <v>4.3621194444444233E-2</v>
      </c>
      <c r="BA128" s="12">
        <f>IF(A128="","",MAX(0,MAX(0,MIN(1,(((IF(Статистика!$C$4="Параллельный режим (активная мощность)",G128,R128)+Статистика!$J$4))-Статистика!$C$10)/MAX(Статистика!$G$10-Статистика!$C$10,0.000001)))-MAX(0,MIN(1,(((IF(Статистика!$C$4="Параллельный режим (активная мощность)",F128,Q128)+Статистика!$J$4))-Статистика!$C$10)/MAX(Статистика!$G$10-Статистика!$C$10,0.000001)))))</f>
        <v>7.4346452777778183E-2</v>
      </c>
      <c r="BB128" s="12">
        <f>IF(A128="","",MAX(0,MAX(0,MIN(1,(((IF(Статистика!$C$4="Параллельный режим (активная мощность)",H128,S128)+Статистика!$J$4))-Статистика!$C$10)/MAX(Статистика!$G$10-Статистика!$C$10,0.000001)))-MAX(0,MIN(1,(((IF(Статистика!$C$4="Параллельный режим (активная мощность)",G128,R128)+Статистика!$J$4))-Статистика!$C$10)/MAX(Статистика!$G$10-Статистика!$C$10,0.000001)))))</f>
        <v>5.9679466111110968E-2</v>
      </c>
      <c r="BC128" s="12">
        <f>IF(A128="","",MAX(0,MAX(0,MIN(1,(((IF(Статистика!$C$4="Параллельный режим (активная мощность)",J128,U128)+Статистика!$J$4))-Статистика!$C$10)/MAX(Статистика!$G$10-Статистика!$C$10,0.000001)))-MAX(0,MIN(1,(((IF(Статистика!$C$4="Параллельный режим (активная мощность)",H128,S128)+Статистика!$J$4))-Статистика!$C$10)/MAX(Статистика!$G$10-Статистика!$C$10,0.000001)))))</f>
        <v>0.13790490700000013</v>
      </c>
      <c r="BD128" s="12">
        <f>IF(A128="","",MAX(0,1-MAX(0,MIN(1,(((IF(Статистика!$C$4="Параллельный режим (активная мощность)",J128,U128)+Статистика!$J$4))-Статистика!$C$10)/MAX(Статистика!$G$10-Статистика!$C$10,0.000001)))))</f>
        <v>0.1094248963333333</v>
      </c>
      <c r="BE128" s="12">
        <f>IF(A128="",NA(),IF(Статистика!$B$8="Вкл",(((IF(Статистика!$C$4="Параллельный режим (активная мощность)",F128,Q128)+Статистика!$J$4))-Статистика!$C$10)/MAX(Статистика!$G$10-Статистика!$C$10,0.000001),NA()))</f>
        <v>0.61864427777777742</v>
      </c>
      <c r="BF128" s="12">
        <f>IF(A128="",NA(),IF(Статистика!$D$8="Вкл",(((IF(Статистика!$C$4="Параллельный режим (активная мощность)",E128,P128)+Статистика!$J$4))-Статистика!$C$10)/MAX(Статистика!$G$10-Статистика!$C$10,0.000001),NA()))</f>
        <v>0.57502308333333318</v>
      </c>
      <c r="BG128" s="12">
        <f>IF(A128="",NA(),IF(Статистика!$D$8="Вкл",(((IF(Статистика!$C$4="Параллельный режим (активная мощность)",G128,R128)+Статистика!$J$4))-Статистика!$C$10)/MAX(Статистика!$G$10-Статистика!$C$10,0.000001),NA()))</f>
        <v>0.6929907305555556</v>
      </c>
      <c r="BH128" s="12">
        <f>IF(A128="",NA(),IF(Статистика!$F$8="Вкл",(((IF(Статистика!$C$4="Параллельный режим (активная мощность)",D128,O128)+Статистика!$J$4))-Статистика!$C$10)/MAX(Статистика!$G$10-Статистика!$C$10,0.000001),NA()))</f>
        <v>0.44958226555555547</v>
      </c>
      <c r="BI128" s="12">
        <f>IF(A128="",NA(),IF(Статистика!$F$8="Вкл",(((IF(Статистика!$C$4="Параллельный режим (активная мощность)",H128,S128)+Статистика!$J$4))-Статистика!$C$10)/MAX(Статистика!$G$10-Статистика!$C$10,0.000001),NA()))</f>
        <v>0.75267019666666657</v>
      </c>
      <c r="BJ128" s="12">
        <f>IF(A128="",NA(),IF(Статистика!$H$8="Вкл",(((IF(Статистика!$C$4="Параллельный режим (активная мощность)",B128,M128)+Статистика!$J$4))-Статистика!$C$10)/MAX(Статистика!$G$10-Статистика!$C$10,0.000001),NA()))</f>
        <v>-1.2716163454444445</v>
      </c>
      <c r="BK128" s="12">
        <f>IF(A128="",NA(),IF(Статистика!$H$8="Вкл",(((IF(Статистика!$C$4="Параллельный режим (активная мощность)",J128,U128)+Статистика!$J$4))-Статистика!$C$10)/MAX(Статистика!$G$10-Статистика!$C$10,0.000001),NA()))</f>
        <v>0.8905751036666667</v>
      </c>
      <c r="BL128" s="12" t="e">
        <f>IF(A128="",NA(),IF(Статистика!$J$8="Вкл",(((IF(Статистика!$C$4="Параллельный режим (активная мощность)",K128,V128)+Статистика!$J$4))-Статистика!$C$10)/MAX(Статистика!$G$10-Статистика!$C$10,0.000001),NA()))</f>
        <v>#N/A</v>
      </c>
      <c r="BM128" s="12" t="e">
        <f>IF(AND(A128&lt;&gt;"",Статистика!$C$6="Вкл",Статистика!$B$6&gt;0),(Статистика!$B$6-Статистика!$C$10)/MAX(Статистика!$G$10-Статистика!$C$10,0.000001),NA())</f>
        <v>#N/A</v>
      </c>
      <c r="BN128" s="12" t="e">
        <f>IF(AND(A128&lt;&gt;"",Статистика!$F$6="Вкл",Статистика!$E$6&gt;0),(Статистика!$E$6-Статистика!$C$10)/MAX(Статистика!$G$10-Статистика!$C$10,0.000001),NA())</f>
        <v>#N/A</v>
      </c>
      <c r="BO128" s="12" t="e">
        <f>IF(AND(A128&lt;&gt;"",Статистика!$I$6="Вкл",Статистика!$H$6&gt;0),(Статистика!$H$6-Статистика!$C$10)/MAX(Статистика!$G$10-Статистика!$C$10,0.000001),NA())</f>
        <v>#N/A</v>
      </c>
      <c r="BP128" s="12" t="e">
        <f>IF(AND(A128&lt;&gt;"",Статистика!$L$6="Вкл",Статистика!$K$6&gt;0),(Статистика!$K$6-Статистика!$C$10)/MAX(Статистика!$G$10-Статистика!$C$10,0.000001),NA())</f>
        <v>#N/A</v>
      </c>
      <c r="BQ128" s="12" t="e">
        <f>IF(AND(A128&lt;&gt;"",Статистика!$M$6="Вкл",Статистика!$O$6&gt;0),(Статистика!$O$6-Статистика!$C$10)/MAX(Статистика!$G$10-Статистика!$C$10,0.000001),NA())</f>
        <v>#N/A</v>
      </c>
      <c r="BR128" s="12">
        <f t="shared" si="2"/>
        <v>1</v>
      </c>
      <c r="BT128" s="12">
        <f>IF(Y128="","",MAX(0,MIN(1,(((IF(Статистика!$C$4="Параллельный режим (активная мощность)",Z128,AK128)+Статистика!$J$4))-Статистика!$C$10)/MAX(Статистика!$G$10-Статистика!$C$10,0.000001))))</f>
        <v>0.4552888977222222</v>
      </c>
      <c r="BU128" s="12">
        <f>IF(Y128="","",MAX(0,MAX(0,MIN(1,(((IF(Статистика!$C$4="Параллельный режим (активная мощность)",AB128,AM128)+Статистика!$J$4))-Статистика!$C$10)/MAX(Статистика!$G$10-Статистика!$C$10,0.000001)))-MAX(0,MIN(1,(((IF(Статистика!$C$4="Параллельный режим (активная мощность)",Z128,AK128)+Статистика!$J$4))-Статистика!$C$10)/MAX(Статистика!$G$10-Статистика!$C$10,0.000001)))))</f>
        <v>2.6311279500000062E-2</v>
      </c>
      <c r="BV128" s="12">
        <f>IF(Y128="","",MAX(0,MAX(0,MIN(1,(((IF(Статистика!$C$4="Параллельный режим (активная мощность)",AC128,AN128)+Статистика!$J$4))-Статистика!$C$10)/MAX(Статистика!$G$10-Статистика!$C$10,0.000001)))-MAX(0,MIN(1,(((IF(Статистика!$C$4="Параллельный режим (активная мощность)",AB128,AM128)+Статистика!$J$4))-Статистика!$C$10)/MAX(Статистика!$G$10-Статистика!$C$10,0.000001)))))</f>
        <v>7.8857733888889059E-2</v>
      </c>
      <c r="BW128" s="12">
        <f>IF(Y128="","",MAX(0,MAX(0,MIN(1,(((IF(Статистика!$C$4="Параллельный режим (активная мощность)",AD128,AO128)+Статистика!$J$4))-Статистика!$C$10)/MAX(Статистика!$G$10-Статистика!$C$10,0.000001)))-MAX(0,MIN(1,(((IF(Статистика!$C$4="Параллельный режим (активная мощность)",AC128,AN128)+Статистика!$J$4))-Статистика!$C$10)/MAX(Статистика!$G$10-Статистика!$C$10,0.000001)))))</f>
        <v>7.8615427777777414E-2</v>
      </c>
      <c r="BX128" s="12">
        <f>IF(Y128="","",MAX(0,MAX(0,MIN(1,(((IF(Статистика!$C$4="Параллельный режим (активная мощность)",AE128,AP128)+Статистика!$J$4))-Статистика!$C$10)/MAX(Статистика!$G$10-Статистика!$C$10,0.000001)))-MAX(0,MIN(1,(((IF(Статистика!$C$4="Параллельный режим (активная мощность)",AD128,AO128)+Статистика!$J$4))-Статистика!$C$10)/MAX(Статистика!$G$10-Статистика!$C$10,0.000001)))))</f>
        <v>8.0692233333333863E-2</v>
      </c>
      <c r="BY128" s="12">
        <f>IF(Y128="","",MAX(0,MAX(0,MIN(1,(((IF(Статистика!$C$4="Параллельный режим (активная мощность)",AF128,AQ128)+Статистика!$J$4))-Статистика!$C$10)/MAX(Статистика!$G$10-Статистика!$C$10,0.000001)))-MAX(0,MIN(1,(((IF(Статистика!$C$4="Параллельный режим (активная мощность)",AE128,AP128)+Статистика!$J$4))-Статистика!$C$10)/MAX(Статистика!$G$10-Статистика!$C$10,0.000001)))))</f>
        <v>0.1360226983333328</v>
      </c>
      <c r="BZ128" s="12">
        <f>IF(Y128="","",MAX(0,MAX(0,MIN(1,(((IF(Статистика!$C$4="Параллельный режим (активная мощность)",AH128,AS128)+Статистика!$J$4))-Статистика!$C$10)/MAX(Статистика!$G$10-Статистика!$C$10,0.000001)))-MAX(0,MIN(1,(((IF(Статистика!$C$4="Параллельный режим (активная мощность)",AF128,AQ128)+Статистика!$J$4))-Статистика!$C$10)/MAX(Статистика!$G$10-Статистика!$C$10,0.000001)))))</f>
        <v>4.3478066500000523E-2</v>
      </c>
      <c r="CA128" s="12">
        <f>IF(Y128="","",MAX(0,1-MAX(0,MIN(1,(((IF(Статистика!$C$4="Параллельный режим (активная мощность)",AH128,AS128)+Статистика!$J$4))-Статистика!$C$10)/MAX(Статистика!$G$10-Статистика!$C$10,0.000001)))))</f>
        <v>0.10073366294444408</v>
      </c>
      <c r="CB128" s="12">
        <f>IF(Y128="",NA(),IF(Статистика!$B$8="Вкл",(((IF(Статистика!$C$4="Параллельный режим (активная мощность)",AD128,AO128)+Статистика!$J$4))-Статистика!$C$10)/MAX(Статистика!$G$10-Статистика!$C$10,0.000001),NA()))</f>
        <v>0.63907333888888873</v>
      </c>
      <c r="CC128" s="12">
        <f>IF(Y128="",NA(),IF(Статистика!$D$8="Вкл",(((IF(Статистика!$C$4="Параллельный режим (активная мощность)",AC128,AN128)+Статистика!$J$4))-Статистика!$C$10)/MAX(Статистика!$G$10-Статистика!$C$10,0.000001),NA()))</f>
        <v>0.56045791111111132</v>
      </c>
      <c r="CD128" s="12">
        <f>IF(Y128="",NA(),IF(Статистика!$D$8="Вкл",(((IF(Статистика!$C$4="Параллельный режим (активная мощность)",AE128,AP128)+Статистика!$J$4))-Статистика!$C$10)/MAX(Статистика!$G$10-Статистика!$C$10,0.000001),NA()))</f>
        <v>0.71976557222222259</v>
      </c>
      <c r="CE128" s="12">
        <f>IF(Y128="",NA(),IF(Статистика!$F$8="Вкл",(((IF(Статистика!$C$4="Параллельный режим (активная мощность)",AB128,AM128)+Статистика!$J$4))-Статистика!$C$10)/MAX(Статистика!$G$10-Статистика!$C$10,0.000001),NA()))</f>
        <v>0.48160017722222226</v>
      </c>
      <c r="CF128" s="12">
        <f>IF(Y128="",NA(),IF(Статистика!$F$8="Вкл",(((IF(Статистика!$C$4="Параллельный режим (активная мощность)",AF128,AQ128)+Статистика!$J$4))-Статистика!$C$10)/MAX(Статистика!$G$10-Статистика!$C$10,0.000001),NA()))</f>
        <v>0.8557882705555554</v>
      </c>
      <c r="CG128" s="12">
        <f>IF(Y128="",NA(),IF(Статистика!$H$8="Вкл",(((IF(Статистика!$C$4="Параллельный режим (активная мощность)",Z128,AK128)+Статистика!$J$4))-Статистика!$C$10)/MAX(Статистика!$G$10-Статистика!$C$10,0.000001),NA()))</f>
        <v>0.4552888977222222</v>
      </c>
      <c r="CH128" s="12">
        <f>IF(Y128="",NA(),IF(Статистика!$H$8="Вкл",(((IF(Статистика!$C$4="Параллельный режим (активная мощность)",AH128,AS128)+Статистика!$J$4))-Статистика!$C$10)/MAX(Статистика!$G$10-Статистика!$C$10,0.000001),NA()))</f>
        <v>0.89926633705555592</v>
      </c>
      <c r="CI128" s="12" t="e">
        <f>IF(Y128="",NA(),IF(Статистика!$J$8="Вкл",(((IF(Статистика!$C$4="Параллельный режим (активная мощность)",AI128,AT128)+Статистика!$J$4))-Статистика!$C$10)/MAX(Статистика!$G$10-Статистика!$C$10,0.000001),NA()))</f>
        <v>#N/A</v>
      </c>
      <c r="CJ128" s="12" t="e">
        <f>IF(AND(Y128&lt;&gt;"",Статистика!$C$6="Вкл",Статистика!$B$6&gt;0),(Статистика!$B$6-Статистика!$C$10)/MAX(Статистика!$G$10-Статистика!$C$10,0.000001),NA())</f>
        <v>#N/A</v>
      </c>
      <c r="CK128" s="12" t="e">
        <f>IF(AND(Y128&lt;&gt;"",Статистика!$F$6="Вкл",Статистика!$E$6&gt;0),(Статистика!$E$6-Статистика!$C$10)/MAX(Статистика!$G$10-Статистика!$C$10,0.000001),NA())</f>
        <v>#N/A</v>
      </c>
      <c r="CL128" s="12" t="e">
        <f>IF(AND(Y128&lt;&gt;"",Статистика!$I$6="Вкл",Статистика!$H$6&gt;0),(Статистика!$H$6-Статистика!$C$10)/MAX(Статистика!$G$10-Статистика!$C$10,0.000001),NA())</f>
        <v>#N/A</v>
      </c>
      <c r="CM128" s="12" t="e">
        <f>IF(AND(Y128&lt;&gt;"",Статистика!$L$6="Вкл",Статистика!$K$6&gt;0),(Статистика!$K$6-Статистика!$C$10)/MAX(Статистика!$G$10-Статистика!$C$10,0.000001),NA())</f>
        <v>#N/A</v>
      </c>
      <c r="CN128" s="12" t="e">
        <f>IF(AND(Y128&lt;&gt;"",Статистика!$M$6="Вкл",Статистика!$O$6&gt;0),(Статистика!$O$6-Статистика!$C$10)/MAX(Статистика!$G$10-Статистика!$C$10,0.000001),NA())</f>
        <v>#N/A</v>
      </c>
      <c r="CO128" s="12">
        <f t="shared" si="3"/>
        <v>1</v>
      </c>
    </row>
    <row r="129" spans="1:93" ht="15" customHeight="1">
      <c r="A129" s="12" t="s">
        <v>573</v>
      </c>
      <c r="B129" s="12">
        <v>2207.3055734999998</v>
      </c>
      <c r="C129" s="12">
        <v>5730.4310675000006</v>
      </c>
      <c r="D129" s="12">
        <v>7435.5692399999998</v>
      </c>
      <c r="E129" s="12">
        <v>7716.6759833333335</v>
      </c>
      <c r="F129" s="12">
        <v>7866.9062666666669</v>
      </c>
      <c r="G129" s="12">
        <v>8073.4371333333329</v>
      </c>
      <c r="H129" s="12">
        <v>8331.3041066666665</v>
      </c>
      <c r="I129" s="12">
        <v>8508.8553174999997</v>
      </c>
      <c r="J129" s="12">
        <v>8665.3105301666656</v>
      </c>
      <c r="K129" s="12">
        <v>8780.4</v>
      </c>
      <c r="L129" s="12" t="s">
        <v>574</v>
      </c>
      <c r="M129" s="12">
        <v>2625.7113614999998</v>
      </c>
      <c r="N129" s="12">
        <v>6492.4449408333321</v>
      </c>
      <c r="O129" s="12">
        <v>8365.7074799999991</v>
      </c>
      <c r="P129" s="12">
        <v>8644.263399999998</v>
      </c>
      <c r="Q129" s="12">
        <v>8811.5246499999994</v>
      </c>
      <c r="R129" s="12">
        <v>9120.3698416666684</v>
      </c>
      <c r="S129" s="12">
        <v>9314.2087066666681</v>
      </c>
      <c r="T129" s="12">
        <v>9444.4233166666672</v>
      </c>
      <c r="U129" s="12">
        <v>9642.9816766666681</v>
      </c>
      <c r="V129" s="12">
        <v>9785.24</v>
      </c>
      <c r="W129" s="12" t="s">
        <v>574</v>
      </c>
      <c r="Y129" s="12" t="s">
        <v>573</v>
      </c>
      <c r="Z129" s="12">
        <v>7487.5055716666675</v>
      </c>
      <c r="AA129" s="12">
        <v>7493.9026583333334</v>
      </c>
      <c r="AB129" s="12">
        <v>7501.8990166666672</v>
      </c>
      <c r="AC129" s="12">
        <v>7646.8351166666671</v>
      </c>
      <c r="AD129" s="12">
        <v>7925.1474000000007</v>
      </c>
      <c r="AE129" s="12">
        <v>8160.4890416666658</v>
      </c>
      <c r="AF129" s="12">
        <v>8529.3084283333337</v>
      </c>
      <c r="AG129" s="12">
        <v>8634.028180833333</v>
      </c>
      <c r="AH129" s="12">
        <v>8717.8039828333331</v>
      </c>
      <c r="AI129" s="12">
        <v>8870.7800000000007</v>
      </c>
      <c r="AJ129" s="12" t="s">
        <v>575</v>
      </c>
      <c r="AK129" s="12">
        <v>8429.3349296666656</v>
      </c>
      <c r="AL129" s="12">
        <v>8438.7494483333339</v>
      </c>
      <c r="AM129" s="12">
        <v>8450.5175966666666</v>
      </c>
      <c r="AN129" s="12">
        <v>8585.8297333333339</v>
      </c>
      <c r="AO129" s="12">
        <v>8883.1114999999991</v>
      </c>
      <c r="AP129" s="12">
        <v>9237.6655250000003</v>
      </c>
      <c r="AQ129" s="12">
        <v>9505.0305883333331</v>
      </c>
      <c r="AR129" s="12">
        <v>9610.4826108333327</v>
      </c>
      <c r="AS129" s="12">
        <v>9694.8442288333335</v>
      </c>
      <c r="AT129" s="12">
        <v>9850.83</v>
      </c>
      <c r="AU129" s="12" t="s">
        <v>575</v>
      </c>
      <c r="AW129" s="12">
        <f>IF(A129="","",MAX(0,MIN(1,(((IF(Статистика!$C$4="Параллельный режим (активная мощность)",B129,M129)+Статистика!$J$4))-Статистика!$C$10)/MAX(Статистика!$G$10-Статистика!$C$10,0.000001))))</f>
        <v>0</v>
      </c>
      <c r="AX129" s="12">
        <f>IF(A129="","",MAX(0,MAX(0,MIN(1,(((IF(Статистика!$C$4="Параллельный режим (активная мощность)",D129,O129)+Статистика!$J$4))-Статистика!$C$10)/MAX(Статистика!$G$10-Статистика!$C$10,0.000001)))-MAX(0,MIN(1,(((IF(Статистика!$C$4="Параллельный режим (активная мощность)",B129,M129)+Статистика!$J$4))-Статистика!$C$10)/MAX(Статистика!$G$10-Статистика!$C$10,0.000001)))))</f>
        <v>0.47852307999999993</v>
      </c>
      <c r="AY129" s="12">
        <f>IF(A129="","",MAX(0,MAX(0,MIN(1,(((IF(Статистика!$C$4="Параллельный режим (активная мощность)",E129,P129)+Статистика!$J$4))-Статистика!$C$10)/MAX(Статистика!$G$10-Статистика!$C$10,0.000001)))-MAX(0,MIN(1,(((IF(Статистика!$C$4="Параллельный режим (активная мощность)",D129,O129)+Статистика!$J$4))-Статистика!$C$10)/MAX(Статистика!$G$10-Статистика!$C$10,0.000001)))))</f>
        <v>9.3702247777777858E-2</v>
      </c>
      <c r="AZ129" s="12">
        <f>IF(A129="","",MAX(0,MAX(0,MIN(1,(((IF(Статистика!$C$4="Параллельный режим (активная мощность)",F129,Q129)+Статистика!$J$4))-Статистика!$C$10)/MAX(Статистика!$G$10-Статистика!$C$10,0.000001)))-MAX(0,MIN(1,(((IF(Статистика!$C$4="Параллельный режим (активная мощность)",E129,P129)+Статистика!$J$4))-Статистика!$C$10)/MAX(Статистика!$G$10-Статистика!$C$10,0.000001)))))</f>
        <v>5.0076761111111145E-2</v>
      </c>
      <c r="BA129" s="12">
        <f>IF(A129="","",MAX(0,MAX(0,MIN(1,(((IF(Статистика!$C$4="Параллельный режим (активная мощность)",G129,R129)+Статистика!$J$4))-Статистика!$C$10)/MAX(Статистика!$G$10-Статистика!$C$10,0.000001)))-MAX(0,MIN(1,(((IF(Статистика!$C$4="Параллельный режим (активная мощность)",F129,Q129)+Статистика!$J$4))-Статистика!$C$10)/MAX(Статистика!$G$10-Статистика!$C$10,0.000001)))))</f>
        <v>6.8843622222222067E-2</v>
      </c>
      <c r="BB129" s="12">
        <f>IF(A129="","",MAX(0,MAX(0,MIN(1,(((IF(Статистика!$C$4="Параллельный режим (активная мощность)",H129,S129)+Статистика!$J$4))-Статистика!$C$10)/MAX(Статистика!$G$10-Статистика!$C$10,0.000001)))-MAX(0,MIN(1,(((IF(Статистика!$C$4="Параллельный режим (активная мощность)",G129,R129)+Статистика!$J$4))-Статистика!$C$10)/MAX(Статистика!$G$10-Статистика!$C$10,0.000001)))))</f>
        <v>8.5955657777777805E-2</v>
      </c>
      <c r="BC129" s="12">
        <f>IF(A129="","",MAX(0,MAX(0,MIN(1,(((IF(Статистика!$C$4="Параллельный режим (активная мощность)",J129,U129)+Статистика!$J$4))-Статистика!$C$10)/MAX(Статистика!$G$10-Статистика!$C$10,0.000001)))-MAX(0,MIN(1,(((IF(Статистика!$C$4="Параллельный режим (активная мощность)",H129,S129)+Статистика!$J$4))-Статистика!$C$10)/MAX(Статистика!$G$10-Статистика!$C$10,0.000001)))))</f>
        <v>0.1113354744999997</v>
      </c>
      <c r="BD129" s="12">
        <f>IF(A129="","",MAX(0,1-MAX(0,MIN(1,(((IF(Статистика!$C$4="Параллельный режим (активная мощность)",J129,U129)+Статистика!$J$4))-Статистика!$C$10)/MAX(Статистика!$G$10-Статистика!$C$10,0.000001)))))</f>
        <v>0.11156315661111149</v>
      </c>
      <c r="BE129" s="12">
        <f>IF(A129="",NA(),IF(Статистика!$B$8="Вкл",(((IF(Статистика!$C$4="Параллельный режим (активная мощность)",F129,Q129)+Статистика!$J$4))-Статистика!$C$10)/MAX(Статистика!$G$10-Статистика!$C$10,0.000001),NA()))</f>
        <v>0.62230208888888894</v>
      </c>
      <c r="BF129" s="12">
        <f>IF(A129="",NA(),IF(Статистика!$D$8="Вкл",(((IF(Статистика!$C$4="Параллельный режим (активная мощность)",E129,P129)+Статистика!$J$4))-Статистика!$C$10)/MAX(Статистика!$G$10-Статистика!$C$10,0.000001),NA()))</f>
        <v>0.57222532777777779</v>
      </c>
      <c r="BG129" s="12">
        <f>IF(A129="",NA(),IF(Статистика!$D$8="Вкл",(((IF(Статистика!$C$4="Параллельный режим (активная мощность)",G129,R129)+Статистика!$J$4))-Статистика!$C$10)/MAX(Статистика!$G$10-Статистика!$C$10,0.000001),NA()))</f>
        <v>0.69114571111111101</v>
      </c>
      <c r="BH129" s="12">
        <f>IF(A129="",NA(),IF(Статистика!$F$8="Вкл",(((IF(Статистика!$C$4="Параллельный режим (активная мощность)",D129,O129)+Статистика!$J$4))-Статистика!$C$10)/MAX(Статистика!$G$10-Статистика!$C$10,0.000001),NA()))</f>
        <v>0.47852307999999993</v>
      </c>
      <c r="BI129" s="12">
        <f>IF(A129="",NA(),IF(Статистика!$F$8="Вкл",(((IF(Статистика!$C$4="Параллельный режим (активная мощность)",H129,S129)+Статистика!$J$4))-Статистика!$C$10)/MAX(Статистика!$G$10-Статистика!$C$10,0.000001),NA()))</f>
        <v>0.77710136888888881</v>
      </c>
      <c r="BJ129" s="12">
        <f>IF(A129="",NA(),IF(Статистика!$H$8="Вкл",(((IF(Статистика!$C$4="Параллельный режим (активная мощность)",B129,M129)+Статистика!$J$4))-Статистика!$C$10)/MAX(Статистика!$G$10-Статистика!$C$10,0.000001),NA()))</f>
        <v>-1.2642314755000001</v>
      </c>
      <c r="BK129" s="12">
        <f>IF(A129="",NA(),IF(Статистика!$H$8="Вкл",(((IF(Статистика!$C$4="Параллельный режим (активная мощность)",J129,U129)+Статистика!$J$4))-Статистика!$C$10)/MAX(Статистика!$G$10-Статистика!$C$10,0.000001),NA()))</f>
        <v>0.88843684338888851</v>
      </c>
      <c r="BL129" s="12" t="e">
        <f>IF(A129="",NA(),IF(Статистика!$J$8="Вкл",(((IF(Статистика!$C$4="Параллельный режим (активная мощность)",K129,V129)+Статистика!$J$4))-Статистика!$C$10)/MAX(Статистика!$G$10-Статистика!$C$10,0.000001),NA()))</f>
        <v>#N/A</v>
      </c>
      <c r="BM129" s="12" t="e">
        <f>IF(AND(A129&lt;&gt;"",Статистика!$C$6="Вкл",Статистика!$B$6&gt;0),(Статистика!$B$6-Статистика!$C$10)/MAX(Статистика!$G$10-Статистика!$C$10,0.000001),NA())</f>
        <v>#N/A</v>
      </c>
      <c r="BN129" s="12" t="e">
        <f>IF(AND(A129&lt;&gt;"",Статистика!$F$6="Вкл",Статистика!$E$6&gt;0),(Статистика!$E$6-Статистика!$C$10)/MAX(Статистика!$G$10-Статистика!$C$10,0.000001),NA())</f>
        <v>#N/A</v>
      </c>
      <c r="BO129" s="12" t="e">
        <f>IF(AND(A129&lt;&gt;"",Статистика!$I$6="Вкл",Статистика!$H$6&gt;0),(Статистика!$H$6-Статистика!$C$10)/MAX(Статистика!$G$10-Статистика!$C$10,0.000001),NA())</f>
        <v>#N/A</v>
      </c>
      <c r="BP129" s="12" t="e">
        <f>IF(AND(A129&lt;&gt;"",Статистика!$L$6="Вкл",Статистика!$K$6&gt;0),(Статистика!$K$6-Статистика!$C$10)/MAX(Статистика!$G$10-Статистика!$C$10,0.000001),NA())</f>
        <v>#N/A</v>
      </c>
      <c r="BQ129" s="12" t="e">
        <f>IF(AND(A129&lt;&gt;"",Статистика!$M$6="Вкл",Статистика!$O$6&gt;0),(Статистика!$O$6-Статистика!$C$10)/MAX(Статистика!$G$10-Статистика!$C$10,0.000001),NA())</f>
        <v>#N/A</v>
      </c>
      <c r="BR129" s="12">
        <f t="shared" si="2"/>
        <v>1</v>
      </c>
      <c r="BT129" s="12">
        <f>IF(Y129="","",MAX(0,MIN(1,(((IF(Статистика!$C$4="Параллельный режим (активная мощность)",Z129,AK129)+Статистика!$J$4))-Статистика!$C$10)/MAX(Статистика!$G$10-Статистика!$C$10,0.000001))))</f>
        <v>0.4958351905555558</v>
      </c>
      <c r="BU129" s="12">
        <f>IF(Y129="","",MAX(0,MAX(0,MIN(1,(((IF(Статистика!$C$4="Параллельный режим (активная мощность)",AB129,AM129)+Статистика!$J$4))-Статистика!$C$10)/MAX(Статистика!$G$10-Статистика!$C$10,0.000001)))-MAX(0,MIN(1,(((IF(Статистика!$C$4="Параллельный режим (активная мощность)",Z129,AK129)+Статистика!$J$4))-Статистика!$C$10)/MAX(Статистика!$G$10-Статистика!$C$10,0.000001)))))</f>
        <v>4.797814999999872E-3</v>
      </c>
      <c r="BV129" s="12">
        <f>IF(Y129="","",MAX(0,MAX(0,MIN(1,(((IF(Статистика!$C$4="Параллельный режим (активная мощность)",AC129,AN129)+Статистика!$J$4))-Статистика!$C$10)/MAX(Статистика!$G$10-Статистика!$C$10,0.000001)))-MAX(0,MIN(1,(((IF(Статистика!$C$4="Параллельный режим (активная мощность)",AB129,AM129)+Статистика!$J$4))-Статистика!$C$10)/MAX(Статистика!$G$10-Статистика!$C$10,0.000001)))))</f>
        <v>4.8312033333333337E-2</v>
      </c>
      <c r="BW129" s="12">
        <f>IF(Y129="","",MAX(0,MAX(0,MIN(1,(((IF(Статистика!$C$4="Параллельный режим (активная мощность)",AD129,AO129)+Статистика!$J$4))-Статистика!$C$10)/MAX(Статистика!$G$10-Статистика!$C$10,0.000001)))-MAX(0,MIN(1,(((IF(Статистика!$C$4="Параллельный режим (активная мощность)",AC129,AN129)+Статистика!$J$4))-Статистика!$C$10)/MAX(Статистика!$G$10-Статистика!$C$10,0.000001)))))</f>
        <v>9.2770761111111266E-2</v>
      </c>
      <c r="BX129" s="12">
        <f>IF(Y129="","",MAX(0,MAX(0,MIN(1,(((IF(Статистика!$C$4="Параллельный режим (активная мощность)",AE129,AP129)+Статистика!$J$4))-Статистика!$C$10)/MAX(Статистика!$G$10-Статистика!$C$10,0.000001)))-MAX(0,MIN(1,(((IF(Статистика!$C$4="Параллельный режим (активная мощность)",AD129,AO129)+Статистика!$J$4))-Статистика!$C$10)/MAX(Статистика!$G$10-Статистика!$C$10,0.000001)))))</f>
        <v>7.8447213888888312E-2</v>
      </c>
      <c r="BY129" s="12">
        <f>IF(Y129="","",MAX(0,MAX(0,MIN(1,(((IF(Статистика!$C$4="Параллельный режим (активная мощность)",AF129,AQ129)+Статистика!$J$4))-Статистика!$C$10)/MAX(Статистика!$G$10-Статистика!$C$10,0.000001)))-MAX(0,MIN(1,(((IF(Статистика!$C$4="Параллельный режим (активная мощность)",AE129,AP129)+Статистика!$J$4))-Статистика!$C$10)/MAX(Статистика!$G$10-Статистика!$C$10,0.000001)))))</f>
        <v>0.12293979555555601</v>
      </c>
      <c r="BZ129" s="12">
        <f>IF(Y129="","",MAX(0,MAX(0,MIN(1,(((IF(Статистика!$C$4="Параллельный режим (активная мощность)",AH129,AS129)+Статистика!$J$4))-Статистика!$C$10)/MAX(Статистика!$G$10-Статистика!$C$10,0.000001)))-MAX(0,MIN(1,(((IF(Статистика!$C$4="Параллельный режим (активная мощность)",AF129,AQ129)+Статистика!$J$4))-Статистика!$C$10)/MAX(Статистика!$G$10-Статистика!$C$10,0.000001)))))</f>
        <v>6.2831851499999702E-2</v>
      </c>
      <c r="CA129" s="12">
        <f>IF(Y129="","",MAX(0,1-MAX(0,MIN(1,(((IF(Статистика!$C$4="Параллельный режим (активная мощность)",AH129,AS129)+Статистика!$J$4))-Статистика!$C$10)/MAX(Статистика!$G$10-Статистика!$C$10,0.000001)))))</f>
        <v>9.4065339055555697E-2</v>
      </c>
      <c r="CB129" s="12">
        <f>IF(Y129="",NA(),IF(Статистика!$B$8="Вкл",(((IF(Статистика!$C$4="Параллельный режим (активная мощность)",AD129,AO129)+Статистика!$J$4))-Статистика!$C$10)/MAX(Статистика!$G$10-Статистика!$C$10,0.000001),NA()))</f>
        <v>0.64171580000000028</v>
      </c>
      <c r="CC129" s="12">
        <f>IF(Y129="",NA(),IF(Статистика!$D$8="Вкл",(((IF(Статистика!$C$4="Параллельный режим (активная мощность)",AC129,AN129)+Статистика!$J$4))-Статистика!$C$10)/MAX(Статистика!$G$10-Статистика!$C$10,0.000001),NA()))</f>
        <v>0.54894503888888901</v>
      </c>
      <c r="CD129" s="12">
        <f>IF(Y129="",NA(),IF(Статистика!$D$8="Вкл",(((IF(Статистика!$C$4="Параллельный режим (активная мощность)",AE129,AP129)+Статистика!$J$4))-Статистика!$C$10)/MAX(Статистика!$G$10-Статистика!$C$10,0.000001),NA()))</f>
        <v>0.72016301388888859</v>
      </c>
      <c r="CE129" s="12">
        <f>IF(Y129="",NA(),IF(Статистика!$F$8="Вкл",(((IF(Статистика!$C$4="Параллельный режим (активная мощность)",AB129,AM129)+Статистика!$J$4))-Статистика!$C$10)/MAX(Статистика!$G$10-Статистика!$C$10,0.000001),NA()))</f>
        <v>0.50063300555555568</v>
      </c>
      <c r="CF129" s="12">
        <f>IF(Y129="",NA(),IF(Статистика!$F$8="Вкл",(((IF(Статистика!$C$4="Параллельный режим (активная мощность)",AF129,AQ129)+Статистика!$J$4))-Статистика!$C$10)/MAX(Статистика!$G$10-Статистика!$C$10,0.000001),NA()))</f>
        <v>0.8431028094444446</v>
      </c>
      <c r="CG129" s="12">
        <f>IF(Y129="",NA(),IF(Статистика!$H$8="Вкл",(((IF(Статистика!$C$4="Параллельный режим (активная мощность)",Z129,AK129)+Статистика!$J$4))-Статистика!$C$10)/MAX(Статистика!$G$10-Статистика!$C$10,0.000001),NA()))</f>
        <v>0.4958351905555558</v>
      </c>
      <c r="CH129" s="12">
        <f>IF(Y129="",NA(),IF(Статистика!$H$8="Вкл",(((IF(Статистика!$C$4="Параллельный режим (активная мощность)",AH129,AS129)+Статистика!$J$4))-Статистика!$C$10)/MAX(Статистика!$G$10-Статистика!$C$10,0.000001),NA()))</f>
        <v>0.9059346609444443</v>
      </c>
      <c r="CI129" s="12" t="e">
        <f>IF(Y129="",NA(),IF(Статистика!$J$8="Вкл",(((IF(Статистика!$C$4="Параллельный режим (активная мощность)",AI129,AT129)+Статистика!$J$4))-Статистика!$C$10)/MAX(Статистика!$G$10-Статистика!$C$10,0.000001),NA()))</f>
        <v>#N/A</v>
      </c>
      <c r="CJ129" s="12" t="e">
        <f>IF(AND(Y129&lt;&gt;"",Статистика!$C$6="Вкл",Статистика!$B$6&gt;0),(Статистика!$B$6-Статистика!$C$10)/MAX(Статистика!$G$10-Статистика!$C$10,0.000001),NA())</f>
        <v>#N/A</v>
      </c>
      <c r="CK129" s="12" t="e">
        <f>IF(AND(Y129&lt;&gt;"",Статистика!$F$6="Вкл",Статистика!$E$6&gt;0),(Статистика!$E$6-Статистика!$C$10)/MAX(Статистика!$G$10-Статистика!$C$10,0.000001),NA())</f>
        <v>#N/A</v>
      </c>
      <c r="CL129" s="12" t="e">
        <f>IF(AND(Y129&lt;&gt;"",Статистика!$I$6="Вкл",Статистика!$H$6&gt;0),(Статистика!$H$6-Статистика!$C$10)/MAX(Статистика!$G$10-Статистика!$C$10,0.000001),NA())</f>
        <v>#N/A</v>
      </c>
      <c r="CM129" s="12" t="e">
        <f>IF(AND(Y129&lt;&gt;"",Статистика!$L$6="Вкл",Статистика!$K$6&gt;0),(Статистика!$K$6-Статистика!$C$10)/MAX(Статистика!$G$10-Статистика!$C$10,0.000001),NA())</f>
        <v>#N/A</v>
      </c>
      <c r="CN129" s="12" t="e">
        <f>IF(AND(Y129&lt;&gt;"",Статистика!$M$6="Вкл",Статистика!$O$6&gt;0),(Статистика!$O$6-Статистика!$C$10)/MAX(Статистика!$G$10-Статистика!$C$10,0.000001),NA())</f>
        <v>#N/A</v>
      </c>
      <c r="CO129" s="12">
        <f t="shared" si="3"/>
        <v>1</v>
      </c>
    </row>
    <row r="130" spans="1:93" ht="15" customHeight="1">
      <c r="A130" s="12" t="s">
        <v>576</v>
      </c>
      <c r="B130" s="12">
        <v>2375.5405039999996</v>
      </c>
      <c r="C130" s="12">
        <v>5832.0825199999999</v>
      </c>
      <c r="D130" s="12">
        <v>7474.9424449999988</v>
      </c>
      <c r="E130" s="12">
        <v>7675.7286000000004</v>
      </c>
      <c r="F130" s="12">
        <v>7849.034733333333</v>
      </c>
      <c r="G130" s="12">
        <v>8067.6881333333313</v>
      </c>
      <c r="H130" s="12">
        <v>8294.7407199999998</v>
      </c>
      <c r="I130" s="12">
        <v>8475.4982500000006</v>
      </c>
      <c r="J130" s="12">
        <v>8668.043169999999</v>
      </c>
      <c r="K130" s="12">
        <v>8833.8799999999992</v>
      </c>
      <c r="L130" s="12" t="s">
        <v>577</v>
      </c>
      <c r="M130" s="12">
        <v>2812.1859745000002</v>
      </c>
      <c r="N130" s="12">
        <v>6616.7354725000005</v>
      </c>
      <c r="O130" s="12">
        <v>8430.8903650000011</v>
      </c>
      <c r="P130" s="12">
        <v>8617.8183750000007</v>
      </c>
      <c r="Q130" s="12">
        <v>8797.4715833333339</v>
      </c>
      <c r="R130" s="12">
        <v>9107.6264166666679</v>
      </c>
      <c r="S130" s="12">
        <v>9329.4956333333339</v>
      </c>
      <c r="T130" s="12">
        <v>9453.9553391666668</v>
      </c>
      <c r="U130" s="12">
        <v>9654.2981078333341</v>
      </c>
      <c r="V130" s="12">
        <v>9806.56</v>
      </c>
      <c r="W130" s="12" t="s">
        <v>578</v>
      </c>
      <c r="Y130" s="12" t="s">
        <v>576</v>
      </c>
      <c r="Z130" s="12">
        <v>7479.6732110000003</v>
      </c>
      <c r="AA130" s="12">
        <v>7480.6749883333332</v>
      </c>
      <c r="AB130" s="12">
        <v>7481.9272099999998</v>
      </c>
      <c r="AC130" s="12">
        <v>7705.1304666666656</v>
      </c>
      <c r="AD130" s="12">
        <v>7893.6813499999989</v>
      </c>
      <c r="AE130" s="12">
        <v>8170.3383000000013</v>
      </c>
      <c r="AF130" s="12">
        <v>8558.5705716666671</v>
      </c>
      <c r="AG130" s="12">
        <v>8668.7273858333319</v>
      </c>
      <c r="AH130" s="12">
        <v>8756.8528371666653</v>
      </c>
      <c r="AI130" s="12">
        <v>8906.99</v>
      </c>
      <c r="AJ130" s="12" t="s">
        <v>579</v>
      </c>
      <c r="AK130" s="12">
        <v>8412.158779833333</v>
      </c>
      <c r="AL130" s="12">
        <v>8440.1236325000009</v>
      </c>
      <c r="AM130" s="12">
        <v>8475.0796983333348</v>
      </c>
      <c r="AN130" s="12">
        <v>8631.9083749999991</v>
      </c>
      <c r="AO130" s="12">
        <v>8862.7015833333335</v>
      </c>
      <c r="AP130" s="12">
        <v>9263.0621666666666</v>
      </c>
      <c r="AQ130" s="12">
        <v>9515.8194049999984</v>
      </c>
      <c r="AR130" s="12">
        <v>9620.1137691666663</v>
      </c>
      <c r="AS130" s="12">
        <v>9703.5492604999999</v>
      </c>
      <c r="AT130" s="12">
        <v>9836.2000000000007</v>
      </c>
      <c r="AU130" s="12" t="s">
        <v>580</v>
      </c>
      <c r="AW130" s="12">
        <f>IF(A130="","",MAX(0,MIN(1,(((IF(Статистика!$C$4="Параллельный режим (активная мощность)",B130,M130)+Статистика!$J$4))-Статистика!$C$10)/MAX(Статистика!$G$10-Статистика!$C$10,0.000001))))</f>
        <v>0</v>
      </c>
      <c r="AX130" s="12">
        <f>IF(A130="","",MAX(0,MAX(0,MIN(1,(((IF(Статистика!$C$4="Параллельный режим (активная мощность)",D130,O130)+Статистика!$J$4))-Статистика!$C$10)/MAX(Статистика!$G$10-Статистика!$C$10,0.000001)))-MAX(0,MIN(1,(((IF(Статистика!$C$4="Параллельный режим (активная мощность)",B130,M130)+Статистика!$J$4))-Статистика!$C$10)/MAX(Статистика!$G$10-Статистика!$C$10,0.000001)))))</f>
        <v>0.49164748166666628</v>
      </c>
      <c r="AY130" s="12">
        <f>IF(A130="","",MAX(0,MAX(0,MIN(1,(((IF(Статистика!$C$4="Параллельный режим (активная мощность)",E130,P130)+Статистика!$J$4))-Статистика!$C$10)/MAX(Статистика!$G$10-Статистика!$C$10,0.000001)))-MAX(0,MIN(1,(((IF(Статистика!$C$4="Параллельный режим (активная мощность)",D130,O130)+Статистика!$J$4))-Статистика!$C$10)/MAX(Статистика!$G$10-Статистика!$C$10,0.000001)))))</f>
        <v>6.6928718333333803E-2</v>
      </c>
      <c r="AZ130" s="12">
        <f>IF(A130="","",MAX(0,MAX(0,MIN(1,(((IF(Статистика!$C$4="Параллельный режим (активная мощность)",F130,Q130)+Статистика!$J$4))-Статистика!$C$10)/MAX(Статистика!$G$10-Статистика!$C$10,0.000001)))-MAX(0,MIN(1,(((IF(Статистика!$C$4="Параллельный режим (активная мощность)",E130,P130)+Статистика!$J$4))-Статистика!$C$10)/MAX(Статистика!$G$10-Статистика!$C$10,0.000001)))))</f>
        <v>5.7768711111110926E-2</v>
      </c>
      <c r="BA130" s="12">
        <f>IF(A130="","",MAX(0,MAX(0,MIN(1,(((IF(Статистика!$C$4="Параллельный режим (активная мощность)",G130,R130)+Статистика!$J$4))-Статистика!$C$10)/MAX(Статистика!$G$10-Статистика!$C$10,0.000001)))-MAX(0,MIN(1,(((IF(Статистика!$C$4="Параллельный режим (активная мощность)",F130,Q130)+Статистика!$J$4))-Статистика!$C$10)/MAX(Статистика!$G$10-Статистика!$C$10,0.000001)))))</f>
        <v>7.2884466666666037E-2</v>
      </c>
      <c r="BB130" s="12">
        <f>IF(A130="","",MAX(0,MAX(0,MIN(1,(((IF(Статистика!$C$4="Параллельный режим (активная мощность)",H130,S130)+Статистика!$J$4))-Статистика!$C$10)/MAX(Статистика!$G$10-Статистика!$C$10,0.000001)))-MAX(0,MIN(1,(((IF(Статистика!$C$4="Параллельный режим (активная мощность)",G130,R130)+Статистика!$J$4))-Статистика!$C$10)/MAX(Статистика!$G$10-Статистика!$C$10,0.000001)))))</f>
        <v>7.5684195555556166E-2</v>
      </c>
      <c r="BC130" s="12">
        <f>IF(A130="","",MAX(0,MAX(0,MIN(1,(((IF(Статистика!$C$4="Параллельный режим (активная мощность)",J130,U130)+Статистика!$J$4))-Статистика!$C$10)/MAX(Статистика!$G$10-Статистика!$C$10,0.000001)))-MAX(0,MIN(1,(((IF(Статистика!$C$4="Параллельный режим (активная мощность)",H130,S130)+Статистика!$J$4))-Статистика!$C$10)/MAX(Статистика!$G$10-Статистика!$C$10,0.000001)))))</f>
        <v>0.1244341499999998</v>
      </c>
      <c r="BD130" s="12">
        <f>IF(A130="","",MAX(0,1-MAX(0,MIN(1,(((IF(Статистика!$C$4="Параллельный режим (активная мощность)",J130,U130)+Статистика!$J$4))-Статистика!$C$10)/MAX(Статистика!$G$10-Статистика!$C$10,0.000001)))))</f>
        <v>0.11065227666666699</v>
      </c>
      <c r="BE130" s="12">
        <f>IF(A130="",NA(),IF(Статистика!$B$8="Вкл",(((IF(Статистика!$C$4="Параллельный режим (активная мощность)",F130,Q130)+Статистика!$J$4))-Статистика!$C$10)/MAX(Статистика!$G$10-Статистика!$C$10,0.000001),NA()))</f>
        <v>0.616344911111111</v>
      </c>
      <c r="BF130" s="12">
        <f>IF(A130="",NA(),IF(Статистика!$D$8="Вкл",(((IF(Статистика!$C$4="Параллельный режим (активная мощность)",E130,P130)+Статистика!$J$4))-Статистика!$C$10)/MAX(Статистика!$G$10-Статистика!$C$10,0.000001),NA()))</f>
        <v>0.55857620000000008</v>
      </c>
      <c r="BG130" s="12">
        <f>IF(A130="",NA(),IF(Статистика!$D$8="Вкл",(((IF(Статистика!$C$4="Параллельный режим (активная мощность)",G130,R130)+Статистика!$J$4))-Статистика!$C$10)/MAX(Статистика!$G$10-Статистика!$C$10,0.000001),NA()))</f>
        <v>0.68922937777777704</v>
      </c>
      <c r="BH130" s="12">
        <f>IF(A130="",NA(),IF(Статистика!$F$8="Вкл",(((IF(Статистика!$C$4="Параллельный режим (активная мощность)",D130,O130)+Статистика!$J$4))-Статистика!$C$10)/MAX(Статистика!$G$10-Статистика!$C$10,0.000001),NA()))</f>
        <v>0.49164748166666628</v>
      </c>
      <c r="BI130" s="12">
        <f>IF(A130="",NA(),IF(Статистика!$F$8="Вкл",(((IF(Статистика!$C$4="Параллельный режим (активная мощность)",H130,S130)+Статистика!$J$4))-Статистика!$C$10)/MAX(Статистика!$G$10-Статистика!$C$10,0.000001),NA()))</f>
        <v>0.76491357333333321</v>
      </c>
      <c r="BJ130" s="12">
        <f>IF(A130="",NA(),IF(Статистика!$H$8="Вкл",(((IF(Статистика!$C$4="Параллельный режим (активная мощность)",B130,M130)+Статистика!$J$4))-Статистика!$C$10)/MAX(Статистика!$G$10-Статистика!$C$10,0.000001),NA()))</f>
        <v>-1.2081531653333335</v>
      </c>
      <c r="BK130" s="12">
        <f>IF(A130="",NA(),IF(Статистика!$H$8="Вкл",(((IF(Статистика!$C$4="Параллельный режим (активная мощность)",J130,U130)+Статистика!$J$4))-Статистика!$C$10)/MAX(Статистика!$G$10-Статистика!$C$10,0.000001),NA()))</f>
        <v>0.88934772333333301</v>
      </c>
      <c r="BL130" s="12" t="e">
        <f>IF(A130="",NA(),IF(Статистика!$J$8="Вкл",(((IF(Статистика!$C$4="Параллельный режим (активная мощность)",K130,V130)+Статистика!$J$4))-Статистика!$C$10)/MAX(Статистика!$G$10-Статистика!$C$10,0.000001),NA()))</f>
        <v>#N/A</v>
      </c>
      <c r="BM130" s="12" t="e">
        <f>IF(AND(A130&lt;&gt;"",Статистика!$C$6="Вкл",Статистика!$B$6&gt;0),(Статистика!$B$6-Статистика!$C$10)/MAX(Статистика!$G$10-Статистика!$C$10,0.000001),NA())</f>
        <v>#N/A</v>
      </c>
      <c r="BN130" s="12" t="e">
        <f>IF(AND(A130&lt;&gt;"",Статистика!$F$6="Вкл",Статистика!$E$6&gt;0),(Статистика!$E$6-Статистика!$C$10)/MAX(Статистика!$G$10-Статистика!$C$10,0.000001),NA())</f>
        <v>#N/A</v>
      </c>
      <c r="BO130" s="12" t="e">
        <f>IF(AND(A130&lt;&gt;"",Статистика!$I$6="Вкл",Статистика!$H$6&gt;0),(Статистика!$H$6-Статистика!$C$10)/MAX(Статистика!$G$10-Статистика!$C$10,0.000001),NA())</f>
        <v>#N/A</v>
      </c>
      <c r="BP130" s="12" t="e">
        <f>IF(AND(A130&lt;&gt;"",Статистика!$L$6="Вкл",Статистика!$K$6&gt;0),(Статистика!$K$6-Статистика!$C$10)/MAX(Статистика!$G$10-Статистика!$C$10,0.000001),NA())</f>
        <v>#N/A</v>
      </c>
      <c r="BQ130" s="12" t="e">
        <f>IF(AND(A130&lt;&gt;"",Статистика!$M$6="Вкл",Статистика!$O$6&gt;0),(Статистика!$O$6-Статистика!$C$10)/MAX(Статистика!$G$10-Статистика!$C$10,0.000001),NA())</f>
        <v>#N/A</v>
      </c>
      <c r="BR130" s="12">
        <f t="shared" ref="BR130:BR193" si="4">IF(A130="",NA(),1)</f>
        <v>1</v>
      </c>
      <c r="BT130" s="12">
        <f>IF(Y130="","",MAX(0,MIN(1,(((IF(Статистика!$C$4="Параллельный режим (активная мощность)",Z130,AK130)+Статистика!$J$4))-Статистика!$C$10)/MAX(Статистика!$G$10-Статистика!$C$10,0.000001))))</f>
        <v>0.49322440366666676</v>
      </c>
      <c r="BU130" s="12">
        <f>IF(Y130="","",MAX(0,MAX(0,MIN(1,(((IF(Статистика!$C$4="Параллельный режим (активная мощность)",AB130,AM130)+Статистика!$J$4))-Статистика!$C$10)/MAX(Статистика!$G$10-Статистика!$C$10,0.000001)))-MAX(0,MIN(1,(((IF(Статистика!$C$4="Параллельный режим (активная мощность)",Z130,AK130)+Статистика!$J$4))-Статистика!$C$10)/MAX(Статистика!$G$10-Статистика!$C$10,0.000001)))))</f>
        <v>7.5133299999985415E-4</v>
      </c>
      <c r="BV130" s="12">
        <f>IF(Y130="","",MAX(0,MAX(0,MIN(1,(((IF(Статистика!$C$4="Параллельный режим (активная мощность)",AC130,AN130)+Статистика!$J$4))-Статистика!$C$10)/MAX(Статистика!$G$10-Статистика!$C$10,0.000001)))-MAX(0,MIN(1,(((IF(Статистика!$C$4="Параллельный режим (активная мощность)",AB130,AM130)+Статистика!$J$4))-Статистика!$C$10)/MAX(Статистика!$G$10-Статистика!$C$10,0.000001)))))</f>
        <v>7.4401085555555246E-2</v>
      </c>
      <c r="BW130" s="12">
        <f>IF(Y130="","",MAX(0,MAX(0,MIN(1,(((IF(Статистика!$C$4="Параллельный режим (активная мощность)",AD130,AO130)+Статистика!$J$4))-Статистика!$C$10)/MAX(Статистика!$G$10-Статистика!$C$10,0.000001)))-MAX(0,MIN(1,(((IF(Статистика!$C$4="Параллельный режим (активная мощность)",AC130,AN130)+Статистика!$J$4))-Статистика!$C$10)/MAX(Статистика!$G$10-Статистика!$C$10,0.000001)))))</f>
        <v>6.2850294444444454E-2</v>
      </c>
      <c r="BX130" s="12">
        <f>IF(Y130="","",MAX(0,MAX(0,MIN(1,(((IF(Статистика!$C$4="Параллельный режим (активная мощность)",AE130,AP130)+Статистика!$J$4))-Статистика!$C$10)/MAX(Статистика!$G$10-Статистика!$C$10,0.000001)))-MAX(0,MIN(1,(((IF(Статистика!$C$4="Параллельный режим (активная мощность)",AD130,AO130)+Статистика!$J$4))-Статистика!$C$10)/MAX(Статистика!$G$10-Статистика!$C$10,0.000001)))))</f>
        <v>9.2218983333334115E-2</v>
      </c>
      <c r="BY130" s="12">
        <f>IF(Y130="","",MAX(0,MAX(0,MIN(1,(((IF(Статистика!$C$4="Параллельный режим (активная мощность)",AF130,AQ130)+Статистика!$J$4))-Статистика!$C$10)/MAX(Статистика!$G$10-Статистика!$C$10,0.000001)))-MAX(0,MIN(1,(((IF(Статистика!$C$4="Параллельный режим (активная мощность)",AE130,AP130)+Статистика!$J$4))-Статистика!$C$10)/MAX(Статистика!$G$10-Статистика!$C$10,0.000001)))))</f>
        <v>0.12941075722222195</v>
      </c>
      <c r="BZ130" s="12">
        <f>IF(Y130="","",MAX(0,MAX(0,MIN(1,(((IF(Статистика!$C$4="Параллельный режим (активная мощность)",AH130,AS130)+Статистика!$J$4))-Статистика!$C$10)/MAX(Статистика!$G$10-Статистика!$C$10,0.000001)))-MAX(0,MIN(1,(((IF(Статистика!$C$4="Параллельный режим (активная мощность)",AF130,AQ130)+Статистика!$J$4))-Статистика!$C$10)/MAX(Статистика!$G$10-Статистика!$C$10,0.000001)))))</f>
        <v>6.6094088499999426E-2</v>
      </c>
      <c r="CA130" s="12">
        <f>IF(Y130="","",MAX(0,1-MAX(0,MIN(1,(((IF(Статистика!$C$4="Параллельный режим (активная мощность)",AH130,AS130)+Статистика!$J$4))-Статистика!$C$10)/MAX(Статистика!$G$10-Статистика!$C$10,0.000001)))))</f>
        <v>8.1049054277778199E-2</v>
      </c>
      <c r="CB130" s="12">
        <f>IF(Y130="",NA(),IF(Статистика!$B$8="Вкл",(((IF(Статистика!$C$4="Параллельный режим (активная мощность)",AD130,AO130)+Статистика!$J$4))-Статистика!$C$10)/MAX(Статистика!$G$10-Статистика!$C$10,0.000001),NA()))</f>
        <v>0.63122711666666631</v>
      </c>
      <c r="CC130" s="12">
        <f>IF(Y130="",NA(),IF(Статистика!$D$8="Вкл",(((IF(Статистика!$C$4="Параллельный режим (активная мощность)",AC130,AN130)+Статистика!$J$4))-Статистика!$C$10)/MAX(Статистика!$G$10-Статистика!$C$10,0.000001),NA()))</f>
        <v>0.56837682222222186</v>
      </c>
      <c r="CD130" s="12">
        <f>IF(Y130="",NA(),IF(Статистика!$D$8="Вкл",(((IF(Статистика!$C$4="Параллельный режим (активная мощность)",AE130,AP130)+Статистика!$J$4))-Статистика!$C$10)/MAX(Статистика!$G$10-Статистика!$C$10,0.000001),NA()))</f>
        <v>0.72344610000000042</v>
      </c>
      <c r="CE130" s="12">
        <f>IF(Y130="",NA(),IF(Статистика!$F$8="Вкл",(((IF(Статистика!$C$4="Параллельный режим (активная мощность)",AB130,AM130)+Статистика!$J$4))-Статистика!$C$10)/MAX(Статистика!$G$10-Статистика!$C$10,0.000001),NA()))</f>
        <v>0.49397573666666661</v>
      </c>
      <c r="CF130" s="12">
        <f>IF(Y130="",NA(),IF(Статистика!$F$8="Вкл",(((IF(Статистика!$C$4="Параллельный режим (активная мощность)",AF130,AQ130)+Статистика!$J$4))-Статистика!$C$10)/MAX(Статистика!$G$10-Статистика!$C$10,0.000001),NA()))</f>
        <v>0.85285685722222238</v>
      </c>
      <c r="CG130" s="12">
        <f>IF(Y130="",NA(),IF(Статистика!$H$8="Вкл",(((IF(Статистика!$C$4="Параллельный режим (активная мощность)",Z130,AK130)+Статистика!$J$4))-Статистика!$C$10)/MAX(Статистика!$G$10-Статистика!$C$10,0.000001),NA()))</f>
        <v>0.49322440366666676</v>
      </c>
      <c r="CH130" s="12">
        <f>IF(Y130="",NA(),IF(Статистика!$H$8="Вкл",(((IF(Статистика!$C$4="Параллельный режим (активная мощность)",AH130,AS130)+Статистика!$J$4))-Статистика!$C$10)/MAX(Статистика!$G$10-Статистика!$C$10,0.000001),NA()))</f>
        <v>0.9189509457222218</v>
      </c>
      <c r="CI130" s="12" t="e">
        <f>IF(Y130="",NA(),IF(Статистика!$J$8="Вкл",(((IF(Статистика!$C$4="Параллельный режим (активная мощность)",AI130,AT130)+Статистика!$J$4))-Статистика!$C$10)/MAX(Статистика!$G$10-Статистика!$C$10,0.000001),NA()))</f>
        <v>#N/A</v>
      </c>
      <c r="CJ130" s="12" t="e">
        <f>IF(AND(Y130&lt;&gt;"",Статистика!$C$6="Вкл",Статистика!$B$6&gt;0),(Статистика!$B$6-Статистика!$C$10)/MAX(Статистика!$G$10-Статистика!$C$10,0.000001),NA())</f>
        <v>#N/A</v>
      </c>
      <c r="CK130" s="12" t="e">
        <f>IF(AND(Y130&lt;&gt;"",Статистика!$F$6="Вкл",Статистика!$E$6&gt;0),(Статистика!$E$6-Статистика!$C$10)/MAX(Статистика!$G$10-Статистика!$C$10,0.000001),NA())</f>
        <v>#N/A</v>
      </c>
      <c r="CL130" s="12" t="e">
        <f>IF(AND(Y130&lt;&gt;"",Статистика!$I$6="Вкл",Статистика!$H$6&gt;0),(Статистика!$H$6-Статистика!$C$10)/MAX(Статистика!$G$10-Статистика!$C$10,0.000001),NA())</f>
        <v>#N/A</v>
      </c>
      <c r="CM130" s="12" t="e">
        <f>IF(AND(Y130&lt;&gt;"",Статистика!$L$6="Вкл",Статистика!$K$6&gt;0),(Статистика!$K$6-Статистика!$C$10)/MAX(Статистика!$G$10-Статистика!$C$10,0.000001),NA())</f>
        <v>#N/A</v>
      </c>
      <c r="CN130" s="12" t="e">
        <f>IF(AND(Y130&lt;&gt;"",Статистика!$M$6="Вкл",Статистика!$O$6&gt;0),(Статистика!$O$6-Статистика!$C$10)/MAX(Статистика!$G$10-Статистика!$C$10,0.000001),NA())</f>
        <v>#N/A</v>
      </c>
      <c r="CO130" s="12">
        <f t="shared" ref="CO130:CO193" si="5">IF(Y130="",NA(),1)</f>
        <v>1</v>
      </c>
    </row>
    <row r="131" spans="1:93" ht="15" customHeight="1">
      <c r="A131" s="12" t="s">
        <v>581</v>
      </c>
      <c r="B131" s="12">
        <v>2546.2296911666667</v>
      </c>
      <c r="C131" s="12">
        <v>5879.7476558333346</v>
      </c>
      <c r="D131" s="12">
        <v>7479.2733566666675</v>
      </c>
      <c r="E131" s="12">
        <v>7655.5346333333337</v>
      </c>
      <c r="F131" s="12">
        <v>7877.4243000000006</v>
      </c>
      <c r="G131" s="12">
        <v>8113.9812166666679</v>
      </c>
      <c r="H131" s="12">
        <v>8277.2509833333334</v>
      </c>
      <c r="I131" s="12">
        <v>8464.3246633333329</v>
      </c>
      <c r="J131" s="12">
        <v>8636.4647193333349</v>
      </c>
      <c r="K131" s="12">
        <v>8817.39</v>
      </c>
      <c r="L131" s="12" t="s">
        <v>582</v>
      </c>
      <c r="M131" s="12">
        <v>2984.3788591666666</v>
      </c>
      <c r="N131" s="12">
        <v>6680.9720291666672</v>
      </c>
      <c r="O131" s="12">
        <v>8448.3514516666673</v>
      </c>
      <c r="P131" s="12">
        <v>8613.2600750000001</v>
      </c>
      <c r="Q131" s="12">
        <v>8823.384916666666</v>
      </c>
      <c r="R131" s="12">
        <v>9130.4958750000005</v>
      </c>
      <c r="S131" s="12">
        <v>9318.9028366666662</v>
      </c>
      <c r="T131" s="12">
        <v>9447.6646916666668</v>
      </c>
      <c r="U131" s="12">
        <v>9624.9631516666668</v>
      </c>
      <c r="V131" s="12">
        <v>9800.76</v>
      </c>
      <c r="W131" s="12" t="s">
        <v>582</v>
      </c>
      <c r="Y131" s="12" t="s">
        <v>581</v>
      </c>
      <c r="Z131" s="12">
        <v>7455.6440586666658</v>
      </c>
      <c r="AA131" s="12">
        <v>7463.4674933333326</v>
      </c>
      <c r="AB131" s="12">
        <v>7473.2467866666657</v>
      </c>
      <c r="AC131" s="12">
        <v>7836.0248750000001</v>
      </c>
      <c r="AD131" s="12">
        <v>7943.5566999999992</v>
      </c>
      <c r="AE131" s="12">
        <v>8175.0597916666666</v>
      </c>
      <c r="AF131" s="12">
        <v>8536.3950116666674</v>
      </c>
      <c r="AG131" s="12">
        <v>8639.9420725</v>
      </c>
      <c r="AH131" s="12">
        <v>8722.7797211666675</v>
      </c>
      <c r="AI131" s="12">
        <v>8850.23</v>
      </c>
      <c r="AJ131" s="12" t="s">
        <v>583</v>
      </c>
      <c r="AK131" s="12">
        <v>8367.6849463333347</v>
      </c>
      <c r="AL131" s="12">
        <v>8408.6481983333342</v>
      </c>
      <c r="AM131" s="12">
        <v>8459.8522633333323</v>
      </c>
      <c r="AN131" s="12">
        <v>8756.3704083333341</v>
      </c>
      <c r="AO131" s="12">
        <v>8924.9706833333348</v>
      </c>
      <c r="AP131" s="12">
        <v>9248.2386333333343</v>
      </c>
      <c r="AQ131" s="12">
        <v>9479.4821033333319</v>
      </c>
      <c r="AR131" s="12">
        <v>9578.339818333332</v>
      </c>
      <c r="AS131" s="12">
        <v>9657.4259903333314</v>
      </c>
      <c r="AT131" s="12">
        <v>9802.3799999999992</v>
      </c>
      <c r="AU131" s="12" t="s">
        <v>584</v>
      </c>
      <c r="AW131" s="12">
        <f>IF(A131="","",MAX(0,MIN(1,(((IF(Статистика!$C$4="Параллельный режим (активная мощность)",B131,M131)+Статистика!$J$4))-Статистика!$C$10)/MAX(Статистика!$G$10-Статистика!$C$10,0.000001))))</f>
        <v>0</v>
      </c>
      <c r="AX131" s="12">
        <f>IF(A131="","",MAX(0,MAX(0,MIN(1,(((IF(Статистика!$C$4="Параллельный режим (активная мощность)",D131,O131)+Статистика!$J$4))-Статистика!$C$10)/MAX(Статистика!$G$10-Статистика!$C$10,0.000001)))-MAX(0,MIN(1,(((IF(Статистика!$C$4="Параллельный режим (активная мощность)",B131,M131)+Статистика!$J$4))-Статистика!$C$10)/MAX(Статистика!$G$10-Статистика!$C$10,0.000001)))))</f>
        <v>0.49309111888888918</v>
      </c>
      <c r="AY131" s="12">
        <f>IF(A131="","",MAX(0,MAX(0,MIN(1,(((IF(Статистика!$C$4="Параллельный режим (активная мощность)",E131,P131)+Статистика!$J$4))-Статистика!$C$10)/MAX(Статистика!$G$10-Статистика!$C$10,0.000001)))-MAX(0,MIN(1,(((IF(Статистика!$C$4="Параллельный режим (активная мощность)",D131,O131)+Статистика!$J$4))-Статистика!$C$10)/MAX(Статистика!$G$10-Статистика!$C$10,0.000001)))))</f>
        <v>5.875375888888873E-2</v>
      </c>
      <c r="AZ131" s="12">
        <f>IF(A131="","",MAX(0,MAX(0,MIN(1,(((IF(Статистика!$C$4="Параллельный режим (активная мощность)",F131,Q131)+Статистика!$J$4))-Статистика!$C$10)/MAX(Статистика!$G$10-Статистика!$C$10,0.000001)))-MAX(0,MIN(1,(((IF(Статистика!$C$4="Параллельный режим (активная мощность)",E131,P131)+Статистика!$J$4))-Статистика!$C$10)/MAX(Статистика!$G$10-Статистика!$C$10,0.000001)))))</f>
        <v>7.3963222222222291E-2</v>
      </c>
      <c r="BA131" s="12">
        <f>IF(A131="","",MAX(0,MAX(0,MIN(1,(((IF(Статистика!$C$4="Параллельный режим (активная мощность)",G131,R131)+Статистика!$J$4))-Статистика!$C$10)/MAX(Статистика!$G$10-Статистика!$C$10,0.000001)))-MAX(0,MIN(1,(((IF(Статистика!$C$4="Параллельный режим (активная мощность)",F131,Q131)+Статистика!$J$4))-Статистика!$C$10)/MAX(Статистика!$G$10-Статистика!$C$10,0.000001)))))</f>
        <v>7.8852305555555779E-2</v>
      </c>
      <c r="BB131" s="12">
        <f>IF(A131="","",MAX(0,MAX(0,MIN(1,(((IF(Статистика!$C$4="Параллельный режим (активная мощность)",H131,S131)+Статистика!$J$4))-Статистика!$C$10)/MAX(Статистика!$G$10-Статистика!$C$10,0.000001)))-MAX(0,MIN(1,(((IF(Статистика!$C$4="Параллельный режим (активная мощность)",G131,R131)+Статистика!$J$4))-Статистика!$C$10)/MAX(Статистика!$G$10-Статистика!$C$10,0.000001)))))</f>
        <v>5.4423255555555161E-2</v>
      </c>
      <c r="BC131" s="12">
        <f>IF(A131="","",MAX(0,MAX(0,MIN(1,(((IF(Статистика!$C$4="Параллельный режим (активная мощность)",J131,U131)+Статистика!$J$4))-Статистика!$C$10)/MAX(Статистика!$G$10-Статистика!$C$10,0.000001)))-MAX(0,MIN(1,(((IF(Статистика!$C$4="Параллельный режим (активная мощность)",H131,S131)+Статистика!$J$4))-Статистика!$C$10)/MAX(Статистика!$G$10-Статистика!$C$10,0.000001)))))</f>
        <v>0.1197379120000005</v>
      </c>
      <c r="BD131" s="12">
        <f>IF(A131="","",MAX(0,1-MAX(0,MIN(1,(((IF(Статистика!$C$4="Параллельный режим (активная мощность)",J131,U131)+Статистика!$J$4))-Статистика!$C$10)/MAX(Статистика!$G$10-Статистика!$C$10,0.000001)))))</f>
        <v>0.12117842688888836</v>
      </c>
      <c r="BE131" s="12">
        <f>IF(A131="",NA(),IF(Статистика!$B$8="Вкл",(((IF(Статистика!$C$4="Параллельный режим (активная мощность)",F131,Q131)+Статистика!$J$4))-Статистика!$C$10)/MAX(Статистика!$G$10-Статистика!$C$10,0.000001),NA()))</f>
        <v>0.6258081000000002</v>
      </c>
      <c r="BF131" s="12">
        <f>IF(A131="",NA(),IF(Статистика!$D$8="Вкл",(((IF(Статистика!$C$4="Параллельный режим (активная мощность)",E131,P131)+Статистика!$J$4))-Статистика!$C$10)/MAX(Статистика!$G$10-Статистика!$C$10,0.000001),NA()))</f>
        <v>0.55184487777777791</v>
      </c>
      <c r="BG131" s="12">
        <f>IF(A131="",NA(),IF(Статистика!$D$8="Вкл",(((IF(Статистика!$C$4="Параллельный режим (активная мощность)",G131,R131)+Статистика!$J$4))-Статистика!$C$10)/MAX(Статистика!$G$10-Статистика!$C$10,0.000001),NA()))</f>
        <v>0.70466040555555598</v>
      </c>
      <c r="BH131" s="12">
        <f>IF(A131="",NA(),IF(Статистика!$F$8="Вкл",(((IF(Статистика!$C$4="Параллельный режим (активная мощность)",D131,O131)+Статистика!$J$4))-Статистика!$C$10)/MAX(Статистика!$G$10-Статистика!$C$10,0.000001),NA()))</f>
        <v>0.49309111888888918</v>
      </c>
      <c r="BI131" s="12">
        <f>IF(A131="",NA(),IF(Статистика!$F$8="Вкл",(((IF(Статистика!$C$4="Параллельный режим (активная мощность)",H131,S131)+Статистика!$J$4))-Статистика!$C$10)/MAX(Статистика!$G$10-Статистика!$C$10,0.000001),NA()))</f>
        <v>0.75908366111111114</v>
      </c>
      <c r="BJ131" s="12">
        <f>IF(A131="",NA(),IF(Статистика!$H$8="Вкл",(((IF(Статистика!$C$4="Параллельный режим (активная мощность)",B131,M131)+Статистика!$J$4))-Статистика!$C$10)/MAX(Статистика!$G$10-Статистика!$C$10,0.000001),NA()))</f>
        <v>-1.1512567696111111</v>
      </c>
      <c r="BK131" s="12">
        <f>IF(A131="",NA(),IF(Статистика!$H$8="Вкл",(((IF(Статистика!$C$4="Параллельный режим (активная мощность)",J131,U131)+Статистика!$J$4))-Статистика!$C$10)/MAX(Статистика!$G$10-Статистика!$C$10,0.000001),NA()))</f>
        <v>0.87882157311111164</v>
      </c>
      <c r="BL131" s="12" t="e">
        <f>IF(A131="",NA(),IF(Статистика!$J$8="Вкл",(((IF(Статистика!$C$4="Параллельный режим (активная мощность)",K131,V131)+Статистика!$J$4))-Статистика!$C$10)/MAX(Статистика!$G$10-Статистика!$C$10,0.000001),NA()))</f>
        <v>#N/A</v>
      </c>
      <c r="BM131" s="12" t="e">
        <f>IF(AND(A131&lt;&gt;"",Статистика!$C$6="Вкл",Статистика!$B$6&gt;0),(Статистика!$B$6-Статистика!$C$10)/MAX(Статистика!$G$10-Статистика!$C$10,0.000001),NA())</f>
        <v>#N/A</v>
      </c>
      <c r="BN131" s="12" t="e">
        <f>IF(AND(A131&lt;&gt;"",Статистика!$F$6="Вкл",Статистика!$E$6&gt;0),(Статистика!$E$6-Статистика!$C$10)/MAX(Статистика!$G$10-Статистика!$C$10,0.000001),NA())</f>
        <v>#N/A</v>
      </c>
      <c r="BO131" s="12" t="e">
        <f>IF(AND(A131&lt;&gt;"",Статистика!$I$6="Вкл",Статистика!$H$6&gt;0),(Статистика!$H$6-Статистика!$C$10)/MAX(Статистика!$G$10-Статистика!$C$10,0.000001),NA())</f>
        <v>#N/A</v>
      </c>
      <c r="BP131" s="12" t="e">
        <f>IF(AND(A131&lt;&gt;"",Статистика!$L$6="Вкл",Статистика!$K$6&gt;0),(Статистика!$K$6-Статистика!$C$10)/MAX(Статистика!$G$10-Статистика!$C$10,0.000001),NA())</f>
        <v>#N/A</v>
      </c>
      <c r="BQ131" s="12" t="e">
        <f>IF(AND(A131&lt;&gt;"",Статистика!$M$6="Вкл",Статистика!$O$6&gt;0),(Статистика!$O$6-Статистика!$C$10)/MAX(Статистика!$G$10-Статистика!$C$10,0.000001),NA())</f>
        <v>#N/A</v>
      </c>
      <c r="BR131" s="12">
        <f t="shared" si="4"/>
        <v>1</v>
      </c>
      <c r="BT131" s="12">
        <f>IF(Y131="","",MAX(0,MIN(1,(((IF(Статистика!$C$4="Параллельный режим (активная мощность)",Z131,AK131)+Статистика!$J$4))-Статистика!$C$10)/MAX(Статистика!$G$10-Статистика!$C$10,0.000001))))</f>
        <v>0.48521468622222197</v>
      </c>
      <c r="BU131" s="12">
        <f>IF(Y131="","",MAX(0,MAX(0,MIN(1,(((IF(Статистика!$C$4="Параллельный режим (активная мощность)",AB131,AM131)+Статистика!$J$4))-Статистика!$C$10)/MAX(Статистика!$G$10-Статистика!$C$10,0.000001)))-MAX(0,MIN(1,(((IF(Статистика!$C$4="Параллельный режим (активная мощность)",Z131,AK131)+Статистика!$J$4))-Статистика!$C$10)/MAX(Статистика!$G$10-Статистика!$C$10,0.000001)))))</f>
        <v>5.86757599999993E-3</v>
      </c>
      <c r="BV131" s="12">
        <f>IF(Y131="","",MAX(0,MAX(0,MIN(1,(((IF(Статистика!$C$4="Параллельный режим (активная мощность)",AC131,AN131)+Статистика!$J$4))-Статистика!$C$10)/MAX(Статистика!$G$10-Статистика!$C$10,0.000001)))-MAX(0,MIN(1,(((IF(Статистика!$C$4="Параллельный режим (активная мощность)",AB131,AM131)+Статистика!$J$4))-Статистика!$C$10)/MAX(Статистика!$G$10-Статистика!$C$10,0.000001)))))</f>
        <v>0.1209260294444448</v>
      </c>
      <c r="BW131" s="12">
        <f>IF(Y131="","",MAX(0,MAX(0,MIN(1,(((IF(Статистика!$C$4="Параллельный режим (активная мощность)",AD131,AO131)+Статистика!$J$4))-Статистика!$C$10)/MAX(Статистика!$G$10-Статистика!$C$10,0.000001)))-MAX(0,MIN(1,(((IF(Статистика!$C$4="Параллельный режим (активная мощность)",AC131,AN131)+Статистика!$J$4))-Статистика!$C$10)/MAX(Статистика!$G$10-Статистика!$C$10,0.000001)))))</f>
        <v>3.5843941666666379E-2</v>
      </c>
      <c r="BX131" s="12">
        <f>IF(Y131="","",MAX(0,MAX(0,MIN(1,(((IF(Статистика!$C$4="Параллельный режим (активная мощность)",AE131,AP131)+Статистика!$J$4))-Статистика!$C$10)/MAX(Статистика!$G$10-Статистика!$C$10,0.000001)))-MAX(0,MIN(1,(((IF(Статистика!$C$4="Параллельный режим (активная мощность)",AD131,AO131)+Статистика!$J$4))-Статистика!$C$10)/MAX(Статистика!$G$10-Статистика!$C$10,0.000001)))))</f>
        <v>7.7167697222222387E-2</v>
      </c>
      <c r="BY131" s="12">
        <f>IF(Y131="","",MAX(0,MAX(0,MIN(1,(((IF(Статистика!$C$4="Параллельный режим (активная мощность)",AF131,AQ131)+Статистика!$J$4))-Статистика!$C$10)/MAX(Статистика!$G$10-Статистика!$C$10,0.000001)))-MAX(0,MIN(1,(((IF(Статистика!$C$4="Параллельный режим (активная мощность)",AE131,AP131)+Статистика!$J$4))-Статистика!$C$10)/MAX(Статистика!$G$10-Статистика!$C$10,0.000001)))))</f>
        <v>0.12044507333333365</v>
      </c>
      <c r="BZ131" s="12">
        <f>IF(Y131="","",MAX(0,MAX(0,MIN(1,(((IF(Статистика!$C$4="Параллельный режим (активная мощность)",AH131,AS131)+Статистика!$J$4))-Статистика!$C$10)/MAX(Статистика!$G$10-Статистика!$C$10,0.000001)))-MAX(0,MIN(1,(((IF(Статистика!$C$4="Параллельный режим (активная мощность)",AF131,AQ131)+Статистика!$J$4))-Статистика!$C$10)/MAX(Статистика!$G$10-Статистика!$C$10,0.000001)))))</f>
        <v>6.21282365000001E-2</v>
      </c>
      <c r="CA131" s="12">
        <f>IF(Y131="","",MAX(0,1-MAX(0,MIN(1,(((IF(Статистика!$C$4="Параллельный режим (активная мощность)",AH131,AS131)+Статистика!$J$4))-Статистика!$C$10)/MAX(Статистика!$G$10-Статистика!$C$10,0.000001)))))</f>
        <v>9.2406759611110778E-2</v>
      </c>
      <c r="CB131" s="12">
        <f>IF(Y131="",NA(),IF(Статистика!$B$8="Вкл",(((IF(Статистика!$C$4="Параллельный режим (активная мощность)",AD131,AO131)+Статистика!$J$4))-Статистика!$C$10)/MAX(Статистика!$G$10-Статистика!$C$10,0.000001),NA()))</f>
        <v>0.64785223333333308</v>
      </c>
      <c r="CC131" s="12">
        <f>IF(Y131="",NA(),IF(Статистика!$D$8="Вкл",(((IF(Статистика!$C$4="Параллельный режим (активная мощность)",AC131,AN131)+Статистика!$J$4))-Статистика!$C$10)/MAX(Статистика!$G$10-Статистика!$C$10,0.000001),NA()))</f>
        <v>0.6120082916666667</v>
      </c>
      <c r="CD131" s="12">
        <f>IF(Y131="",NA(),IF(Статистика!$D$8="Вкл",(((IF(Статистика!$C$4="Параллельный режим (активная мощность)",AE131,AP131)+Статистика!$J$4))-Статистика!$C$10)/MAX(Статистика!$G$10-Статистика!$C$10,0.000001),NA()))</f>
        <v>0.72501993055555547</v>
      </c>
      <c r="CE131" s="12">
        <f>IF(Y131="",NA(),IF(Статистика!$F$8="Вкл",(((IF(Статистика!$C$4="Параллельный режим (активная мощность)",AB131,AM131)+Статистика!$J$4))-Статистика!$C$10)/MAX(Статистика!$G$10-Статистика!$C$10,0.000001),NA()))</f>
        <v>0.4910822622222219</v>
      </c>
      <c r="CF131" s="12">
        <f>IF(Y131="",NA(),IF(Статистика!$F$8="Вкл",(((IF(Статистика!$C$4="Параллельный режим (активная мощность)",AF131,AQ131)+Статистика!$J$4))-Статистика!$C$10)/MAX(Статистика!$G$10-Статистика!$C$10,0.000001),NA()))</f>
        <v>0.84546500388888912</v>
      </c>
      <c r="CG131" s="12">
        <f>IF(Y131="",NA(),IF(Статистика!$H$8="Вкл",(((IF(Статистика!$C$4="Параллельный режим (активная мощность)",Z131,AK131)+Статистика!$J$4))-Статистика!$C$10)/MAX(Статистика!$G$10-Статистика!$C$10,0.000001),NA()))</f>
        <v>0.48521468622222197</v>
      </c>
      <c r="CH131" s="12">
        <f>IF(Y131="",NA(),IF(Статистика!$H$8="Вкл",(((IF(Статистика!$C$4="Параллельный режим (активная мощность)",AH131,AS131)+Статистика!$J$4))-Статистика!$C$10)/MAX(Статистика!$G$10-Статистика!$C$10,0.000001),NA()))</f>
        <v>0.90759324038888922</v>
      </c>
      <c r="CI131" s="12" t="e">
        <f>IF(Y131="",NA(),IF(Статистика!$J$8="Вкл",(((IF(Статистика!$C$4="Параллельный режим (активная мощность)",AI131,AT131)+Статистика!$J$4))-Статистика!$C$10)/MAX(Статистика!$G$10-Статистика!$C$10,0.000001),NA()))</f>
        <v>#N/A</v>
      </c>
      <c r="CJ131" s="12" t="e">
        <f>IF(AND(Y131&lt;&gt;"",Статистика!$C$6="Вкл",Статистика!$B$6&gt;0),(Статистика!$B$6-Статистика!$C$10)/MAX(Статистика!$G$10-Статистика!$C$10,0.000001),NA())</f>
        <v>#N/A</v>
      </c>
      <c r="CK131" s="12" t="e">
        <f>IF(AND(Y131&lt;&gt;"",Статистика!$F$6="Вкл",Статистика!$E$6&gt;0),(Статистика!$E$6-Статистика!$C$10)/MAX(Статистика!$G$10-Статистика!$C$10,0.000001),NA())</f>
        <v>#N/A</v>
      </c>
      <c r="CL131" s="12" t="e">
        <f>IF(AND(Y131&lt;&gt;"",Статистика!$I$6="Вкл",Статистика!$H$6&gt;0),(Статистика!$H$6-Статистика!$C$10)/MAX(Статистика!$G$10-Статистика!$C$10,0.000001),NA())</f>
        <v>#N/A</v>
      </c>
      <c r="CM131" s="12" t="e">
        <f>IF(AND(Y131&lt;&gt;"",Статистика!$L$6="Вкл",Статистика!$K$6&gt;0),(Статистика!$K$6-Статистика!$C$10)/MAX(Статистика!$G$10-Статистика!$C$10,0.000001),NA())</f>
        <v>#N/A</v>
      </c>
      <c r="CN131" s="12" t="e">
        <f>IF(AND(Y131&lt;&gt;"",Статистика!$M$6="Вкл",Статистика!$O$6&gt;0),(Статистика!$O$6-Статистика!$C$10)/MAX(Статистика!$G$10-Статистика!$C$10,0.000001),NA())</f>
        <v>#N/A</v>
      </c>
      <c r="CO131" s="12">
        <f t="shared" si="5"/>
        <v>1</v>
      </c>
    </row>
    <row r="132" spans="1:93" ht="15" customHeight="1">
      <c r="A132" s="12" t="s">
        <v>585</v>
      </c>
      <c r="B132" s="12">
        <v>2555.5429706666664</v>
      </c>
      <c r="C132" s="12">
        <v>5854.4371199999996</v>
      </c>
      <c r="D132" s="12">
        <v>7464.7210466666656</v>
      </c>
      <c r="E132" s="12">
        <v>7669.3256583333332</v>
      </c>
      <c r="F132" s="12">
        <v>7849.9796000000006</v>
      </c>
      <c r="G132" s="12">
        <v>8122.1959000000006</v>
      </c>
      <c r="H132" s="12">
        <v>8362.6518783333322</v>
      </c>
      <c r="I132" s="12">
        <v>8568.0228874999993</v>
      </c>
      <c r="J132" s="12">
        <v>8722.9779108333332</v>
      </c>
      <c r="K132" s="12">
        <v>8858.27</v>
      </c>
      <c r="L132" s="12" t="s">
        <v>586</v>
      </c>
      <c r="M132" s="12">
        <v>2999.4933991666662</v>
      </c>
      <c r="N132" s="12">
        <v>6662.349129166666</v>
      </c>
      <c r="O132" s="12">
        <v>8441.7911866666655</v>
      </c>
      <c r="P132" s="12">
        <v>8594.083908333334</v>
      </c>
      <c r="Q132" s="12">
        <v>8861.6807833333332</v>
      </c>
      <c r="R132" s="12">
        <v>9156.967349999999</v>
      </c>
      <c r="S132" s="12">
        <v>9401.6226483333339</v>
      </c>
      <c r="T132" s="12">
        <v>9541.7648399999998</v>
      </c>
      <c r="U132" s="12">
        <v>9711.569661333333</v>
      </c>
      <c r="V132" s="12">
        <v>9846.35</v>
      </c>
      <c r="W132" s="12" t="s">
        <v>586</v>
      </c>
      <c r="Y132" s="12" t="s">
        <v>585</v>
      </c>
      <c r="Z132" s="12">
        <v>7579.6540050000003</v>
      </c>
      <c r="AA132" s="12">
        <v>7593.0778916666668</v>
      </c>
      <c r="AB132" s="12">
        <v>7609.8577500000001</v>
      </c>
      <c r="AC132" s="12">
        <v>7823.8406999999997</v>
      </c>
      <c r="AD132" s="12">
        <v>7934.7043666666668</v>
      </c>
      <c r="AE132" s="12">
        <v>8124.3250666666654</v>
      </c>
      <c r="AF132" s="12">
        <v>8584.7020549999997</v>
      </c>
      <c r="AG132" s="12">
        <v>8680.528344166667</v>
      </c>
      <c r="AH132" s="12">
        <v>8757.1893755000001</v>
      </c>
      <c r="AI132" s="12">
        <v>8870.16</v>
      </c>
      <c r="AJ132" s="12" t="s">
        <v>587</v>
      </c>
      <c r="AK132" s="12">
        <v>8570.9996070000016</v>
      </c>
      <c r="AL132" s="12">
        <v>8587.438168333334</v>
      </c>
      <c r="AM132" s="12">
        <v>8607.9863700000005</v>
      </c>
      <c r="AN132" s="12">
        <v>8746.7236583333324</v>
      </c>
      <c r="AO132" s="12">
        <v>8944.3151166666667</v>
      </c>
      <c r="AP132" s="12">
        <v>9102.891066666667</v>
      </c>
      <c r="AQ132" s="12">
        <v>9520.010306666667</v>
      </c>
      <c r="AR132" s="12">
        <v>9613.4928533333332</v>
      </c>
      <c r="AS132" s="12">
        <v>9688.2788906666683</v>
      </c>
      <c r="AT132" s="12">
        <v>9795.7999999999993</v>
      </c>
      <c r="AU132" s="12" t="s">
        <v>587</v>
      </c>
      <c r="AW132" s="12">
        <f>IF(A132="","",MAX(0,MIN(1,(((IF(Статистика!$C$4="Параллельный режим (активная мощность)",B132,M132)+Статистика!$J$4))-Статистика!$C$10)/MAX(Статистика!$G$10-Статистика!$C$10,0.000001))))</f>
        <v>0</v>
      </c>
      <c r="AX132" s="12">
        <f>IF(A132="","",MAX(0,MAX(0,MIN(1,(((IF(Статистика!$C$4="Параллельный режим (активная мощность)",D132,O132)+Статистика!$J$4))-Статистика!$C$10)/MAX(Статистика!$G$10-Статистика!$C$10,0.000001)))-MAX(0,MIN(1,(((IF(Статистика!$C$4="Параллельный режим (активная мощность)",B132,M132)+Статистика!$J$4))-Статистика!$C$10)/MAX(Статистика!$G$10-Статистика!$C$10,0.000001)))))</f>
        <v>0.48824034888888856</v>
      </c>
      <c r="AY132" s="12">
        <f>IF(A132="","",MAX(0,MAX(0,MIN(1,(((IF(Статистика!$C$4="Параллельный режим (активная мощность)",E132,P132)+Статистика!$J$4))-Статистика!$C$10)/MAX(Статистика!$G$10-Статистика!$C$10,0.000001)))-MAX(0,MIN(1,(((IF(Статистика!$C$4="Параллельный режим (активная мощность)",D132,O132)+Статистика!$J$4))-Статистика!$C$10)/MAX(Статистика!$G$10-Статистика!$C$10,0.000001)))))</f>
        <v>6.8201537222222552E-2</v>
      </c>
      <c r="AZ132" s="12">
        <f>IF(A132="","",MAX(0,MAX(0,MIN(1,(((IF(Статистика!$C$4="Параллельный режим (активная мощность)",F132,Q132)+Статистика!$J$4))-Статистика!$C$10)/MAX(Статистика!$G$10-Статистика!$C$10,0.000001)))-MAX(0,MIN(1,(((IF(Статистика!$C$4="Параллельный режим (активная мощность)",E132,P132)+Статистика!$J$4))-Статистика!$C$10)/MAX(Статистика!$G$10-Статистика!$C$10,0.000001)))))</f>
        <v>6.0217980555555717E-2</v>
      </c>
      <c r="BA132" s="12">
        <f>IF(A132="","",MAX(0,MAX(0,MIN(1,(((IF(Статистика!$C$4="Параллельный режим (активная мощность)",G132,R132)+Статистика!$J$4))-Статистика!$C$10)/MAX(Статистика!$G$10-Статистика!$C$10,0.000001)))-MAX(0,MIN(1,(((IF(Статистика!$C$4="Параллельный режим (активная мощность)",F132,Q132)+Статистика!$J$4))-Статистика!$C$10)/MAX(Статистика!$G$10-Статистика!$C$10,0.000001)))))</f>
        <v>9.0738766666666693E-2</v>
      </c>
      <c r="BB132" s="12">
        <f>IF(A132="","",MAX(0,MAX(0,MIN(1,(((IF(Статистика!$C$4="Параллельный режим (активная мощность)",H132,S132)+Статистика!$J$4))-Статистика!$C$10)/MAX(Статистика!$G$10-Статистика!$C$10,0.000001)))-MAX(0,MIN(1,(((IF(Статистика!$C$4="Параллельный режим (активная мощность)",G132,R132)+Статистика!$J$4))-Статистика!$C$10)/MAX(Статистика!$G$10-Статистика!$C$10,0.000001)))))</f>
        <v>8.0151992777777181E-2</v>
      </c>
      <c r="BC132" s="12">
        <f>IF(A132="","",MAX(0,MAX(0,MIN(1,(((IF(Статистика!$C$4="Параллельный режим (активная мощность)",J132,U132)+Статистика!$J$4))-Статистика!$C$10)/MAX(Статистика!$G$10-Статистика!$C$10,0.000001)))-MAX(0,MIN(1,(((IF(Статистика!$C$4="Параллельный режим (активная мощность)",H132,S132)+Статистика!$J$4))-Статистика!$C$10)/MAX(Статистика!$G$10-Статистика!$C$10,0.000001)))))</f>
        <v>0.12010867750000032</v>
      </c>
      <c r="BD132" s="12">
        <f>IF(A132="","",MAX(0,1-MAX(0,MIN(1,(((IF(Статистика!$C$4="Параллельный режим (активная мощность)",J132,U132)+Статистика!$J$4))-Статистика!$C$10)/MAX(Статистика!$G$10-Статистика!$C$10,0.000001)))))</f>
        <v>9.2340696388888976E-2</v>
      </c>
      <c r="BE132" s="12">
        <f>IF(A132="",NA(),IF(Статистика!$B$8="Вкл",(((IF(Статистика!$C$4="Параллельный режим (активная мощность)",F132,Q132)+Статистика!$J$4))-Статистика!$C$10)/MAX(Статистика!$G$10-Статистика!$C$10,0.000001),NA()))</f>
        <v>0.61665986666666683</v>
      </c>
      <c r="BF132" s="12">
        <f>IF(A132="",NA(),IF(Статистика!$D$8="Вкл",(((IF(Статистика!$C$4="Параллельный режим (активная мощность)",E132,P132)+Статистика!$J$4))-Статистика!$C$10)/MAX(Статистика!$G$10-Статистика!$C$10,0.000001),NA()))</f>
        <v>0.55644188611111112</v>
      </c>
      <c r="BG132" s="12">
        <f>IF(A132="",NA(),IF(Статистика!$D$8="Вкл",(((IF(Статистика!$C$4="Параллельный режим (активная мощность)",G132,R132)+Статистика!$J$4))-Статистика!$C$10)/MAX(Статистика!$G$10-Статистика!$C$10,0.000001),NA()))</f>
        <v>0.70739863333333353</v>
      </c>
      <c r="BH132" s="12">
        <f>IF(A132="",NA(),IF(Статистика!$F$8="Вкл",(((IF(Статистика!$C$4="Параллельный режим (активная мощность)",D132,O132)+Статистика!$J$4))-Статистика!$C$10)/MAX(Статистика!$G$10-Статистика!$C$10,0.000001),NA()))</f>
        <v>0.48824034888888856</v>
      </c>
      <c r="BI132" s="12">
        <f>IF(A132="",NA(),IF(Статистика!$F$8="Вкл",(((IF(Статистика!$C$4="Параллельный режим (активная мощность)",H132,S132)+Статистика!$J$4))-Статистика!$C$10)/MAX(Статистика!$G$10-Статистика!$C$10,0.000001),NA()))</f>
        <v>0.78755062611111071</v>
      </c>
      <c r="BJ132" s="12">
        <f>IF(A132="",NA(),IF(Статистика!$H$8="Вкл",(((IF(Статистика!$C$4="Параллельный режим (активная мощность)",B132,M132)+Статистика!$J$4))-Статистика!$C$10)/MAX(Статистика!$G$10-Статистика!$C$10,0.000001),NA()))</f>
        <v>-1.1481523431111111</v>
      </c>
      <c r="BK132" s="12">
        <f>IF(A132="",NA(),IF(Статистика!$H$8="Вкл",(((IF(Статистика!$C$4="Параллельный режим (активная мощность)",J132,U132)+Статистика!$J$4))-Статистика!$C$10)/MAX(Статистика!$G$10-Статистика!$C$10,0.000001),NA()))</f>
        <v>0.90765930361111102</v>
      </c>
      <c r="BL132" s="12" t="e">
        <f>IF(A132="",NA(),IF(Статистика!$J$8="Вкл",(((IF(Статистика!$C$4="Параллельный режим (активная мощность)",K132,V132)+Статистика!$J$4))-Статистика!$C$10)/MAX(Статистика!$G$10-Статистика!$C$10,0.000001),NA()))</f>
        <v>#N/A</v>
      </c>
      <c r="BM132" s="12" t="e">
        <f>IF(AND(A132&lt;&gt;"",Статистика!$C$6="Вкл",Статистика!$B$6&gt;0),(Статистика!$B$6-Статистика!$C$10)/MAX(Статистика!$G$10-Статистика!$C$10,0.000001),NA())</f>
        <v>#N/A</v>
      </c>
      <c r="BN132" s="12" t="e">
        <f>IF(AND(A132&lt;&gt;"",Статистика!$F$6="Вкл",Статистика!$E$6&gt;0),(Статистика!$E$6-Статистика!$C$10)/MAX(Статистика!$G$10-Статистика!$C$10,0.000001),NA())</f>
        <v>#N/A</v>
      </c>
      <c r="BO132" s="12" t="e">
        <f>IF(AND(A132&lt;&gt;"",Статистика!$I$6="Вкл",Статистика!$H$6&gt;0),(Статистика!$H$6-Статистика!$C$10)/MAX(Статистика!$G$10-Статистика!$C$10,0.000001),NA())</f>
        <v>#N/A</v>
      </c>
      <c r="BP132" s="12" t="e">
        <f>IF(AND(A132&lt;&gt;"",Статистика!$L$6="Вкл",Статистика!$K$6&gt;0),(Статистика!$K$6-Статистика!$C$10)/MAX(Статистика!$G$10-Статистика!$C$10,0.000001),NA())</f>
        <v>#N/A</v>
      </c>
      <c r="BQ132" s="12" t="e">
        <f>IF(AND(A132&lt;&gt;"",Статистика!$M$6="Вкл",Статистика!$O$6&gt;0),(Статистика!$O$6-Статистика!$C$10)/MAX(Статистика!$G$10-Статистика!$C$10,0.000001),NA())</f>
        <v>#N/A</v>
      </c>
      <c r="BR132" s="12">
        <f t="shared" si="4"/>
        <v>1</v>
      </c>
      <c r="BT132" s="12">
        <f>IF(Y132="","",MAX(0,MIN(1,(((IF(Статистика!$C$4="Параллельный режим (активная мощность)",Z132,AK132)+Статистика!$J$4))-Статистика!$C$10)/MAX(Статистика!$G$10-Статистика!$C$10,0.000001))))</f>
        <v>0.52655133500000006</v>
      </c>
      <c r="BU132" s="12">
        <f>IF(Y132="","",MAX(0,MAX(0,MIN(1,(((IF(Статистика!$C$4="Параллельный режим (активная мощность)",AB132,AM132)+Статистика!$J$4))-Статистика!$C$10)/MAX(Статистика!$G$10-Статистика!$C$10,0.000001)))-MAX(0,MIN(1,(((IF(Статистика!$C$4="Параллельный режим (активная мощность)",Z132,AK132)+Статистика!$J$4))-Статистика!$C$10)/MAX(Статистика!$G$10-Статистика!$C$10,0.000001)))))</f>
        <v>1.0067914999999927E-2</v>
      </c>
      <c r="BV132" s="12">
        <f>IF(Y132="","",MAX(0,MAX(0,MIN(1,(((IF(Статистика!$C$4="Параллельный режим (активная мощность)",AC132,AN132)+Статистика!$J$4))-Статистика!$C$10)/MAX(Статистика!$G$10-Статистика!$C$10,0.000001)))-MAX(0,MIN(1,(((IF(Статистика!$C$4="Параллельный режим (активная мощность)",AB132,AM132)+Статистика!$J$4))-Статистика!$C$10)/MAX(Статистика!$G$10-Статистика!$C$10,0.000001)))))</f>
        <v>7.1327649999999965E-2</v>
      </c>
      <c r="BW132" s="12">
        <f>IF(Y132="","",MAX(0,MAX(0,MIN(1,(((IF(Статистика!$C$4="Параллельный режим (активная мощность)",AD132,AO132)+Статистика!$J$4))-Статистика!$C$10)/MAX(Статистика!$G$10-Статистика!$C$10,0.000001)))-MAX(0,MIN(1,(((IF(Статистика!$C$4="Параллельный режим (активная мощность)",AC132,AN132)+Статистика!$J$4))-Статистика!$C$10)/MAX(Статистика!$G$10-Статистика!$C$10,0.000001)))))</f>
        <v>3.6954555555555602E-2</v>
      </c>
      <c r="BX132" s="12">
        <f>IF(Y132="","",MAX(0,MAX(0,MIN(1,(((IF(Статистика!$C$4="Параллельный режим (активная мощность)",AE132,AP132)+Статистика!$J$4))-Статистика!$C$10)/MAX(Статистика!$G$10-Статистика!$C$10,0.000001)))-MAX(0,MIN(1,(((IF(Статистика!$C$4="Параллельный режим (активная мощность)",AD132,AO132)+Статистика!$J$4))-Статистика!$C$10)/MAX(Статистика!$G$10-Статистика!$C$10,0.000001)))))</f>
        <v>6.3206899999999622E-2</v>
      </c>
      <c r="BY132" s="12">
        <f>IF(Y132="","",MAX(0,MAX(0,MIN(1,(((IF(Статистика!$C$4="Параллельный режим (активная мощность)",AF132,AQ132)+Статистика!$J$4))-Статистика!$C$10)/MAX(Статистика!$G$10-Статистика!$C$10,0.000001)))-MAX(0,MIN(1,(((IF(Статистика!$C$4="Параллельный режим (активная мощность)",AE132,AP132)+Статистика!$J$4))-Статистика!$C$10)/MAX(Статистика!$G$10-Статистика!$C$10,0.000001)))))</f>
        <v>0.15345899611111136</v>
      </c>
      <c r="BZ132" s="12">
        <f>IF(Y132="","",MAX(0,MAX(0,MIN(1,(((IF(Статистика!$C$4="Параллельный режим (активная мощность)",AH132,AS132)+Статистика!$J$4))-Статистика!$C$10)/MAX(Статистика!$G$10-Статистика!$C$10,0.000001)))-MAX(0,MIN(1,(((IF(Статистика!$C$4="Параллельный режим (активная мощность)",AF132,AQ132)+Статистика!$J$4))-Статистика!$C$10)/MAX(Статистика!$G$10-Статистика!$C$10,0.000001)))))</f>
        <v>5.7495773500000125E-2</v>
      </c>
      <c r="CA132" s="12">
        <f>IF(Y132="","",MAX(0,1-MAX(0,MIN(1,(((IF(Статистика!$C$4="Параллельный режим (активная мощность)",AH132,AS132)+Статистика!$J$4))-Статистика!$C$10)/MAX(Статистика!$G$10-Статистика!$C$10,0.000001)))))</f>
        <v>8.0936874833333339E-2</v>
      </c>
      <c r="CB132" s="12">
        <f>IF(Y132="",NA(),IF(Статистика!$B$8="Вкл",(((IF(Статистика!$C$4="Параллельный режим (активная мощность)",AD132,AO132)+Статистика!$J$4))-Статистика!$C$10)/MAX(Статистика!$G$10-Статистика!$C$10,0.000001),NA()))</f>
        <v>0.64490145555555556</v>
      </c>
      <c r="CC132" s="12">
        <f>IF(Y132="",NA(),IF(Статистика!$D$8="Вкл",(((IF(Статистика!$C$4="Параллельный режим (активная мощность)",AC132,AN132)+Статистика!$J$4))-Статистика!$C$10)/MAX(Статистика!$G$10-Статистика!$C$10,0.000001),NA()))</f>
        <v>0.60794689999999996</v>
      </c>
      <c r="CD132" s="12">
        <f>IF(Y132="",NA(),IF(Статистика!$D$8="Вкл",(((IF(Статистика!$C$4="Параллельный режим (активная мощность)",AE132,AP132)+Статистика!$J$4))-Статистика!$C$10)/MAX(Статистика!$G$10-Статистика!$C$10,0.000001),NA()))</f>
        <v>0.70810835555555518</v>
      </c>
      <c r="CE132" s="12">
        <f>IF(Y132="",NA(),IF(Статистика!$F$8="Вкл",(((IF(Статистика!$C$4="Параллельный режим (активная мощность)",AB132,AM132)+Статистика!$J$4))-Статистика!$C$10)/MAX(Статистика!$G$10-Статистика!$C$10,0.000001),NA()))</f>
        <v>0.53661924999999999</v>
      </c>
      <c r="CF132" s="12">
        <f>IF(Y132="",NA(),IF(Статистика!$F$8="Вкл",(((IF(Статистика!$C$4="Параллельный режим (активная мощность)",AF132,AQ132)+Статистика!$J$4))-Статистика!$C$10)/MAX(Статистика!$G$10-Статистика!$C$10,0.000001),NA()))</f>
        <v>0.86156735166666654</v>
      </c>
      <c r="CG132" s="12">
        <f>IF(Y132="",NA(),IF(Статистика!$H$8="Вкл",(((IF(Статистика!$C$4="Параллельный режим (активная мощность)",Z132,AK132)+Статистика!$J$4))-Статистика!$C$10)/MAX(Статистика!$G$10-Статистика!$C$10,0.000001),NA()))</f>
        <v>0.52655133500000006</v>
      </c>
      <c r="CH132" s="12">
        <f>IF(Y132="",NA(),IF(Статистика!$H$8="Вкл",(((IF(Статистика!$C$4="Параллельный режим (активная мощность)",AH132,AS132)+Статистика!$J$4))-Статистика!$C$10)/MAX(Статистика!$G$10-Статистика!$C$10,0.000001),NA()))</f>
        <v>0.91906312516666666</v>
      </c>
      <c r="CI132" s="12" t="e">
        <f>IF(Y132="",NA(),IF(Статистика!$J$8="Вкл",(((IF(Статистика!$C$4="Параллельный режим (активная мощность)",AI132,AT132)+Статистика!$J$4))-Статистика!$C$10)/MAX(Статистика!$G$10-Статистика!$C$10,0.000001),NA()))</f>
        <v>#N/A</v>
      </c>
      <c r="CJ132" s="12" t="e">
        <f>IF(AND(Y132&lt;&gt;"",Статистика!$C$6="Вкл",Статистика!$B$6&gt;0),(Статистика!$B$6-Статистика!$C$10)/MAX(Статистика!$G$10-Статистика!$C$10,0.000001),NA())</f>
        <v>#N/A</v>
      </c>
      <c r="CK132" s="12" t="e">
        <f>IF(AND(Y132&lt;&gt;"",Статистика!$F$6="Вкл",Статистика!$E$6&gt;0),(Статистика!$E$6-Статистика!$C$10)/MAX(Статистика!$G$10-Статистика!$C$10,0.000001),NA())</f>
        <v>#N/A</v>
      </c>
      <c r="CL132" s="12" t="e">
        <f>IF(AND(Y132&lt;&gt;"",Статистика!$I$6="Вкл",Статистика!$H$6&gt;0),(Статистика!$H$6-Статистика!$C$10)/MAX(Статистика!$G$10-Статистика!$C$10,0.000001),NA())</f>
        <v>#N/A</v>
      </c>
      <c r="CM132" s="12" t="e">
        <f>IF(AND(Y132&lt;&gt;"",Статистика!$L$6="Вкл",Статистика!$K$6&gt;0),(Статистика!$K$6-Статистика!$C$10)/MAX(Статистика!$G$10-Статистика!$C$10,0.000001),NA())</f>
        <v>#N/A</v>
      </c>
      <c r="CN132" s="12" t="e">
        <f>IF(AND(Y132&lt;&gt;"",Статистика!$M$6="Вкл",Статистика!$O$6&gt;0),(Статистика!$O$6-Статистика!$C$10)/MAX(Статистика!$G$10-Статистика!$C$10,0.000001),NA())</f>
        <v>#N/A</v>
      </c>
      <c r="CO132" s="12">
        <f t="shared" si="5"/>
        <v>1</v>
      </c>
    </row>
    <row r="133" spans="1:93" ht="15" customHeight="1">
      <c r="A133" s="12" t="s">
        <v>588</v>
      </c>
      <c r="B133" s="12">
        <v>2564.5005909999995</v>
      </c>
      <c r="C133" s="12">
        <v>5889.0968216666661</v>
      </c>
      <c r="D133" s="12">
        <v>7472.6036649999996</v>
      </c>
      <c r="E133" s="12">
        <v>7636.9498833333328</v>
      </c>
      <c r="F133" s="12">
        <v>7832.6735000000008</v>
      </c>
      <c r="G133" s="12">
        <v>8113.3527166666663</v>
      </c>
      <c r="H133" s="12">
        <v>8392.4264449999991</v>
      </c>
      <c r="I133" s="12">
        <v>8603.7787849999986</v>
      </c>
      <c r="J133" s="12">
        <v>8714.0283170000002</v>
      </c>
      <c r="K133" s="12">
        <v>8830.0400000000009</v>
      </c>
      <c r="L133" s="12" t="s">
        <v>589</v>
      </c>
      <c r="M133" s="12">
        <v>3026.5405845000005</v>
      </c>
      <c r="N133" s="12">
        <v>6708.1018558333344</v>
      </c>
      <c r="O133" s="12">
        <v>8455.9487700000009</v>
      </c>
      <c r="P133" s="12">
        <v>8593.0929833333339</v>
      </c>
      <c r="Q133" s="12">
        <v>8811.2928166666679</v>
      </c>
      <c r="R133" s="12">
        <v>9143.4305833333328</v>
      </c>
      <c r="S133" s="12">
        <v>9454.8126066666646</v>
      </c>
      <c r="T133" s="12">
        <v>9601.5594758333318</v>
      </c>
      <c r="U133" s="12">
        <v>9707.8317351666647</v>
      </c>
      <c r="V133" s="12">
        <v>9928.11</v>
      </c>
      <c r="W133" s="12" t="s">
        <v>590</v>
      </c>
      <c r="Y133" s="12" t="s">
        <v>588</v>
      </c>
      <c r="Z133" s="12">
        <v>7577.0621419999998</v>
      </c>
      <c r="AA133" s="12">
        <v>7603.4455099999996</v>
      </c>
      <c r="AB133" s="12">
        <v>7636.42472</v>
      </c>
      <c r="AC133" s="12">
        <v>7825.7849666666671</v>
      </c>
      <c r="AD133" s="12">
        <v>7912.1064333333325</v>
      </c>
      <c r="AE133" s="12">
        <v>8033.6598749999994</v>
      </c>
      <c r="AF133" s="12">
        <v>8594.2627633333323</v>
      </c>
      <c r="AG133" s="12">
        <v>8692.2502316666651</v>
      </c>
      <c r="AH133" s="12">
        <v>8770.6402063333317</v>
      </c>
      <c r="AI133" s="12">
        <v>8871.99</v>
      </c>
      <c r="AJ133" s="12" t="s">
        <v>591</v>
      </c>
      <c r="AK133" s="12">
        <v>8608.5009046666673</v>
      </c>
      <c r="AL133" s="12">
        <v>8612.2375900000006</v>
      </c>
      <c r="AM133" s="12">
        <v>8616.9084466666664</v>
      </c>
      <c r="AN133" s="12">
        <v>8741.3173833333331</v>
      </c>
      <c r="AO133" s="12">
        <v>8913.9221666666672</v>
      </c>
      <c r="AP133" s="12">
        <v>9037.2480583333345</v>
      </c>
      <c r="AQ133" s="12">
        <v>9534.0199383333329</v>
      </c>
      <c r="AR133" s="12">
        <v>9623.207819166666</v>
      </c>
      <c r="AS133" s="12">
        <v>9694.5581238333325</v>
      </c>
      <c r="AT133" s="12">
        <v>9818.14</v>
      </c>
      <c r="AU133" s="12" t="s">
        <v>591</v>
      </c>
      <c r="AW133" s="12">
        <f>IF(A133="","",MAX(0,MIN(1,(((IF(Статистика!$C$4="Параллельный режим (активная мощность)",B133,M133)+Статистика!$J$4))-Статистика!$C$10)/MAX(Статистика!$G$10-Статистика!$C$10,0.000001))))</f>
        <v>0</v>
      </c>
      <c r="AX133" s="12">
        <f>IF(A133="","",MAX(0,MAX(0,MIN(1,(((IF(Статистика!$C$4="Параллельный режим (активная мощность)",D133,O133)+Статистика!$J$4))-Статистика!$C$10)/MAX(Статистика!$G$10-Статистика!$C$10,0.000001)))-MAX(0,MIN(1,(((IF(Статистика!$C$4="Параллельный режим (активная мощность)",B133,M133)+Статистика!$J$4))-Статистика!$C$10)/MAX(Статистика!$G$10-Статистика!$C$10,0.000001)))))</f>
        <v>0.49086788833333322</v>
      </c>
      <c r="AY133" s="12">
        <f>IF(A133="","",MAX(0,MAX(0,MIN(1,(((IF(Статистика!$C$4="Параллельный режим (активная мощность)",E133,P133)+Статистика!$J$4))-Статистика!$C$10)/MAX(Статистика!$G$10-Статистика!$C$10,0.000001)))-MAX(0,MIN(1,(((IF(Статистика!$C$4="Параллельный режим (активная мощность)",D133,O133)+Статистика!$J$4))-Статистика!$C$10)/MAX(Статистика!$G$10-Статистика!$C$10,0.000001)))))</f>
        <v>5.4782072777777746E-2</v>
      </c>
      <c r="AZ133" s="12">
        <f>IF(A133="","",MAX(0,MAX(0,MIN(1,(((IF(Статистика!$C$4="Параллельный режим (активная мощность)",F133,Q133)+Статистика!$J$4))-Статистика!$C$10)/MAX(Статистика!$G$10-Статистика!$C$10,0.000001)))-MAX(0,MIN(1,(((IF(Статистика!$C$4="Параллельный режим (активная мощность)",E133,P133)+Статистика!$J$4))-Статистика!$C$10)/MAX(Статистика!$G$10-Статистика!$C$10,0.000001)))))</f>
        <v>6.5241205555555903E-2</v>
      </c>
      <c r="BA133" s="12">
        <f>IF(A133="","",MAX(0,MAX(0,MIN(1,(((IF(Статистика!$C$4="Параллельный режим (активная мощность)",G133,R133)+Статистика!$J$4))-Статистика!$C$10)/MAX(Статистика!$G$10-Статистика!$C$10,0.000001)))-MAX(0,MIN(1,(((IF(Статистика!$C$4="Параллельный режим (активная мощность)",F133,Q133)+Статистика!$J$4))-Статистика!$C$10)/MAX(Статистика!$G$10-Статистика!$C$10,0.000001)))))</f>
        <v>9.3559738888888577E-2</v>
      </c>
      <c r="BB133" s="12">
        <f>IF(A133="","",MAX(0,MAX(0,MIN(1,(((IF(Статистика!$C$4="Параллельный режим (активная мощность)",H133,S133)+Статистика!$J$4))-Статистика!$C$10)/MAX(Статистика!$G$10-Статистика!$C$10,0.000001)))-MAX(0,MIN(1,(((IF(Статистика!$C$4="Параллельный режим (активная мощность)",G133,R133)+Статистика!$J$4))-Статистика!$C$10)/MAX(Статистика!$G$10-Статистика!$C$10,0.000001)))))</f>
        <v>9.3024576111110924E-2</v>
      </c>
      <c r="BC133" s="12">
        <f>IF(A133="","",MAX(0,MAX(0,MIN(1,(((IF(Статистика!$C$4="Параллельный режим (активная мощность)",J133,U133)+Статистика!$J$4))-Статистика!$C$10)/MAX(Статистика!$G$10-Статистика!$C$10,0.000001)))-MAX(0,MIN(1,(((IF(Статистика!$C$4="Параллельный режим (активная мощность)",H133,S133)+Статистика!$J$4))-Статистика!$C$10)/MAX(Статистика!$G$10-Статистика!$C$10,0.000001)))))</f>
        <v>0.10720062400000041</v>
      </c>
      <c r="BD133" s="12">
        <f>IF(A133="","",MAX(0,1-MAX(0,MIN(1,(((IF(Статистика!$C$4="Параллельный режим (активная мощность)",J133,U133)+Статистика!$J$4))-Статистика!$C$10)/MAX(Статистика!$G$10-Статистика!$C$10,0.000001)))))</f>
        <v>9.5323894333333214E-2</v>
      </c>
      <c r="BE133" s="12">
        <f>IF(A133="",NA(),IF(Статистика!$B$8="Вкл",(((IF(Статистика!$C$4="Параллельный режим (активная мощность)",F133,Q133)+Статистика!$J$4))-Статистика!$C$10)/MAX(Статистика!$G$10-Статистика!$C$10,0.000001),NA()))</f>
        <v>0.61089116666666687</v>
      </c>
      <c r="BF133" s="12">
        <f>IF(A133="",NA(),IF(Статистика!$D$8="Вкл",(((IF(Статистика!$C$4="Параллельный режим (активная мощность)",E133,P133)+Статистика!$J$4))-Статистика!$C$10)/MAX(Статистика!$G$10-Статистика!$C$10,0.000001),NA()))</f>
        <v>0.54564996111111097</v>
      </c>
      <c r="BG133" s="12">
        <f>IF(A133="",NA(),IF(Статистика!$D$8="Вкл",(((IF(Статистика!$C$4="Параллельный режим (активная мощность)",G133,R133)+Статистика!$J$4))-Статистика!$C$10)/MAX(Статистика!$G$10-Статистика!$C$10,0.000001),NA()))</f>
        <v>0.70445090555555545</v>
      </c>
      <c r="BH133" s="12">
        <f>IF(A133="",NA(),IF(Статистика!$F$8="Вкл",(((IF(Статистика!$C$4="Параллельный режим (активная мощность)",D133,O133)+Статистика!$J$4))-Статистика!$C$10)/MAX(Статистика!$G$10-Статистика!$C$10,0.000001),NA()))</f>
        <v>0.49086788833333322</v>
      </c>
      <c r="BI133" s="12">
        <f>IF(A133="",NA(),IF(Статистика!$F$8="Вкл",(((IF(Статистика!$C$4="Параллельный режим (активная мощность)",H133,S133)+Статистика!$J$4))-Статистика!$C$10)/MAX(Статистика!$G$10-Статистика!$C$10,0.000001),NA()))</f>
        <v>0.79747548166666637</v>
      </c>
      <c r="BJ133" s="12">
        <f>IF(A133="",NA(),IF(Статистика!$H$8="Вкл",(((IF(Статистика!$C$4="Параллельный режим (активная мощность)",B133,M133)+Статистика!$J$4))-Статистика!$C$10)/MAX(Статистика!$G$10-Статистика!$C$10,0.000001),NA()))</f>
        <v>-1.1451664696666668</v>
      </c>
      <c r="BK133" s="12">
        <f>IF(A133="",NA(),IF(Статистика!$H$8="Вкл",(((IF(Статистика!$C$4="Параллельный режим (активная мощность)",J133,U133)+Статистика!$J$4))-Статистика!$C$10)/MAX(Статистика!$G$10-Статистика!$C$10,0.000001),NA()))</f>
        <v>0.90467610566666679</v>
      </c>
      <c r="BL133" s="12" t="e">
        <f>IF(A133="",NA(),IF(Статистика!$J$8="Вкл",(((IF(Статистика!$C$4="Параллельный режим (активная мощность)",K133,V133)+Статистика!$J$4))-Статистика!$C$10)/MAX(Статистика!$G$10-Статистика!$C$10,0.000001),NA()))</f>
        <v>#N/A</v>
      </c>
      <c r="BM133" s="12" t="e">
        <f>IF(AND(A133&lt;&gt;"",Статистика!$C$6="Вкл",Статистика!$B$6&gt;0),(Статистика!$B$6-Статистика!$C$10)/MAX(Статистика!$G$10-Статистика!$C$10,0.000001),NA())</f>
        <v>#N/A</v>
      </c>
      <c r="BN133" s="12" t="e">
        <f>IF(AND(A133&lt;&gt;"",Статистика!$F$6="Вкл",Статистика!$E$6&gt;0),(Статистика!$E$6-Статистика!$C$10)/MAX(Статистика!$G$10-Статистика!$C$10,0.000001),NA())</f>
        <v>#N/A</v>
      </c>
      <c r="BO133" s="12" t="e">
        <f>IF(AND(A133&lt;&gt;"",Статистика!$I$6="Вкл",Статистика!$H$6&gt;0),(Статистика!$H$6-Статистика!$C$10)/MAX(Статистика!$G$10-Статистика!$C$10,0.000001),NA())</f>
        <v>#N/A</v>
      </c>
      <c r="BP133" s="12" t="e">
        <f>IF(AND(A133&lt;&gt;"",Статистика!$L$6="Вкл",Статистика!$K$6&gt;0),(Статистика!$K$6-Статистика!$C$10)/MAX(Статистика!$G$10-Статистика!$C$10,0.000001),NA())</f>
        <v>#N/A</v>
      </c>
      <c r="BQ133" s="12" t="e">
        <f>IF(AND(A133&lt;&gt;"",Статистика!$M$6="Вкл",Статистика!$O$6&gt;0),(Статистика!$O$6-Статистика!$C$10)/MAX(Статистика!$G$10-Статистика!$C$10,0.000001),NA())</f>
        <v>#N/A</v>
      </c>
      <c r="BR133" s="12">
        <f t="shared" si="4"/>
        <v>1</v>
      </c>
      <c r="BT133" s="12">
        <f>IF(Y133="","",MAX(0,MIN(1,(((IF(Статистика!$C$4="Параллельный режим (активная мощность)",Z133,AK133)+Статистика!$J$4))-Статистика!$C$10)/MAX(Статистика!$G$10-Статистика!$C$10,0.000001))))</f>
        <v>0.52568738066666654</v>
      </c>
      <c r="BU133" s="12">
        <f>IF(Y133="","",MAX(0,MAX(0,MIN(1,(((IF(Статистика!$C$4="Параллельный режим (активная мощность)",AB133,AM133)+Статистика!$J$4))-Статистика!$C$10)/MAX(Статистика!$G$10-Статистика!$C$10,0.000001)))-MAX(0,MIN(1,(((IF(Статистика!$C$4="Параллельный режим (активная мощность)",Z133,AK133)+Статистика!$J$4))-Статистика!$C$10)/MAX(Статистика!$G$10-Статистика!$C$10,0.000001)))))</f>
        <v>1.9787526000000111E-2</v>
      </c>
      <c r="BV133" s="12">
        <f>IF(Y133="","",MAX(0,MAX(0,MIN(1,(((IF(Статистика!$C$4="Параллельный режим (активная мощность)",AC133,AN133)+Статистика!$J$4))-Статистика!$C$10)/MAX(Статистика!$G$10-Статистика!$C$10,0.000001)))-MAX(0,MIN(1,(((IF(Статистика!$C$4="Параллельный режим (активная мощность)",AB133,AM133)+Статистика!$J$4))-Статистика!$C$10)/MAX(Статистика!$G$10-Статистика!$C$10,0.000001)))))</f>
        <v>6.3120082222222318E-2</v>
      </c>
      <c r="BW133" s="12">
        <f>IF(Y133="","",MAX(0,MAX(0,MIN(1,(((IF(Статистика!$C$4="Параллельный режим (активная мощность)",AD133,AO133)+Статистика!$J$4))-Статистика!$C$10)/MAX(Статистика!$G$10-Статистика!$C$10,0.000001)))-MAX(0,MIN(1,(((IF(Статистика!$C$4="Параллельный режим (активная мощность)",AC133,AN133)+Статистика!$J$4))-Статистика!$C$10)/MAX(Статистика!$G$10-Статистика!$C$10,0.000001)))))</f>
        <v>2.8773822222221801E-2</v>
      </c>
      <c r="BX133" s="12">
        <f>IF(Y133="","",MAX(0,MAX(0,MIN(1,(((IF(Статистика!$C$4="Параллельный режим (активная мощность)",AE133,AP133)+Статистика!$J$4))-Статистика!$C$10)/MAX(Статистика!$G$10-Статистика!$C$10,0.000001)))-MAX(0,MIN(1,(((IF(Статистика!$C$4="Параллельный режим (активная мощность)",AD133,AO133)+Статистика!$J$4))-Статистика!$C$10)/MAX(Статистика!$G$10-Статистика!$C$10,0.000001)))))</f>
        <v>4.0517813888888976E-2</v>
      </c>
      <c r="BY133" s="12">
        <f>IF(Y133="","",MAX(0,MAX(0,MIN(1,(((IF(Статистика!$C$4="Параллельный режим (активная мощность)",AF133,AQ133)+Статистика!$J$4))-Статистика!$C$10)/MAX(Статистика!$G$10-Статистика!$C$10,0.000001)))-MAX(0,MIN(1,(((IF(Статистика!$C$4="Параллельный режим (активная мощность)",AE133,AP133)+Статистика!$J$4))-Статистика!$C$10)/MAX(Статистика!$G$10-Статистика!$C$10,0.000001)))))</f>
        <v>0.18686762944444435</v>
      </c>
      <c r="BZ133" s="12">
        <f>IF(Y133="","",MAX(0,MAX(0,MIN(1,(((IF(Статистика!$C$4="Параллельный режим (активная мощность)",AH133,AS133)+Статистика!$J$4))-Статистика!$C$10)/MAX(Статистика!$G$10-Статистика!$C$10,0.000001)))-MAX(0,MIN(1,(((IF(Статистика!$C$4="Параллельный режим (активная мощность)",AF133,AQ133)+Статистика!$J$4))-Статистика!$C$10)/MAX(Статистика!$G$10-Статистика!$C$10,0.000001)))))</f>
        <v>5.8792480999999785E-2</v>
      </c>
      <c r="CA133" s="12">
        <f>IF(Y133="","",MAX(0,1-MAX(0,MIN(1,(((IF(Статистика!$C$4="Параллельный режим (активная мощность)",AH133,AS133)+Статистика!$J$4))-Статистика!$C$10)/MAX(Статистика!$G$10-Статистика!$C$10,0.000001)))))</f>
        <v>7.6453264555556122E-2</v>
      </c>
      <c r="CB133" s="12">
        <f>IF(Y133="",NA(),IF(Статистика!$B$8="Вкл",(((IF(Статистика!$C$4="Параллельный режим (активная мощность)",AD133,AO133)+Статистика!$J$4))-Статистика!$C$10)/MAX(Статистика!$G$10-Статистика!$C$10,0.000001),NA()))</f>
        <v>0.63736881111111077</v>
      </c>
      <c r="CC133" s="12">
        <f>IF(Y133="",NA(),IF(Статистика!$D$8="Вкл",(((IF(Статистика!$C$4="Параллельный режим (активная мощность)",AC133,AN133)+Статистика!$J$4))-Статистика!$C$10)/MAX(Статистика!$G$10-Статистика!$C$10,0.000001),NA()))</f>
        <v>0.60859498888888897</v>
      </c>
      <c r="CD133" s="12">
        <f>IF(Y133="",NA(),IF(Статистика!$D$8="Вкл",(((IF(Статистика!$C$4="Параллельный режим (активная мощность)",AE133,AP133)+Статистика!$J$4))-Статистика!$C$10)/MAX(Статистика!$G$10-Статистика!$C$10,0.000001),NA()))</f>
        <v>0.67788662499999974</v>
      </c>
      <c r="CE133" s="12">
        <f>IF(Y133="",NA(),IF(Статистика!$F$8="Вкл",(((IF(Статистика!$C$4="Параллельный режим (активная мощность)",AB133,AM133)+Статистика!$J$4))-Статистика!$C$10)/MAX(Статистика!$G$10-Статистика!$C$10,0.000001),NA()))</f>
        <v>0.54547490666666665</v>
      </c>
      <c r="CF133" s="12">
        <f>IF(Y133="",NA(),IF(Статистика!$F$8="Вкл",(((IF(Статистика!$C$4="Параллельный режим (активная мощность)",AF133,AQ133)+Статистика!$J$4))-Статистика!$C$10)/MAX(Статистика!$G$10-Статистика!$C$10,0.000001),NA()))</f>
        <v>0.86475425444444409</v>
      </c>
      <c r="CG133" s="12">
        <f>IF(Y133="",NA(),IF(Статистика!$H$8="Вкл",(((IF(Статистика!$C$4="Параллельный режим (активная мощность)",Z133,AK133)+Статистика!$J$4))-Статистика!$C$10)/MAX(Статистика!$G$10-Статистика!$C$10,0.000001),NA()))</f>
        <v>0.52568738066666654</v>
      </c>
      <c r="CH133" s="12">
        <f>IF(Y133="",NA(),IF(Статистика!$H$8="Вкл",(((IF(Статистика!$C$4="Параллельный режим (активная мощность)",AH133,AS133)+Статистика!$J$4))-Статистика!$C$10)/MAX(Статистика!$G$10-Статистика!$C$10,0.000001),NA()))</f>
        <v>0.92354673544444388</v>
      </c>
      <c r="CI133" s="12" t="e">
        <f>IF(Y133="",NA(),IF(Статистика!$J$8="Вкл",(((IF(Статистика!$C$4="Параллельный режим (активная мощность)",AI133,AT133)+Статистика!$J$4))-Статистика!$C$10)/MAX(Статистика!$G$10-Статистика!$C$10,0.000001),NA()))</f>
        <v>#N/A</v>
      </c>
      <c r="CJ133" s="12" t="e">
        <f>IF(AND(Y133&lt;&gt;"",Статистика!$C$6="Вкл",Статистика!$B$6&gt;0),(Статистика!$B$6-Статистика!$C$10)/MAX(Статистика!$G$10-Статистика!$C$10,0.000001),NA())</f>
        <v>#N/A</v>
      </c>
      <c r="CK133" s="12" t="e">
        <f>IF(AND(Y133&lt;&gt;"",Статистика!$F$6="Вкл",Статистика!$E$6&gt;0),(Статистика!$E$6-Статистика!$C$10)/MAX(Статистика!$G$10-Статистика!$C$10,0.000001),NA())</f>
        <v>#N/A</v>
      </c>
      <c r="CL133" s="12" t="e">
        <f>IF(AND(Y133&lt;&gt;"",Статистика!$I$6="Вкл",Статистика!$H$6&gt;0),(Статистика!$H$6-Статистика!$C$10)/MAX(Статистика!$G$10-Статистика!$C$10,0.000001),NA())</f>
        <v>#N/A</v>
      </c>
      <c r="CM133" s="12" t="e">
        <f>IF(AND(Y133&lt;&gt;"",Статистика!$L$6="Вкл",Статистика!$K$6&gt;0),(Статистика!$K$6-Статистика!$C$10)/MAX(Статистика!$G$10-Статистика!$C$10,0.000001),NA())</f>
        <v>#N/A</v>
      </c>
      <c r="CN133" s="12" t="e">
        <f>IF(AND(Y133&lt;&gt;"",Статистика!$M$6="Вкл",Статистика!$O$6&gt;0),(Статистика!$O$6-Статистика!$C$10)/MAX(Статистика!$G$10-Статистика!$C$10,0.000001),NA())</f>
        <v>#N/A</v>
      </c>
      <c r="CO133" s="12">
        <f t="shared" si="5"/>
        <v>1</v>
      </c>
    </row>
    <row r="134" spans="1:93" ht="15" customHeight="1">
      <c r="A134" s="12" t="s">
        <v>592</v>
      </c>
      <c r="B134" s="12">
        <v>2553.902658</v>
      </c>
      <c r="C134" s="12">
        <v>5868.6106233333339</v>
      </c>
      <c r="D134" s="12">
        <v>7460.8855949999988</v>
      </c>
      <c r="E134" s="12">
        <v>7660.8966999999993</v>
      </c>
      <c r="F134" s="12">
        <v>7898.2826166666673</v>
      </c>
      <c r="G134" s="12">
        <v>8120.1141083333341</v>
      </c>
      <c r="H134" s="12">
        <v>8423.5730399999993</v>
      </c>
      <c r="I134" s="12">
        <v>8633.2917808333332</v>
      </c>
      <c r="J134" s="12">
        <v>8718.7696094999992</v>
      </c>
      <c r="K134" s="12">
        <v>8848.58</v>
      </c>
      <c r="L134" s="12" t="s">
        <v>593</v>
      </c>
      <c r="M134" s="12">
        <v>3012.9940630000001</v>
      </c>
      <c r="N134" s="12">
        <v>6653.7368483333339</v>
      </c>
      <c r="O134" s="12">
        <v>8419.9528300000002</v>
      </c>
      <c r="P134" s="12">
        <v>8614.2666083333315</v>
      </c>
      <c r="Q134" s="12">
        <v>8871.035633333333</v>
      </c>
      <c r="R134" s="12">
        <v>9162.5629250000002</v>
      </c>
      <c r="S134" s="12">
        <v>9495.7290866666663</v>
      </c>
      <c r="T134" s="12">
        <v>9646.4198808333331</v>
      </c>
      <c r="U134" s="12">
        <v>9708.2190161666658</v>
      </c>
      <c r="V134" s="12">
        <v>9826.5</v>
      </c>
      <c r="W134" s="12" t="s">
        <v>594</v>
      </c>
      <c r="Y134" s="12" t="s">
        <v>592</v>
      </c>
      <c r="Z134" s="12">
        <v>7544.8531401666678</v>
      </c>
      <c r="AA134" s="12">
        <v>7580.4691675000004</v>
      </c>
      <c r="AB134" s="12">
        <v>7624.9892016666672</v>
      </c>
      <c r="AC134" s="12">
        <v>7803.5072583333331</v>
      </c>
      <c r="AD134" s="12">
        <v>7925.5277666666661</v>
      </c>
      <c r="AE134" s="12">
        <v>8035.1094750000002</v>
      </c>
      <c r="AF134" s="12">
        <v>8528.345601666666</v>
      </c>
      <c r="AG134" s="12">
        <v>8637.8554508333327</v>
      </c>
      <c r="AH134" s="12">
        <v>8725.4633301666654</v>
      </c>
      <c r="AI134" s="12">
        <v>8857.91</v>
      </c>
      <c r="AJ134" s="12" t="s">
        <v>595</v>
      </c>
      <c r="AK134" s="12">
        <v>8552.9840468333332</v>
      </c>
      <c r="AL134" s="12">
        <v>8563.5159674999995</v>
      </c>
      <c r="AM134" s="12">
        <v>8576.6808683333329</v>
      </c>
      <c r="AN134" s="12">
        <v>8731.1464916666664</v>
      </c>
      <c r="AO134" s="12">
        <v>8916.6730166666675</v>
      </c>
      <c r="AP134" s="12">
        <v>9029.0733666666656</v>
      </c>
      <c r="AQ134" s="12">
        <v>9475.6347399999995</v>
      </c>
      <c r="AR134" s="12">
        <v>9574.4224033333339</v>
      </c>
      <c r="AS134" s="12">
        <v>9653.452534</v>
      </c>
      <c r="AT134" s="12">
        <v>9780.01</v>
      </c>
      <c r="AU134" s="12" t="s">
        <v>595</v>
      </c>
      <c r="AW134" s="12">
        <f>IF(A134="","",MAX(0,MIN(1,(((IF(Статистика!$C$4="Параллельный режим (активная мощность)",B134,M134)+Статистика!$J$4))-Статистика!$C$10)/MAX(Статистика!$G$10-Статистика!$C$10,0.000001))))</f>
        <v>0</v>
      </c>
      <c r="AX134" s="12">
        <f>IF(A134="","",MAX(0,MAX(0,MIN(1,(((IF(Статистика!$C$4="Параллельный режим (активная мощность)",D134,O134)+Статистика!$J$4))-Статистика!$C$10)/MAX(Статистика!$G$10-Статистика!$C$10,0.000001)))-MAX(0,MIN(1,(((IF(Статистика!$C$4="Параллельный режим (активная мощность)",B134,M134)+Статистика!$J$4))-Статистика!$C$10)/MAX(Статистика!$G$10-Статистика!$C$10,0.000001)))))</f>
        <v>0.48696186499999961</v>
      </c>
      <c r="AY134" s="12">
        <f>IF(A134="","",MAX(0,MAX(0,MIN(1,(((IF(Статистика!$C$4="Параллельный режим (активная мощность)",E134,P134)+Статистика!$J$4))-Статистика!$C$10)/MAX(Статистика!$G$10-Статистика!$C$10,0.000001)))-MAX(0,MIN(1,(((IF(Статистика!$C$4="Параллельный режим (активная мощность)",D134,O134)+Статистика!$J$4))-Статистика!$C$10)/MAX(Статистика!$G$10-Статистика!$C$10,0.000001)))))</f>
        <v>6.6670368333333507E-2</v>
      </c>
      <c r="AZ134" s="12">
        <f>IF(A134="","",MAX(0,MAX(0,MIN(1,(((IF(Статистика!$C$4="Параллельный режим (активная мощность)",F134,Q134)+Статистика!$J$4))-Статистика!$C$10)/MAX(Статистика!$G$10-Статистика!$C$10,0.000001)))-MAX(0,MIN(1,(((IF(Статистика!$C$4="Параллельный режим (активная мощность)",E134,P134)+Статистика!$J$4))-Статистика!$C$10)/MAX(Статистика!$G$10-Статистика!$C$10,0.000001)))))</f>
        <v>7.9128638888889324E-2</v>
      </c>
      <c r="BA134" s="12">
        <f>IF(A134="","",MAX(0,MAX(0,MIN(1,(((IF(Статистика!$C$4="Параллельный режим (активная мощность)",G134,R134)+Статистика!$J$4))-Статистика!$C$10)/MAX(Статистика!$G$10-Статистика!$C$10,0.000001)))-MAX(0,MIN(1,(((IF(Статистика!$C$4="Параллельный режим (активная мощность)",F134,Q134)+Статистика!$J$4))-Статистика!$C$10)/MAX(Статистика!$G$10-Статистика!$C$10,0.000001)))))</f>
        <v>7.3943830555555645E-2</v>
      </c>
      <c r="BB134" s="12">
        <f>IF(A134="","",MAX(0,MAX(0,MIN(1,(((IF(Статистика!$C$4="Параллельный режим (активная мощность)",H134,S134)+Статистика!$J$4))-Статистика!$C$10)/MAX(Статистика!$G$10-Статистика!$C$10,0.000001)))-MAX(0,MIN(1,(((IF(Статистика!$C$4="Параллельный режим (активная мощность)",G134,R134)+Статистика!$J$4))-Статистика!$C$10)/MAX(Статистика!$G$10-Статистика!$C$10,0.000001)))))</f>
        <v>0.10115297722222172</v>
      </c>
      <c r="BC134" s="12">
        <f>IF(A134="","",MAX(0,MAX(0,MIN(1,(((IF(Статистика!$C$4="Параллельный режим (активная мощность)",J134,U134)+Статистика!$J$4))-Статистика!$C$10)/MAX(Статистика!$G$10-Статистика!$C$10,0.000001)))-MAX(0,MIN(1,(((IF(Статистика!$C$4="Параллельный режим (активная мощность)",H134,S134)+Статистика!$J$4))-Статистика!$C$10)/MAX(Статистика!$G$10-Статистика!$C$10,0.000001)))))</f>
        <v>9.8398856499999909E-2</v>
      </c>
      <c r="BD134" s="12">
        <f>IF(A134="","",MAX(0,1-MAX(0,MIN(1,(((IF(Статистика!$C$4="Параллельный режим (активная мощность)",J134,U134)+Статистика!$J$4))-Статистика!$C$10)/MAX(Статистика!$G$10-Статистика!$C$10,0.000001)))))</f>
        <v>9.374346350000029E-2</v>
      </c>
      <c r="BE134" s="12">
        <f>IF(A134="",NA(),IF(Статистика!$B$8="Вкл",(((IF(Статистика!$C$4="Параллельный режим (активная мощность)",F134,Q134)+Статистика!$J$4))-Статистика!$C$10)/MAX(Статистика!$G$10-Статистика!$C$10,0.000001),NA()))</f>
        <v>0.63276087222222244</v>
      </c>
      <c r="BF134" s="12">
        <f>IF(A134="",NA(),IF(Статистика!$D$8="Вкл",(((IF(Статистика!$C$4="Параллельный режим (активная мощность)",E134,P134)+Статистика!$J$4))-Статистика!$C$10)/MAX(Статистика!$G$10-Статистика!$C$10,0.000001),NA()))</f>
        <v>0.55363223333333311</v>
      </c>
      <c r="BG134" s="12">
        <f>IF(A134="",NA(),IF(Статистика!$D$8="Вкл",(((IF(Статистика!$C$4="Параллельный режим (активная мощность)",G134,R134)+Статистика!$J$4))-Статистика!$C$10)/MAX(Статистика!$G$10-Статистика!$C$10,0.000001),NA()))</f>
        <v>0.70670470277777808</v>
      </c>
      <c r="BH134" s="12">
        <f>IF(A134="",NA(),IF(Статистика!$F$8="Вкл",(((IF(Статистика!$C$4="Параллельный режим (активная мощность)",D134,O134)+Статистика!$J$4))-Статистика!$C$10)/MAX(Статистика!$G$10-Статистика!$C$10,0.000001),NA()))</f>
        <v>0.48696186499999961</v>
      </c>
      <c r="BI134" s="12">
        <f>IF(A134="",NA(),IF(Статистика!$F$8="Вкл",(((IF(Статистика!$C$4="Параллельный режим (активная мощность)",H134,S134)+Статистика!$J$4))-Статистика!$C$10)/MAX(Статистика!$G$10-Статистика!$C$10,0.000001),NA()))</f>
        <v>0.8078576799999998</v>
      </c>
      <c r="BJ134" s="12">
        <f>IF(A134="",NA(),IF(Статистика!$H$8="Вкл",(((IF(Статистика!$C$4="Параллельный режим (активная мощность)",B134,M134)+Статистика!$J$4))-Статистика!$C$10)/MAX(Статистика!$G$10-Статистика!$C$10,0.000001),NA()))</f>
        <v>-1.148699114</v>
      </c>
      <c r="BK134" s="12">
        <f>IF(A134="",NA(),IF(Статистика!$H$8="Вкл",(((IF(Статистика!$C$4="Параллельный режим (активная мощность)",J134,U134)+Статистика!$J$4))-Статистика!$C$10)/MAX(Статистика!$G$10-Статистика!$C$10,0.000001),NA()))</f>
        <v>0.90625653649999971</v>
      </c>
      <c r="BL134" s="12" t="e">
        <f>IF(A134="",NA(),IF(Статистика!$J$8="Вкл",(((IF(Статистика!$C$4="Параллельный режим (активная мощность)",K134,V134)+Статистика!$J$4))-Статистика!$C$10)/MAX(Статистика!$G$10-Статистика!$C$10,0.000001),NA()))</f>
        <v>#N/A</v>
      </c>
      <c r="BM134" s="12" t="e">
        <f>IF(AND(A134&lt;&gt;"",Статистика!$C$6="Вкл",Статистика!$B$6&gt;0),(Статистика!$B$6-Статистика!$C$10)/MAX(Статистика!$G$10-Статистика!$C$10,0.000001),NA())</f>
        <v>#N/A</v>
      </c>
      <c r="BN134" s="12" t="e">
        <f>IF(AND(A134&lt;&gt;"",Статистика!$F$6="Вкл",Статистика!$E$6&gt;0),(Статистика!$E$6-Статистика!$C$10)/MAX(Статистика!$G$10-Статистика!$C$10,0.000001),NA())</f>
        <v>#N/A</v>
      </c>
      <c r="BO134" s="12" t="e">
        <f>IF(AND(A134&lt;&gt;"",Статистика!$I$6="Вкл",Статистика!$H$6&gt;0),(Статистика!$H$6-Статистика!$C$10)/MAX(Статистика!$G$10-Статистика!$C$10,0.000001),NA())</f>
        <v>#N/A</v>
      </c>
      <c r="BP134" s="12" t="e">
        <f>IF(AND(A134&lt;&gt;"",Статистика!$L$6="Вкл",Статистика!$K$6&gt;0),(Статистика!$K$6-Статистика!$C$10)/MAX(Статистика!$G$10-Статистика!$C$10,0.000001),NA())</f>
        <v>#N/A</v>
      </c>
      <c r="BQ134" s="12" t="e">
        <f>IF(AND(A134&lt;&gt;"",Статистика!$M$6="Вкл",Статистика!$O$6&gt;0),(Статистика!$O$6-Статистика!$C$10)/MAX(Статистика!$G$10-Статистика!$C$10,0.000001),NA())</f>
        <v>#N/A</v>
      </c>
      <c r="BR134" s="12">
        <f t="shared" si="4"/>
        <v>1</v>
      </c>
      <c r="BT134" s="12">
        <f>IF(Y134="","",MAX(0,MIN(1,(((IF(Статистика!$C$4="Параллельный режим (активная мощность)",Z134,AK134)+Статистика!$J$4))-Статистика!$C$10)/MAX(Статистика!$G$10-Статистика!$C$10,0.000001))))</f>
        <v>0.51495104672222258</v>
      </c>
      <c r="BU134" s="12">
        <f>IF(Y134="","",MAX(0,MAX(0,MIN(1,(((IF(Статистика!$C$4="Параллельный режим (активная мощность)",AB134,AM134)+Статистика!$J$4))-Статистика!$C$10)/MAX(Статистика!$G$10-Статистика!$C$10,0.000001)))-MAX(0,MIN(1,(((IF(Статистика!$C$4="Параллельный режим (активная мощность)",Z134,AK134)+Статистика!$J$4))-Статистика!$C$10)/MAX(Статистика!$G$10-Статистика!$C$10,0.000001)))))</f>
        <v>2.6712020499999767E-2</v>
      </c>
      <c r="BV134" s="12">
        <f>IF(Y134="","",MAX(0,MAX(0,MIN(1,(((IF(Статистика!$C$4="Параллельный режим (активная мощность)",AC134,AN134)+Статистика!$J$4))-Статистика!$C$10)/MAX(Статистика!$G$10-Статистика!$C$10,0.000001)))-MAX(0,MIN(1,(((IF(Статистика!$C$4="Параллельный режим (активная мощность)",AB134,AM134)+Статистика!$J$4))-Статистика!$C$10)/MAX(Статистика!$G$10-Статистика!$C$10,0.000001)))))</f>
        <v>5.9506018888888623E-2</v>
      </c>
      <c r="BW134" s="12">
        <f>IF(Y134="","",MAX(0,MAX(0,MIN(1,(((IF(Статистика!$C$4="Параллельный режим (активная мощность)",AD134,AO134)+Статистика!$J$4))-Статистика!$C$10)/MAX(Статистика!$G$10-Статистика!$C$10,0.000001)))-MAX(0,MIN(1,(((IF(Статистика!$C$4="Параллельный режим (активная мощность)",AC134,AN134)+Статистика!$J$4))-Статистика!$C$10)/MAX(Статистика!$G$10-Статистика!$C$10,0.000001)))))</f>
        <v>4.0673502777777704E-2</v>
      </c>
      <c r="BX134" s="12">
        <f>IF(Y134="","",MAX(0,MAX(0,MIN(1,(((IF(Статистика!$C$4="Параллельный режим (активная мощность)",AE134,AP134)+Статистика!$J$4))-Статистика!$C$10)/MAX(Статистика!$G$10-Статистика!$C$10,0.000001)))-MAX(0,MIN(1,(((IF(Статистика!$C$4="Параллельный режим (активная мощность)",AD134,AO134)+Статистика!$J$4))-Статистика!$C$10)/MAX(Статистика!$G$10-Статистика!$C$10,0.000001)))))</f>
        <v>3.6527236111111416E-2</v>
      </c>
      <c r="BY134" s="12">
        <f>IF(Y134="","",MAX(0,MAX(0,MIN(1,(((IF(Статистика!$C$4="Параллельный режим (активная мощность)",AF134,AQ134)+Статистика!$J$4))-Статистика!$C$10)/MAX(Статистика!$G$10-Статистика!$C$10,0.000001)))-MAX(0,MIN(1,(((IF(Статистика!$C$4="Параллельный режим (активная мощность)",AE134,AP134)+Статистика!$J$4))-Статистика!$C$10)/MAX(Статистика!$G$10-Статистика!$C$10,0.000001)))))</f>
        <v>0.16441204222222194</v>
      </c>
      <c r="BZ134" s="12">
        <f>IF(Y134="","",MAX(0,MAX(0,MIN(1,(((IF(Статистика!$C$4="Параллельный режим (активная мощность)",AH134,AS134)+Статистика!$J$4))-Статистика!$C$10)/MAX(Статистика!$G$10-Статистика!$C$10,0.000001)))-MAX(0,MIN(1,(((IF(Статистика!$C$4="Параллельный режим (активная мощность)",AF134,AQ134)+Статистика!$J$4))-Статистика!$C$10)/MAX(Статистика!$G$10-Статистика!$C$10,0.000001)))))</f>
        <v>6.5705909499999771E-2</v>
      </c>
      <c r="CA134" s="12">
        <f>IF(Y134="","",MAX(0,1-MAX(0,MIN(1,(((IF(Статистика!$C$4="Параллельный режим (активная мощность)",AH134,AS134)+Статистика!$J$4))-Статистика!$C$10)/MAX(Статистика!$G$10-Статистика!$C$10,0.000001)))))</f>
        <v>9.1512223277778193E-2</v>
      </c>
      <c r="CB134" s="12">
        <f>IF(Y134="",NA(),IF(Статистика!$B$8="Вкл",(((IF(Статистика!$C$4="Параллельный режим (активная мощность)",AD134,AO134)+Статистика!$J$4))-Статистика!$C$10)/MAX(Статистика!$G$10-Статистика!$C$10,0.000001),NA()))</f>
        <v>0.64184258888888868</v>
      </c>
      <c r="CC134" s="12">
        <f>IF(Y134="",NA(),IF(Статистика!$D$8="Вкл",(((IF(Статистика!$C$4="Параллельный режим (активная мощность)",AC134,AN134)+Статистика!$J$4))-Статистика!$C$10)/MAX(Статистика!$G$10-Статистика!$C$10,0.000001),NA()))</f>
        <v>0.60116908611111097</v>
      </c>
      <c r="CD134" s="12">
        <f>IF(Y134="",NA(),IF(Статистика!$D$8="Вкл",(((IF(Статистика!$C$4="Параллельный режим (активная мощность)",AE134,AP134)+Статистика!$J$4))-Статистика!$C$10)/MAX(Статистика!$G$10-Статистика!$C$10,0.000001),NA()))</f>
        <v>0.67836982500000009</v>
      </c>
      <c r="CE134" s="12">
        <f>IF(Y134="",NA(),IF(Статистика!$F$8="Вкл",(((IF(Статистика!$C$4="Параллельный режим (активная мощность)",AB134,AM134)+Статистика!$J$4))-Статистика!$C$10)/MAX(Статистика!$G$10-Статистика!$C$10,0.000001),NA()))</f>
        <v>0.54166306722222235</v>
      </c>
      <c r="CF134" s="12">
        <f>IF(Y134="",NA(),IF(Статистика!$F$8="Вкл",(((IF(Статистика!$C$4="Параллельный режим (активная мощность)",AF134,AQ134)+Статистика!$J$4))-Статистика!$C$10)/MAX(Статистика!$G$10-Статистика!$C$10,0.000001),NA()))</f>
        <v>0.84278186722222204</v>
      </c>
      <c r="CG134" s="12">
        <f>IF(Y134="",NA(),IF(Статистика!$H$8="Вкл",(((IF(Статистика!$C$4="Параллельный режим (активная мощность)",Z134,AK134)+Статистика!$J$4))-Статистика!$C$10)/MAX(Статистика!$G$10-Статистика!$C$10,0.000001),NA()))</f>
        <v>0.51495104672222258</v>
      </c>
      <c r="CH134" s="12">
        <f>IF(Y134="",NA(),IF(Статистика!$H$8="Вкл",(((IF(Статистика!$C$4="Параллельный режим (активная мощность)",AH134,AS134)+Статистика!$J$4))-Статистика!$C$10)/MAX(Статистика!$G$10-Статистика!$C$10,0.000001),NA()))</f>
        <v>0.90848777672222181</v>
      </c>
      <c r="CI134" s="12" t="e">
        <f>IF(Y134="",NA(),IF(Статистика!$J$8="Вкл",(((IF(Статистика!$C$4="Параллельный режим (активная мощность)",AI134,AT134)+Статистика!$J$4))-Статистика!$C$10)/MAX(Статистика!$G$10-Статистика!$C$10,0.000001),NA()))</f>
        <v>#N/A</v>
      </c>
      <c r="CJ134" s="12" t="e">
        <f>IF(AND(Y134&lt;&gt;"",Статистика!$C$6="Вкл",Статистика!$B$6&gt;0),(Статистика!$B$6-Статистика!$C$10)/MAX(Статистика!$G$10-Статистика!$C$10,0.000001),NA())</f>
        <v>#N/A</v>
      </c>
      <c r="CK134" s="12" t="e">
        <f>IF(AND(Y134&lt;&gt;"",Статистика!$F$6="Вкл",Статистика!$E$6&gt;0),(Статистика!$E$6-Статистика!$C$10)/MAX(Статистика!$G$10-Статистика!$C$10,0.000001),NA())</f>
        <v>#N/A</v>
      </c>
      <c r="CL134" s="12" t="e">
        <f>IF(AND(Y134&lt;&gt;"",Статистика!$I$6="Вкл",Статистика!$H$6&gt;0),(Статистика!$H$6-Статистика!$C$10)/MAX(Статистика!$G$10-Статистика!$C$10,0.000001),NA())</f>
        <v>#N/A</v>
      </c>
      <c r="CM134" s="12" t="e">
        <f>IF(AND(Y134&lt;&gt;"",Статистика!$L$6="Вкл",Статистика!$K$6&gt;0),(Статистика!$K$6-Статистика!$C$10)/MAX(Статистика!$G$10-Статистика!$C$10,0.000001),NA())</f>
        <v>#N/A</v>
      </c>
      <c r="CN134" s="12" t="e">
        <f>IF(AND(Y134&lt;&gt;"",Статистика!$M$6="Вкл",Статистика!$O$6&gt;0),(Статистика!$O$6-Статистика!$C$10)/MAX(Статистика!$G$10-Статистика!$C$10,0.000001),NA())</f>
        <v>#N/A</v>
      </c>
      <c r="CO134" s="12">
        <f t="shared" si="5"/>
        <v>1</v>
      </c>
    </row>
    <row r="135" spans="1:93" ht="15" customHeight="1">
      <c r="A135" s="12" t="s">
        <v>596</v>
      </c>
      <c r="B135" s="12">
        <v>2553.3850229999998</v>
      </c>
      <c r="C135" s="12">
        <v>5825.6197816666672</v>
      </c>
      <c r="D135" s="12">
        <v>7423.5699450000002</v>
      </c>
      <c r="E135" s="12">
        <v>7707.3003916666667</v>
      </c>
      <c r="F135" s="12">
        <v>7910.6841833333337</v>
      </c>
      <c r="G135" s="12">
        <v>8137.2678916666682</v>
      </c>
      <c r="H135" s="12">
        <v>8450.7128316666658</v>
      </c>
      <c r="I135" s="12">
        <v>8657.9075533333344</v>
      </c>
      <c r="J135" s="12">
        <v>8735.6473506666662</v>
      </c>
      <c r="K135" s="12">
        <v>8862.98</v>
      </c>
      <c r="L135" s="12" t="s">
        <v>597</v>
      </c>
      <c r="M135" s="12">
        <v>3010.0233066666665</v>
      </c>
      <c r="N135" s="12">
        <v>6586.8168000000005</v>
      </c>
      <c r="O135" s="12">
        <v>8369.4906666666666</v>
      </c>
      <c r="P135" s="12">
        <v>8643.9745666666659</v>
      </c>
      <c r="Q135" s="12">
        <v>8870.441366666666</v>
      </c>
      <c r="R135" s="12">
        <v>9182.126624999999</v>
      </c>
      <c r="S135" s="12">
        <v>9514.3479666666644</v>
      </c>
      <c r="T135" s="12">
        <v>9654.6735016666644</v>
      </c>
      <c r="U135" s="12">
        <v>9717.9511536666669</v>
      </c>
      <c r="V135" s="12">
        <v>9835.56</v>
      </c>
      <c r="W135" s="12" t="s">
        <v>598</v>
      </c>
      <c r="Y135" s="12" t="s">
        <v>596</v>
      </c>
      <c r="Z135" s="12">
        <v>7705.7300446666659</v>
      </c>
      <c r="AA135" s="12">
        <v>7719.1118233333327</v>
      </c>
      <c r="AB135" s="12">
        <v>7735.8390466666669</v>
      </c>
      <c r="AC135" s="12">
        <v>7873.7539333333316</v>
      </c>
      <c r="AD135" s="12">
        <v>7937.577683333333</v>
      </c>
      <c r="AE135" s="12">
        <v>8026.766216666666</v>
      </c>
      <c r="AF135" s="12">
        <v>8579.8690516666666</v>
      </c>
      <c r="AG135" s="12">
        <v>8676.0678925000011</v>
      </c>
      <c r="AH135" s="12">
        <v>8753.0269651666677</v>
      </c>
      <c r="AI135" s="12">
        <v>8862.2099999999991</v>
      </c>
      <c r="AJ135" s="12" t="s">
        <v>599</v>
      </c>
      <c r="AK135" s="12">
        <v>8609.3057746666655</v>
      </c>
      <c r="AL135" s="12">
        <v>8631.8687399999999</v>
      </c>
      <c r="AM135" s="12">
        <v>8660.072446666667</v>
      </c>
      <c r="AN135" s="12">
        <v>8800.4476250000007</v>
      </c>
      <c r="AO135" s="12">
        <v>8923.8391666666666</v>
      </c>
      <c r="AP135" s="12">
        <v>9041.5896083333355</v>
      </c>
      <c r="AQ135" s="12">
        <v>9526.3924666666662</v>
      </c>
      <c r="AR135" s="12">
        <v>9608.921433333333</v>
      </c>
      <c r="AS135" s="12">
        <v>9674.944606666666</v>
      </c>
      <c r="AT135" s="12">
        <v>9769.42</v>
      </c>
      <c r="AU135" s="12" t="s">
        <v>599</v>
      </c>
      <c r="AW135" s="12">
        <f>IF(A135="","",MAX(0,MIN(1,(((IF(Статистика!$C$4="Параллельный режим (активная мощность)",B135,M135)+Статистика!$J$4))-Статистика!$C$10)/MAX(Статистика!$G$10-Статистика!$C$10,0.000001))))</f>
        <v>0</v>
      </c>
      <c r="AX135" s="12">
        <f>IF(A135="","",MAX(0,MAX(0,MIN(1,(((IF(Статистика!$C$4="Параллельный режим (активная мощность)",D135,O135)+Статистика!$J$4))-Статистика!$C$10)/MAX(Статистика!$G$10-Статистика!$C$10,0.000001)))-MAX(0,MIN(1,(((IF(Статистика!$C$4="Параллельный режим (активная мощность)",B135,M135)+Статистика!$J$4))-Статистика!$C$10)/MAX(Статистика!$G$10-Статистика!$C$10,0.000001)))))</f>
        <v>0.47452331500000006</v>
      </c>
      <c r="AY135" s="12">
        <f>IF(A135="","",MAX(0,MAX(0,MIN(1,(((IF(Статистика!$C$4="Параллельный режим (активная мощность)",E135,P135)+Статистика!$J$4))-Статистика!$C$10)/MAX(Статистика!$G$10-Статистика!$C$10,0.000001)))-MAX(0,MIN(1,(((IF(Статистика!$C$4="Параллельный режим (активная мощность)",D135,O135)+Статистика!$J$4))-Статистика!$C$10)/MAX(Статистика!$G$10-Статистика!$C$10,0.000001)))))</f>
        <v>9.4576815555555471E-2</v>
      </c>
      <c r="AZ135" s="12">
        <f>IF(A135="","",MAX(0,MAX(0,MIN(1,(((IF(Статистика!$C$4="Параллельный режим (активная мощность)",F135,Q135)+Статистика!$J$4))-Статистика!$C$10)/MAX(Статистика!$G$10-Статистика!$C$10,0.000001)))-MAX(0,MIN(1,(((IF(Статистика!$C$4="Параллельный режим (активная мощность)",E135,P135)+Статистика!$J$4))-Статистика!$C$10)/MAX(Статистика!$G$10-Статистика!$C$10,0.000001)))))</f>
        <v>6.7794597222222364E-2</v>
      </c>
      <c r="BA135" s="12">
        <f>IF(A135="","",MAX(0,MAX(0,MIN(1,(((IF(Статистика!$C$4="Параллельный режим (активная мощность)",G135,R135)+Статистика!$J$4))-Статистика!$C$10)/MAX(Статистика!$G$10-Статистика!$C$10,0.000001)))-MAX(0,MIN(1,(((IF(Статистика!$C$4="Параллельный режим (активная мощность)",F135,Q135)+Статистика!$J$4))-Статистика!$C$10)/MAX(Статистика!$G$10-Статистика!$C$10,0.000001)))))</f>
        <v>7.5527902777778211E-2</v>
      </c>
      <c r="BB135" s="12">
        <f>IF(A135="","",MAX(0,MAX(0,MIN(1,(((IF(Статистика!$C$4="Параллельный режим (активная мощность)",H135,S135)+Статистика!$J$4))-Статистика!$C$10)/MAX(Статистика!$G$10-Статистика!$C$10,0.000001)))-MAX(0,MIN(1,(((IF(Статистика!$C$4="Параллельный режим (активная мощность)",G135,R135)+Статистика!$J$4))-Статистика!$C$10)/MAX(Статистика!$G$10-Статистика!$C$10,0.000001)))))</f>
        <v>0.10448164666666582</v>
      </c>
      <c r="BC135" s="12">
        <f>IF(A135="","",MAX(0,MAX(0,MIN(1,(((IF(Статистика!$C$4="Параллельный режим (активная мощность)",J135,U135)+Статистика!$J$4))-Статистика!$C$10)/MAX(Статистика!$G$10-Статистика!$C$10,0.000001)))-MAX(0,MIN(1,(((IF(Статистика!$C$4="Параллельный режим (активная мощность)",H135,S135)+Статистика!$J$4))-Статистика!$C$10)/MAX(Статистика!$G$10-Статистика!$C$10,0.000001)))))</f>
        <v>9.497817300000011E-2</v>
      </c>
      <c r="BD135" s="12">
        <f>IF(A135="","",MAX(0,1-MAX(0,MIN(1,(((IF(Статистика!$C$4="Параллельный режим (активная мощность)",J135,U135)+Статистика!$J$4))-Статистика!$C$10)/MAX(Статистика!$G$10-Статистика!$C$10,0.000001)))))</f>
        <v>8.811754977777797E-2</v>
      </c>
      <c r="BE135" s="12">
        <f>IF(A135="",NA(),IF(Статистика!$B$8="Вкл",(((IF(Статистика!$C$4="Параллельный режим (активная мощность)",F135,Q135)+Статистика!$J$4))-Статистика!$C$10)/MAX(Статистика!$G$10-Статистика!$C$10,0.000001),NA()))</f>
        <v>0.63689472777777789</v>
      </c>
      <c r="BF135" s="12">
        <f>IF(A135="",NA(),IF(Статистика!$D$8="Вкл",(((IF(Статистика!$C$4="Параллельный режим (активная мощность)",E135,P135)+Статистика!$J$4))-Статистика!$C$10)/MAX(Статистика!$G$10-Статистика!$C$10,0.000001),NA()))</f>
        <v>0.56910013055555553</v>
      </c>
      <c r="BG135" s="12">
        <f>IF(A135="",NA(),IF(Статистика!$D$8="Вкл",(((IF(Статистика!$C$4="Параллельный режим (активная мощность)",G135,R135)+Статистика!$J$4))-Статистика!$C$10)/MAX(Статистика!$G$10-Статистика!$C$10,0.000001),NA()))</f>
        <v>0.7124226305555561</v>
      </c>
      <c r="BH135" s="12">
        <f>IF(A135="",NA(),IF(Статистика!$F$8="Вкл",(((IF(Статистика!$C$4="Параллельный режим (активная мощность)",D135,O135)+Статистика!$J$4))-Статистика!$C$10)/MAX(Статистика!$G$10-Статистика!$C$10,0.000001),NA()))</f>
        <v>0.47452331500000006</v>
      </c>
      <c r="BI135" s="12">
        <f>IF(A135="",NA(),IF(Статистика!$F$8="Вкл",(((IF(Статистика!$C$4="Параллельный режим (активная мощность)",H135,S135)+Статистика!$J$4))-Статистика!$C$10)/MAX(Статистика!$G$10-Статистика!$C$10,0.000001),NA()))</f>
        <v>0.81690427722222192</v>
      </c>
      <c r="BJ135" s="12">
        <f>IF(A135="",NA(),IF(Статистика!$H$8="Вкл",(((IF(Статистика!$C$4="Параллельный режим (активная мощность)",B135,M135)+Статистика!$J$4))-Статистика!$C$10)/MAX(Статистика!$G$10-Статистика!$C$10,0.000001),NA()))</f>
        <v>-1.1488716590000001</v>
      </c>
      <c r="BK135" s="12">
        <f>IF(A135="",NA(),IF(Статистика!$H$8="Вкл",(((IF(Статистика!$C$4="Параллельный режим (активная мощность)",J135,U135)+Статистика!$J$4))-Статистика!$C$10)/MAX(Статистика!$G$10-Статистика!$C$10,0.000001),NA()))</f>
        <v>0.91188245022222203</v>
      </c>
      <c r="BL135" s="12" t="e">
        <f>IF(A135="",NA(),IF(Статистика!$J$8="Вкл",(((IF(Статистика!$C$4="Параллельный режим (активная мощность)",K135,V135)+Статистика!$J$4))-Статистика!$C$10)/MAX(Статистика!$G$10-Статистика!$C$10,0.000001),NA()))</f>
        <v>#N/A</v>
      </c>
      <c r="BM135" s="12" t="e">
        <f>IF(AND(A135&lt;&gt;"",Статистика!$C$6="Вкл",Статистика!$B$6&gt;0),(Статистика!$B$6-Статистика!$C$10)/MAX(Статистика!$G$10-Статистика!$C$10,0.000001),NA())</f>
        <v>#N/A</v>
      </c>
      <c r="BN135" s="12" t="e">
        <f>IF(AND(A135&lt;&gt;"",Статистика!$F$6="Вкл",Статистика!$E$6&gt;0),(Статистика!$E$6-Статистика!$C$10)/MAX(Статистика!$G$10-Статистика!$C$10,0.000001),NA())</f>
        <v>#N/A</v>
      </c>
      <c r="BO135" s="12" t="e">
        <f>IF(AND(A135&lt;&gt;"",Статистика!$I$6="Вкл",Статистика!$H$6&gt;0),(Статистика!$H$6-Статистика!$C$10)/MAX(Статистика!$G$10-Статистика!$C$10,0.000001),NA())</f>
        <v>#N/A</v>
      </c>
      <c r="BP135" s="12" t="e">
        <f>IF(AND(A135&lt;&gt;"",Статистика!$L$6="Вкл",Статистика!$K$6&gt;0),(Статистика!$K$6-Статистика!$C$10)/MAX(Статистика!$G$10-Статистика!$C$10,0.000001),NA())</f>
        <v>#N/A</v>
      </c>
      <c r="BQ135" s="12" t="e">
        <f>IF(AND(A135&lt;&gt;"",Статистика!$M$6="Вкл",Статистика!$O$6&gt;0),(Статистика!$O$6-Статистика!$C$10)/MAX(Статистика!$G$10-Статистика!$C$10,0.000001),NA())</f>
        <v>#N/A</v>
      </c>
      <c r="BR135" s="12">
        <f t="shared" si="4"/>
        <v>1</v>
      </c>
      <c r="BT135" s="12">
        <f>IF(Y135="","",MAX(0,MIN(1,(((IF(Статистика!$C$4="Параллельный режим (активная мощность)",Z135,AK135)+Статистика!$J$4))-Статистика!$C$10)/MAX(Статистика!$G$10-Статистика!$C$10,0.000001))))</f>
        <v>0.5685766815555553</v>
      </c>
      <c r="BU135" s="12">
        <f>IF(Y135="","",MAX(0,MAX(0,MIN(1,(((IF(Статистика!$C$4="Параллельный режим (активная мощность)",AB135,AM135)+Статистика!$J$4))-Статистика!$C$10)/MAX(Статистика!$G$10-Статистика!$C$10,0.000001)))-MAX(0,MIN(1,(((IF(Статистика!$C$4="Параллельный режим (активная мощность)",Z135,AK135)+Статистика!$J$4))-Статистика!$C$10)/MAX(Статистика!$G$10-Статистика!$C$10,0.000001)))))</f>
        <v>1.0036334000000369E-2</v>
      </c>
      <c r="BV135" s="12">
        <f>IF(Y135="","",MAX(0,MAX(0,MIN(1,(((IF(Статистика!$C$4="Параллельный режим (активная мощность)",AC135,AN135)+Статистика!$J$4))-Статистика!$C$10)/MAX(Статистика!$G$10-Статистика!$C$10,0.000001)))-MAX(0,MIN(1,(((IF(Статистика!$C$4="Параллельный режим (активная мощность)",AB135,AM135)+Статистика!$J$4))-Статистика!$C$10)/MAX(Статистика!$G$10-Статистика!$C$10,0.000001)))))</f>
        <v>4.5971628888888172E-2</v>
      </c>
      <c r="BW135" s="12">
        <f>IF(Y135="","",MAX(0,MAX(0,MIN(1,(((IF(Статистика!$C$4="Параллельный режим (активная мощность)",AD135,AO135)+Статистика!$J$4))-Статистика!$C$10)/MAX(Статистика!$G$10-Статистика!$C$10,0.000001)))-MAX(0,MIN(1,(((IF(Статистика!$C$4="Параллельный режим (активная мощность)",AC135,AN135)+Статистика!$J$4))-Статистика!$C$10)/MAX(Статистика!$G$10-Статистика!$C$10,0.000001)))))</f>
        <v>2.1274583333333874E-2</v>
      </c>
      <c r="BX135" s="12">
        <f>IF(Y135="","",MAX(0,MAX(0,MIN(1,(((IF(Статистика!$C$4="Параллельный режим (активная мощность)",AE135,AP135)+Статистика!$J$4))-Статистика!$C$10)/MAX(Статистика!$G$10-Статистика!$C$10,0.000001)))-MAX(0,MIN(1,(((IF(Статистика!$C$4="Параллельный режим (активная мощность)",AD135,AO135)+Статистика!$J$4))-Статистика!$C$10)/MAX(Статистика!$G$10-Статистика!$C$10,0.000001)))))</f>
        <v>2.9729511111110996E-2</v>
      </c>
      <c r="BY135" s="12">
        <f>IF(Y135="","",MAX(0,MAX(0,MIN(1,(((IF(Статистика!$C$4="Параллельный режим (активная мощность)",AF135,AQ135)+Статистика!$J$4))-Статистика!$C$10)/MAX(Статистика!$G$10-Статистика!$C$10,0.000001)))-MAX(0,MIN(1,(((IF(Статистика!$C$4="Параллельный режим (активная мощность)",AE135,AP135)+Статистика!$J$4))-Статистика!$C$10)/MAX(Статистика!$G$10-Статистика!$C$10,0.000001)))))</f>
        <v>0.18436761166666682</v>
      </c>
      <c r="BZ135" s="12">
        <f>IF(Y135="","",MAX(0,MAX(0,MIN(1,(((IF(Статистика!$C$4="Параллельный режим (активная мощность)",AH135,AS135)+Статистика!$J$4))-Статистика!$C$10)/MAX(Статистика!$G$10-Статистика!$C$10,0.000001)))-MAX(0,MIN(1,(((IF(Статистика!$C$4="Параллельный режим (активная мощность)",AF135,AQ135)+Статистика!$J$4))-Статистика!$C$10)/MAX(Статистика!$G$10-Статистика!$C$10,0.000001)))))</f>
        <v>5.7719304500000401E-2</v>
      </c>
      <c r="CA135" s="12">
        <f>IF(Y135="","",MAX(0,1-MAX(0,MIN(1,(((IF(Статистика!$C$4="Параллельный режим (активная мощность)",AH135,AS135)+Статистика!$J$4))-Статистика!$C$10)/MAX(Статистика!$G$10-Статистика!$C$10,0.000001)))))</f>
        <v>8.2324344944444072E-2</v>
      </c>
      <c r="CB135" s="12">
        <f>IF(Y135="",NA(),IF(Статистика!$B$8="Вкл",(((IF(Статистика!$C$4="Параллельный режим (активная мощность)",AD135,AO135)+Статистика!$J$4))-Статистика!$C$10)/MAX(Статистика!$G$10-Статистика!$C$10,0.000001),NA()))</f>
        <v>0.64585922777777771</v>
      </c>
      <c r="CC135" s="12">
        <f>IF(Y135="",NA(),IF(Статистика!$D$8="Вкл",(((IF(Статистика!$C$4="Параллельный режим (активная мощность)",AC135,AN135)+Статистика!$J$4))-Статистика!$C$10)/MAX(Статистика!$G$10-Статистика!$C$10,0.000001),NA()))</f>
        <v>0.62458464444444384</v>
      </c>
      <c r="CD135" s="12">
        <f>IF(Y135="",NA(),IF(Статистика!$D$8="Вкл",(((IF(Статистика!$C$4="Параллельный режим (активная мощность)",AE135,AP135)+Статистика!$J$4))-Статистика!$C$10)/MAX(Статистика!$G$10-Статистика!$C$10,0.000001),NA()))</f>
        <v>0.67558873888888871</v>
      </c>
      <c r="CE135" s="12">
        <f>IF(Y135="",NA(),IF(Статистика!$F$8="Вкл",(((IF(Статистика!$C$4="Параллельный режим (активная мощность)",AB135,AM135)+Статистика!$J$4))-Статистика!$C$10)/MAX(Статистика!$G$10-Статистика!$C$10,0.000001),NA()))</f>
        <v>0.57861301555555567</v>
      </c>
      <c r="CF135" s="12">
        <f>IF(Y135="",NA(),IF(Статистика!$F$8="Вкл",(((IF(Статистика!$C$4="Параллельный режим (активная мощность)",AF135,AQ135)+Статистика!$J$4))-Статистика!$C$10)/MAX(Статистика!$G$10-Статистика!$C$10,0.000001),NA()))</f>
        <v>0.85995635055555553</v>
      </c>
      <c r="CG135" s="12">
        <f>IF(Y135="",NA(),IF(Статистика!$H$8="Вкл",(((IF(Статистика!$C$4="Параллельный режим (активная мощность)",Z135,AK135)+Статистика!$J$4))-Статистика!$C$10)/MAX(Статистика!$G$10-Статистика!$C$10,0.000001),NA()))</f>
        <v>0.5685766815555553</v>
      </c>
      <c r="CH135" s="12">
        <f>IF(Y135="",NA(),IF(Статистика!$H$8="Вкл",(((IF(Статистика!$C$4="Параллельный режим (активная мощность)",AH135,AS135)+Статистика!$J$4))-Статистика!$C$10)/MAX(Статистика!$G$10-Статистика!$C$10,0.000001),NA()))</f>
        <v>0.91767565505555593</v>
      </c>
      <c r="CI135" s="12" t="e">
        <f>IF(Y135="",NA(),IF(Статистика!$J$8="Вкл",(((IF(Статистика!$C$4="Параллельный режим (активная мощность)",AI135,AT135)+Статистика!$J$4))-Статистика!$C$10)/MAX(Статистика!$G$10-Статистика!$C$10,0.000001),NA()))</f>
        <v>#N/A</v>
      </c>
      <c r="CJ135" s="12" t="e">
        <f>IF(AND(Y135&lt;&gt;"",Статистика!$C$6="Вкл",Статистика!$B$6&gt;0),(Статистика!$B$6-Статистика!$C$10)/MAX(Статистика!$G$10-Статистика!$C$10,0.000001),NA())</f>
        <v>#N/A</v>
      </c>
      <c r="CK135" s="12" t="e">
        <f>IF(AND(Y135&lt;&gt;"",Статистика!$F$6="Вкл",Статистика!$E$6&gt;0),(Статистика!$E$6-Статистика!$C$10)/MAX(Статистика!$G$10-Статистика!$C$10,0.000001),NA())</f>
        <v>#N/A</v>
      </c>
      <c r="CL135" s="12" t="e">
        <f>IF(AND(Y135&lt;&gt;"",Статистика!$I$6="Вкл",Статистика!$H$6&gt;0),(Статистика!$H$6-Статистика!$C$10)/MAX(Статистика!$G$10-Статистика!$C$10,0.000001),NA())</f>
        <v>#N/A</v>
      </c>
      <c r="CM135" s="12" t="e">
        <f>IF(AND(Y135&lt;&gt;"",Статистика!$L$6="Вкл",Статистика!$K$6&gt;0),(Статистика!$K$6-Статистика!$C$10)/MAX(Статистика!$G$10-Статистика!$C$10,0.000001),NA())</f>
        <v>#N/A</v>
      </c>
      <c r="CN135" s="12" t="e">
        <f>IF(AND(Y135&lt;&gt;"",Статистика!$M$6="Вкл",Статистика!$O$6&gt;0),(Статистика!$O$6-Статистика!$C$10)/MAX(Статистика!$G$10-Статистика!$C$10,0.000001),NA())</f>
        <v>#N/A</v>
      </c>
      <c r="CO135" s="12">
        <f t="shared" si="5"/>
        <v>1</v>
      </c>
    </row>
    <row r="136" spans="1:93" ht="15" customHeight="1">
      <c r="A136" s="12" t="s">
        <v>600</v>
      </c>
      <c r="B136" s="12">
        <v>2585.1632905000001</v>
      </c>
      <c r="C136" s="12">
        <v>5863.7112525000002</v>
      </c>
      <c r="D136" s="12">
        <v>7475.7039249999998</v>
      </c>
      <c r="E136" s="12">
        <v>7707.083258333334</v>
      </c>
      <c r="F136" s="12">
        <v>7936.6499499999991</v>
      </c>
      <c r="G136" s="12">
        <v>8143.9526000000005</v>
      </c>
      <c r="H136" s="12">
        <v>8409.2583533333327</v>
      </c>
      <c r="I136" s="12">
        <v>8597.6765183333337</v>
      </c>
      <c r="J136" s="12">
        <v>8740.4710103333327</v>
      </c>
      <c r="K136" s="12">
        <v>8994.7999999999993</v>
      </c>
      <c r="L136" s="12" t="s">
        <v>601</v>
      </c>
      <c r="M136" s="12">
        <v>3044.3536919999997</v>
      </c>
      <c r="N136" s="12">
        <v>6614.4061933333342</v>
      </c>
      <c r="O136" s="12">
        <v>8409.878745</v>
      </c>
      <c r="P136" s="12">
        <v>8620.6320749999995</v>
      </c>
      <c r="Q136" s="12">
        <v>8892.6861500000014</v>
      </c>
      <c r="R136" s="12">
        <v>9178.2728833333331</v>
      </c>
      <c r="S136" s="12">
        <v>9450.7505616666658</v>
      </c>
      <c r="T136" s="12">
        <v>9593.3957983333312</v>
      </c>
      <c r="U136" s="12">
        <v>9729.6389196666678</v>
      </c>
      <c r="V136" s="12">
        <v>10027.959999999999</v>
      </c>
      <c r="W136" s="12" t="s">
        <v>601</v>
      </c>
      <c r="Y136" s="12" t="s">
        <v>600</v>
      </c>
      <c r="Z136" s="12">
        <v>7739.1854111666671</v>
      </c>
      <c r="AA136" s="12">
        <v>7755.3443891666675</v>
      </c>
      <c r="AB136" s="12">
        <v>7775.5431116666668</v>
      </c>
      <c r="AC136" s="12">
        <v>7846.4773249999998</v>
      </c>
      <c r="AD136" s="12">
        <v>7974.9790666666668</v>
      </c>
      <c r="AE136" s="12">
        <v>8000.0461083333339</v>
      </c>
      <c r="AF136" s="12">
        <v>8618.0266016666665</v>
      </c>
      <c r="AG136" s="12">
        <v>8678.9276341666664</v>
      </c>
      <c r="AH136" s="12">
        <v>8727.6484601666671</v>
      </c>
      <c r="AI136" s="12">
        <v>8830</v>
      </c>
      <c r="AJ136" s="12" t="s">
        <v>602</v>
      </c>
      <c r="AK136" s="12">
        <v>8664.2198578333318</v>
      </c>
      <c r="AL136" s="12">
        <v>8675.6699558333312</v>
      </c>
      <c r="AM136" s="12">
        <v>8689.9825783333326</v>
      </c>
      <c r="AN136" s="12">
        <v>8818.136241666667</v>
      </c>
      <c r="AO136" s="12">
        <v>8923.6330666666654</v>
      </c>
      <c r="AP136" s="12">
        <v>9053.5826416666659</v>
      </c>
      <c r="AQ136" s="12">
        <v>9558.1851733333315</v>
      </c>
      <c r="AR136" s="12">
        <v>9607.3907033333326</v>
      </c>
      <c r="AS136" s="12">
        <v>9646.7551273333338</v>
      </c>
      <c r="AT136" s="12">
        <v>9735.43</v>
      </c>
      <c r="AU136" s="12" t="s">
        <v>602</v>
      </c>
      <c r="AW136" s="12">
        <f>IF(A136="","",MAX(0,MIN(1,(((IF(Статистика!$C$4="Параллельный режим (активная мощность)",B136,M136)+Статистика!$J$4))-Статистика!$C$10)/MAX(Статистика!$G$10-Статистика!$C$10,0.000001))))</f>
        <v>0</v>
      </c>
      <c r="AX136" s="12">
        <f>IF(A136="","",MAX(0,MAX(0,MIN(1,(((IF(Статистика!$C$4="Параллельный режим (активная мощность)",D136,O136)+Статистика!$J$4))-Статистика!$C$10)/MAX(Статистика!$G$10-Статистика!$C$10,0.000001)))-MAX(0,MIN(1,(((IF(Статистика!$C$4="Параллельный режим (активная мощность)",B136,M136)+Статистика!$J$4))-Статистика!$C$10)/MAX(Статистика!$G$10-Статистика!$C$10,0.000001)))))</f>
        <v>0.49190130833333329</v>
      </c>
      <c r="AY136" s="12">
        <f>IF(A136="","",MAX(0,MAX(0,MIN(1,(((IF(Статистика!$C$4="Параллельный режим (активная мощность)",E136,P136)+Статистика!$J$4))-Статистика!$C$10)/MAX(Статистика!$G$10-Статистика!$C$10,0.000001)))-MAX(0,MIN(1,(((IF(Статистика!$C$4="Параллельный режим (активная мощность)",D136,O136)+Статистика!$J$4))-Статистика!$C$10)/MAX(Статистика!$G$10-Статистика!$C$10,0.000001)))))</f>
        <v>7.7126444444444664E-2</v>
      </c>
      <c r="AZ136" s="12">
        <f>IF(A136="","",MAX(0,MAX(0,MIN(1,(((IF(Статистика!$C$4="Параллельный режим (активная мощность)",F136,Q136)+Статистика!$J$4))-Статистика!$C$10)/MAX(Статистика!$G$10-Статистика!$C$10,0.000001)))-MAX(0,MIN(1,(((IF(Статистика!$C$4="Параллельный режим (активная мощность)",E136,P136)+Статистика!$J$4))-Статистика!$C$10)/MAX(Статистика!$G$10-Статистика!$C$10,0.000001)))))</f>
        <v>7.6522230555555071E-2</v>
      </c>
      <c r="BA136" s="12">
        <f>IF(A136="","",MAX(0,MAX(0,MIN(1,(((IF(Статистика!$C$4="Параллельный режим (активная мощность)",G136,R136)+Статистика!$J$4))-Статистика!$C$10)/MAX(Статистика!$G$10-Статистика!$C$10,0.000001)))-MAX(0,MIN(1,(((IF(Статистика!$C$4="Параллельный режим (активная мощность)",F136,Q136)+Статистика!$J$4))-Статистика!$C$10)/MAX(Статистика!$G$10-Статистика!$C$10,0.000001)))))</f>
        <v>6.9100883333333862E-2</v>
      </c>
      <c r="BB136" s="12">
        <f>IF(A136="","",MAX(0,MAX(0,MIN(1,(((IF(Статистика!$C$4="Параллельный режим (активная мощность)",H136,S136)+Статистика!$J$4))-Статистика!$C$10)/MAX(Статистика!$G$10-Статистика!$C$10,0.000001)))-MAX(0,MIN(1,(((IF(Статистика!$C$4="Параллельный режим (активная мощность)",G136,R136)+Статистика!$J$4))-Статистика!$C$10)/MAX(Статистика!$G$10-Статистика!$C$10,0.000001)))))</f>
        <v>8.8435251111110724E-2</v>
      </c>
      <c r="BC136" s="12">
        <f>IF(A136="","",MAX(0,MAX(0,MIN(1,(((IF(Статистика!$C$4="Параллельный режим (активная мощность)",J136,U136)+Статистика!$J$4))-Статистика!$C$10)/MAX(Статистика!$G$10-Статистика!$C$10,0.000001)))-MAX(0,MIN(1,(((IF(Статистика!$C$4="Параллельный режим (активная мощность)",H136,S136)+Статистика!$J$4))-Статистика!$C$10)/MAX(Статистика!$G$10-Статистика!$C$10,0.000001)))))</f>
        <v>0.11040421899999997</v>
      </c>
      <c r="BD136" s="12">
        <f>IF(A136="","",MAX(0,1-MAX(0,MIN(1,(((IF(Статистика!$C$4="Параллельный режим (активная мощность)",J136,U136)+Статистика!$J$4))-Статистика!$C$10)/MAX(Статистика!$G$10-Статистика!$C$10,0.000001)))))</f>
        <v>8.6509663222222422E-2</v>
      </c>
      <c r="BE136" s="12">
        <f>IF(A136="",NA(),IF(Статистика!$B$8="Вкл",(((IF(Статистика!$C$4="Параллельный режим (активная мощность)",F136,Q136)+Статистика!$J$4))-Статистика!$C$10)/MAX(Статистика!$G$10-Статистика!$C$10,0.000001),NA()))</f>
        <v>0.64554998333333302</v>
      </c>
      <c r="BF136" s="12">
        <f>IF(A136="",NA(),IF(Статистика!$D$8="Вкл",(((IF(Статистика!$C$4="Параллельный режим (активная мощность)",E136,P136)+Статистика!$J$4))-Статистика!$C$10)/MAX(Статистика!$G$10-Статистика!$C$10,0.000001),NA()))</f>
        <v>0.56902775277777795</v>
      </c>
      <c r="BG136" s="12">
        <f>IF(A136="",NA(),IF(Статистика!$D$8="Вкл",(((IF(Статистика!$C$4="Параллельный режим (активная мощность)",G136,R136)+Статистика!$J$4))-Статистика!$C$10)/MAX(Статистика!$G$10-Статистика!$C$10,0.000001),NA()))</f>
        <v>0.71465086666666688</v>
      </c>
      <c r="BH136" s="12">
        <f>IF(A136="",NA(),IF(Статистика!$F$8="Вкл",(((IF(Статистика!$C$4="Параллельный режим (активная мощность)",D136,O136)+Статистика!$J$4))-Статистика!$C$10)/MAX(Статистика!$G$10-Статистика!$C$10,0.000001),NA()))</f>
        <v>0.49190130833333329</v>
      </c>
      <c r="BI136" s="12">
        <f>IF(A136="",NA(),IF(Статистика!$F$8="Вкл",(((IF(Статистика!$C$4="Параллельный режим (активная мощность)",H136,S136)+Статистика!$J$4))-Статистика!$C$10)/MAX(Статистика!$G$10-Статистика!$C$10,0.000001),NA()))</f>
        <v>0.80308611777777761</v>
      </c>
      <c r="BJ136" s="12">
        <f>IF(A136="",NA(),IF(Статистика!$H$8="Вкл",(((IF(Статистика!$C$4="Параллельный режим (активная мощность)",B136,M136)+Статистика!$J$4))-Статистика!$C$10)/MAX(Статистика!$G$10-Статистика!$C$10,0.000001),NA()))</f>
        <v>-1.1382789031666667</v>
      </c>
      <c r="BK136" s="12">
        <f>IF(A136="",NA(),IF(Статистика!$H$8="Вкл",(((IF(Статистика!$C$4="Параллельный режим (активная мощность)",J136,U136)+Статистика!$J$4))-Статистика!$C$10)/MAX(Статистика!$G$10-Статистика!$C$10,0.000001),NA()))</f>
        <v>0.91349033677777758</v>
      </c>
      <c r="BL136" s="12" t="e">
        <f>IF(A136="",NA(),IF(Статистика!$J$8="Вкл",(((IF(Статистика!$C$4="Параллельный режим (активная мощность)",K136,V136)+Статистика!$J$4))-Статистика!$C$10)/MAX(Статистика!$G$10-Статистика!$C$10,0.000001),NA()))</f>
        <v>#N/A</v>
      </c>
      <c r="BM136" s="12" t="e">
        <f>IF(AND(A136&lt;&gt;"",Статистика!$C$6="Вкл",Статистика!$B$6&gt;0),(Статистика!$B$6-Статистика!$C$10)/MAX(Статистика!$G$10-Статистика!$C$10,0.000001),NA())</f>
        <v>#N/A</v>
      </c>
      <c r="BN136" s="12" t="e">
        <f>IF(AND(A136&lt;&gt;"",Статистика!$F$6="Вкл",Статистика!$E$6&gt;0),(Статистика!$E$6-Статистика!$C$10)/MAX(Статистика!$G$10-Статистика!$C$10,0.000001),NA())</f>
        <v>#N/A</v>
      </c>
      <c r="BO136" s="12" t="e">
        <f>IF(AND(A136&lt;&gt;"",Статистика!$I$6="Вкл",Статистика!$H$6&gt;0),(Статистика!$H$6-Статистика!$C$10)/MAX(Статистика!$G$10-Статистика!$C$10,0.000001),NA())</f>
        <v>#N/A</v>
      </c>
      <c r="BP136" s="12" t="e">
        <f>IF(AND(A136&lt;&gt;"",Статистика!$L$6="Вкл",Статистика!$K$6&gt;0),(Статистика!$K$6-Статистика!$C$10)/MAX(Статистика!$G$10-Статистика!$C$10,0.000001),NA())</f>
        <v>#N/A</v>
      </c>
      <c r="BQ136" s="12" t="e">
        <f>IF(AND(A136&lt;&gt;"",Статистика!$M$6="Вкл",Статистика!$O$6&gt;0),(Статистика!$O$6-Статистика!$C$10)/MAX(Статистика!$G$10-Статистика!$C$10,0.000001),NA())</f>
        <v>#N/A</v>
      </c>
      <c r="BR136" s="12">
        <f t="shared" si="4"/>
        <v>1</v>
      </c>
      <c r="BT136" s="12">
        <f>IF(Y136="","",MAX(0,MIN(1,(((IF(Статистика!$C$4="Параллельный режим (активная мощность)",Z136,AK136)+Статистика!$J$4))-Статистика!$C$10)/MAX(Статистика!$G$10-Статистика!$C$10,0.000001))))</f>
        <v>0.57972847038888908</v>
      </c>
      <c r="BU136" s="12">
        <f>IF(Y136="","",MAX(0,MAX(0,MIN(1,(((IF(Статистика!$C$4="Параллельный режим (активная мощность)",AB136,AM136)+Статистика!$J$4))-Статистика!$C$10)/MAX(Статистика!$G$10-Статистика!$C$10,0.000001)))-MAX(0,MIN(1,(((IF(Статистика!$C$4="Параллельный режим (активная мощность)",Z136,AK136)+Статистика!$J$4))-Статистика!$C$10)/MAX(Статистика!$G$10-Статистика!$C$10,0.000001)))))</f>
        <v>1.2119233499999882E-2</v>
      </c>
      <c r="BV136" s="12">
        <f>IF(Y136="","",MAX(0,MAX(0,MIN(1,(((IF(Статистика!$C$4="Параллельный режим (активная мощность)",AC136,AN136)+Статистика!$J$4))-Статистика!$C$10)/MAX(Статистика!$G$10-Статистика!$C$10,0.000001)))-MAX(0,MIN(1,(((IF(Статистика!$C$4="Параллельный режим (активная мощность)",AB136,AM136)+Статистика!$J$4))-Статистика!$C$10)/MAX(Статистика!$G$10-Статистика!$C$10,0.000001)))))</f>
        <v>2.3644737777777647E-2</v>
      </c>
      <c r="BW136" s="12">
        <f>IF(Y136="","",MAX(0,MAX(0,MIN(1,(((IF(Статистика!$C$4="Параллельный режим (активная мощность)",AD136,AO136)+Статистика!$J$4))-Статистика!$C$10)/MAX(Статистика!$G$10-Статистика!$C$10,0.000001)))-MAX(0,MIN(1,(((IF(Статистика!$C$4="Параллельный режим (активная мощность)",AC136,AN136)+Статистика!$J$4))-Статистика!$C$10)/MAX(Статистика!$G$10-Статистика!$C$10,0.000001)))))</f>
        <v>4.2833913888889019E-2</v>
      </c>
      <c r="BX136" s="12">
        <f>IF(Y136="","",MAX(0,MAX(0,MIN(1,(((IF(Статистика!$C$4="Параллельный режим (активная мощность)",AE136,AP136)+Статистика!$J$4))-Статистика!$C$10)/MAX(Статистика!$G$10-Статистика!$C$10,0.000001)))-MAX(0,MIN(1,(((IF(Статистика!$C$4="Параллельный режим (активная мощность)",AD136,AO136)+Статистика!$J$4))-Статистика!$C$10)/MAX(Статистика!$G$10-Статистика!$C$10,0.000001)))))</f>
        <v>8.355680555555689E-3</v>
      </c>
      <c r="BY136" s="12">
        <f>IF(Y136="","",MAX(0,MAX(0,MIN(1,(((IF(Статистика!$C$4="Параллельный режим (активная мощность)",AF136,AQ136)+Статистика!$J$4))-Статистика!$C$10)/MAX(Статистика!$G$10-Статистика!$C$10,0.000001)))-MAX(0,MIN(1,(((IF(Статистика!$C$4="Параллельный режим (активная мощность)",AE136,AP136)+Статистика!$J$4))-Статистика!$C$10)/MAX(Статистика!$G$10-Статистика!$C$10,0.000001)))))</f>
        <v>0.20599349777777753</v>
      </c>
      <c r="BZ136" s="12">
        <f>IF(Y136="","",MAX(0,MAX(0,MIN(1,(((IF(Статистика!$C$4="Параллельный режим (активная мощность)",AH136,AS136)+Статистика!$J$4))-Статистика!$C$10)/MAX(Статистика!$G$10-Статистика!$C$10,0.000001)))-MAX(0,MIN(1,(((IF(Статистика!$C$4="Параллельный режим (активная мощность)",AF136,AQ136)+Статистика!$J$4))-Статистика!$C$10)/MAX(Статистика!$G$10-Статистика!$C$10,0.000001)))))</f>
        <v>3.6540619500000204E-2</v>
      </c>
      <c r="CA136" s="12">
        <f>IF(Y136="","",MAX(0,1-MAX(0,MIN(1,(((IF(Статистика!$C$4="Параллельный режим (активная мощность)",AH136,AS136)+Статистика!$J$4))-Статистика!$C$10)/MAX(Статистика!$G$10-Статистика!$C$10,0.000001)))))</f>
        <v>9.0783846611110941E-2</v>
      </c>
      <c r="CB136" s="12">
        <f>IF(Y136="",NA(),IF(Статистика!$B$8="Вкл",(((IF(Статистика!$C$4="Параллельный режим (активная мощность)",AD136,AO136)+Статистика!$J$4))-Статистика!$C$10)/MAX(Статистика!$G$10-Статистика!$C$10,0.000001),NA()))</f>
        <v>0.65832635555555563</v>
      </c>
      <c r="CC136" s="12">
        <f>IF(Y136="",NA(),IF(Статистика!$D$8="Вкл",(((IF(Статистика!$C$4="Параллельный режим (активная мощность)",AC136,AN136)+Статистика!$J$4))-Статистика!$C$10)/MAX(Статистика!$G$10-Статистика!$C$10,0.000001),NA()))</f>
        <v>0.61549244166666661</v>
      </c>
      <c r="CD136" s="12">
        <f>IF(Y136="",NA(),IF(Статистика!$D$8="Вкл",(((IF(Статистика!$C$4="Параллельный режим (активная мощность)",AE136,AP136)+Статистика!$J$4))-Статистика!$C$10)/MAX(Статистика!$G$10-Статистика!$C$10,0.000001),NA()))</f>
        <v>0.66668203611111132</v>
      </c>
      <c r="CE136" s="12">
        <f>IF(Y136="",NA(),IF(Статистика!$F$8="Вкл",(((IF(Статистика!$C$4="Параллельный режим (активная мощность)",AB136,AM136)+Статистика!$J$4))-Статистика!$C$10)/MAX(Статистика!$G$10-Статистика!$C$10,0.000001),NA()))</f>
        <v>0.59184770388888897</v>
      </c>
      <c r="CF136" s="12">
        <f>IF(Y136="",NA(),IF(Статистика!$F$8="Вкл",(((IF(Статистика!$C$4="Параллельный режим (активная мощность)",AF136,AQ136)+Статистика!$J$4))-Статистика!$C$10)/MAX(Статистика!$G$10-Статистика!$C$10,0.000001),NA()))</f>
        <v>0.87267553388888885</v>
      </c>
      <c r="CG136" s="12">
        <f>IF(Y136="",NA(),IF(Статистика!$H$8="Вкл",(((IF(Статистика!$C$4="Параллельный режим (активная мощность)",Z136,AK136)+Статистика!$J$4))-Статистика!$C$10)/MAX(Статистика!$G$10-Статистика!$C$10,0.000001),NA()))</f>
        <v>0.57972847038888908</v>
      </c>
      <c r="CH136" s="12">
        <f>IF(Y136="",NA(),IF(Статистика!$H$8="Вкл",(((IF(Статистика!$C$4="Параллельный режим (активная мощность)",AH136,AS136)+Статистика!$J$4))-Статистика!$C$10)/MAX(Статистика!$G$10-Статистика!$C$10,0.000001),NA()))</f>
        <v>0.90921615338888906</v>
      </c>
      <c r="CI136" s="12" t="e">
        <f>IF(Y136="",NA(),IF(Статистика!$J$8="Вкл",(((IF(Статистика!$C$4="Параллельный режим (активная мощность)",AI136,AT136)+Статистика!$J$4))-Статистика!$C$10)/MAX(Статистика!$G$10-Статистика!$C$10,0.000001),NA()))</f>
        <v>#N/A</v>
      </c>
      <c r="CJ136" s="12" t="e">
        <f>IF(AND(Y136&lt;&gt;"",Статистика!$C$6="Вкл",Статистика!$B$6&gt;0),(Статистика!$B$6-Статистика!$C$10)/MAX(Статистика!$G$10-Статистика!$C$10,0.000001),NA())</f>
        <v>#N/A</v>
      </c>
      <c r="CK136" s="12" t="e">
        <f>IF(AND(Y136&lt;&gt;"",Статистика!$F$6="Вкл",Статистика!$E$6&gt;0),(Статистика!$E$6-Статистика!$C$10)/MAX(Статистика!$G$10-Статистика!$C$10,0.000001),NA())</f>
        <v>#N/A</v>
      </c>
      <c r="CL136" s="12" t="e">
        <f>IF(AND(Y136&lt;&gt;"",Статистика!$I$6="Вкл",Статистика!$H$6&gt;0),(Статистика!$H$6-Статистика!$C$10)/MAX(Статистика!$G$10-Статистика!$C$10,0.000001),NA())</f>
        <v>#N/A</v>
      </c>
      <c r="CM136" s="12" t="e">
        <f>IF(AND(Y136&lt;&gt;"",Статистика!$L$6="Вкл",Статистика!$K$6&gt;0),(Статистика!$K$6-Статистика!$C$10)/MAX(Статистика!$G$10-Статистика!$C$10,0.000001),NA())</f>
        <v>#N/A</v>
      </c>
      <c r="CN136" s="12" t="e">
        <f>IF(AND(Y136&lt;&gt;"",Статистика!$M$6="Вкл",Статистика!$O$6&gt;0),(Статистика!$O$6-Статистика!$C$10)/MAX(Статистика!$G$10-Статистика!$C$10,0.000001),NA())</f>
        <v>#N/A</v>
      </c>
      <c r="CO136" s="12">
        <f t="shared" si="5"/>
        <v>1</v>
      </c>
    </row>
    <row r="137" spans="1:93" ht="15" customHeight="1">
      <c r="A137" s="12" t="s">
        <v>603</v>
      </c>
      <c r="B137" s="12">
        <v>2572.7487906666665</v>
      </c>
      <c r="C137" s="12">
        <v>5832.9159533333341</v>
      </c>
      <c r="D137" s="12">
        <v>7454.9323116666665</v>
      </c>
      <c r="E137" s="12">
        <v>7749.0052166666665</v>
      </c>
      <c r="F137" s="12">
        <v>7962.4613166666659</v>
      </c>
      <c r="G137" s="12">
        <v>8106.1721750000006</v>
      </c>
      <c r="H137" s="12">
        <v>8365.4973566666667</v>
      </c>
      <c r="I137" s="12">
        <v>8570.2897108333327</v>
      </c>
      <c r="J137" s="12">
        <v>8748.6741821666674</v>
      </c>
      <c r="K137" s="12">
        <v>8965.61</v>
      </c>
      <c r="L137" s="12" t="s">
        <v>604</v>
      </c>
      <c r="M137" s="12">
        <v>3043.498080166667</v>
      </c>
      <c r="N137" s="12">
        <v>6591.0137341666687</v>
      </c>
      <c r="O137" s="12">
        <v>8392.8156466666678</v>
      </c>
      <c r="P137" s="12">
        <v>8706.4629416666667</v>
      </c>
      <c r="Q137" s="12">
        <v>8906.8506999999991</v>
      </c>
      <c r="R137" s="12">
        <v>9114.7404000000006</v>
      </c>
      <c r="S137" s="12">
        <v>9400.9868816666658</v>
      </c>
      <c r="T137" s="12">
        <v>9550.2937349999993</v>
      </c>
      <c r="U137" s="12">
        <v>9756.7378136666684</v>
      </c>
      <c r="V137" s="12">
        <v>10044.34</v>
      </c>
      <c r="W137" s="12" t="s">
        <v>604</v>
      </c>
      <c r="Y137" s="12" t="s">
        <v>603</v>
      </c>
      <c r="Z137" s="12">
        <v>7676.7354815000017</v>
      </c>
      <c r="AA137" s="12">
        <v>7698.7626075000007</v>
      </c>
      <c r="AB137" s="12">
        <v>7726.296515</v>
      </c>
      <c r="AC137" s="12">
        <v>7845.2344749999993</v>
      </c>
      <c r="AD137" s="12">
        <v>7938.277900000001</v>
      </c>
      <c r="AE137" s="12">
        <v>8024.2360083333333</v>
      </c>
      <c r="AF137" s="12">
        <v>8618.183058333334</v>
      </c>
      <c r="AG137" s="12">
        <v>8654.0277958333336</v>
      </c>
      <c r="AH137" s="12">
        <v>8682.7035858333347</v>
      </c>
      <c r="AI137" s="12">
        <v>8871.2099999999991</v>
      </c>
      <c r="AJ137" s="12" t="s">
        <v>605</v>
      </c>
      <c r="AK137" s="12">
        <v>8598.2313936666669</v>
      </c>
      <c r="AL137" s="12">
        <v>8609.1459016666668</v>
      </c>
      <c r="AM137" s="12">
        <v>8622.789036666667</v>
      </c>
      <c r="AN137" s="12">
        <v>8821.1968333333316</v>
      </c>
      <c r="AO137" s="12">
        <v>8907.2330499999989</v>
      </c>
      <c r="AP137" s="12">
        <v>9072.826991666665</v>
      </c>
      <c r="AQ137" s="12">
        <v>9572.6859566666662</v>
      </c>
      <c r="AR137" s="12">
        <v>9587.0793283333314</v>
      </c>
      <c r="AS137" s="12">
        <v>9598.5940256666654</v>
      </c>
      <c r="AT137" s="12">
        <v>9972.32</v>
      </c>
      <c r="AU137" s="12" t="s">
        <v>605</v>
      </c>
      <c r="AW137" s="12">
        <f>IF(A137="","",MAX(0,MIN(1,(((IF(Статистика!$C$4="Параллельный режим (активная мощность)",B137,M137)+Статистика!$J$4))-Статистика!$C$10)/MAX(Статистика!$G$10-Статистика!$C$10,0.000001))))</f>
        <v>0</v>
      </c>
      <c r="AX137" s="12">
        <f>IF(A137="","",MAX(0,MAX(0,MIN(1,(((IF(Статистика!$C$4="Параллельный режим (активная мощность)",D137,O137)+Статистика!$J$4))-Статистика!$C$10)/MAX(Статистика!$G$10-Статистика!$C$10,0.000001)))-MAX(0,MIN(1,(((IF(Статистика!$C$4="Параллельный режим (активная мощность)",B137,M137)+Статистика!$J$4))-Статистика!$C$10)/MAX(Статистика!$G$10-Статистика!$C$10,0.000001)))))</f>
        <v>0.48497743722222214</v>
      </c>
      <c r="AY137" s="12">
        <f>IF(A137="","",MAX(0,MAX(0,MIN(1,(((IF(Статистика!$C$4="Параллельный режим (активная мощность)",E137,P137)+Статистика!$J$4))-Статистика!$C$10)/MAX(Статистика!$G$10-Статистика!$C$10,0.000001)))-MAX(0,MIN(1,(((IF(Статистика!$C$4="Параллельный режим (активная мощность)",D137,O137)+Статистика!$J$4))-Статистика!$C$10)/MAX(Статистика!$G$10-Статистика!$C$10,0.000001)))))</f>
        <v>9.8024301666666702E-2</v>
      </c>
      <c r="AZ137" s="12">
        <f>IF(A137="","",MAX(0,MAX(0,MIN(1,(((IF(Статистика!$C$4="Параллельный режим (активная мощность)",F137,Q137)+Статистика!$J$4))-Статистика!$C$10)/MAX(Статистика!$G$10-Статистика!$C$10,0.000001)))-MAX(0,MIN(1,(((IF(Статистика!$C$4="Параллельный режим (активная мощность)",E137,P137)+Статистика!$J$4))-Статистика!$C$10)/MAX(Статистика!$G$10-Статистика!$C$10,0.000001)))))</f>
        <v>7.1152033333333087E-2</v>
      </c>
      <c r="BA137" s="12">
        <f>IF(A137="","",MAX(0,MAX(0,MIN(1,(((IF(Статистика!$C$4="Параллельный режим (активная мощность)",G137,R137)+Статистика!$J$4))-Статистика!$C$10)/MAX(Статистика!$G$10-Статистика!$C$10,0.000001)))-MAX(0,MIN(1,(((IF(Статистика!$C$4="Параллельный режим (активная мощность)",F137,Q137)+Статистика!$J$4))-Статистика!$C$10)/MAX(Статистика!$G$10-Статистика!$C$10,0.000001)))))</f>
        <v>4.7903619444444989E-2</v>
      </c>
      <c r="BB137" s="12">
        <f>IF(A137="","",MAX(0,MAX(0,MIN(1,(((IF(Статистика!$C$4="Параллельный режим (активная мощность)",H137,S137)+Статистика!$J$4))-Статистика!$C$10)/MAX(Статистика!$G$10-Статистика!$C$10,0.000001)))-MAX(0,MIN(1,(((IF(Статистика!$C$4="Параллельный режим (активная мощность)",G137,R137)+Статистика!$J$4))-Статистика!$C$10)/MAX(Статистика!$G$10-Статистика!$C$10,0.000001)))))</f>
        <v>8.6441727222221987E-2</v>
      </c>
      <c r="BC137" s="12">
        <f>IF(A137="","",MAX(0,MAX(0,MIN(1,(((IF(Статистика!$C$4="Параллельный режим (активная мощность)",J137,U137)+Статистика!$J$4))-Статистика!$C$10)/MAX(Статистика!$G$10-Статистика!$C$10,0.000001)))-MAX(0,MIN(1,(((IF(Статистика!$C$4="Параллельный режим (активная мощность)",H137,S137)+Статистика!$J$4))-Статистика!$C$10)/MAX(Статистика!$G$10-Статистика!$C$10,0.000001)))))</f>
        <v>0.12772560850000025</v>
      </c>
      <c r="BD137" s="12">
        <f>IF(A137="","",MAX(0,1-MAX(0,MIN(1,(((IF(Статистика!$C$4="Параллельный режим (активная мощность)",J137,U137)+Статистика!$J$4))-Статистика!$C$10)/MAX(Статистика!$G$10-Статистика!$C$10,0.000001)))))</f>
        <v>8.377527261111084E-2</v>
      </c>
      <c r="BE137" s="12">
        <f>IF(A137="",NA(),IF(Статистика!$B$8="Вкл",(((IF(Статистика!$C$4="Параллельный режим (активная мощность)",F137,Q137)+Статистика!$J$4))-Статистика!$C$10)/MAX(Статистика!$G$10-Статистика!$C$10,0.000001),NA()))</f>
        <v>0.65415377222222193</v>
      </c>
      <c r="BF137" s="12">
        <f>IF(A137="",NA(),IF(Статистика!$D$8="Вкл",(((IF(Статистика!$C$4="Параллельный режим (активная мощность)",E137,P137)+Статистика!$J$4))-Статистика!$C$10)/MAX(Статистика!$G$10-Статистика!$C$10,0.000001),NA()))</f>
        <v>0.58300173888888884</v>
      </c>
      <c r="BG137" s="12">
        <f>IF(A137="",NA(),IF(Статистика!$D$8="Вкл",(((IF(Статистика!$C$4="Параллельный режим (активная мощность)",G137,R137)+Статистика!$J$4))-Статистика!$C$10)/MAX(Статистика!$G$10-Статистика!$C$10,0.000001),NA()))</f>
        <v>0.70205739166666692</v>
      </c>
      <c r="BH137" s="12">
        <f>IF(A137="",NA(),IF(Статистика!$F$8="Вкл",(((IF(Статистика!$C$4="Параллельный режим (активная мощность)",D137,O137)+Статистика!$J$4))-Статистика!$C$10)/MAX(Статистика!$G$10-Статистика!$C$10,0.000001),NA()))</f>
        <v>0.48497743722222214</v>
      </c>
      <c r="BI137" s="12">
        <f>IF(A137="",NA(),IF(Статистика!$F$8="Вкл",(((IF(Статистика!$C$4="Параллельный режим (активная мощность)",H137,S137)+Статистика!$J$4))-Статистика!$C$10)/MAX(Статистика!$G$10-Статистика!$C$10,0.000001),NA()))</f>
        <v>0.78849911888888891</v>
      </c>
      <c r="BJ137" s="12">
        <f>IF(A137="",NA(),IF(Статистика!$H$8="Вкл",(((IF(Статистика!$C$4="Параллельный режим (активная мощность)",B137,M137)+Статистика!$J$4))-Статистика!$C$10)/MAX(Статистика!$G$10-Статистика!$C$10,0.000001),NA()))</f>
        <v>-1.1424170697777778</v>
      </c>
      <c r="BK137" s="12">
        <f>IF(A137="",NA(),IF(Статистика!$H$8="Вкл",(((IF(Статистика!$C$4="Параллельный режим (активная мощность)",J137,U137)+Статистика!$J$4))-Статистика!$C$10)/MAX(Статистика!$G$10-Статистика!$C$10,0.000001),NA()))</f>
        <v>0.91622472738888916</v>
      </c>
      <c r="BL137" s="12" t="e">
        <f>IF(A137="",NA(),IF(Статистика!$J$8="Вкл",(((IF(Статистика!$C$4="Параллельный режим (активная мощность)",K137,V137)+Статистика!$J$4))-Статистика!$C$10)/MAX(Статистика!$G$10-Статистика!$C$10,0.000001),NA()))</f>
        <v>#N/A</v>
      </c>
      <c r="BM137" s="12" t="e">
        <f>IF(AND(A137&lt;&gt;"",Статистика!$C$6="Вкл",Статистика!$B$6&gt;0),(Статистика!$B$6-Статистика!$C$10)/MAX(Статистика!$G$10-Статистика!$C$10,0.000001),NA())</f>
        <v>#N/A</v>
      </c>
      <c r="BN137" s="12" t="e">
        <f>IF(AND(A137&lt;&gt;"",Статистика!$F$6="Вкл",Статистика!$E$6&gt;0),(Статистика!$E$6-Статистика!$C$10)/MAX(Статистика!$G$10-Статистика!$C$10,0.000001),NA())</f>
        <v>#N/A</v>
      </c>
      <c r="BO137" s="12" t="e">
        <f>IF(AND(A137&lt;&gt;"",Статистика!$I$6="Вкл",Статистика!$H$6&gt;0),(Статистика!$H$6-Статистика!$C$10)/MAX(Статистика!$G$10-Статистика!$C$10,0.000001),NA())</f>
        <v>#N/A</v>
      </c>
      <c r="BP137" s="12" t="e">
        <f>IF(AND(A137&lt;&gt;"",Статистика!$L$6="Вкл",Статистика!$K$6&gt;0),(Статистика!$K$6-Статистика!$C$10)/MAX(Статистика!$G$10-Статистика!$C$10,0.000001),NA())</f>
        <v>#N/A</v>
      </c>
      <c r="BQ137" s="12" t="e">
        <f>IF(AND(A137&lt;&gt;"",Статистика!$M$6="Вкл",Статистика!$O$6&gt;0),(Статистика!$O$6-Статистика!$C$10)/MAX(Статистика!$G$10-Статистика!$C$10,0.000001),NA())</f>
        <v>#N/A</v>
      </c>
      <c r="BR137" s="12">
        <f t="shared" si="4"/>
        <v>1</v>
      </c>
      <c r="BT137" s="12">
        <f>IF(Y137="","",MAX(0,MIN(1,(((IF(Статистика!$C$4="Параллельный режим (активная мощность)",Z137,AK137)+Статистика!$J$4))-Статистика!$C$10)/MAX(Статистика!$G$10-Статистика!$C$10,0.000001))))</f>
        <v>0.55891182716666721</v>
      </c>
      <c r="BU137" s="12">
        <f>IF(Y137="","",MAX(0,MAX(0,MIN(1,(((IF(Статистика!$C$4="Параллельный режим (активная мощность)",AB137,AM137)+Статистика!$J$4))-Статистика!$C$10)/MAX(Статистика!$G$10-Статистика!$C$10,0.000001)))-MAX(0,MIN(1,(((IF(Статистика!$C$4="Параллельный режим (активная мощность)",Z137,AK137)+Статистика!$J$4))-Статистика!$C$10)/MAX(Статистика!$G$10-Статистика!$C$10,0.000001)))))</f>
        <v>1.6520344499999506E-2</v>
      </c>
      <c r="BV137" s="12">
        <f>IF(Y137="","",MAX(0,MAX(0,MIN(1,(((IF(Статистика!$C$4="Параллельный режим (активная мощность)",AC137,AN137)+Статистика!$J$4))-Статистика!$C$10)/MAX(Статистика!$G$10-Статистика!$C$10,0.000001)))-MAX(0,MIN(1,(((IF(Статистика!$C$4="Параллельный режим (активная мощность)",AB137,AM137)+Статистика!$J$4))-Статистика!$C$10)/MAX(Статистика!$G$10-Статистика!$C$10,0.000001)))))</f>
        <v>3.9645986666666411E-2</v>
      </c>
      <c r="BW137" s="12">
        <f>IF(Y137="","",MAX(0,MAX(0,MIN(1,(((IF(Статистика!$C$4="Параллельный режим (активная мощность)",AD137,AO137)+Статистика!$J$4))-Статистика!$C$10)/MAX(Статистика!$G$10-Статистика!$C$10,0.000001)))-MAX(0,MIN(1,(((IF(Статистика!$C$4="Параллельный режим (активная мощность)",AC137,AN137)+Статистика!$J$4))-Статистика!$C$10)/MAX(Статистика!$G$10-Статистика!$C$10,0.000001)))))</f>
        <v>3.1014475000000541E-2</v>
      </c>
      <c r="BX137" s="12">
        <f>IF(Y137="","",MAX(0,MAX(0,MIN(1,(((IF(Статистика!$C$4="Параллельный режим (активная мощность)",AE137,AP137)+Статистика!$J$4))-Статистика!$C$10)/MAX(Статистика!$G$10-Статистика!$C$10,0.000001)))-MAX(0,MIN(1,(((IF(Статистика!$C$4="Параллельный режим (активная мощность)",AD137,AO137)+Статистика!$J$4))-Статистика!$C$10)/MAX(Статистика!$G$10-Статистика!$C$10,0.000001)))))</f>
        <v>2.8652702777777428E-2</v>
      </c>
      <c r="BY137" s="12">
        <f>IF(Y137="","",MAX(0,MAX(0,MIN(1,(((IF(Статистика!$C$4="Параллельный режим (активная мощность)",AF137,AQ137)+Статистика!$J$4))-Статистика!$C$10)/MAX(Статистика!$G$10-Статистика!$C$10,0.000001)))-MAX(0,MIN(1,(((IF(Статистика!$C$4="Параллельный режим (активная мощность)",AE137,AP137)+Статистика!$J$4))-Статистика!$C$10)/MAX(Статистика!$G$10-Статистика!$C$10,0.000001)))))</f>
        <v>0.1979823500000002</v>
      </c>
      <c r="BZ137" s="12">
        <f>IF(Y137="","",MAX(0,MAX(0,MIN(1,(((IF(Статистика!$C$4="Параллельный режим (активная мощность)",AH137,AS137)+Статистика!$J$4))-Статистика!$C$10)/MAX(Статистика!$G$10-Статистика!$C$10,0.000001)))-MAX(0,MIN(1,(((IF(Статистика!$C$4="Параллельный режим (активная мощность)",AF137,AQ137)+Статистика!$J$4))-Статистика!$C$10)/MAX(Статистика!$G$10-Статистика!$C$10,0.000001)))))</f>
        <v>2.1506842500000234E-2</v>
      </c>
      <c r="CA137" s="12">
        <f>IF(Y137="","",MAX(0,1-MAX(0,MIN(1,(((IF(Статистика!$C$4="Параллельный режим (активная мощность)",AH137,AS137)+Статистика!$J$4))-Статистика!$C$10)/MAX(Статистика!$G$10-Статистика!$C$10,0.000001)))))</f>
        <v>0.10576547138888848</v>
      </c>
      <c r="CB137" s="12">
        <f>IF(Y137="",NA(),IF(Статистика!$B$8="Вкл",(((IF(Статистика!$C$4="Параллельный режим (активная мощность)",AD137,AO137)+Статистика!$J$4))-Статистика!$C$10)/MAX(Статистика!$G$10-Статистика!$C$10,0.000001),NA()))</f>
        <v>0.64609263333333367</v>
      </c>
      <c r="CC137" s="12">
        <f>IF(Y137="",NA(),IF(Статистика!$D$8="Вкл",(((IF(Статистика!$C$4="Параллельный режим (активная мощность)",AC137,AN137)+Статистика!$J$4))-Статистика!$C$10)/MAX(Статистика!$G$10-Статистика!$C$10,0.000001),NA()))</f>
        <v>0.61507815833333312</v>
      </c>
      <c r="CD137" s="12">
        <f>IF(Y137="",NA(),IF(Статистика!$D$8="Вкл",(((IF(Статистика!$C$4="Параллельный режим (активная мощность)",AE137,AP137)+Статистика!$J$4))-Статистика!$C$10)/MAX(Статистика!$G$10-Статистика!$C$10,0.000001),NA()))</f>
        <v>0.67474533611111109</v>
      </c>
      <c r="CE137" s="12">
        <f>IF(Y137="",NA(),IF(Статистика!$F$8="Вкл",(((IF(Статистика!$C$4="Параллельный режим (активная мощность)",AB137,AM137)+Статистика!$J$4))-Статистика!$C$10)/MAX(Статистика!$G$10-Статистика!$C$10,0.000001),NA()))</f>
        <v>0.57543217166666671</v>
      </c>
      <c r="CF137" s="12">
        <f>IF(Y137="",NA(),IF(Статистика!$F$8="Вкл",(((IF(Статистика!$C$4="Параллельный режим (активная мощность)",AF137,AQ137)+Статистика!$J$4))-Статистика!$C$10)/MAX(Статистика!$G$10-Статистика!$C$10,0.000001),NA()))</f>
        <v>0.87272768611111129</v>
      </c>
      <c r="CG137" s="12">
        <f>IF(Y137="",NA(),IF(Статистика!$H$8="Вкл",(((IF(Статистика!$C$4="Параллельный режим (активная мощность)",Z137,AK137)+Статистика!$J$4))-Статистика!$C$10)/MAX(Статистика!$G$10-Статистика!$C$10,0.000001),NA()))</f>
        <v>0.55891182716666721</v>
      </c>
      <c r="CH137" s="12">
        <f>IF(Y137="",NA(),IF(Статистика!$H$8="Вкл",(((IF(Статистика!$C$4="Параллельный режим (активная мощность)",AH137,AS137)+Статистика!$J$4))-Статистика!$C$10)/MAX(Статистика!$G$10-Статистика!$C$10,0.000001),NA()))</f>
        <v>0.89423452861111152</v>
      </c>
      <c r="CI137" s="12" t="e">
        <f>IF(Y137="",NA(),IF(Статистика!$J$8="Вкл",(((IF(Статистика!$C$4="Параллельный режим (активная мощность)",AI137,AT137)+Статистика!$J$4))-Статистика!$C$10)/MAX(Статистика!$G$10-Статистика!$C$10,0.000001),NA()))</f>
        <v>#N/A</v>
      </c>
      <c r="CJ137" s="12" t="e">
        <f>IF(AND(Y137&lt;&gt;"",Статистика!$C$6="Вкл",Статистика!$B$6&gt;0),(Статистика!$B$6-Статистика!$C$10)/MAX(Статистика!$G$10-Статистика!$C$10,0.000001),NA())</f>
        <v>#N/A</v>
      </c>
      <c r="CK137" s="12" t="e">
        <f>IF(AND(Y137&lt;&gt;"",Статистика!$F$6="Вкл",Статистика!$E$6&gt;0),(Статистика!$E$6-Статистика!$C$10)/MAX(Статистика!$G$10-Статистика!$C$10,0.000001),NA())</f>
        <v>#N/A</v>
      </c>
      <c r="CL137" s="12" t="e">
        <f>IF(AND(Y137&lt;&gt;"",Статистика!$I$6="Вкл",Статистика!$H$6&gt;0),(Статистика!$H$6-Статистика!$C$10)/MAX(Статистика!$G$10-Статистика!$C$10,0.000001),NA())</f>
        <v>#N/A</v>
      </c>
      <c r="CM137" s="12" t="e">
        <f>IF(AND(Y137&lt;&gt;"",Статистика!$L$6="Вкл",Статистика!$K$6&gt;0),(Статистика!$K$6-Статистика!$C$10)/MAX(Статистика!$G$10-Статистика!$C$10,0.000001),NA())</f>
        <v>#N/A</v>
      </c>
      <c r="CN137" s="12" t="e">
        <f>IF(AND(Y137&lt;&gt;"",Статистика!$M$6="Вкл",Статистика!$O$6&gt;0),(Статистика!$O$6-Статистика!$C$10)/MAX(Статистика!$G$10-Статистика!$C$10,0.000001),NA())</f>
        <v>#N/A</v>
      </c>
      <c r="CO137" s="12">
        <f t="shared" si="5"/>
        <v>1</v>
      </c>
    </row>
    <row r="138" spans="1:93" ht="15" customHeight="1">
      <c r="A138" s="12" t="s">
        <v>606</v>
      </c>
      <c r="B138" s="12">
        <v>2676.2988938333328</v>
      </c>
      <c r="C138" s="12">
        <v>5903.1568691666671</v>
      </c>
      <c r="D138" s="12">
        <v>7453.7170883333338</v>
      </c>
      <c r="E138" s="12">
        <v>7701.0856416666666</v>
      </c>
      <c r="F138" s="12">
        <v>7950.2991499999998</v>
      </c>
      <c r="G138" s="12">
        <v>8083.3606749999999</v>
      </c>
      <c r="H138" s="12">
        <v>8369.624104999999</v>
      </c>
      <c r="I138" s="12">
        <v>8558.1643316666668</v>
      </c>
      <c r="J138" s="12">
        <v>8725.6996130000007</v>
      </c>
      <c r="K138" s="12">
        <v>8858.9699999999993</v>
      </c>
      <c r="L138" s="12" t="s">
        <v>607</v>
      </c>
      <c r="M138" s="12">
        <v>3332.6539248333333</v>
      </c>
      <c r="N138" s="12">
        <v>6736.5904241666667</v>
      </c>
      <c r="O138" s="12">
        <v>8399.2297833333323</v>
      </c>
      <c r="P138" s="12">
        <v>8703.2792583333321</v>
      </c>
      <c r="Q138" s="12">
        <v>8925.6834333333336</v>
      </c>
      <c r="R138" s="12">
        <v>9098.8766416666658</v>
      </c>
      <c r="S138" s="12">
        <v>9379.6803149999996</v>
      </c>
      <c r="T138" s="12">
        <v>9569.9157783333339</v>
      </c>
      <c r="U138" s="12">
        <v>9776.733608999999</v>
      </c>
      <c r="V138" s="12">
        <v>9925.84</v>
      </c>
      <c r="W138" s="12" t="s">
        <v>608</v>
      </c>
      <c r="Y138" s="12" t="s">
        <v>606</v>
      </c>
      <c r="Z138" s="12">
        <v>7691.3278573333337</v>
      </c>
      <c r="AA138" s="12">
        <v>7709.5959533333335</v>
      </c>
      <c r="AB138" s="12">
        <v>7732.4310733333341</v>
      </c>
      <c r="AC138" s="12">
        <v>7853.7959249999994</v>
      </c>
      <c r="AD138" s="12">
        <v>7940.6628333333338</v>
      </c>
      <c r="AE138" s="12">
        <v>8000.1128250000002</v>
      </c>
      <c r="AF138" s="12">
        <v>8635.0386533333331</v>
      </c>
      <c r="AG138" s="12">
        <v>8660.6458099999982</v>
      </c>
      <c r="AH138" s="12">
        <v>8681.1315353333321</v>
      </c>
      <c r="AI138" s="12">
        <v>8784.25</v>
      </c>
      <c r="AJ138" s="12" t="s">
        <v>609</v>
      </c>
      <c r="AK138" s="12">
        <v>8611.0431384999993</v>
      </c>
      <c r="AL138" s="12">
        <v>8620.8538258333338</v>
      </c>
      <c r="AM138" s="12">
        <v>8633.117185000001</v>
      </c>
      <c r="AN138" s="12">
        <v>8832.7265083333332</v>
      </c>
      <c r="AO138" s="12">
        <v>8897.168583333334</v>
      </c>
      <c r="AP138" s="12">
        <v>9050.4126166666665</v>
      </c>
      <c r="AQ138" s="12">
        <v>9593.9724499999993</v>
      </c>
      <c r="AR138" s="12">
        <v>9594.900024999999</v>
      </c>
      <c r="AS138" s="12">
        <v>9595.6420849999995</v>
      </c>
      <c r="AT138" s="12">
        <v>9839.61</v>
      </c>
      <c r="AU138" s="12" t="s">
        <v>609</v>
      </c>
      <c r="AW138" s="12">
        <f>IF(A138="","",MAX(0,MIN(1,(((IF(Статистика!$C$4="Параллельный режим (активная мощность)",B138,M138)+Статистика!$J$4))-Статистика!$C$10)/MAX(Статистика!$G$10-Статистика!$C$10,0.000001))))</f>
        <v>0</v>
      </c>
      <c r="AX138" s="12">
        <f>IF(A138="","",MAX(0,MAX(0,MIN(1,(((IF(Статистика!$C$4="Параллельный режим (активная мощность)",D138,O138)+Статистика!$J$4))-Статистика!$C$10)/MAX(Статистика!$G$10-Статистика!$C$10,0.000001)))-MAX(0,MIN(1,(((IF(Статистика!$C$4="Параллельный режим (активная мощность)",B138,M138)+Статистика!$J$4))-Статистика!$C$10)/MAX(Статистика!$G$10-Статистика!$C$10,0.000001)))))</f>
        <v>0.48457236277777793</v>
      </c>
      <c r="AY138" s="12">
        <f>IF(A138="","",MAX(0,MAX(0,MIN(1,(((IF(Статистика!$C$4="Параллельный режим (активная мощность)",E138,P138)+Статистика!$J$4))-Статистика!$C$10)/MAX(Статистика!$G$10-Статистика!$C$10,0.000001)))-MAX(0,MIN(1,(((IF(Статистика!$C$4="Параллельный режим (активная мощность)",D138,O138)+Статистика!$J$4))-Статистика!$C$10)/MAX(Статистика!$G$10-Статистика!$C$10,0.000001)))))</f>
        <v>8.2456184444444247E-2</v>
      </c>
      <c r="AZ138" s="12">
        <f>IF(A138="","",MAX(0,MAX(0,MIN(1,(((IF(Статистика!$C$4="Параллельный режим (активная мощность)",F138,Q138)+Статистика!$J$4))-Статистика!$C$10)/MAX(Статистика!$G$10-Статистика!$C$10,0.000001)))-MAX(0,MIN(1,(((IF(Статистика!$C$4="Параллельный режим (активная мощность)",E138,P138)+Статистика!$J$4))-Статистика!$C$10)/MAX(Статистика!$G$10-Статистика!$C$10,0.000001)))))</f>
        <v>8.3071169444444481E-2</v>
      </c>
      <c r="BA138" s="12">
        <f>IF(A138="","",MAX(0,MAX(0,MIN(1,(((IF(Статистика!$C$4="Параллельный режим (активная мощность)",G138,R138)+Статистика!$J$4))-Статистика!$C$10)/MAX(Статистика!$G$10-Статистика!$C$10,0.000001)))-MAX(0,MIN(1,(((IF(Статистика!$C$4="Параллельный режим (активная мощность)",F138,Q138)+Статистика!$J$4))-Статистика!$C$10)/MAX(Статистика!$G$10-Статистика!$C$10,0.000001)))))</f>
        <v>4.4353841666666671E-2</v>
      </c>
      <c r="BB138" s="12">
        <f>IF(A138="","",MAX(0,MAX(0,MIN(1,(((IF(Статистика!$C$4="Параллельный режим (активная мощность)",H138,S138)+Статистика!$J$4))-Статистика!$C$10)/MAX(Статистика!$G$10-Статистика!$C$10,0.000001)))-MAX(0,MIN(1,(((IF(Статистика!$C$4="Параллельный режим (активная мощность)",G138,R138)+Статистика!$J$4))-Статистика!$C$10)/MAX(Статистика!$G$10-Статистика!$C$10,0.000001)))))</f>
        <v>9.5421143333332958E-2</v>
      </c>
      <c r="BC138" s="12">
        <f>IF(A138="","",MAX(0,MAX(0,MIN(1,(((IF(Статистика!$C$4="Параллельный режим (активная мощность)",J138,U138)+Статистика!$J$4))-Статистика!$C$10)/MAX(Статистика!$G$10-Статистика!$C$10,0.000001)))-MAX(0,MIN(1,(((IF(Статистика!$C$4="Параллельный режим (активная мощность)",H138,S138)+Статистика!$J$4))-Статистика!$C$10)/MAX(Статистика!$G$10-Статистика!$C$10,0.000001)))))</f>
        <v>0.11869183600000055</v>
      </c>
      <c r="BD138" s="12">
        <f>IF(A138="","",MAX(0,1-MAX(0,MIN(1,(((IF(Статистика!$C$4="Параллельный режим (активная мощность)",J138,U138)+Статистика!$J$4))-Статистика!$C$10)/MAX(Статистика!$G$10-Статистика!$C$10,0.000001)))))</f>
        <v>9.143346233333316E-2</v>
      </c>
      <c r="BE138" s="12">
        <f>IF(A138="",NA(),IF(Статистика!$B$8="Вкл",(((IF(Статистика!$C$4="Параллельный режим (активная мощность)",F138,Q138)+Статистика!$J$4))-Статистика!$C$10)/MAX(Статистика!$G$10-Статистика!$C$10,0.000001),NA()))</f>
        <v>0.65009971666666666</v>
      </c>
      <c r="BF138" s="12">
        <f>IF(A138="",NA(),IF(Статистика!$D$8="Вкл",(((IF(Статистика!$C$4="Параллельный режим (активная мощность)",E138,P138)+Статистика!$J$4))-Статистика!$C$10)/MAX(Статистика!$G$10-Статистика!$C$10,0.000001),NA()))</f>
        <v>0.56702854722222218</v>
      </c>
      <c r="BG138" s="12">
        <f>IF(A138="",NA(),IF(Статистика!$D$8="Вкл",(((IF(Статистика!$C$4="Параллельный режим (активная мощность)",G138,R138)+Статистика!$J$4))-Статистика!$C$10)/MAX(Статистика!$G$10-Статистика!$C$10,0.000001),NA()))</f>
        <v>0.69445355833333333</v>
      </c>
      <c r="BH138" s="12">
        <f>IF(A138="",NA(),IF(Статистика!$F$8="Вкл",(((IF(Статистика!$C$4="Параллельный режим (активная мощность)",D138,O138)+Статистика!$J$4))-Статистика!$C$10)/MAX(Статистика!$G$10-Статистика!$C$10,0.000001),NA()))</f>
        <v>0.48457236277777793</v>
      </c>
      <c r="BI138" s="12">
        <f>IF(A138="",NA(),IF(Статистика!$F$8="Вкл",(((IF(Статистика!$C$4="Параллельный режим (активная мощность)",H138,S138)+Статистика!$J$4))-Статистика!$C$10)/MAX(Статистика!$G$10-Статистика!$C$10,0.000001),NA()))</f>
        <v>0.78987470166666629</v>
      </c>
      <c r="BJ138" s="12">
        <f>IF(A138="",NA(),IF(Статистика!$H$8="Вкл",(((IF(Статистика!$C$4="Параллельный режим (активная мощность)",B138,M138)+Статистика!$J$4))-Статистика!$C$10)/MAX(Статистика!$G$10-Статистика!$C$10,0.000001),NA()))</f>
        <v>-1.1079003687222224</v>
      </c>
      <c r="BK138" s="12">
        <f>IF(A138="",NA(),IF(Статистика!$H$8="Вкл",(((IF(Статистика!$C$4="Параллельный режим (активная мощность)",J138,U138)+Статистика!$J$4))-Статистика!$C$10)/MAX(Статистика!$G$10-Статистика!$C$10,0.000001),NA()))</f>
        <v>0.90856653766666684</v>
      </c>
      <c r="BL138" s="12" t="e">
        <f>IF(A138="",NA(),IF(Статистика!$J$8="Вкл",(((IF(Статистика!$C$4="Параллельный режим (активная мощность)",K138,V138)+Статистика!$J$4))-Статистика!$C$10)/MAX(Статистика!$G$10-Статистика!$C$10,0.000001),NA()))</f>
        <v>#N/A</v>
      </c>
      <c r="BM138" s="12" t="e">
        <f>IF(AND(A138&lt;&gt;"",Статистика!$C$6="Вкл",Статистика!$B$6&gt;0),(Статистика!$B$6-Статистика!$C$10)/MAX(Статистика!$G$10-Статистика!$C$10,0.000001),NA())</f>
        <v>#N/A</v>
      </c>
      <c r="BN138" s="12" t="e">
        <f>IF(AND(A138&lt;&gt;"",Статистика!$F$6="Вкл",Статистика!$E$6&gt;0),(Статистика!$E$6-Статистика!$C$10)/MAX(Статистика!$G$10-Статистика!$C$10,0.000001),NA())</f>
        <v>#N/A</v>
      </c>
      <c r="BO138" s="12" t="e">
        <f>IF(AND(A138&lt;&gt;"",Статистика!$I$6="Вкл",Статистика!$H$6&gt;0),(Статистика!$H$6-Статистика!$C$10)/MAX(Статистика!$G$10-Статистика!$C$10,0.000001),NA())</f>
        <v>#N/A</v>
      </c>
      <c r="BP138" s="12" t="e">
        <f>IF(AND(A138&lt;&gt;"",Статистика!$L$6="Вкл",Статистика!$K$6&gt;0),(Статистика!$K$6-Статистика!$C$10)/MAX(Статистика!$G$10-Статистика!$C$10,0.000001),NA())</f>
        <v>#N/A</v>
      </c>
      <c r="BQ138" s="12" t="e">
        <f>IF(AND(A138&lt;&gt;"",Статистика!$M$6="Вкл",Статистика!$O$6&gt;0),(Статистика!$O$6-Статистика!$C$10)/MAX(Статистика!$G$10-Статистика!$C$10,0.000001),NA())</f>
        <v>#N/A</v>
      </c>
      <c r="BR138" s="12">
        <f t="shared" si="4"/>
        <v>1</v>
      </c>
      <c r="BT138" s="12">
        <f>IF(Y138="","",MAX(0,MIN(1,(((IF(Статистика!$C$4="Параллельный режим (активная мощность)",Z138,AK138)+Статистика!$J$4))-Статистика!$C$10)/MAX(Статистика!$G$10-Статистика!$C$10,0.000001))))</f>
        <v>0.56377595244444456</v>
      </c>
      <c r="BU138" s="12">
        <f>IF(Y138="","",MAX(0,MAX(0,MIN(1,(((IF(Статистика!$C$4="Параллельный режим (активная мощность)",AB138,AM138)+Статистика!$J$4))-Статистика!$C$10)/MAX(Статистика!$G$10-Статистика!$C$10,0.000001)))-MAX(0,MIN(1,(((IF(Статистика!$C$4="Параллельный режим (активная мощность)",Z138,AK138)+Статистика!$J$4))-Статистика!$C$10)/MAX(Статистика!$G$10-Статистика!$C$10,0.000001)))))</f>
        <v>1.3701072000000147E-2</v>
      </c>
      <c r="BV138" s="12">
        <f>IF(Y138="","",MAX(0,MAX(0,MIN(1,(((IF(Статистика!$C$4="Параллельный режим (активная мощность)",AC138,AN138)+Статистика!$J$4))-Статистика!$C$10)/MAX(Статистика!$G$10-Статистика!$C$10,0.000001)))-MAX(0,MIN(1,(((IF(Статистика!$C$4="Параллельный режим (активная мощность)",AB138,AM138)+Статистика!$J$4))-Статистика!$C$10)/MAX(Статистика!$G$10-Статистика!$C$10,0.000001)))))</f>
        <v>4.0454950555555147E-2</v>
      </c>
      <c r="BW138" s="12">
        <f>IF(Y138="","",MAX(0,MAX(0,MIN(1,(((IF(Статистика!$C$4="Параллельный режим (активная мощность)",AD138,AO138)+Статистика!$J$4))-Статистика!$C$10)/MAX(Статистика!$G$10-Статистика!$C$10,0.000001)))-MAX(0,MIN(1,(((IF(Статистика!$C$4="Параллельный режим (активная мощность)",AC138,AN138)+Статистика!$J$4))-Статистика!$C$10)/MAX(Статистика!$G$10-Статистика!$C$10,0.000001)))))</f>
        <v>2.8955636111111405E-2</v>
      </c>
      <c r="BX138" s="12">
        <f>IF(Y138="","",MAX(0,MAX(0,MIN(1,(((IF(Статистика!$C$4="Параллельный режим (активная мощность)",AE138,AP138)+Статистика!$J$4))-Статистика!$C$10)/MAX(Статистика!$G$10-Статистика!$C$10,0.000001)))-MAX(0,MIN(1,(((IF(Статистика!$C$4="Параллельный режим (активная мощность)",AD138,AO138)+Статистика!$J$4))-Статистика!$C$10)/MAX(Статистика!$G$10-Статистика!$C$10,0.000001)))))</f>
        <v>1.9816663888888808E-2</v>
      </c>
      <c r="BY138" s="12">
        <f>IF(Y138="","",MAX(0,MAX(0,MIN(1,(((IF(Статистика!$C$4="Параллельный режим (активная мощность)",AF138,AQ138)+Статистика!$J$4))-Статистика!$C$10)/MAX(Статистика!$G$10-Статистика!$C$10,0.000001)))-MAX(0,MIN(1,(((IF(Статистика!$C$4="Параллельный режим (активная мощность)",AE138,AP138)+Статистика!$J$4))-Статистика!$C$10)/MAX(Статистика!$G$10-Статистика!$C$10,0.000001)))))</f>
        <v>0.21164194277777759</v>
      </c>
      <c r="BZ138" s="12">
        <f>IF(Y138="","",MAX(0,MAX(0,MIN(1,(((IF(Статистика!$C$4="Параллельный режим (активная мощность)",AH138,AS138)+Статистика!$J$4))-Статистика!$C$10)/MAX(Статистика!$G$10-Статистика!$C$10,0.000001)))-MAX(0,MIN(1,(((IF(Статистика!$C$4="Параллельный режим (активная мощность)",AF138,AQ138)+Статистика!$J$4))-Статистика!$C$10)/MAX(Статистика!$G$10-Статистика!$C$10,0.000001)))))</f>
        <v>1.5364293999999723E-2</v>
      </c>
      <c r="CA138" s="12">
        <f>IF(Y138="","",MAX(0,1-MAX(0,MIN(1,(((IF(Статистика!$C$4="Параллельный режим (активная мощность)",AH138,AS138)+Статистика!$J$4))-Статистика!$C$10)/MAX(Статистика!$G$10-Статистика!$C$10,0.000001)))))</f>
        <v>0.10628948822222262</v>
      </c>
      <c r="CB138" s="12">
        <f>IF(Y138="",NA(),IF(Статистика!$B$8="Вкл",(((IF(Статистика!$C$4="Параллельный режим (активная мощность)",AD138,AO138)+Статистика!$J$4))-Статистика!$C$10)/MAX(Статистика!$G$10-Статистика!$C$10,0.000001),NA()))</f>
        <v>0.64688761111111126</v>
      </c>
      <c r="CC138" s="12">
        <f>IF(Y138="",NA(),IF(Статистика!$D$8="Вкл",(((IF(Статистика!$C$4="Параллельный режим (активная мощность)",AC138,AN138)+Статистика!$J$4))-Статистика!$C$10)/MAX(Статистика!$G$10-Статистика!$C$10,0.000001),NA()))</f>
        <v>0.61793197499999986</v>
      </c>
      <c r="CD138" s="12">
        <f>IF(Y138="",NA(),IF(Статистика!$D$8="Вкл",(((IF(Статистика!$C$4="Параллельный режим (активная мощность)",AE138,AP138)+Статистика!$J$4))-Статистика!$C$10)/MAX(Статистика!$G$10-Статистика!$C$10,0.000001),NA()))</f>
        <v>0.66670427500000007</v>
      </c>
      <c r="CE138" s="12">
        <f>IF(Y138="",NA(),IF(Статистика!$F$8="Вкл",(((IF(Статистика!$C$4="Параллельный режим (активная мощность)",AB138,AM138)+Статистика!$J$4))-Статистика!$C$10)/MAX(Статистика!$G$10-Статистика!$C$10,0.000001),NA()))</f>
        <v>0.57747702444444471</v>
      </c>
      <c r="CF138" s="12">
        <f>IF(Y138="",NA(),IF(Статистика!$F$8="Вкл",(((IF(Статистика!$C$4="Параллельный режим (активная мощность)",AF138,AQ138)+Статистика!$J$4))-Статистика!$C$10)/MAX(Статистика!$G$10-Статистика!$C$10,0.000001),NA()))</f>
        <v>0.87834621777777766</v>
      </c>
      <c r="CG138" s="12">
        <f>IF(Y138="",NA(),IF(Статистика!$H$8="Вкл",(((IF(Статистика!$C$4="Параллельный режим (активная мощность)",Z138,AK138)+Статистика!$J$4))-Статистика!$C$10)/MAX(Статистика!$G$10-Статистика!$C$10,0.000001),NA()))</f>
        <v>0.56377595244444456</v>
      </c>
      <c r="CH138" s="12">
        <f>IF(Y138="",NA(),IF(Статистика!$H$8="Вкл",(((IF(Статистика!$C$4="Параллельный режим (активная мощность)",AH138,AS138)+Статистика!$J$4))-Статистика!$C$10)/MAX(Статистика!$G$10-Статистика!$C$10,0.000001),NA()))</f>
        <v>0.89371051177777738</v>
      </c>
      <c r="CI138" s="12" t="e">
        <f>IF(Y138="",NA(),IF(Статистика!$J$8="Вкл",(((IF(Статистика!$C$4="Параллельный режим (активная мощность)",AI138,AT138)+Статистика!$J$4))-Статистика!$C$10)/MAX(Статистика!$G$10-Статистика!$C$10,0.000001),NA()))</f>
        <v>#N/A</v>
      </c>
      <c r="CJ138" s="12" t="e">
        <f>IF(AND(Y138&lt;&gt;"",Статистика!$C$6="Вкл",Статистика!$B$6&gt;0),(Статистика!$B$6-Статистика!$C$10)/MAX(Статистика!$G$10-Статистика!$C$10,0.000001),NA())</f>
        <v>#N/A</v>
      </c>
      <c r="CK138" s="12" t="e">
        <f>IF(AND(Y138&lt;&gt;"",Статистика!$F$6="Вкл",Статистика!$E$6&gt;0),(Статистика!$E$6-Статистика!$C$10)/MAX(Статистика!$G$10-Статистика!$C$10,0.000001),NA())</f>
        <v>#N/A</v>
      </c>
      <c r="CL138" s="12" t="e">
        <f>IF(AND(Y138&lt;&gt;"",Статистика!$I$6="Вкл",Статистика!$H$6&gt;0),(Статистика!$H$6-Статистика!$C$10)/MAX(Статистика!$G$10-Статистика!$C$10,0.000001),NA())</f>
        <v>#N/A</v>
      </c>
      <c r="CM138" s="12" t="e">
        <f>IF(AND(Y138&lt;&gt;"",Статистика!$L$6="Вкл",Статистика!$K$6&gt;0),(Статистика!$K$6-Статистика!$C$10)/MAX(Статистика!$G$10-Статистика!$C$10,0.000001),NA())</f>
        <v>#N/A</v>
      </c>
      <c r="CN138" s="12" t="e">
        <f>IF(AND(Y138&lt;&gt;"",Статистика!$M$6="Вкл",Статистика!$O$6&gt;0),(Статистика!$O$6-Статистика!$C$10)/MAX(Статистика!$G$10-Статистика!$C$10,0.000001),NA())</f>
        <v>#N/A</v>
      </c>
      <c r="CO138" s="12">
        <f t="shared" si="5"/>
        <v>1</v>
      </c>
    </row>
    <row r="139" spans="1:93" ht="15" customHeight="1">
      <c r="A139" s="12" t="s">
        <v>610</v>
      </c>
      <c r="B139" s="12">
        <v>2993.366350166667</v>
      </c>
      <c r="C139" s="12">
        <v>5984.8162841666672</v>
      </c>
      <c r="D139" s="12">
        <v>7478.2423316666673</v>
      </c>
      <c r="E139" s="12">
        <v>7733.070408333333</v>
      </c>
      <c r="F139" s="12">
        <v>7946.1648333333342</v>
      </c>
      <c r="G139" s="12">
        <v>8110.9916666666668</v>
      </c>
      <c r="H139" s="12">
        <v>8369.3590233333325</v>
      </c>
      <c r="I139" s="12">
        <v>8572.5494308333327</v>
      </c>
      <c r="J139" s="12">
        <v>8761.4524728333326</v>
      </c>
      <c r="K139" s="12">
        <v>8940.31</v>
      </c>
      <c r="L139" s="12" t="s">
        <v>611</v>
      </c>
      <c r="M139" s="12">
        <v>3554.0293668333329</v>
      </c>
      <c r="N139" s="12">
        <v>6783.7259008333331</v>
      </c>
      <c r="O139" s="12">
        <v>8413.3815633333325</v>
      </c>
      <c r="P139" s="12">
        <v>8709.6570416666655</v>
      </c>
      <c r="Q139" s="12">
        <v>8924.6886500000001</v>
      </c>
      <c r="R139" s="12">
        <v>9128.5896833333354</v>
      </c>
      <c r="S139" s="12">
        <v>9408.6957549999988</v>
      </c>
      <c r="T139" s="12">
        <v>9585.348841666666</v>
      </c>
      <c r="U139" s="12">
        <v>9804.4834749999991</v>
      </c>
      <c r="V139" s="12">
        <v>9972.69</v>
      </c>
      <c r="W139" s="12" t="s">
        <v>611</v>
      </c>
      <c r="Y139" s="12" t="s">
        <v>610</v>
      </c>
      <c r="Z139" s="12">
        <v>7644.5345375000006</v>
      </c>
      <c r="AA139" s="12">
        <v>7668.7145541666678</v>
      </c>
      <c r="AB139" s="12">
        <v>7698.9395750000012</v>
      </c>
      <c r="AC139" s="12">
        <v>7841.5212833333344</v>
      </c>
      <c r="AD139" s="12">
        <v>7963.2791666666672</v>
      </c>
      <c r="AE139" s="12">
        <v>8015.3249416666667</v>
      </c>
      <c r="AF139" s="12">
        <v>8618.6985216666671</v>
      </c>
      <c r="AG139" s="12">
        <v>8643.9766775000007</v>
      </c>
      <c r="AH139" s="12">
        <v>8664.1992021666683</v>
      </c>
      <c r="AI139" s="12">
        <v>8742.64</v>
      </c>
      <c r="AJ139" s="12" t="s">
        <v>612</v>
      </c>
      <c r="AK139" s="12">
        <v>8541.6624323333344</v>
      </c>
      <c r="AL139" s="12">
        <v>8562.0172283333341</v>
      </c>
      <c r="AM139" s="12">
        <v>8587.4607233333336</v>
      </c>
      <c r="AN139" s="12">
        <v>8833.0835750000006</v>
      </c>
      <c r="AO139" s="12">
        <v>8889.4202666666661</v>
      </c>
      <c r="AP139" s="12">
        <v>9056.5953583333339</v>
      </c>
      <c r="AQ139" s="12">
        <v>9579.8562466666663</v>
      </c>
      <c r="AR139" s="12">
        <v>9580.6336900000006</v>
      </c>
      <c r="AS139" s="12">
        <v>9581.2556446666658</v>
      </c>
      <c r="AT139" s="12">
        <v>9673.24</v>
      </c>
      <c r="AU139" s="12" t="s">
        <v>613</v>
      </c>
      <c r="AW139" s="12">
        <f>IF(A139="","",MAX(0,MIN(1,(((IF(Статистика!$C$4="Параллельный режим (активная мощность)",B139,M139)+Статистика!$J$4))-Статистика!$C$10)/MAX(Статистика!$G$10-Статистика!$C$10,0.000001))))</f>
        <v>0</v>
      </c>
      <c r="AX139" s="12">
        <f>IF(A139="","",MAX(0,MAX(0,MIN(1,(((IF(Статистика!$C$4="Параллельный режим (активная мощность)",D139,O139)+Статистика!$J$4))-Статистика!$C$10)/MAX(Статистика!$G$10-Статистика!$C$10,0.000001)))-MAX(0,MIN(1,(((IF(Статистика!$C$4="Параллельный режим (активная мощность)",B139,M139)+Статистика!$J$4))-Статистика!$C$10)/MAX(Статистика!$G$10-Статистика!$C$10,0.000001)))))</f>
        <v>0.49274744388888908</v>
      </c>
      <c r="AY139" s="12">
        <f>IF(A139="","",MAX(0,MAX(0,MIN(1,(((IF(Статистика!$C$4="Параллельный режим (активная мощность)",E139,P139)+Статистика!$J$4))-Статистика!$C$10)/MAX(Статистика!$G$10-Статистика!$C$10,0.000001)))-MAX(0,MIN(1,(((IF(Статистика!$C$4="Параллельный режим (активная мощность)",D139,O139)+Статистика!$J$4))-Статистика!$C$10)/MAX(Статистика!$G$10-Статистика!$C$10,0.000001)))))</f>
        <v>8.4942692222221894E-2</v>
      </c>
      <c r="AZ139" s="12">
        <f>IF(A139="","",MAX(0,MAX(0,MIN(1,(((IF(Статистика!$C$4="Параллельный режим (активная мощность)",F139,Q139)+Статистика!$J$4))-Статистика!$C$10)/MAX(Статистика!$G$10-Статистика!$C$10,0.000001)))-MAX(0,MIN(1,(((IF(Статистика!$C$4="Параллельный режим (активная мощность)",E139,P139)+Статистика!$J$4))-Статистика!$C$10)/MAX(Статистика!$G$10-Статистика!$C$10,0.000001)))))</f>
        <v>7.1031475000000399E-2</v>
      </c>
      <c r="BA139" s="12">
        <f>IF(A139="","",MAX(0,MAX(0,MIN(1,(((IF(Статистика!$C$4="Параллельный режим (активная мощность)",G139,R139)+Статистика!$J$4))-Статистика!$C$10)/MAX(Статистика!$G$10-Статистика!$C$10,0.000001)))-MAX(0,MIN(1,(((IF(Статистика!$C$4="Параллельный режим (активная мощность)",F139,Q139)+Статистика!$J$4))-Статистика!$C$10)/MAX(Статистика!$G$10-Статистика!$C$10,0.000001)))))</f>
        <v>5.4942277777777604E-2</v>
      </c>
      <c r="BB139" s="12">
        <f>IF(A139="","",MAX(0,MAX(0,MIN(1,(((IF(Статистика!$C$4="Параллельный режим (активная мощность)",H139,S139)+Статистика!$J$4))-Статистика!$C$10)/MAX(Статистика!$G$10-Статистика!$C$10,0.000001)))-MAX(0,MIN(1,(((IF(Статистика!$C$4="Параллельный режим (активная мощность)",G139,R139)+Статистика!$J$4))-Статистика!$C$10)/MAX(Статистика!$G$10-Статистика!$C$10,0.000001)))))</f>
        <v>8.6122452222221813E-2</v>
      </c>
      <c r="BC139" s="12">
        <f>IF(A139="","",MAX(0,MAX(0,MIN(1,(((IF(Статистика!$C$4="Параллельный режим (активная мощность)",J139,U139)+Статистика!$J$4))-Статистика!$C$10)/MAX(Статистика!$G$10-Статистика!$C$10,0.000001)))-MAX(0,MIN(1,(((IF(Статистика!$C$4="Параллельный режим (активная мощность)",H139,S139)+Статистика!$J$4))-Статистика!$C$10)/MAX(Статистика!$G$10-Статистика!$C$10,0.000001)))))</f>
        <v>0.13069781650000012</v>
      </c>
      <c r="BD139" s="12">
        <f>IF(A139="","",MAX(0,1-MAX(0,MIN(1,(((IF(Статистика!$C$4="Параллельный режим (активная мощность)",J139,U139)+Статистика!$J$4))-Статистика!$C$10)/MAX(Статистика!$G$10-Статистика!$C$10,0.000001)))))</f>
        <v>7.9515842388889091E-2</v>
      </c>
      <c r="BE139" s="12">
        <f>IF(A139="",NA(),IF(Статистика!$B$8="Вкл",(((IF(Статистика!$C$4="Параллельный режим (активная мощность)",F139,Q139)+Статистика!$J$4))-Статистика!$C$10)/MAX(Статистика!$G$10-Статистика!$C$10,0.000001),NA()))</f>
        <v>0.64872161111111137</v>
      </c>
      <c r="BF139" s="12">
        <f>IF(A139="",NA(),IF(Статистика!$D$8="Вкл",(((IF(Статистика!$C$4="Параллельный режим (активная мощность)",E139,P139)+Статистика!$J$4))-Статистика!$C$10)/MAX(Статистика!$G$10-Статистика!$C$10,0.000001),NA()))</f>
        <v>0.57769013611111097</v>
      </c>
      <c r="BG139" s="12">
        <f>IF(A139="",NA(),IF(Статистика!$D$8="Вкл",(((IF(Статистика!$C$4="Параллельный режим (активная мощность)",G139,R139)+Статистика!$J$4))-Статистика!$C$10)/MAX(Статистика!$G$10-Статистика!$C$10,0.000001),NA()))</f>
        <v>0.70366388888888898</v>
      </c>
      <c r="BH139" s="12">
        <f>IF(A139="",NA(),IF(Статистика!$F$8="Вкл",(((IF(Статистика!$C$4="Параллельный режим (активная мощность)",D139,O139)+Статистика!$J$4))-Статистика!$C$10)/MAX(Статистика!$G$10-Статистика!$C$10,0.000001),NA()))</f>
        <v>0.49274744388888908</v>
      </c>
      <c r="BI139" s="12">
        <f>IF(A139="",NA(),IF(Статистика!$F$8="Вкл",(((IF(Статистика!$C$4="Параллельный режим (активная мощность)",H139,S139)+Статистика!$J$4))-Статистика!$C$10)/MAX(Статистика!$G$10-Статистика!$C$10,0.000001),NA()))</f>
        <v>0.78978634111111079</v>
      </c>
      <c r="BJ139" s="12">
        <f>IF(A139="",NA(),IF(Статистика!$H$8="Вкл",(((IF(Статистика!$C$4="Параллельный режим (активная мощность)",B139,M139)+Статистика!$J$4))-Статистика!$C$10)/MAX(Статистика!$G$10-Статистика!$C$10,0.000001),NA()))</f>
        <v>-1.002211216611111</v>
      </c>
      <c r="BK139" s="12">
        <f>IF(A139="",NA(),IF(Статистика!$H$8="Вкл",(((IF(Статистика!$C$4="Параллельный режим (активная мощность)",J139,U139)+Статистика!$J$4))-Статистика!$C$10)/MAX(Статистика!$G$10-Статистика!$C$10,0.000001),NA()))</f>
        <v>0.92048415761111091</v>
      </c>
      <c r="BL139" s="12" t="e">
        <f>IF(A139="",NA(),IF(Статистика!$J$8="Вкл",(((IF(Статистика!$C$4="Параллельный режим (активная мощность)",K139,V139)+Статистика!$J$4))-Статистика!$C$10)/MAX(Статистика!$G$10-Статистика!$C$10,0.000001),NA()))</f>
        <v>#N/A</v>
      </c>
      <c r="BM139" s="12" t="e">
        <f>IF(AND(A139&lt;&gt;"",Статистика!$C$6="Вкл",Статистика!$B$6&gt;0),(Статистика!$B$6-Статистика!$C$10)/MAX(Статистика!$G$10-Статистика!$C$10,0.000001),NA())</f>
        <v>#N/A</v>
      </c>
      <c r="BN139" s="12" t="e">
        <f>IF(AND(A139&lt;&gt;"",Статистика!$F$6="Вкл",Статистика!$E$6&gt;0),(Статистика!$E$6-Статистика!$C$10)/MAX(Статистика!$G$10-Статистика!$C$10,0.000001),NA())</f>
        <v>#N/A</v>
      </c>
      <c r="BO139" s="12" t="e">
        <f>IF(AND(A139&lt;&gt;"",Статистика!$I$6="Вкл",Статистика!$H$6&gt;0),(Статистика!$H$6-Статистика!$C$10)/MAX(Статистика!$G$10-Статистика!$C$10,0.000001),NA())</f>
        <v>#N/A</v>
      </c>
      <c r="BP139" s="12" t="e">
        <f>IF(AND(A139&lt;&gt;"",Статистика!$L$6="Вкл",Статистика!$K$6&gt;0),(Статистика!$K$6-Статистика!$C$10)/MAX(Статистика!$G$10-Статистика!$C$10,0.000001),NA())</f>
        <v>#N/A</v>
      </c>
      <c r="BQ139" s="12" t="e">
        <f>IF(AND(A139&lt;&gt;"",Статистика!$M$6="Вкл",Статистика!$O$6&gt;0),(Статистика!$O$6-Статистика!$C$10)/MAX(Статистика!$G$10-Статистика!$C$10,0.000001),NA())</f>
        <v>#N/A</v>
      </c>
      <c r="BR139" s="12">
        <f t="shared" si="4"/>
        <v>1</v>
      </c>
      <c r="BT139" s="12">
        <f>IF(Y139="","",MAX(0,MIN(1,(((IF(Статистика!$C$4="Параллельный режим (активная мощность)",Z139,AK139)+Статистика!$J$4))-Статистика!$C$10)/MAX(Статистика!$G$10-Статистика!$C$10,0.000001))))</f>
        <v>0.54817817916666689</v>
      </c>
      <c r="BU139" s="12">
        <f>IF(Y139="","",MAX(0,MAX(0,MIN(1,(((IF(Статистика!$C$4="Параллельный режим (активная мощность)",AB139,AM139)+Статистика!$J$4))-Статистика!$C$10)/MAX(Статистика!$G$10-Статистика!$C$10,0.000001)))-MAX(0,MIN(1,(((IF(Статистика!$C$4="Параллельный режим (активная мощность)",Z139,AK139)+Статистика!$J$4))-Статистика!$C$10)/MAX(Статистика!$G$10-Статистика!$C$10,0.000001)))))</f>
        <v>1.8135012500000158E-2</v>
      </c>
      <c r="BV139" s="12">
        <f>IF(Y139="","",MAX(0,MAX(0,MIN(1,(((IF(Статистика!$C$4="Параллельный режим (активная мощность)",AC139,AN139)+Статистика!$J$4))-Статистика!$C$10)/MAX(Статистика!$G$10-Статистика!$C$10,0.000001)))-MAX(0,MIN(1,(((IF(Статистика!$C$4="Параллельный режим (активная мощность)",AB139,AM139)+Статистика!$J$4))-Статистика!$C$10)/MAX(Статистика!$G$10-Статистика!$C$10,0.000001)))))</f>
        <v>4.7527236111111093E-2</v>
      </c>
      <c r="BW139" s="12">
        <f>IF(Y139="","",MAX(0,MAX(0,MIN(1,(((IF(Статистика!$C$4="Параллельный режим (активная мощность)",AD139,AO139)+Статистика!$J$4))-Статистика!$C$10)/MAX(Статистика!$G$10-Статистика!$C$10,0.000001)))-MAX(0,MIN(1,(((IF(Статистика!$C$4="Параллельный режим (активная мощность)",AC139,AN139)+Статистика!$J$4))-Статистика!$C$10)/MAX(Статистика!$G$10-Статистика!$C$10,0.000001)))))</f>
        <v>4.0585961111110902E-2</v>
      </c>
      <c r="BX139" s="12">
        <f>IF(Y139="","",MAX(0,MAX(0,MIN(1,(((IF(Статистика!$C$4="Параллельный режим (активная мощность)",AE139,AP139)+Статистика!$J$4))-Статистика!$C$10)/MAX(Статистика!$G$10-Статистика!$C$10,0.000001)))-MAX(0,MIN(1,(((IF(Статистика!$C$4="Параллельный режим (активная мощность)",AD139,AO139)+Статистика!$J$4))-Статистика!$C$10)/MAX(Статистика!$G$10-Статистика!$C$10,0.000001)))))</f>
        <v>1.734859166666658E-2</v>
      </c>
      <c r="BY139" s="12">
        <f>IF(Y139="","",MAX(0,MAX(0,MIN(1,(((IF(Статистика!$C$4="Параллельный режим (активная мощность)",AF139,AQ139)+Статистика!$J$4))-Статистика!$C$10)/MAX(Статистика!$G$10-Статистика!$C$10,0.000001)))-MAX(0,MIN(1,(((IF(Статистика!$C$4="Параллельный режим (активная мощность)",AE139,AP139)+Статистика!$J$4))-Статистика!$C$10)/MAX(Статистика!$G$10-Статистика!$C$10,0.000001)))))</f>
        <v>0.2011245266666668</v>
      </c>
      <c r="BZ139" s="12">
        <f>IF(Y139="","",MAX(0,MAX(0,MIN(1,(((IF(Статистика!$C$4="Параллельный режим (активная мощность)",AH139,AS139)+Статистика!$J$4))-Статистика!$C$10)/MAX(Статистика!$G$10-Статистика!$C$10,0.000001)))-MAX(0,MIN(1,(((IF(Статистика!$C$4="Параллельный режим (активная мощность)",AF139,AQ139)+Статистика!$J$4))-Статистика!$C$10)/MAX(Статистика!$G$10-Статистика!$C$10,0.000001)))))</f>
        <v>1.5166893500000334E-2</v>
      </c>
      <c r="CA139" s="12">
        <f>IF(Y139="","",MAX(0,1-MAX(0,MIN(1,(((IF(Статистика!$C$4="Параллельный режим (активная мощность)",AH139,AS139)+Статистика!$J$4))-Статистика!$C$10)/MAX(Статистика!$G$10-Статистика!$C$10,0.000001)))))</f>
        <v>0.11193359927777724</v>
      </c>
      <c r="CB139" s="12">
        <f>IF(Y139="",NA(),IF(Статистика!$B$8="Вкл",(((IF(Статистика!$C$4="Параллельный режим (активная мощность)",AD139,AO139)+Статистика!$J$4))-Статистика!$C$10)/MAX(Статистика!$G$10-Статистика!$C$10,0.000001),NA()))</f>
        <v>0.65442638888888904</v>
      </c>
      <c r="CC139" s="12">
        <f>IF(Y139="",NA(),IF(Статистика!$D$8="Вкл",(((IF(Статистика!$C$4="Параллельный режим (активная мощность)",AC139,AN139)+Статистика!$J$4))-Статистика!$C$10)/MAX(Статистика!$G$10-Статистика!$C$10,0.000001),NA()))</f>
        <v>0.61384042777777814</v>
      </c>
      <c r="CD139" s="12">
        <f>IF(Y139="",NA(),IF(Статистика!$D$8="Вкл",(((IF(Статистика!$C$4="Параллельный режим (активная мощность)",AE139,AP139)+Статистика!$J$4))-Статистика!$C$10)/MAX(Статистика!$G$10-Статистика!$C$10,0.000001),NA()))</f>
        <v>0.67177498055555562</v>
      </c>
      <c r="CE139" s="12">
        <f>IF(Y139="",NA(),IF(Статистика!$F$8="Вкл",(((IF(Статистика!$C$4="Параллельный режим (активная мощность)",AB139,AM139)+Статистика!$J$4))-Статистика!$C$10)/MAX(Статистика!$G$10-Статистика!$C$10,0.000001),NA()))</f>
        <v>0.56631319166666705</v>
      </c>
      <c r="CF139" s="12">
        <f>IF(Y139="",NA(),IF(Статистика!$F$8="Вкл",(((IF(Статистика!$C$4="Параллельный режим (активная мощность)",AF139,AQ139)+Статистика!$J$4))-Статистика!$C$10)/MAX(Статистика!$G$10-Статистика!$C$10,0.000001),NA()))</f>
        <v>0.87289950722222243</v>
      </c>
      <c r="CG139" s="12">
        <f>IF(Y139="",NA(),IF(Статистика!$H$8="Вкл",(((IF(Статистика!$C$4="Параллельный режим (активная мощность)",Z139,AK139)+Статистика!$J$4))-Статистика!$C$10)/MAX(Статистика!$G$10-Статистика!$C$10,0.000001),NA()))</f>
        <v>0.54817817916666689</v>
      </c>
      <c r="CH139" s="12">
        <f>IF(Y139="",NA(),IF(Статистика!$H$8="Вкл",(((IF(Статистика!$C$4="Параллельный режим (активная мощность)",AH139,AS139)+Статистика!$J$4))-Статистика!$C$10)/MAX(Статистика!$G$10-Статистика!$C$10,0.000001),NA()))</f>
        <v>0.88806640072222276</v>
      </c>
      <c r="CI139" s="12" t="e">
        <f>IF(Y139="",NA(),IF(Статистика!$J$8="Вкл",(((IF(Статистика!$C$4="Параллельный режим (активная мощность)",AI139,AT139)+Статистика!$J$4))-Статистика!$C$10)/MAX(Статистика!$G$10-Статистика!$C$10,0.000001),NA()))</f>
        <v>#N/A</v>
      </c>
      <c r="CJ139" s="12" t="e">
        <f>IF(AND(Y139&lt;&gt;"",Статистика!$C$6="Вкл",Статистика!$B$6&gt;0),(Статистика!$B$6-Статистика!$C$10)/MAX(Статистика!$G$10-Статистика!$C$10,0.000001),NA())</f>
        <v>#N/A</v>
      </c>
      <c r="CK139" s="12" t="e">
        <f>IF(AND(Y139&lt;&gt;"",Статистика!$F$6="Вкл",Статистика!$E$6&gt;0),(Статистика!$E$6-Статистика!$C$10)/MAX(Статистика!$G$10-Статистика!$C$10,0.000001),NA())</f>
        <v>#N/A</v>
      </c>
      <c r="CL139" s="12" t="e">
        <f>IF(AND(Y139&lt;&gt;"",Статистика!$I$6="Вкл",Статистика!$H$6&gt;0),(Статистика!$H$6-Статистика!$C$10)/MAX(Статистика!$G$10-Статистика!$C$10,0.000001),NA())</f>
        <v>#N/A</v>
      </c>
      <c r="CM139" s="12" t="e">
        <f>IF(AND(Y139&lt;&gt;"",Статистика!$L$6="Вкл",Статистика!$K$6&gt;0),(Статистика!$K$6-Статистика!$C$10)/MAX(Статистика!$G$10-Статистика!$C$10,0.000001),NA())</f>
        <v>#N/A</v>
      </c>
      <c r="CN139" s="12" t="e">
        <f>IF(AND(Y139&lt;&gt;"",Статистика!$M$6="Вкл",Статистика!$O$6&gt;0),(Статистика!$O$6-Статистика!$C$10)/MAX(Статистика!$G$10-Статистика!$C$10,0.000001),NA())</f>
        <v>#N/A</v>
      </c>
      <c r="CO139" s="12">
        <f t="shared" si="5"/>
        <v>1</v>
      </c>
    </row>
    <row r="140" spans="1:93" ht="15" customHeight="1">
      <c r="A140" s="12" t="s">
        <v>614</v>
      </c>
      <c r="B140" s="12">
        <v>3521.3046889999996</v>
      </c>
      <c r="C140" s="12">
        <v>6143.0486449999999</v>
      </c>
      <c r="D140" s="12">
        <v>7416.5791249999993</v>
      </c>
      <c r="E140" s="12">
        <v>7702.594458333333</v>
      </c>
      <c r="F140" s="12">
        <v>7928.727766666665</v>
      </c>
      <c r="G140" s="12">
        <v>8089.1378500000001</v>
      </c>
      <c r="H140" s="12">
        <v>8445.6983</v>
      </c>
      <c r="I140" s="12">
        <v>8555.6406808333322</v>
      </c>
      <c r="J140" s="12">
        <v>8684.1777094999998</v>
      </c>
      <c r="K140" s="12">
        <v>8865.27</v>
      </c>
      <c r="L140" s="12" t="s">
        <v>615</v>
      </c>
      <c r="M140" s="12">
        <v>4062.3801640000001</v>
      </c>
      <c r="N140" s="12">
        <v>6933.0030866666675</v>
      </c>
      <c r="O140" s="12">
        <v>8348.3656449999999</v>
      </c>
      <c r="P140" s="12">
        <v>8705.0217916666661</v>
      </c>
      <c r="Q140" s="12">
        <v>8915.6592833333343</v>
      </c>
      <c r="R140" s="12">
        <v>9127.4960333333329</v>
      </c>
      <c r="S140" s="12">
        <v>9458.1194016666668</v>
      </c>
      <c r="T140" s="12">
        <v>9581.4824466666669</v>
      </c>
      <c r="U140" s="12">
        <v>9736.9869426666664</v>
      </c>
      <c r="V140" s="12">
        <v>9927.1299999999992</v>
      </c>
      <c r="W140" s="12" t="s">
        <v>616</v>
      </c>
      <c r="Y140" s="12" t="s">
        <v>614</v>
      </c>
      <c r="Z140" s="12">
        <v>7693.8211191666651</v>
      </c>
      <c r="AA140" s="12">
        <v>7697.7419958333321</v>
      </c>
      <c r="AB140" s="12">
        <v>7702.6430916666668</v>
      </c>
      <c r="AC140" s="12">
        <v>7807.1538250000003</v>
      </c>
      <c r="AD140" s="12">
        <v>7919.8097333333335</v>
      </c>
      <c r="AE140" s="12">
        <v>8080.1791666666668</v>
      </c>
      <c r="AF140" s="12">
        <v>8629.3431500000006</v>
      </c>
      <c r="AG140" s="12">
        <v>8653.0874750000003</v>
      </c>
      <c r="AH140" s="12">
        <v>8672.0829350000004</v>
      </c>
      <c r="AI140" s="12">
        <v>8777.77</v>
      </c>
      <c r="AJ140" s="12" t="s">
        <v>617</v>
      </c>
      <c r="AK140" s="12">
        <v>8575.9085426666661</v>
      </c>
      <c r="AL140" s="12">
        <v>8584.3308466666658</v>
      </c>
      <c r="AM140" s="12">
        <v>8594.8587266666673</v>
      </c>
      <c r="AN140" s="12">
        <v>8792.1136916666655</v>
      </c>
      <c r="AO140" s="12">
        <v>8890.8286166666658</v>
      </c>
      <c r="AP140" s="12">
        <v>9143.9972666666672</v>
      </c>
      <c r="AQ140" s="12">
        <v>9591.054329999999</v>
      </c>
      <c r="AR140" s="12">
        <v>9596.3895316666658</v>
      </c>
      <c r="AS140" s="12">
        <v>9600.6576929999992</v>
      </c>
      <c r="AT140" s="12">
        <v>9703.15</v>
      </c>
      <c r="AU140" s="12" t="s">
        <v>618</v>
      </c>
      <c r="AW140" s="12">
        <f>IF(A140="","",MAX(0,MIN(1,(((IF(Статистика!$C$4="Параллельный режим (активная мощность)",B140,M140)+Статистика!$J$4))-Статистика!$C$10)/MAX(Статистика!$G$10-Статистика!$C$10,0.000001))))</f>
        <v>0</v>
      </c>
      <c r="AX140" s="12">
        <f>IF(A140="","",MAX(0,MAX(0,MIN(1,(((IF(Статистика!$C$4="Параллельный режим (активная мощность)",D140,O140)+Статистика!$J$4))-Статистика!$C$10)/MAX(Статистика!$G$10-Статистика!$C$10,0.000001)))-MAX(0,MIN(1,(((IF(Статистика!$C$4="Параллельный режим (активная мощность)",B140,M140)+Статистика!$J$4))-Статистика!$C$10)/MAX(Статистика!$G$10-Статистика!$C$10,0.000001)))))</f>
        <v>0.47219304166666642</v>
      </c>
      <c r="AY140" s="12">
        <f>IF(A140="","",MAX(0,MAX(0,MIN(1,(((IF(Статистика!$C$4="Параллельный режим (активная мощность)",E140,P140)+Статистика!$J$4))-Статистика!$C$10)/MAX(Статистика!$G$10-Статистика!$C$10,0.000001)))-MAX(0,MIN(1,(((IF(Статистика!$C$4="Параллельный режим (активная мощность)",D140,O140)+Статистика!$J$4))-Статистика!$C$10)/MAX(Статистика!$G$10-Статистика!$C$10,0.000001)))))</f>
        <v>9.5338444444444614E-2</v>
      </c>
      <c r="AZ140" s="12">
        <f>IF(A140="","",MAX(0,MAX(0,MIN(1,(((IF(Статистика!$C$4="Параллельный режим (активная мощность)",F140,Q140)+Статистика!$J$4))-Статистика!$C$10)/MAX(Статистика!$G$10-Статистика!$C$10,0.000001)))-MAX(0,MIN(1,(((IF(Статистика!$C$4="Параллельный режим (активная мощность)",E140,P140)+Статистика!$J$4))-Статистика!$C$10)/MAX(Статистика!$G$10-Статистика!$C$10,0.000001)))))</f>
        <v>7.5377769444443965E-2</v>
      </c>
      <c r="BA140" s="12">
        <f>IF(A140="","",MAX(0,MAX(0,MIN(1,(((IF(Статистика!$C$4="Параллельный режим (активная мощность)",G140,R140)+Статистика!$J$4))-Статистика!$C$10)/MAX(Статистика!$G$10-Статистика!$C$10,0.000001)))-MAX(0,MIN(1,(((IF(Статистика!$C$4="Параллельный режим (активная мощность)",F140,Q140)+Статистика!$J$4))-Статистика!$C$10)/MAX(Статистика!$G$10-Статистика!$C$10,0.000001)))))</f>
        <v>5.3470027777778317E-2</v>
      </c>
      <c r="BB140" s="12">
        <f>IF(A140="","",MAX(0,MAX(0,MIN(1,(((IF(Статистика!$C$4="Параллельный режим (активная мощность)",H140,S140)+Статистика!$J$4))-Статистика!$C$10)/MAX(Статистика!$G$10-Статистика!$C$10,0.000001)))-MAX(0,MIN(1,(((IF(Статистика!$C$4="Параллельный режим (активная мощность)",G140,R140)+Статистика!$J$4))-Статистика!$C$10)/MAX(Статистика!$G$10-Статистика!$C$10,0.000001)))))</f>
        <v>0.11885348333333334</v>
      </c>
      <c r="BC140" s="12">
        <f>IF(A140="","",MAX(0,MAX(0,MIN(1,(((IF(Статистика!$C$4="Параллельный режим (активная мощность)",J140,U140)+Статистика!$J$4))-Статистика!$C$10)/MAX(Статистика!$G$10-Статистика!$C$10,0.000001)))-MAX(0,MIN(1,(((IF(Статистика!$C$4="Параллельный режим (активная мощность)",H140,S140)+Статистика!$J$4))-Статистика!$C$10)/MAX(Статистика!$G$10-Статистика!$C$10,0.000001)))))</f>
        <v>7.9493136499999895E-2</v>
      </c>
      <c r="BD140" s="12">
        <f>IF(A140="","",MAX(0,1-MAX(0,MIN(1,(((IF(Статистика!$C$4="Параллельный режим (активная мощность)",J140,U140)+Статистика!$J$4))-Статистика!$C$10)/MAX(Статистика!$G$10-Статистика!$C$10,0.000001)))))</f>
        <v>0.10527409683333344</v>
      </c>
      <c r="BE140" s="12">
        <f>IF(A140="",NA(),IF(Статистика!$B$8="Вкл",(((IF(Статистика!$C$4="Параллельный режим (активная мощность)",F140,Q140)+Статистика!$J$4))-Статистика!$C$10)/MAX(Статистика!$G$10-Статистика!$C$10,0.000001),NA()))</f>
        <v>0.642909255555555</v>
      </c>
      <c r="BF140" s="12">
        <f>IF(A140="",NA(),IF(Статистика!$D$8="Вкл",(((IF(Статистика!$C$4="Параллельный режим (активная мощность)",E140,P140)+Статистика!$J$4))-Статистика!$C$10)/MAX(Статистика!$G$10-Статистика!$C$10,0.000001),NA()))</f>
        <v>0.56753148611111104</v>
      </c>
      <c r="BG140" s="12">
        <f>IF(A140="",NA(),IF(Статистика!$D$8="Вкл",(((IF(Статистика!$C$4="Параллельный режим (активная мощность)",G140,R140)+Статистика!$J$4))-Статистика!$C$10)/MAX(Статистика!$G$10-Статистика!$C$10,0.000001),NA()))</f>
        <v>0.69637928333333332</v>
      </c>
      <c r="BH140" s="12">
        <f>IF(A140="",NA(),IF(Статистика!$F$8="Вкл",(((IF(Статистика!$C$4="Параллельный режим (активная мощность)",D140,O140)+Статистика!$J$4))-Статистика!$C$10)/MAX(Статистика!$G$10-Статистика!$C$10,0.000001),NA()))</f>
        <v>0.47219304166666642</v>
      </c>
      <c r="BI140" s="12">
        <f>IF(A140="",NA(),IF(Статистика!$F$8="Вкл",(((IF(Статистика!$C$4="Параллельный режим (активная мощность)",H140,S140)+Статистика!$J$4))-Статистика!$C$10)/MAX(Статистика!$G$10-Статистика!$C$10,0.000001),NA()))</f>
        <v>0.81523276666666666</v>
      </c>
      <c r="BJ140" s="12">
        <f>IF(A140="",NA(),IF(Статистика!$H$8="Вкл",(((IF(Статистика!$C$4="Параллельный режим (активная мощность)",B140,M140)+Статистика!$J$4))-Статистика!$C$10)/MAX(Статистика!$G$10-Статистика!$C$10,0.000001),NA()))</f>
        <v>-0.8262317703333335</v>
      </c>
      <c r="BK140" s="12">
        <f>IF(A140="",NA(),IF(Статистика!$H$8="Вкл",(((IF(Статистика!$C$4="Параллельный режим (активная мощность)",J140,U140)+Статистика!$J$4))-Статистика!$C$10)/MAX(Статистика!$G$10-Статистика!$C$10,0.000001),NA()))</f>
        <v>0.89472590316666656</v>
      </c>
      <c r="BL140" s="12" t="e">
        <f>IF(A140="",NA(),IF(Статистика!$J$8="Вкл",(((IF(Статистика!$C$4="Параллельный режим (активная мощность)",K140,V140)+Статистика!$J$4))-Статистика!$C$10)/MAX(Статистика!$G$10-Статистика!$C$10,0.000001),NA()))</f>
        <v>#N/A</v>
      </c>
      <c r="BM140" s="12" t="e">
        <f>IF(AND(A140&lt;&gt;"",Статистика!$C$6="Вкл",Статистика!$B$6&gt;0),(Статистика!$B$6-Статистика!$C$10)/MAX(Статистика!$G$10-Статистика!$C$10,0.000001),NA())</f>
        <v>#N/A</v>
      </c>
      <c r="BN140" s="12" t="e">
        <f>IF(AND(A140&lt;&gt;"",Статистика!$F$6="Вкл",Статистика!$E$6&gt;0),(Статистика!$E$6-Статистика!$C$10)/MAX(Статистика!$G$10-Статистика!$C$10,0.000001),NA())</f>
        <v>#N/A</v>
      </c>
      <c r="BO140" s="12" t="e">
        <f>IF(AND(A140&lt;&gt;"",Статистика!$I$6="Вкл",Статистика!$H$6&gt;0),(Статистика!$H$6-Статистика!$C$10)/MAX(Статистика!$G$10-Статистика!$C$10,0.000001),NA())</f>
        <v>#N/A</v>
      </c>
      <c r="BP140" s="12" t="e">
        <f>IF(AND(A140&lt;&gt;"",Статистика!$L$6="Вкл",Статистика!$K$6&gt;0),(Статистика!$K$6-Статистика!$C$10)/MAX(Статистика!$G$10-Статистика!$C$10,0.000001),NA())</f>
        <v>#N/A</v>
      </c>
      <c r="BQ140" s="12" t="e">
        <f>IF(AND(A140&lt;&gt;"",Статистика!$M$6="Вкл",Статистика!$O$6&gt;0),(Статистика!$O$6-Статистика!$C$10)/MAX(Статистика!$G$10-Статистика!$C$10,0.000001),NA())</f>
        <v>#N/A</v>
      </c>
      <c r="BR140" s="12">
        <f t="shared" si="4"/>
        <v>1</v>
      </c>
      <c r="BT140" s="12">
        <f>IF(Y140="","",MAX(0,MIN(1,(((IF(Статистика!$C$4="Параллельный режим (активная мощность)",Z140,AK140)+Статистика!$J$4))-Статистика!$C$10)/MAX(Статистика!$G$10-Статистика!$C$10,0.000001))))</f>
        <v>0.5646070397222217</v>
      </c>
      <c r="BU140" s="12">
        <f>IF(Y140="","",MAX(0,MAX(0,MIN(1,(((IF(Статистика!$C$4="Параллельный режим (активная мощность)",AB140,AM140)+Статистика!$J$4))-Статистика!$C$10)/MAX(Статистика!$G$10-Статистика!$C$10,0.000001)))-MAX(0,MIN(1,(((IF(Статистика!$C$4="Параллельный режим (активная мощность)",Z140,AK140)+Статистика!$J$4))-Статистика!$C$10)/MAX(Статистика!$G$10-Статистика!$C$10,0.000001)))))</f>
        <v>2.9406575000006097E-3</v>
      </c>
      <c r="BV140" s="12">
        <f>IF(Y140="","",MAX(0,MAX(0,MIN(1,(((IF(Статистика!$C$4="Параллельный режим (активная мощность)",AC140,AN140)+Статистика!$J$4))-Статистика!$C$10)/MAX(Статистика!$G$10-Статистика!$C$10,0.000001)))-MAX(0,MIN(1,(((IF(Статистика!$C$4="Параллельный режим (активная мощность)",AB140,AM140)+Статистика!$J$4))-Статистика!$C$10)/MAX(Статистика!$G$10-Статистика!$C$10,0.000001)))))</f>
        <v>3.4836911111111091E-2</v>
      </c>
      <c r="BW140" s="12">
        <f>IF(Y140="","",MAX(0,MAX(0,MIN(1,(((IF(Статистика!$C$4="Параллельный режим (активная мощность)",AD140,AO140)+Статистика!$J$4))-Статистика!$C$10)/MAX(Статистика!$G$10-Статистика!$C$10,0.000001)))-MAX(0,MIN(1,(((IF(Статистика!$C$4="Параллельный режим (активная мощность)",AC140,AN140)+Статистика!$J$4))-Статистика!$C$10)/MAX(Статистика!$G$10-Статистика!$C$10,0.000001)))))</f>
        <v>3.7551969444444389E-2</v>
      </c>
      <c r="BX140" s="12">
        <f>IF(Y140="","",MAX(0,MAX(0,MIN(1,(((IF(Статистика!$C$4="Параллельный режим (активная мощность)",AE140,AP140)+Статистика!$J$4))-Статистика!$C$10)/MAX(Статистика!$G$10-Статистика!$C$10,0.000001)))-MAX(0,MIN(1,(((IF(Статистика!$C$4="Параллельный режим (активная мощность)",AD140,AO140)+Статистика!$J$4))-Статистика!$C$10)/MAX(Статистика!$G$10-Статистика!$C$10,0.000001)))))</f>
        <v>5.3456477777777844E-2</v>
      </c>
      <c r="BY140" s="12">
        <f>IF(Y140="","",MAX(0,MAX(0,MIN(1,(((IF(Статистика!$C$4="Параллельный режим (активная мощность)",AF140,AQ140)+Статистика!$J$4))-Статистика!$C$10)/MAX(Статистика!$G$10-Статистика!$C$10,0.000001)))-MAX(0,MIN(1,(((IF(Статистика!$C$4="Параллельный режим (активная мощность)",AE140,AP140)+Статистика!$J$4))-Статистика!$C$10)/MAX(Статистика!$G$10-Статистика!$C$10,0.000001)))))</f>
        <v>0.18305466111111124</v>
      </c>
      <c r="BZ140" s="12">
        <f>IF(Y140="","",MAX(0,MAX(0,MIN(1,(((IF(Статистика!$C$4="Параллельный режим (активная мощность)",AH140,AS140)+Статистика!$J$4))-Статистика!$C$10)/MAX(Статистика!$G$10-Статистика!$C$10,0.000001)))-MAX(0,MIN(1,(((IF(Статистика!$C$4="Параллельный режим (активная мощность)",AF140,AQ140)+Статистика!$J$4))-Статистика!$C$10)/MAX(Статистика!$G$10-Статистика!$C$10,0.000001)))))</f>
        <v>1.4246594999999918E-2</v>
      </c>
      <c r="CA140" s="12">
        <f>IF(Y140="","",MAX(0,1-MAX(0,MIN(1,(((IF(Статистика!$C$4="Параллельный режим (активная мощность)",AH140,AS140)+Статистика!$J$4))-Статистика!$C$10)/MAX(Статистика!$G$10-Статистика!$C$10,0.000001)))))</f>
        <v>0.10930568833333321</v>
      </c>
      <c r="CB140" s="12">
        <f>IF(Y140="",NA(),IF(Статистика!$B$8="Вкл",(((IF(Статистика!$C$4="Параллельный режим (активная мощность)",AD140,AO140)+Статистика!$J$4))-Статистика!$C$10)/MAX(Статистика!$G$10-Статистика!$C$10,0.000001),NA()))</f>
        <v>0.63993657777777779</v>
      </c>
      <c r="CC140" s="12">
        <f>IF(Y140="",NA(),IF(Статистика!$D$8="Вкл",(((IF(Статистика!$C$4="Параллельный режим (активная мощность)",AC140,AN140)+Статистика!$J$4))-Статистика!$C$10)/MAX(Статистика!$G$10-Статистика!$C$10,0.000001),NA()))</f>
        <v>0.6023846083333334</v>
      </c>
      <c r="CD140" s="12">
        <f>IF(Y140="",NA(),IF(Статистика!$D$8="Вкл",(((IF(Статистика!$C$4="Параллельный режим (активная мощность)",AE140,AP140)+Статистика!$J$4))-Статистика!$C$10)/MAX(Статистика!$G$10-Статистика!$C$10,0.000001),NA()))</f>
        <v>0.69339305555555564</v>
      </c>
      <c r="CE140" s="12">
        <f>IF(Y140="",NA(),IF(Статистика!$F$8="Вкл",(((IF(Статистика!$C$4="Параллельный режим (активная мощность)",AB140,AM140)+Статистика!$J$4))-Статистика!$C$10)/MAX(Статистика!$G$10-Статистика!$C$10,0.000001),NA()))</f>
        <v>0.56754769722222231</v>
      </c>
      <c r="CF140" s="12">
        <f>IF(Y140="",NA(),IF(Статистика!$F$8="Вкл",(((IF(Статистика!$C$4="Параллельный режим (активная мощность)",AF140,AQ140)+Статистика!$J$4))-Статистика!$C$10)/MAX(Статистика!$G$10-Статистика!$C$10,0.000001),NA()))</f>
        <v>0.87644771666666688</v>
      </c>
      <c r="CG140" s="12">
        <f>IF(Y140="",NA(),IF(Статистика!$H$8="Вкл",(((IF(Статистика!$C$4="Параллельный режим (активная мощность)",Z140,AK140)+Статистика!$J$4))-Статистика!$C$10)/MAX(Статистика!$G$10-Статистика!$C$10,0.000001),NA()))</f>
        <v>0.5646070397222217</v>
      </c>
      <c r="CH140" s="12">
        <f>IF(Y140="",NA(),IF(Статистика!$H$8="Вкл",(((IF(Статистика!$C$4="Параллельный режим (активная мощность)",AH140,AS140)+Статистика!$J$4))-Статистика!$C$10)/MAX(Статистика!$G$10-Статистика!$C$10,0.000001),NA()))</f>
        <v>0.89069431166666679</v>
      </c>
      <c r="CI140" s="12" t="e">
        <f>IF(Y140="",NA(),IF(Статистика!$J$8="Вкл",(((IF(Статистика!$C$4="Параллельный режим (активная мощность)",AI140,AT140)+Статистика!$J$4))-Статистика!$C$10)/MAX(Статистика!$G$10-Статистика!$C$10,0.000001),NA()))</f>
        <v>#N/A</v>
      </c>
      <c r="CJ140" s="12" t="e">
        <f>IF(AND(Y140&lt;&gt;"",Статистика!$C$6="Вкл",Статистика!$B$6&gt;0),(Статистика!$B$6-Статистика!$C$10)/MAX(Статистика!$G$10-Статистика!$C$10,0.000001),NA())</f>
        <v>#N/A</v>
      </c>
      <c r="CK140" s="12" t="e">
        <f>IF(AND(Y140&lt;&gt;"",Статистика!$F$6="Вкл",Статистика!$E$6&gt;0),(Статистика!$E$6-Статистика!$C$10)/MAX(Статистика!$G$10-Статистика!$C$10,0.000001),NA())</f>
        <v>#N/A</v>
      </c>
      <c r="CL140" s="12" t="e">
        <f>IF(AND(Y140&lt;&gt;"",Статистика!$I$6="Вкл",Статистика!$H$6&gt;0),(Статистика!$H$6-Статистика!$C$10)/MAX(Статистика!$G$10-Статистика!$C$10,0.000001),NA())</f>
        <v>#N/A</v>
      </c>
      <c r="CM140" s="12" t="e">
        <f>IF(AND(Y140&lt;&gt;"",Статистика!$L$6="Вкл",Статистика!$K$6&gt;0),(Статистика!$K$6-Статистика!$C$10)/MAX(Статистика!$G$10-Статистика!$C$10,0.000001),NA())</f>
        <v>#N/A</v>
      </c>
      <c r="CN140" s="12" t="e">
        <f>IF(AND(Y140&lt;&gt;"",Статистика!$M$6="Вкл",Статистика!$O$6&gt;0),(Статистика!$O$6-Статистика!$C$10)/MAX(Статистика!$G$10-Статистика!$C$10,0.000001),NA())</f>
        <v>#N/A</v>
      </c>
      <c r="CO140" s="12">
        <f t="shared" si="5"/>
        <v>1</v>
      </c>
    </row>
    <row r="141" spans="1:93" ht="15" customHeight="1">
      <c r="A141" s="12" t="s">
        <v>619</v>
      </c>
      <c r="B141" s="12">
        <v>3257.0726944999997</v>
      </c>
      <c r="C141" s="12">
        <v>6088.6234725000004</v>
      </c>
      <c r="D141" s="12">
        <v>7477.0775000000003</v>
      </c>
      <c r="E141" s="12">
        <v>7734.5682666666662</v>
      </c>
      <c r="F141" s="12">
        <v>7950.6480333333329</v>
      </c>
      <c r="G141" s="12">
        <v>8112.6863999999996</v>
      </c>
      <c r="H141" s="12">
        <v>8441.7361433333335</v>
      </c>
      <c r="I141" s="12">
        <v>8554.0105516666663</v>
      </c>
      <c r="J141" s="12">
        <v>8721.1642703333328</v>
      </c>
      <c r="K141" s="12">
        <v>8844.81</v>
      </c>
      <c r="L141" s="12" t="s">
        <v>620</v>
      </c>
      <c r="M141" s="12">
        <v>3830.1992808333334</v>
      </c>
      <c r="N141" s="12">
        <v>6901.7993375000015</v>
      </c>
      <c r="O141" s="12">
        <v>8413.9806783333333</v>
      </c>
      <c r="P141" s="12">
        <v>8694.7793999999994</v>
      </c>
      <c r="Q141" s="12">
        <v>8934.5840500000013</v>
      </c>
      <c r="R141" s="12">
        <v>9133.494733333333</v>
      </c>
      <c r="S141" s="12">
        <v>9466.1140683333324</v>
      </c>
      <c r="T141" s="12">
        <v>9593.203461666666</v>
      </c>
      <c r="U141" s="12">
        <v>9770.2429323333345</v>
      </c>
      <c r="V141" s="12">
        <v>9908.83</v>
      </c>
      <c r="W141" s="12" t="s">
        <v>621</v>
      </c>
      <c r="Y141" s="12" t="s">
        <v>619</v>
      </c>
      <c r="Z141" s="12">
        <v>7728.9992086666671</v>
      </c>
      <c r="AA141" s="12">
        <v>7739.8755100000008</v>
      </c>
      <c r="AB141" s="12">
        <v>7753.4708866666679</v>
      </c>
      <c r="AC141" s="12">
        <v>7803.142941666667</v>
      </c>
      <c r="AD141" s="12">
        <v>7910.7457166666663</v>
      </c>
      <c r="AE141" s="12">
        <v>8136.2686000000003</v>
      </c>
      <c r="AF141" s="12">
        <v>8586.8015083333339</v>
      </c>
      <c r="AG141" s="12">
        <v>8594.9800541666682</v>
      </c>
      <c r="AH141" s="12">
        <v>8601.5228908333338</v>
      </c>
      <c r="AI141" s="12">
        <v>8722.34</v>
      </c>
      <c r="AJ141" s="12" t="s">
        <v>622</v>
      </c>
      <c r="AK141" s="12">
        <v>8644.2763259999992</v>
      </c>
      <c r="AL141" s="12">
        <v>8663.5248299999985</v>
      </c>
      <c r="AM141" s="12">
        <v>8687.5854599999984</v>
      </c>
      <c r="AN141" s="12">
        <v>8792.4395166666673</v>
      </c>
      <c r="AO141" s="12">
        <v>8920.6981666666688</v>
      </c>
      <c r="AP141" s="12">
        <v>9172.79925</v>
      </c>
      <c r="AQ141" s="12">
        <v>9536.852738333333</v>
      </c>
      <c r="AR141" s="12">
        <v>9571.1196358333327</v>
      </c>
      <c r="AS141" s="12">
        <v>9598.5331538333321</v>
      </c>
      <c r="AT141" s="12">
        <v>9725.32</v>
      </c>
      <c r="AU141" s="12" t="s">
        <v>623</v>
      </c>
      <c r="AW141" s="12">
        <f>IF(A141="","",MAX(0,MIN(1,(((IF(Статистика!$C$4="Параллельный режим (активная мощность)",B141,M141)+Статистика!$J$4))-Статистика!$C$10)/MAX(Статистика!$G$10-Статистика!$C$10,0.000001))))</f>
        <v>0</v>
      </c>
      <c r="AX141" s="12">
        <f>IF(A141="","",MAX(0,MAX(0,MIN(1,(((IF(Статистика!$C$4="Параллельный режим (активная мощность)",D141,O141)+Статистика!$J$4))-Статистика!$C$10)/MAX(Статистика!$G$10-Статистика!$C$10,0.000001)))-MAX(0,MIN(1,(((IF(Статистика!$C$4="Параллельный режим (активная мощность)",B141,M141)+Статистика!$J$4))-Статистика!$C$10)/MAX(Статистика!$G$10-Статистика!$C$10,0.000001)))))</f>
        <v>0.49235916666666679</v>
      </c>
      <c r="AY141" s="12">
        <f>IF(A141="","",MAX(0,MAX(0,MIN(1,(((IF(Статистика!$C$4="Параллельный режим (активная мощность)",E141,P141)+Статистика!$J$4))-Статистика!$C$10)/MAX(Статистика!$G$10-Статистика!$C$10,0.000001)))-MAX(0,MIN(1,(((IF(Статистика!$C$4="Параллельный режим (активная мощность)",D141,O141)+Статистика!$J$4))-Статистика!$C$10)/MAX(Статистика!$G$10-Статистика!$C$10,0.000001)))))</f>
        <v>8.5830255555555235E-2</v>
      </c>
      <c r="AZ141" s="12">
        <f>IF(A141="","",MAX(0,MAX(0,MIN(1,(((IF(Статистика!$C$4="Параллельный режим (активная мощность)",F141,Q141)+Статистика!$J$4))-Статистика!$C$10)/MAX(Статистика!$G$10-Статистика!$C$10,0.000001)))-MAX(0,MIN(1,(((IF(Статистика!$C$4="Параллельный режим (активная мощность)",E141,P141)+Статистика!$J$4))-Статистика!$C$10)/MAX(Статистика!$G$10-Статистика!$C$10,0.000001)))))</f>
        <v>7.2026588888888909E-2</v>
      </c>
      <c r="BA141" s="12">
        <f>IF(A141="","",MAX(0,MAX(0,MIN(1,(((IF(Статистика!$C$4="Параллельный режим (активная мощность)",G141,R141)+Статистика!$J$4))-Статистика!$C$10)/MAX(Статистика!$G$10-Статистика!$C$10,0.000001)))-MAX(0,MIN(1,(((IF(Статистика!$C$4="Параллельный режим (активная мощность)",F141,Q141)+Статистика!$J$4))-Статистика!$C$10)/MAX(Статистика!$G$10-Статистика!$C$10,0.000001)))))</f>
        <v>5.4012788888888941E-2</v>
      </c>
      <c r="BB141" s="12">
        <f>IF(A141="","",MAX(0,MAX(0,MIN(1,(((IF(Статистика!$C$4="Параллельный режим (активная мощность)",H141,S141)+Статистика!$J$4))-Статистика!$C$10)/MAX(Статистика!$G$10-Статистика!$C$10,0.000001)))-MAX(0,MIN(1,(((IF(Статистика!$C$4="Параллельный режим (активная мощность)",G141,R141)+Статистика!$J$4))-Статистика!$C$10)/MAX(Статистика!$G$10-Статистика!$C$10,0.000001)))))</f>
        <v>0.10968324777777794</v>
      </c>
      <c r="BC141" s="12">
        <f>IF(A141="","",MAX(0,MAX(0,MIN(1,(((IF(Статистика!$C$4="Параллельный режим (активная мощность)",J141,U141)+Статистика!$J$4))-Статистика!$C$10)/MAX(Статистика!$G$10-Статистика!$C$10,0.000001)))-MAX(0,MIN(1,(((IF(Статистика!$C$4="Параллельный режим (активная мощность)",H141,S141)+Статистика!$J$4))-Статистика!$C$10)/MAX(Статистика!$G$10-Статистика!$C$10,0.000001)))))</f>
        <v>9.3142708999999768E-2</v>
      </c>
      <c r="BD141" s="12">
        <f>IF(A141="","",MAX(0,1-MAX(0,MIN(1,(((IF(Статистика!$C$4="Параллельный режим (активная мощность)",J141,U141)+Статистика!$J$4))-Статистика!$C$10)/MAX(Статистика!$G$10-Статистика!$C$10,0.000001)))))</f>
        <v>9.2945243222222418E-2</v>
      </c>
      <c r="BE141" s="12">
        <f>IF(A141="",NA(),IF(Статистика!$B$8="Вкл",(((IF(Статистика!$C$4="Параллельный режим (активная мощность)",F141,Q141)+Статистика!$J$4))-Статистика!$C$10)/MAX(Статистика!$G$10-Статистика!$C$10,0.000001),NA()))</f>
        <v>0.65021601111111094</v>
      </c>
      <c r="BF141" s="12">
        <f>IF(A141="",NA(),IF(Статистика!$D$8="Вкл",(((IF(Статистика!$C$4="Параллельный режим (активная мощность)",E141,P141)+Статистика!$J$4))-Статистика!$C$10)/MAX(Статистика!$G$10-Статистика!$C$10,0.000001),NA()))</f>
        <v>0.57818942222222203</v>
      </c>
      <c r="BG141" s="12">
        <f>IF(A141="",NA(),IF(Статистика!$D$8="Вкл",(((IF(Статистика!$C$4="Параллельный режим (активная мощность)",G141,R141)+Статистика!$J$4))-Статистика!$C$10)/MAX(Статистика!$G$10-Статистика!$C$10,0.000001),NA()))</f>
        <v>0.70422879999999988</v>
      </c>
      <c r="BH141" s="12">
        <f>IF(A141="",NA(),IF(Статистика!$F$8="Вкл",(((IF(Статистика!$C$4="Параллельный режим (активная мощность)",D141,O141)+Статистика!$J$4))-Статистика!$C$10)/MAX(Статистика!$G$10-Статистика!$C$10,0.000001),NA()))</f>
        <v>0.49235916666666679</v>
      </c>
      <c r="BI141" s="12">
        <f>IF(A141="",NA(),IF(Статистика!$F$8="Вкл",(((IF(Статистика!$C$4="Параллельный режим (активная мощность)",H141,S141)+Статистика!$J$4))-Статистика!$C$10)/MAX(Статистика!$G$10-Статистика!$C$10,0.000001),NA()))</f>
        <v>0.81391204777777781</v>
      </c>
      <c r="BJ141" s="12">
        <f>IF(A141="",NA(),IF(Статистика!$H$8="Вкл",(((IF(Статистика!$C$4="Параллельный режим (активная мощность)",B141,M141)+Статистика!$J$4))-Статистика!$C$10)/MAX(Статистика!$G$10-Статистика!$C$10,0.000001),NA()))</f>
        <v>-0.91430910183333347</v>
      </c>
      <c r="BK141" s="12">
        <f>IF(A141="",NA(),IF(Статистика!$H$8="Вкл",(((IF(Статистика!$C$4="Параллельный режим (активная мощность)",J141,U141)+Статистика!$J$4))-Статистика!$C$10)/MAX(Статистика!$G$10-Статистика!$C$10,0.000001),NA()))</f>
        <v>0.90705475677777758</v>
      </c>
      <c r="BL141" s="12" t="e">
        <f>IF(A141="",NA(),IF(Статистика!$J$8="Вкл",(((IF(Статистика!$C$4="Параллельный режим (активная мощность)",K141,V141)+Статистика!$J$4))-Статистика!$C$10)/MAX(Статистика!$G$10-Статистика!$C$10,0.000001),NA()))</f>
        <v>#N/A</v>
      </c>
      <c r="BM141" s="12" t="e">
        <f>IF(AND(A141&lt;&gt;"",Статистика!$C$6="Вкл",Статистика!$B$6&gt;0),(Статистика!$B$6-Статистика!$C$10)/MAX(Статистика!$G$10-Статистика!$C$10,0.000001),NA())</f>
        <v>#N/A</v>
      </c>
      <c r="BN141" s="12" t="e">
        <f>IF(AND(A141&lt;&gt;"",Статистика!$F$6="Вкл",Статистика!$E$6&gt;0),(Статистика!$E$6-Статистика!$C$10)/MAX(Статистика!$G$10-Статистика!$C$10,0.000001),NA())</f>
        <v>#N/A</v>
      </c>
      <c r="BO141" s="12" t="e">
        <f>IF(AND(A141&lt;&gt;"",Статистика!$I$6="Вкл",Статистика!$H$6&gt;0),(Статистика!$H$6-Статистика!$C$10)/MAX(Статистика!$G$10-Статистика!$C$10,0.000001),NA())</f>
        <v>#N/A</v>
      </c>
      <c r="BP141" s="12" t="e">
        <f>IF(AND(A141&lt;&gt;"",Статистика!$L$6="Вкл",Статистика!$K$6&gt;0),(Статистика!$K$6-Статистика!$C$10)/MAX(Статистика!$G$10-Статистика!$C$10,0.000001),NA())</f>
        <v>#N/A</v>
      </c>
      <c r="BQ141" s="12" t="e">
        <f>IF(AND(A141&lt;&gt;"",Статистика!$M$6="Вкл",Статистика!$O$6&gt;0),(Статистика!$O$6-Статистика!$C$10)/MAX(Статистика!$G$10-Статистика!$C$10,0.000001),NA())</f>
        <v>#N/A</v>
      </c>
      <c r="BR141" s="12">
        <f t="shared" si="4"/>
        <v>1</v>
      </c>
      <c r="BT141" s="12">
        <f>IF(Y141="","",MAX(0,MIN(1,(((IF(Статистика!$C$4="Параллельный режим (активная мощность)",Z141,AK141)+Статистика!$J$4))-Статистика!$C$10)/MAX(Статистика!$G$10-Статистика!$C$10,0.000001))))</f>
        <v>0.57633306955555574</v>
      </c>
      <c r="BU141" s="12">
        <f>IF(Y141="","",MAX(0,MAX(0,MIN(1,(((IF(Статистика!$C$4="Параллельный режим (активная мощность)",AB141,AM141)+Статистика!$J$4))-Статистика!$C$10)/MAX(Статистика!$G$10-Статистика!$C$10,0.000001)))-MAX(0,MIN(1,(((IF(Статистика!$C$4="Параллельный режим (активная мощность)",Z141,AK141)+Статистика!$J$4))-Статистика!$C$10)/MAX(Статистика!$G$10-Статистика!$C$10,0.000001)))))</f>
        <v>8.1572260000002395E-3</v>
      </c>
      <c r="BV141" s="12">
        <f>IF(Y141="","",MAX(0,MAX(0,MIN(1,(((IF(Статистика!$C$4="Параллельный режим (активная мощность)",AC141,AN141)+Статистика!$J$4))-Статистика!$C$10)/MAX(Статистика!$G$10-Статистика!$C$10,0.000001)))-MAX(0,MIN(1,(((IF(Статистика!$C$4="Параллельный режим (активная мощность)",AB141,AM141)+Статистика!$J$4))-Статистика!$C$10)/MAX(Статистика!$G$10-Статистика!$C$10,0.000001)))))</f>
        <v>1.6557351666666387E-2</v>
      </c>
      <c r="BW141" s="12">
        <f>IF(Y141="","",MAX(0,MAX(0,MIN(1,(((IF(Статистика!$C$4="Параллельный режим (активная мощность)",AD141,AO141)+Статистика!$J$4))-Статистика!$C$10)/MAX(Статистика!$G$10-Статистика!$C$10,0.000001)))-MAX(0,MIN(1,(((IF(Статистика!$C$4="Параллельный режим (активная мощность)",AC141,AN141)+Статистика!$J$4))-Статистика!$C$10)/MAX(Статистика!$G$10-Статистика!$C$10,0.000001)))))</f>
        <v>3.5867591666666421E-2</v>
      </c>
      <c r="BX141" s="12">
        <f>IF(Y141="","",MAX(0,MAX(0,MIN(1,(((IF(Статистика!$C$4="Параллельный режим (активная мощность)",AE141,AP141)+Статистика!$J$4))-Статистика!$C$10)/MAX(Статистика!$G$10-Статистика!$C$10,0.000001)))-MAX(0,MIN(1,(((IF(Статистика!$C$4="Параллельный режим (активная мощность)",AD141,AO141)+Статистика!$J$4))-Статистика!$C$10)/MAX(Статистика!$G$10-Статистика!$C$10,0.000001)))))</f>
        <v>7.5174294444444678E-2</v>
      </c>
      <c r="BY141" s="12">
        <f>IF(Y141="","",MAX(0,MAX(0,MIN(1,(((IF(Статистика!$C$4="Параллельный режим (активная мощность)",AF141,AQ141)+Статистика!$J$4))-Статистика!$C$10)/MAX(Статистика!$G$10-Статистика!$C$10,0.000001)))-MAX(0,MIN(1,(((IF(Статистика!$C$4="Параллельный режим (активная мощность)",AE141,AP141)+Статистика!$J$4))-Статистика!$C$10)/MAX(Статистика!$G$10-Статистика!$C$10,0.000001)))))</f>
        <v>0.15017763611111112</v>
      </c>
      <c r="BZ141" s="12">
        <f>IF(Y141="","",MAX(0,MAX(0,MIN(1,(((IF(Статистика!$C$4="Параллельный режим (активная мощность)",AH141,AS141)+Статистика!$J$4))-Статистика!$C$10)/MAX(Статистика!$G$10-Статистика!$C$10,0.000001)))-MAX(0,MIN(1,(((IF(Статистика!$C$4="Параллельный режим (активная мощность)",AF141,AQ141)+Статистика!$J$4))-Статистика!$C$10)/MAX(Статистика!$G$10-Статистика!$C$10,0.000001)))))</f>
        <v>4.907127499999997E-3</v>
      </c>
      <c r="CA141" s="12">
        <f>IF(Y141="","",MAX(0,1-MAX(0,MIN(1,(((IF(Статистика!$C$4="Параллельный режим (активная мощность)",AH141,AS141)+Статистика!$J$4))-Статистика!$C$10)/MAX(Статистика!$G$10-Статистика!$C$10,0.000001)))))</f>
        <v>0.13282570305555541</v>
      </c>
      <c r="CB141" s="12">
        <f>IF(Y141="",NA(),IF(Статистика!$B$8="Вкл",(((IF(Статистика!$C$4="Параллельный режим (активная мощность)",AD141,AO141)+Статистика!$J$4))-Статистика!$C$10)/MAX(Статистика!$G$10-Статистика!$C$10,0.000001),NA()))</f>
        <v>0.63691523888888879</v>
      </c>
      <c r="CC141" s="12">
        <f>IF(Y141="",NA(),IF(Статистика!$D$8="Вкл",(((IF(Статистика!$C$4="Параллельный режим (активная мощность)",AC141,AN141)+Статистика!$J$4))-Статистика!$C$10)/MAX(Статистика!$G$10-Статистика!$C$10,0.000001),NA()))</f>
        <v>0.60104764722222237</v>
      </c>
      <c r="CD141" s="12">
        <f>IF(Y141="",NA(),IF(Статистика!$D$8="Вкл",(((IF(Статистика!$C$4="Параллельный режим (активная мощность)",AE141,AP141)+Статистика!$J$4))-Статистика!$C$10)/MAX(Статистика!$G$10-Статистика!$C$10,0.000001),NA()))</f>
        <v>0.71208953333333347</v>
      </c>
      <c r="CE141" s="12">
        <f>IF(Y141="",NA(),IF(Статистика!$F$8="Вкл",(((IF(Статистика!$C$4="Параллельный режим (активная мощность)",AB141,AM141)+Статистика!$J$4))-Статистика!$C$10)/MAX(Статистика!$G$10-Статистика!$C$10,0.000001),NA()))</f>
        <v>0.58449029555555598</v>
      </c>
      <c r="CF141" s="12">
        <f>IF(Y141="",NA(),IF(Статистика!$F$8="Вкл",(((IF(Статистика!$C$4="Параллельный режим (активная мощность)",AF141,AQ141)+Статистика!$J$4))-Статистика!$C$10)/MAX(Статистика!$G$10-Статистика!$C$10,0.000001),NA()))</f>
        <v>0.86226716944444459</v>
      </c>
      <c r="CG141" s="12">
        <f>IF(Y141="",NA(),IF(Статистика!$H$8="Вкл",(((IF(Статистика!$C$4="Параллельный режим (активная мощность)",Z141,AK141)+Статистика!$J$4))-Статистика!$C$10)/MAX(Статистика!$G$10-Статистика!$C$10,0.000001),NA()))</f>
        <v>0.57633306955555574</v>
      </c>
      <c r="CH141" s="12">
        <f>IF(Y141="",NA(),IF(Статистика!$H$8="Вкл",(((IF(Статистика!$C$4="Параллельный режим (активная мощность)",AH141,AS141)+Статистика!$J$4))-Статистика!$C$10)/MAX(Статистика!$G$10-Статистика!$C$10,0.000001),NA()))</f>
        <v>0.86717429694444459</v>
      </c>
      <c r="CI141" s="12" t="e">
        <f>IF(Y141="",NA(),IF(Статистика!$J$8="Вкл",(((IF(Статистика!$C$4="Параллельный режим (активная мощность)",AI141,AT141)+Статистика!$J$4))-Статистика!$C$10)/MAX(Статистика!$G$10-Статистика!$C$10,0.000001),NA()))</f>
        <v>#N/A</v>
      </c>
      <c r="CJ141" s="12" t="e">
        <f>IF(AND(Y141&lt;&gt;"",Статистика!$C$6="Вкл",Статистика!$B$6&gt;0),(Статистика!$B$6-Статистика!$C$10)/MAX(Статистика!$G$10-Статистика!$C$10,0.000001),NA())</f>
        <v>#N/A</v>
      </c>
      <c r="CK141" s="12" t="e">
        <f>IF(AND(Y141&lt;&gt;"",Статистика!$F$6="Вкл",Статистика!$E$6&gt;0),(Статистика!$E$6-Статистика!$C$10)/MAX(Статистика!$G$10-Статистика!$C$10,0.000001),NA())</f>
        <v>#N/A</v>
      </c>
      <c r="CL141" s="12" t="e">
        <f>IF(AND(Y141&lt;&gt;"",Статистика!$I$6="Вкл",Статистика!$H$6&gt;0),(Статистика!$H$6-Статистика!$C$10)/MAX(Статистика!$G$10-Статистика!$C$10,0.000001),NA())</f>
        <v>#N/A</v>
      </c>
      <c r="CM141" s="12" t="e">
        <f>IF(AND(Y141&lt;&gt;"",Статистика!$L$6="Вкл",Статистика!$K$6&gt;0),(Статистика!$K$6-Статистика!$C$10)/MAX(Статистика!$G$10-Статистика!$C$10,0.000001),NA())</f>
        <v>#N/A</v>
      </c>
      <c r="CN141" s="12" t="e">
        <f>IF(AND(Y141&lt;&gt;"",Статистика!$M$6="Вкл",Статистика!$O$6&gt;0),(Статистика!$O$6-Статистика!$C$10)/MAX(Статистика!$G$10-Статистика!$C$10,0.000001),NA())</f>
        <v>#N/A</v>
      </c>
      <c r="CO141" s="12">
        <f t="shared" si="5"/>
        <v>1</v>
      </c>
    </row>
    <row r="142" spans="1:93" ht="15" customHeight="1">
      <c r="A142" s="12" t="s">
        <v>624</v>
      </c>
      <c r="B142" s="12">
        <v>3267.4818198333337</v>
      </c>
      <c r="C142" s="12">
        <v>6094.4870991666676</v>
      </c>
      <c r="D142" s="12">
        <v>7473.0016833333348</v>
      </c>
      <c r="E142" s="12">
        <v>7755.5648333333329</v>
      </c>
      <c r="F142" s="12">
        <v>7934.3011000000006</v>
      </c>
      <c r="G142" s="12">
        <v>8130.6977916666674</v>
      </c>
      <c r="H142" s="12">
        <v>8415.5992850000002</v>
      </c>
      <c r="I142" s="12">
        <v>8523.9636641666675</v>
      </c>
      <c r="J142" s="12">
        <v>8694.8781995000008</v>
      </c>
      <c r="K142" s="12">
        <v>8874.65</v>
      </c>
      <c r="L142" s="12" t="s">
        <v>625</v>
      </c>
      <c r="M142" s="12">
        <v>3890.1973746666667</v>
      </c>
      <c r="N142" s="12">
        <v>6909.9231400000008</v>
      </c>
      <c r="O142" s="12">
        <v>8388.5016366666659</v>
      </c>
      <c r="P142" s="12">
        <v>8740.0544916666677</v>
      </c>
      <c r="Q142" s="12">
        <v>8929.7772000000004</v>
      </c>
      <c r="R142" s="12">
        <v>9147.0090916666668</v>
      </c>
      <c r="S142" s="12">
        <v>9439.2079866666663</v>
      </c>
      <c r="T142" s="12">
        <v>9561.6109783333341</v>
      </c>
      <c r="U142" s="12">
        <v>9733.4934756666662</v>
      </c>
      <c r="V142" s="12">
        <v>9908.48</v>
      </c>
      <c r="W142" s="12" t="s">
        <v>625</v>
      </c>
      <c r="Y142" s="12" t="s">
        <v>624</v>
      </c>
      <c r="Z142" s="12">
        <v>7625.6849588333343</v>
      </c>
      <c r="AA142" s="12">
        <v>7658.8838608333344</v>
      </c>
      <c r="AB142" s="12">
        <v>7700.3824883333336</v>
      </c>
      <c r="AC142" s="12">
        <v>7834.0168333333331</v>
      </c>
      <c r="AD142" s="12">
        <v>7907.5734166666671</v>
      </c>
      <c r="AE142" s="12">
        <v>8188.5573249999998</v>
      </c>
      <c r="AF142" s="12">
        <v>8525.8523499999992</v>
      </c>
      <c r="AG142" s="12">
        <v>8558.8405249999996</v>
      </c>
      <c r="AH142" s="12">
        <v>8585.2310649999999</v>
      </c>
      <c r="AI142" s="12">
        <v>8776.64</v>
      </c>
      <c r="AJ142" s="12" t="s">
        <v>626</v>
      </c>
      <c r="AK142" s="12">
        <v>8622.0880651666666</v>
      </c>
      <c r="AL142" s="12">
        <v>8640.6515258333329</v>
      </c>
      <c r="AM142" s="12">
        <v>8663.8558516666671</v>
      </c>
      <c r="AN142" s="12">
        <v>8795.6642499999998</v>
      </c>
      <c r="AO142" s="12">
        <v>8954.9638833333338</v>
      </c>
      <c r="AP142" s="12">
        <v>9249.506241666666</v>
      </c>
      <c r="AQ142" s="12">
        <v>9494.6648066666658</v>
      </c>
      <c r="AR142" s="12">
        <v>9544.6617866666675</v>
      </c>
      <c r="AS142" s="12">
        <v>9584.6593706666681</v>
      </c>
      <c r="AT142" s="12">
        <v>9787.0499999999993</v>
      </c>
      <c r="AU142" s="12" t="s">
        <v>626</v>
      </c>
      <c r="AW142" s="12">
        <f>IF(A142="","",MAX(0,MIN(1,(((IF(Статистика!$C$4="Параллельный режим (активная мощность)",B142,M142)+Статистика!$J$4))-Статистика!$C$10)/MAX(Статистика!$G$10-Статистика!$C$10,0.000001))))</f>
        <v>0</v>
      </c>
      <c r="AX142" s="12">
        <f>IF(A142="","",MAX(0,MAX(0,MIN(1,(((IF(Статистика!$C$4="Параллельный режим (активная мощность)",D142,O142)+Статистика!$J$4))-Статистика!$C$10)/MAX(Статистика!$G$10-Статистика!$C$10,0.000001)))-MAX(0,MIN(1,(((IF(Статистика!$C$4="Параллельный режим (активная мощность)",B142,M142)+Статистика!$J$4))-Статистика!$C$10)/MAX(Статистика!$G$10-Статистика!$C$10,0.000001)))))</f>
        <v>0.49100056111111157</v>
      </c>
      <c r="AY142" s="12">
        <f>IF(A142="","",MAX(0,MAX(0,MIN(1,(((IF(Статистика!$C$4="Параллельный режим (активная мощность)",E142,P142)+Статистика!$J$4))-Статистика!$C$10)/MAX(Статистика!$G$10-Статистика!$C$10,0.000001)))-MAX(0,MIN(1,(((IF(Статистика!$C$4="Параллельный режим (активная мощность)",D142,O142)+Статистика!$J$4))-Статистика!$C$10)/MAX(Статистика!$G$10-Статистика!$C$10,0.000001)))))</f>
        <v>9.4187716666666033E-2</v>
      </c>
      <c r="AZ142" s="12">
        <f>IF(A142="","",MAX(0,MAX(0,MIN(1,(((IF(Статистика!$C$4="Параллельный режим (активная мощность)",F142,Q142)+Статистика!$J$4))-Статистика!$C$10)/MAX(Статистика!$G$10-Статистика!$C$10,0.000001)))-MAX(0,MIN(1,(((IF(Статистика!$C$4="Параллельный режим (активная мощность)",E142,P142)+Статистика!$J$4))-Статистика!$C$10)/MAX(Статистика!$G$10-Статистика!$C$10,0.000001)))))</f>
        <v>5.9578755555555918E-2</v>
      </c>
      <c r="BA142" s="12">
        <f>IF(A142="","",MAX(0,MAX(0,MIN(1,(((IF(Статистика!$C$4="Параллельный режим (активная мощность)",G142,R142)+Статистика!$J$4))-Статистика!$C$10)/MAX(Статистика!$G$10-Статистика!$C$10,0.000001)))-MAX(0,MIN(1,(((IF(Статистика!$C$4="Параллельный режим (активная мощность)",F142,Q142)+Статистика!$J$4))-Статистика!$C$10)/MAX(Статистика!$G$10-Статистика!$C$10,0.000001)))))</f>
        <v>6.5465563888888911E-2</v>
      </c>
      <c r="BB142" s="12">
        <f>IF(A142="","",MAX(0,MAX(0,MIN(1,(((IF(Статистика!$C$4="Параллельный режим (активная мощность)",H142,S142)+Статистика!$J$4))-Статистика!$C$10)/MAX(Статистика!$G$10-Статистика!$C$10,0.000001)))-MAX(0,MIN(1,(((IF(Статистика!$C$4="Параллельный режим (активная мощность)",G142,R142)+Статистика!$J$4))-Статистика!$C$10)/MAX(Статистика!$G$10-Статистика!$C$10,0.000001)))))</f>
        <v>9.4967164444444307E-2</v>
      </c>
      <c r="BC142" s="12">
        <f>IF(A142="","",MAX(0,MAX(0,MIN(1,(((IF(Статистика!$C$4="Параллельный режим (активная мощность)",J142,U142)+Статистика!$J$4))-Статистика!$C$10)/MAX(Статистика!$G$10-Статистика!$C$10,0.000001)))-MAX(0,MIN(1,(((IF(Статистика!$C$4="Параллельный режим (активная мощность)",H142,S142)+Статистика!$J$4))-Статистика!$C$10)/MAX(Статистика!$G$10-Статистика!$C$10,0.000001)))))</f>
        <v>9.3092971500000177E-2</v>
      </c>
      <c r="BD142" s="12">
        <f>IF(A142="","",MAX(0,1-MAX(0,MIN(1,(((IF(Статистика!$C$4="Параллельный режим (активная мощность)",J142,U142)+Статистика!$J$4))-Статистика!$C$10)/MAX(Статистика!$G$10-Статистика!$C$10,0.000001)))))</f>
        <v>0.10170726683333309</v>
      </c>
      <c r="BE142" s="12">
        <f>IF(A142="",NA(),IF(Статистика!$B$8="Вкл",(((IF(Статистика!$C$4="Параллельный режим (активная мощность)",F142,Q142)+Статистика!$J$4))-Статистика!$C$10)/MAX(Статистика!$G$10-Статистика!$C$10,0.000001),NA()))</f>
        <v>0.64476703333333352</v>
      </c>
      <c r="BF142" s="12">
        <f>IF(A142="",NA(),IF(Статистика!$D$8="Вкл",(((IF(Статистика!$C$4="Параллельный режим (активная мощность)",E142,P142)+Статистика!$J$4))-Статистика!$C$10)/MAX(Статистика!$G$10-Статистика!$C$10,0.000001),NA()))</f>
        <v>0.5851882777777776</v>
      </c>
      <c r="BG142" s="12">
        <f>IF(A142="",NA(),IF(Статистика!$D$8="Вкл",(((IF(Статистика!$C$4="Параллельный режим (активная мощность)",G142,R142)+Статистика!$J$4))-Статистика!$C$10)/MAX(Статистика!$G$10-Статистика!$C$10,0.000001),NA()))</f>
        <v>0.71023259722222243</v>
      </c>
      <c r="BH142" s="12">
        <f>IF(A142="",NA(),IF(Статистика!$F$8="Вкл",(((IF(Статистика!$C$4="Параллельный режим (активная мощность)",D142,O142)+Статистика!$J$4))-Статистика!$C$10)/MAX(Статистика!$G$10-Статистика!$C$10,0.000001),NA()))</f>
        <v>0.49100056111111157</v>
      </c>
      <c r="BI142" s="12">
        <f>IF(A142="",NA(),IF(Статистика!$F$8="Вкл",(((IF(Статистика!$C$4="Параллельный режим (активная мощность)",H142,S142)+Статистика!$J$4))-Статистика!$C$10)/MAX(Статистика!$G$10-Статистика!$C$10,0.000001),NA()))</f>
        <v>0.80519976166666674</v>
      </c>
      <c r="BJ142" s="12">
        <f>IF(A142="",NA(),IF(Статистика!$H$8="Вкл",(((IF(Статистика!$C$4="Параллельный режим (активная мощность)",B142,M142)+Статистика!$J$4))-Статистика!$C$10)/MAX(Статистика!$G$10-Статистика!$C$10,0.000001),NA()))</f>
        <v>-0.91083939338888875</v>
      </c>
      <c r="BK142" s="12">
        <f>IF(A142="",NA(),IF(Статистика!$H$8="Вкл",(((IF(Статистика!$C$4="Параллельный режим (активная мощность)",J142,U142)+Статистика!$J$4))-Статистика!$C$10)/MAX(Статистика!$G$10-Статистика!$C$10,0.000001),NA()))</f>
        <v>0.89829273316666691</v>
      </c>
      <c r="BL142" s="12" t="e">
        <f>IF(A142="",NA(),IF(Статистика!$J$8="Вкл",(((IF(Статистика!$C$4="Параллельный режим (активная мощность)",K142,V142)+Статистика!$J$4))-Статистика!$C$10)/MAX(Статистика!$G$10-Статистика!$C$10,0.000001),NA()))</f>
        <v>#N/A</v>
      </c>
      <c r="BM142" s="12" t="e">
        <f>IF(AND(A142&lt;&gt;"",Статистика!$C$6="Вкл",Статистика!$B$6&gt;0),(Статистика!$B$6-Статистика!$C$10)/MAX(Статистика!$G$10-Статистика!$C$10,0.000001),NA())</f>
        <v>#N/A</v>
      </c>
      <c r="BN142" s="12" t="e">
        <f>IF(AND(A142&lt;&gt;"",Статистика!$F$6="Вкл",Статистика!$E$6&gt;0),(Статистика!$E$6-Статистика!$C$10)/MAX(Статистика!$G$10-Статистика!$C$10,0.000001),NA())</f>
        <v>#N/A</v>
      </c>
      <c r="BO142" s="12" t="e">
        <f>IF(AND(A142&lt;&gt;"",Статистика!$I$6="Вкл",Статистика!$H$6&gt;0),(Статистика!$H$6-Статистика!$C$10)/MAX(Статистика!$G$10-Статистика!$C$10,0.000001),NA())</f>
        <v>#N/A</v>
      </c>
      <c r="BP142" s="12" t="e">
        <f>IF(AND(A142&lt;&gt;"",Статистика!$L$6="Вкл",Статистика!$K$6&gt;0),(Статистика!$K$6-Статистика!$C$10)/MAX(Статистика!$G$10-Статистика!$C$10,0.000001),NA())</f>
        <v>#N/A</v>
      </c>
      <c r="BQ142" s="12" t="e">
        <f>IF(AND(A142&lt;&gt;"",Статистика!$M$6="Вкл",Статистика!$O$6&gt;0),(Статистика!$O$6-Статистика!$C$10)/MAX(Статистика!$G$10-Статистика!$C$10,0.000001),NA())</f>
        <v>#N/A</v>
      </c>
      <c r="BR142" s="12">
        <f t="shared" si="4"/>
        <v>1</v>
      </c>
      <c r="BT142" s="12">
        <f>IF(Y142="","",MAX(0,MIN(1,(((IF(Статистика!$C$4="Параллельный режим (активная мощность)",Z142,AK142)+Статистика!$J$4))-Статистика!$C$10)/MAX(Статистика!$G$10-Статистика!$C$10,0.000001))))</f>
        <v>0.5418949862777781</v>
      </c>
      <c r="BU142" s="12">
        <f>IF(Y142="","",MAX(0,MAX(0,MIN(1,(((IF(Статистика!$C$4="Параллельный режим (активная мощность)",AB142,AM142)+Статистика!$J$4))-Статистика!$C$10)/MAX(Статистика!$G$10-Статистика!$C$10,0.000001)))-MAX(0,MIN(1,(((IF(Статистика!$C$4="Параллельный режим (активная мощность)",Z142,AK142)+Статистика!$J$4))-Статистика!$C$10)/MAX(Статистика!$G$10-Статистика!$C$10,0.000001)))))</f>
        <v>2.4899176499999731E-2</v>
      </c>
      <c r="BV142" s="12">
        <f>IF(Y142="","",MAX(0,MAX(0,MIN(1,(((IF(Статистика!$C$4="Параллельный режим (активная мощность)",AC142,AN142)+Статистика!$J$4))-Статистика!$C$10)/MAX(Статистика!$G$10-Статистика!$C$10,0.000001)))-MAX(0,MIN(1,(((IF(Статистика!$C$4="Параллельный режим (активная мощность)",AB142,AM142)+Статистика!$J$4))-Статистика!$C$10)/MAX(Статистика!$G$10-Статистика!$C$10,0.000001)))))</f>
        <v>4.4544781666666533E-2</v>
      </c>
      <c r="BW142" s="12">
        <f>IF(Y142="","",MAX(0,MAX(0,MIN(1,(((IF(Статистика!$C$4="Параллельный режим (активная мощность)",AD142,AO142)+Статистика!$J$4))-Статистика!$C$10)/MAX(Статистика!$G$10-Статистика!$C$10,0.000001)))-MAX(0,MIN(1,(((IF(Статистика!$C$4="Параллельный режим (активная мощность)",AC142,AN142)+Статистика!$J$4))-Статистика!$C$10)/MAX(Статистика!$G$10-Статистика!$C$10,0.000001)))))</f>
        <v>2.4518861111111345E-2</v>
      </c>
      <c r="BX142" s="12">
        <f>IF(Y142="","",MAX(0,MAX(0,MIN(1,(((IF(Статистика!$C$4="Параллельный режим (активная мощность)",AE142,AP142)+Статистика!$J$4))-Статистика!$C$10)/MAX(Статистика!$G$10-Статистика!$C$10,0.000001)))-MAX(0,MIN(1,(((IF(Статистика!$C$4="Параллельный режим (активная мощность)",AD142,AO142)+Статистика!$J$4))-Статистика!$C$10)/MAX(Статистика!$G$10-Статистика!$C$10,0.000001)))))</f>
        <v>9.3661302777777511E-2</v>
      </c>
      <c r="BY142" s="12">
        <f>IF(Y142="","",MAX(0,MAX(0,MIN(1,(((IF(Статистика!$C$4="Параллельный режим (активная мощность)",AF142,AQ142)+Статистика!$J$4))-Статистика!$C$10)/MAX(Статистика!$G$10-Статистика!$C$10,0.000001)))-MAX(0,MIN(1,(((IF(Статистика!$C$4="Параллельный режим (активная мощность)",AE142,AP142)+Статистика!$J$4))-Статистика!$C$10)/MAX(Статистика!$G$10-Статистика!$C$10,0.000001)))))</f>
        <v>0.11243167499999984</v>
      </c>
      <c r="BZ142" s="12">
        <f>IF(Y142="","",MAX(0,MAX(0,MIN(1,(((IF(Статистика!$C$4="Параллельный режим (активная мощность)",AH142,AS142)+Статистика!$J$4))-Статистика!$C$10)/MAX(Статистика!$G$10-Статистика!$C$10,0.000001)))-MAX(0,MIN(1,(((IF(Статистика!$C$4="Параллельный режим (активная мощность)",AF142,AQ142)+Статистика!$J$4))-Статистика!$C$10)/MAX(Статистика!$G$10-Статистика!$C$10,0.000001)))))</f>
        <v>1.9792905000000305E-2</v>
      </c>
      <c r="CA142" s="12">
        <f>IF(Y142="","",MAX(0,1-MAX(0,MIN(1,(((IF(Статистика!$C$4="Параллельный режим (активная мощность)",AH142,AS142)+Статистика!$J$4))-Статистика!$C$10)/MAX(Статистика!$G$10-Статистика!$C$10,0.000001)))))</f>
        <v>0.13825631166666663</v>
      </c>
      <c r="CB142" s="12">
        <f>IF(Y142="",NA(),IF(Статистика!$B$8="Вкл",(((IF(Статистика!$C$4="Параллельный режим (активная мощность)",AD142,AO142)+Статистика!$J$4))-Статистика!$C$10)/MAX(Статистика!$G$10-Статистика!$C$10,0.000001),NA()))</f>
        <v>0.63585780555555571</v>
      </c>
      <c r="CC142" s="12">
        <f>IF(Y142="",NA(),IF(Статистика!$D$8="Вкл",(((IF(Статистика!$C$4="Параллельный режим (активная мощность)",AC142,AN142)+Статистика!$J$4))-Статистика!$C$10)/MAX(Статистика!$G$10-Статистика!$C$10,0.000001),NA()))</f>
        <v>0.61133894444444437</v>
      </c>
      <c r="CD142" s="12">
        <f>IF(Y142="",NA(),IF(Статистика!$D$8="Вкл",(((IF(Статистика!$C$4="Параллельный режим (активная мощность)",AE142,AP142)+Статистика!$J$4))-Статистика!$C$10)/MAX(Статистика!$G$10-Статистика!$C$10,0.000001),NA()))</f>
        <v>0.72951910833333322</v>
      </c>
      <c r="CE142" s="12">
        <f>IF(Y142="",NA(),IF(Статистика!$F$8="Вкл",(((IF(Статистика!$C$4="Параллельный режим (активная мощность)",AB142,AM142)+Статистика!$J$4))-Статистика!$C$10)/MAX(Статистика!$G$10-Статистика!$C$10,0.000001),NA()))</f>
        <v>0.56679416277777783</v>
      </c>
      <c r="CF142" s="12">
        <f>IF(Y142="",NA(),IF(Статистика!$F$8="Вкл",(((IF(Статистика!$C$4="Параллельный режим (активная мощность)",AF142,AQ142)+Статистика!$J$4))-Статистика!$C$10)/MAX(Статистика!$G$10-Статистика!$C$10,0.000001),NA()))</f>
        <v>0.84195078333333306</v>
      </c>
      <c r="CG142" s="12">
        <f>IF(Y142="",NA(),IF(Статистика!$H$8="Вкл",(((IF(Статистика!$C$4="Параллельный режим (активная мощность)",Z142,AK142)+Статистика!$J$4))-Статистика!$C$10)/MAX(Статистика!$G$10-Статистика!$C$10,0.000001),NA()))</f>
        <v>0.5418949862777781</v>
      </c>
      <c r="CH142" s="12">
        <f>IF(Y142="",NA(),IF(Статистика!$H$8="Вкл",(((IF(Статистика!$C$4="Параллельный режим (активная мощность)",AH142,AS142)+Статистика!$J$4))-Статистика!$C$10)/MAX(Статистика!$G$10-Статистика!$C$10,0.000001),NA()))</f>
        <v>0.86174368833333337</v>
      </c>
      <c r="CI142" s="12" t="e">
        <f>IF(Y142="",NA(),IF(Статистика!$J$8="Вкл",(((IF(Статистика!$C$4="Параллельный режим (активная мощность)",AI142,AT142)+Статистика!$J$4))-Статистика!$C$10)/MAX(Статистика!$G$10-Статистика!$C$10,0.000001),NA()))</f>
        <v>#N/A</v>
      </c>
      <c r="CJ142" s="12" t="e">
        <f>IF(AND(Y142&lt;&gt;"",Статистика!$C$6="Вкл",Статистика!$B$6&gt;0),(Статистика!$B$6-Статистика!$C$10)/MAX(Статистика!$G$10-Статистика!$C$10,0.000001),NA())</f>
        <v>#N/A</v>
      </c>
      <c r="CK142" s="12" t="e">
        <f>IF(AND(Y142&lt;&gt;"",Статистика!$F$6="Вкл",Статистика!$E$6&gt;0),(Статистика!$E$6-Статистика!$C$10)/MAX(Статистика!$G$10-Статистика!$C$10,0.000001),NA())</f>
        <v>#N/A</v>
      </c>
      <c r="CL142" s="12" t="e">
        <f>IF(AND(Y142&lt;&gt;"",Статистика!$I$6="Вкл",Статистика!$H$6&gt;0),(Статистика!$H$6-Статистика!$C$10)/MAX(Статистика!$G$10-Статистика!$C$10,0.000001),NA())</f>
        <v>#N/A</v>
      </c>
      <c r="CM142" s="12" t="e">
        <f>IF(AND(Y142&lt;&gt;"",Статистика!$L$6="Вкл",Статистика!$K$6&gt;0),(Статистика!$K$6-Статистика!$C$10)/MAX(Статистика!$G$10-Статистика!$C$10,0.000001),NA())</f>
        <v>#N/A</v>
      </c>
      <c r="CN142" s="12" t="e">
        <f>IF(AND(Y142&lt;&gt;"",Статистика!$M$6="Вкл",Статистика!$O$6&gt;0),(Статистика!$O$6-Статистика!$C$10)/MAX(Статистика!$G$10-Статистика!$C$10,0.000001),NA())</f>
        <v>#N/A</v>
      </c>
      <c r="CO142" s="12">
        <f t="shared" si="5"/>
        <v>1</v>
      </c>
    </row>
    <row r="143" spans="1:93" ht="15" customHeight="1">
      <c r="A143" s="12" t="s">
        <v>627</v>
      </c>
      <c r="B143" s="12">
        <v>3385.4843575</v>
      </c>
      <c r="C143" s="12">
        <v>6121.7465875000016</v>
      </c>
      <c r="D143" s="12">
        <v>7462.2507550000009</v>
      </c>
      <c r="E143" s="12">
        <v>7741.0692666666664</v>
      </c>
      <c r="F143" s="12">
        <v>7936.5226166666653</v>
      </c>
      <c r="G143" s="12">
        <v>8128.2956916666662</v>
      </c>
      <c r="H143" s="12">
        <v>8392.6227483333332</v>
      </c>
      <c r="I143" s="12">
        <v>8490.1357599999992</v>
      </c>
      <c r="J143" s="12">
        <v>8683.4032053333322</v>
      </c>
      <c r="K143" s="12">
        <v>8862.9500000000007</v>
      </c>
      <c r="L143" s="12" t="s">
        <v>628</v>
      </c>
      <c r="M143" s="12">
        <v>4007.5967421666664</v>
      </c>
      <c r="N143" s="12">
        <v>6941.2765108333333</v>
      </c>
      <c r="O143" s="12">
        <v>8379.1909416666658</v>
      </c>
      <c r="P143" s="12">
        <v>8716.7608166666669</v>
      </c>
      <c r="Q143" s="12">
        <v>8936.0288833333325</v>
      </c>
      <c r="R143" s="12">
        <v>9138.592258333334</v>
      </c>
      <c r="S143" s="12">
        <v>9420.6569783333325</v>
      </c>
      <c r="T143" s="12">
        <v>9529.1149708333342</v>
      </c>
      <c r="U143" s="12">
        <v>9726.0600608333334</v>
      </c>
      <c r="V143" s="12">
        <v>9908.11</v>
      </c>
      <c r="W143" s="12" t="s">
        <v>629</v>
      </c>
      <c r="Y143" s="12" t="s">
        <v>627</v>
      </c>
      <c r="Z143" s="12">
        <v>7647.8768986666673</v>
      </c>
      <c r="AA143" s="12">
        <v>7683.3340933333338</v>
      </c>
      <c r="AB143" s="12">
        <v>7727.6555866666667</v>
      </c>
      <c r="AC143" s="12">
        <v>7846.5062666666672</v>
      </c>
      <c r="AD143" s="12">
        <v>7910.3709166666667</v>
      </c>
      <c r="AE143" s="12">
        <v>8211.2390416666658</v>
      </c>
      <c r="AF143" s="12">
        <v>8578.7753216666661</v>
      </c>
      <c r="AG143" s="12">
        <v>8579.3095274999996</v>
      </c>
      <c r="AH143" s="12">
        <v>8579.7368921666657</v>
      </c>
      <c r="AI143" s="12">
        <v>8664.59</v>
      </c>
      <c r="AJ143" s="12" t="s">
        <v>630</v>
      </c>
      <c r="AK143" s="12">
        <v>8653.4517248333341</v>
      </c>
      <c r="AL143" s="12">
        <v>8670.7199574999995</v>
      </c>
      <c r="AM143" s="12">
        <v>8692.305248333334</v>
      </c>
      <c r="AN143" s="12">
        <v>8798.815700000001</v>
      </c>
      <c r="AO143" s="12">
        <v>8962.9438499999997</v>
      </c>
      <c r="AP143" s="12">
        <v>9282.4281500000016</v>
      </c>
      <c r="AQ143" s="12">
        <v>9541.49856</v>
      </c>
      <c r="AR143" s="12">
        <v>9561.2844800000003</v>
      </c>
      <c r="AS143" s="12">
        <v>9577.1132159999997</v>
      </c>
      <c r="AT143" s="12">
        <v>9650.09</v>
      </c>
      <c r="AU143" s="12" t="s">
        <v>631</v>
      </c>
      <c r="AW143" s="12">
        <f>IF(A143="","",MAX(0,MIN(1,(((IF(Статистика!$C$4="Параллельный режим (активная мощность)",B143,M143)+Статистика!$J$4))-Статистика!$C$10)/MAX(Статистика!$G$10-Статистика!$C$10,0.000001))))</f>
        <v>0</v>
      </c>
      <c r="AX143" s="12">
        <f>IF(A143="","",MAX(0,MAX(0,MIN(1,(((IF(Статистика!$C$4="Параллельный режим (активная мощность)",D143,O143)+Статистика!$J$4))-Статистика!$C$10)/MAX(Статистика!$G$10-Статистика!$C$10,0.000001)))-MAX(0,MIN(1,(((IF(Статистика!$C$4="Параллельный режим (активная мощность)",B143,M143)+Статистика!$J$4))-Статистика!$C$10)/MAX(Статистика!$G$10-Статистика!$C$10,0.000001)))))</f>
        <v>0.48741691833333367</v>
      </c>
      <c r="AY143" s="12">
        <f>IF(A143="","",MAX(0,MAX(0,MIN(1,(((IF(Статистика!$C$4="Параллельный режим (активная мощность)",E143,P143)+Статистика!$J$4))-Статистика!$C$10)/MAX(Статистика!$G$10-Статистика!$C$10,0.000001)))-MAX(0,MIN(1,(((IF(Статистика!$C$4="Параллельный режим (активная мощность)",D143,O143)+Статистика!$J$4))-Статистика!$C$10)/MAX(Статистика!$G$10-Статистика!$C$10,0.000001)))))</f>
        <v>9.2939503888888497E-2</v>
      </c>
      <c r="AZ143" s="12">
        <f>IF(A143="","",MAX(0,MAX(0,MIN(1,(((IF(Статистика!$C$4="Параллельный режим (активная мощность)",F143,Q143)+Статистика!$J$4))-Статистика!$C$10)/MAX(Статистика!$G$10-Статистика!$C$10,0.000001)))-MAX(0,MIN(1,(((IF(Статистика!$C$4="Параллельный режим (активная мощность)",E143,P143)+Статистика!$J$4))-Статистика!$C$10)/MAX(Статистика!$G$10-Статистика!$C$10,0.000001)))))</f>
        <v>6.5151116666666287E-2</v>
      </c>
      <c r="BA143" s="12">
        <f>IF(A143="","",MAX(0,MAX(0,MIN(1,(((IF(Статистика!$C$4="Параллельный режим (активная мощность)",G143,R143)+Статистика!$J$4))-Статистика!$C$10)/MAX(Статистика!$G$10-Статистика!$C$10,0.000001)))-MAX(0,MIN(1,(((IF(Статистика!$C$4="Параллельный режим (активная мощность)",F143,Q143)+Статистика!$J$4))-Статистика!$C$10)/MAX(Статистика!$G$10-Статистика!$C$10,0.000001)))))</f>
        <v>6.3924358333333653E-2</v>
      </c>
      <c r="BB143" s="12">
        <f>IF(A143="","",MAX(0,MAX(0,MIN(1,(((IF(Статистика!$C$4="Параллельный режим (активная мощность)",H143,S143)+Статистика!$J$4))-Статистика!$C$10)/MAX(Статистика!$G$10-Статистика!$C$10,0.000001)))-MAX(0,MIN(1,(((IF(Статистика!$C$4="Параллельный режим (активная мощность)",G143,R143)+Статистика!$J$4))-Статистика!$C$10)/MAX(Статистика!$G$10-Статистика!$C$10,0.000001)))))</f>
        <v>8.8109018888889001E-2</v>
      </c>
      <c r="BC143" s="12">
        <f>IF(A143="","",MAX(0,MAX(0,MIN(1,(((IF(Статистика!$C$4="Параллельный режим (активная мощность)",J143,U143)+Статистика!$J$4))-Статистика!$C$10)/MAX(Статистика!$G$10-Статистика!$C$10,0.000001)))-MAX(0,MIN(1,(((IF(Статистика!$C$4="Параллельный режим (активная мощность)",H143,S143)+Статистика!$J$4))-Статистика!$C$10)/MAX(Статистика!$G$10-Статистика!$C$10,0.000001)))))</f>
        <v>9.6926818999999553E-2</v>
      </c>
      <c r="BD143" s="12">
        <f>IF(A143="","",MAX(0,1-MAX(0,MIN(1,(((IF(Статистика!$C$4="Параллельный режим (активная мощность)",J143,U143)+Статистика!$J$4))-Статистика!$C$10)/MAX(Статистика!$G$10-Статистика!$C$10,0.000001)))))</f>
        <v>0.10553226488888934</v>
      </c>
      <c r="BE143" s="12">
        <f>IF(A143="",NA(),IF(Статистика!$B$8="Вкл",(((IF(Статистика!$C$4="Параллельный режим (активная мощность)",F143,Q143)+Статистика!$J$4))-Статистика!$C$10)/MAX(Статистика!$G$10-Статистика!$C$10,0.000001),NA()))</f>
        <v>0.64550753888888845</v>
      </c>
      <c r="BF143" s="12">
        <f>IF(A143="",NA(),IF(Статистика!$D$8="Вкл",(((IF(Статистика!$C$4="Параллельный режим (активная мощность)",E143,P143)+Статистика!$J$4))-Статистика!$C$10)/MAX(Статистика!$G$10-Статистика!$C$10,0.000001),NA()))</f>
        <v>0.58035642222222217</v>
      </c>
      <c r="BG143" s="12">
        <f>IF(A143="",NA(),IF(Статистика!$D$8="Вкл",(((IF(Статистика!$C$4="Параллельный режим (активная мощность)",G143,R143)+Статистика!$J$4))-Статистика!$C$10)/MAX(Статистика!$G$10-Статистика!$C$10,0.000001),NA()))</f>
        <v>0.70943189722222211</v>
      </c>
      <c r="BH143" s="12">
        <f>IF(A143="",NA(),IF(Статистика!$F$8="Вкл",(((IF(Статистика!$C$4="Параллельный режим (активная мощность)",D143,O143)+Статистика!$J$4))-Статистика!$C$10)/MAX(Статистика!$G$10-Статистика!$C$10,0.000001),NA()))</f>
        <v>0.48741691833333367</v>
      </c>
      <c r="BI143" s="12">
        <f>IF(A143="",NA(),IF(Статистика!$F$8="Вкл",(((IF(Статистика!$C$4="Параллельный режим (активная мощность)",H143,S143)+Статистика!$J$4))-Статистика!$C$10)/MAX(Статистика!$G$10-Статистика!$C$10,0.000001),NA()))</f>
        <v>0.79754091611111111</v>
      </c>
      <c r="BJ143" s="12">
        <f>IF(A143="",NA(),IF(Статистика!$H$8="Вкл",(((IF(Статистика!$C$4="Параллельный режим (активная мощность)",B143,M143)+Статистика!$J$4))-Статистика!$C$10)/MAX(Статистика!$G$10-Статистика!$C$10,0.000001),NA()))</f>
        <v>-0.87150521416666671</v>
      </c>
      <c r="BK143" s="12">
        <f>IF(A143="",NA(),IF(Статистика!$H$8="Вкл",(((IF(Статистика!$C$4="Параллельный режим (активная мощность)",J143,U143)+Статистика!$J$4))-Статистика!$C$10)/MAX(Статистика!$G$10-Статистика!$C$10,0.000001),NA()))</f>
        <v>0.89446773511111066</v>
      </c>
      <c r="BL143" s="12" t="e">
        <f>IF(A143="",NA(),IF(Статистика!$J$8="Вкл",(((IF(Статистика!$C$4="Параллельный режим (активная мощность)",K143,V143)+Статистика!$J$4))-Статистика!$C$10)/MAX(Статистика!$G$10-Статистика!$C$10,0.000001),NA()))</f>
        <v>#N/A</v>
      </c>
      <c r="BM143" s="12" t="e">
        <f>IF(AND(A143&lt;&gt;"",Статистика!$C$6="Вкл",Статистика!$B$6&gt;0),(Статистика!$B$6-Статистика!$C$10)/MAX(Статистика!$G$10-Статистика!$C$10,0.000001),NA())</f>
        <v>#N/A</v>
      </c>
      <c r="BN143" s="12" t="e">
        <f>IF(AND(A143&lt;&gt;"",Статистика!$F$6="Вкл",Статистика!$E$6&gt;0),(Статистика!$E$6-Статистика!$C$10)/MAX(Статистика!$G$10-Статистика!$C$10,0.000001),NA())</f>
        <v>#N/A</v>
      </c>
      <c r="BO143" s="12" t="e">
        <f>IF(AND(A143&lt;&gt;"",Статистика!$I$6="Вкл",Статистика!$H$6&gt;0),(Статистика!$H$6-Статистика!$C$10)/MAX(Статистика!$G$10-Статистика!$C$10,0.000001),NA())</f>
        <v>#N/A</v>
      </c>
      <c r="BP143" s="12" t="e">
        <f>IF(AND(A143&lt;&gt;"",Статистика!$L$6="Вкл",Статистика!$K$6&gt;0),(Статистика!$K$6-Статистика!$C$10)/MAX(Статистика!$G$10-Статистика!$C$10,0.000001),NA())</f>
        <v>#N/A</v>
      </c>
      <c r="BQ143" s="12" t="e">
        <f>IF(AND(A143&lt;&gt;"",Статистика!$M$6="Вкл",Статистика!$O$6&gt;0),(Статистика!$O$6-Статистика!$C$10)/MAX(Статистика!$G$10-Статистика!$C$10,0.000001),NA())</f>
        <v>#N/A</v>
      </c>
      <c r="BR143" s="12">
        <f t="shared" si="4"/>
        <v>1</v>
      </c>
      <c r="BT143" s="12">
        <f>IF(Y143="","",MAX(0,MIN(1,(((IF(Статистика!$C$4="Параллельный режим (активная мощность)",Z143,AK143)+Статистика!$J$4))-Статистика!$C$10)/MAX(Статистика!$G$10-Статистика!$C$10,0.000001))))</f>
        <v>0.54929229955555581</v>
      </c>
      <c r="BU143" s="12">
        <f>IF(Y143="","",MAX(0,MAX(0,MIN(1,(((IF(Статистика!$C$4="Параллельный режим (активная мощность)",AB143,AM143)+Статистика!$J$4))-Статистика!$C$10)/MAX(Статистика!$G$10-Статистика!$C$10,0.000001)))-MAX(0,MIN(1,(((IF(Статистика!$C$4="Параллельный режим (активная мощность)",Z143,AK143)+Статистика!$J$4))-Статистика!$C$10)/MAX(Статистика!$G$10-Статистика!$C$10,0.000001)))))</f>
        <v>2.659289599999981E-2</v>
      </c>
      <c r="BV143" s="12">
        <f>IF(Y143="","",MAX(0,MAX(0,MIN(1,(((IF(Статистика!$C$4="Параллельный режим (активная мощность)",AC143,AN143)+Статистика!$J$4))-Статистика!$C$10)/MAX(Статистика!$G$10-Статистика!$C$10,0.000001)))-MAX(0,MIN(1,(((IF(Статистика!$C$4="Параллельный режим (активная мощность)",AB143,AM143)+Статистика!$J$4))-Статистика!$C$10)/MAX(Статистика!$G$10-Статистика!$C$10,0.000001)))))</f>
        <v>3.9616893333333403E-2</v>
      </c>
      <c r="BW143" s="12">
        <f>IF(Y143="","",MAX(0,MAX(0,MIN(1,(((IF(Статистика!$C$4="Параллельный режим (активная мощность)",AD143,AO143)+Статистика!$J$4))-Статистика!$C$10)/MAX(Статистика!$G$10-Статистика!$C$10,0.000001)))-MAX(0,MIN(1,(((IF(Статистика!$C$4="Параллельный режим (активная мощность)",AC143,AN143)+Статистика!$J$4))-Статистика!$C$10)/MAX(Статистика!$G$10-Статистика!$C$10,0.000001)))))</f>
        <v>2.1288216666666582E-2</v>
      </c>
      <c r="BX143" s="12">
        <f>IF(Y143="","",MAX(0,MAX(0,MIN(1,(((IF(Статистика!$C$4="Параллельный режим (активная мощность)",AE143,AP143)+Статистика!$J$4))-Статистика!$C$10)/MAX(Статистика!$G$10-Статистика!$C$10,0.000001)))-MAX(0,MIN(1,(((IF(Статистика!$C$4="Параллельный режим (активная мощность)",AD143,AO143)+Статистика!$J$4))-Статистика!$C$10)/MAX(Статистика!$G$10-Статистика!$C$10,0.000001)))))</f>
        <v>0.10028937499999968</v>
      </c>
      <c r="BY143" s="12">
        <f>IF(Y143="","",MAX(0,MAX(0,MIN(1,(((IF(Статистика!$C$4="Параллельный режим (активная мощность)",AF143,AQ143)+Статистика!$J$4))-Статистика!$C$10)/MAX(Статистика!$G$10-Статистика!$C$10,0.000001)))-MAX(0,MIN(1,(((IF(Статистика!$C$4="Параллельный режим (активная мощность)",AE143,AP143)+Статистика!$J$4))-Статистика!$C$10)/MAX(Статистика!$G$10-Статистика!$C$10,0.000001)))))</f>
        <v>0.12251209333333335</v>
      </c>
      <c r="BZ143" s="12">
        <f>IF(Y143="","",MAX(0,MAX(0,MIN(1,(((IF(Статистика!$C$4="Параллельный режим (активная мощность)",AH143,AS143)+Статистика!$J$4))-Статистика!$C$10)/MAX(Статистика!$G$10-Статистика!$C$10,0.000001)))-MAX(0,MIN(1,(((IF(Статистика!$C$4="Параллельный режим (активная мощность)",AF143,AQ143)+Статистика!$J$4))-Статистика!$C$10)/MAX(Статистика!$G$10-Статистика!$C$10,0.000001)))))</f>
        <v>3.2052349999989183E-4</v>
      </c>
      <c r="CA143" s="12">
        <f>IF(Y143="","",MAX(0,1-MAX(0,MIN(1,(((IF(Статистика!$C$4="Параллельный режим (активная мощность)",AH143,AS143)+Статистика!$J$4))-Статистика!$C$10)/MAX(Статистика!$G$10-Статистика!$C$10,0.000001)))))</f>
        <v>0.14008770261111148</v>
      </c>
      <c r="CB143" s="12">
        <f>IF(Y143="",NA(),IF(Статистика!$B$8="Вкл",(((IF(Статистика!$C$4="Параллельный режим (активная мощность)",AD143,AO143)+Статистика!$J$4))-Статистика!$C$10)/MAX(Статистика!$G$10-Статистика!$C$10,0.000001),NA()))</f>
        <v>0.6367903055555556</v>
      </c>
      <c r="CC143" s="12">
        <f>IF(Y143="",NA(),IF(Статистика!$D$8="Вкл",(((IF(Статистика!$C$4="Параллельный режим (активная мощность)",AC143,AN143)+Статистика!$J$4))-Статистика!$C$10)/MAX(Статистика!$G$10-Статистика!$C$10,0.000001),NA()))</f>
        <v>0.61550208888888902</v>
      </c>
      <c r="CD143" s="12">
        <f>IF(Y143="",NA(),IF(Статистика!$D$8="Вкл",(((IF(Статистика!$C$4="Параллельный режим (активная мощность)",AE143,AP143)+Статистика!$J$4))-Статистика!$C$10)/MAX(Статистика!$G$10-Статистика!$C$10,0.000001),NA()))</f>
        <v>0.73707968055555528</v>
      </c>
      <c r="CE143" s="12">
        <f>IF(Y143="",NA(),IF(Статистика!$F$8="Вкл",(((IF(Статистика!$C$4="Параллельный режим (активная мощность)",AB143,AM143)+Статистика!$J$4))-Статистика!$C$10)/MAX(Статистика!$G$10-Статистика!$C$10,0.000001),NA()))</f>
        <v>0.57588519555555562</v>
      </c>
      <c r="CF143" s="12">
        <f>IF(Y143="",NA(),IF(Статистика!$F$8="Вкл",(((IF(Статистика!$C$4="Параллельный режим (активная мощность)",AF143,AQ143)+Статистика!$J$4))-Статистика!$C$10)/MAX(Статистика!$G$10-Статистика!$C$10,0.000001),NA()))</f>
        <v>0.85959177388888863</v>
      </c>
      <c r="CG143" s="12">
        <f>IF(Y143="",NA(),IF(Статистика!$H$8="Вкл",(((IF(Статистика!$C$4="Параллельный режим (активная мощность)",Z143,AK143)+Статистика!$J$4))-Статистика!$C$10)/MAX(Статистика!$G$10-Статистика!$C$10,0.000001),NA()))</f>
        <v>0.54929229955555581</v>
      </c>
      <c r="CH143" s="12">
        <f>IF(Y143="",NA(),IF(Статистика!$H$8="Вкл",(((IF(Статистика!$C$4="Параллельный режим (активная мощность)",AH143,AS143)+Статистика!$J$4))-Статистика!$C$10)/MAX(Статистика!$G$10-Статистика!$C$10,0.000001),NA()))</f>
        <v>0.85991229738888852</v>
      </c>
      <c r="CI143" s="12" t="e">
        <f>IF(Y143="",NA(),IF(Статистика!$J$8="Вкл",(((IF(Статистика!$C$4="Параллельный режим (активная мощность)",AI143,AT143)+Статистика!$J$4))-Статистика!$C$10)/MAX(Статистика!$G$10-Статистика!$C$10,0.000001),NA()))</f>
        <v>#N/A</v>
      </c>
      <c r="CJ143" s="12" t="e">
        <f>IF(AND(Y143&lt;&gt;"",Статистика!$C$6="Вкл",Статистика!$B$6&gt;0),(Статистика!$B$6-Статистика!$C$10)/MAX(Статистика!$G$10-Статистика!$C$10,0.000001),NA())</f>
        <v>#N/A</v>
      </c>
      <c r="CK143" s="12" t="e">
        <f>IF(AND(Y143&lt;&gt;"",Статистика!$F$6="Вкл",Статистика!$E$6&gt;0),(Статистика!$E$6-Статистика!$C$10)/MAX(Статистика!$G$10-Статистика!$C$10,0.000001),NA())</f>
        <v>#N/A</v>
      </c>
      <c r="CL143" s="12" t="e">
        <f>IF(AND(Y143&lt;&gt;"",Статистика!$I$6="Вкл",Статистика!$H$6&gt;0),(Статистика!$H$6-Статистика!$C$10)/MAX(Статистика!$G$10-Статистика!$C$10,0.000001),NA())</f>
        <v>#N/A</v>
      </c>
      <c r="CM143" s="12" t="e">
        <f>IF(AND(Y143&lt;&gt;"",Статистика!$L$6="Вкл",Статистика!$K$6&gt;0),(Статистика!$K$6-Статистика!$C$10)/MAX(Статистика!$G$10-Статистика!$C$10,0.000001),NA())</f>
        <v>#N/A</v>
      </c>
      <c r="CN143" s="12" t="e">
        <f>IF(AND(Y143&lt;&gt;"",Статистика!$M$6="Вкл",Статистика!$O$6&gt;0),(Статистика!$O$6-Статистика!$C$10)/MAX(Статистика!$G$10-Статистика!$C$10,0.000001),NA())</f>
        <v>#N/A</v>
      </c>
      <c r="CO143" s="12">
        <f t="shared" si="5"/>
        <v>1</v>
      </c>
    </row>
    <row r="144" spans="1:93" ht="15" customHeight="1">
      <c r="A144" s="12" t="s">
        <v>632</v>
      </c>
      <c r="B144" s="12">
        <v>3388.5593176666671</v>
      </c>
      <c r="C144" s="12">
        <v>6139.4744550000014</v>
      </c>
      <c r="D144" s="12">
        <v>7489.2715516666676</v>
      </c>
      <c r="E144" s="12">
        <v>7726.0129749999996</v>
      </c>
      <c r="F144" s="12">
        <v>7933.1845000000003</v>
      </c>
      <c r="G144" s="12">
        <v>8127.8279666666676</v>
      </c>
      <c r="H144" s="12">
        <v>8369.2521583333328</v>
      </c>
      <c r="I144" s="12">
        <v>8511.5524524999983</v>
      </c>
      <c r="J144" s="12">
        <v>8715.5526238333332</v>
      </c>
      <c r="K144" s="12">
        <v>8897.9500000000007</v>
      </c>
      <c r="L144" s="12" t="s">
        <v>633</v>
      </c>
      <c r="M144" s="12">
        <v>4011.3111165</v>
      </c>
      <c r="N144" s="12">
        <v>6966.6901158333349</v>
      </c>
      <c r="O144" s="12">
        <v>8391.4656750000013</v>
      </c>
      <c r="P144" s="12">
        <v>8723.4408666666677</v>
      </c>
      <c r="Q144" s="12">
        <v>8931.4539000000004</v>
      </c>
      <c r="R144" s="12">
        <v>9144.1740250000003</v>
      </c>
      <c r="S144" s="12">
        <v>9396.588431666667</v>
      </c>
      <c r="T144" s="12">
        <v>9541.5517991666657</v>
      </c>
      <c r="U144" s="12">
        <v>9754.5523331666664</v>
      </c>
      <c r="V144" s="12">
        <v>9932.02</v>
      </c>
      <c r="W144" s="12" t="s">
        <v>634</v>
      </c>
      <c r="Y144" s="12" t="s">
        <v>632</v>
      </c>
      <c r="Z144" s="12">
        <v>7590.3092200000001</v>
      </c>
      <c r="AA144" s="12">
        <v>7632.6014333333333</v>
      </c>
      <c r="AB144" s="12">
        <v>7685.4666999999999</v>
      </c>
      <c r="AC144" s="12">
        <v>7820.5020250000016</v>
      </c>
      <c r="AD144" s="12">
        <v>7906.5577833333336</v>
      </c>
      <c r="AE144" s="12">
        <v>8173.6722500000005</v>
      </c>
      <c r="AF144" s="12">
        <v>8594.7809166666666</v>
      </c>
      <c r="AG144" s="12">
        <v>8608.226125000001</v>
      </c>
      <c r="AH144" s="12">
        <v>8618.9822916666672</v>
      </c>
      <c r="AI144" s="12">
        <v>8697.66</v>
      </c>
      <c r="AJ144" s="12" t="s">
        <v>635</v>
      </c>
      <c r="AK144" s="12">
        <v>8590.0439981666677</v>
      </c>
      <c r="AL144" s="12">
        <v>8617.8006575000018</v>
      </c>
      <c r="AM144" s="12">
        <v>8652.496481666667</v>
      </c>
      <c r="AN144" s="12">
        <v>8774.7526249999992</v>
      </c>
      <c r="AO144" s="12">
        <v>8958.552233333332</v>
      </c>
      <c r="AP144" s="12">
        <v>9249.1832166666663</v>
      </c>
      <c r="AQ144" s="12">
        <v>9562.2999249999993</v>
      </c>
      <c r="AR144" s="12">
        <v>9594.5524291666679</v>
      </c>
      <c r="AS144" s="12">
        <v>9620.3544325000021</v>
      </c>
      <c r="AT144" s="12">
        <v>9699.01</v>
      </c>
      <c r="AU144" s="12" t="s">
        <v>635</v>
      </c>
      <c r="AW144" s="12">
        <f>IF(A144="","",MAX(0,MIN(1,(((IF(Статистика!$C$4="Параллельный режим (активная мощность)",B144,M144)+Статистика!$J$4))-Статистика!$C$10)/MAX(Статистика!$G$10-Статистика!$C$10,0.000001))))</f>
        <v>0</v>
      </c>
      <c r="AX144" s="12">
        <f>IF(A144="","",MAX(0,MAX(0,MIN(1,(((IF(Статистика!$C$4="Параллельный режим (активная мощность)",D144,O144)+Статистика!$J$4))-Статистика!$C$10)/MAX(Статистика!$G$10-Статистика!$C$10,0.000001)))-MAX(0,MIN(1,(((IF(Статистика!$C$4="Параллельный режим (активная мощность)",B144,M144)+Статистика!$J$4))-Статистика!$C$10)/MAX(Статистика!$G$10-Статистика!$C$10,0.000001)))))</f>
        <v>0.49642385055555588</v>
      </c>
      <c r="AY144" s="12">
        <f>IF(A144="","",MAX(0,MAX(0,MIN(1,(((IF(Статистика!$C$4="Параллельный режим (активная мощность)",E144,P144)+Статистика!$J$4))-Статистика!$C$10)/MAX(Статистика!$G$10-Статистика!$C$10,0.000001)))-MAX(0,MIN(1,(((IF(Статистика!$C$4="Параллельный режим (активная мощность)",D144,O144)+Статистика!$J$4))-Статистика!$C$10)/MAX(Статистика!$G$10-Статистика!$C$10,0.000001)))))</f>
        <v>7.8913807777777289E-2</v>
      </c>
      <c r="AZ144" s="12">
        <f>IF(A144="","",MAX(0,MAX(0,MIN(1,(((IF(Статистика!$C$4="Параллельный режим (активная мощность)",F144,Q144)+Статистика!$J$4))-Статистика!$C$10)/MAX(Статистика!$G$10-Статистика!$C$10,0.000001)))-MAX(0,MIN(1,(((IF(Статистика!$C$4="Параллельный режим (активная мощность)",E144,P144)+Статистика!$J$4))-Статистика!$C$10)/MAX(Статистика!$G$10-Статистика!$C$10,0.000001)))))</f>
        <v>6.9057175000000304E-2</v>
      </c>
      <c r="BA144" s="12">
        <f>IF(A144="","",MAX(0,MAX(0,MIN(1,(((IF(Статистика!$C$4="Параллельный режим (активная мощность)",G144,R144)+Статистика!$J$4))-Статистика!$C$10)/MAX(Статистика!$G$10-Статистика!$C$10,0.000001)))-MAX(0,MIN(1,(((IF(Статистика!$C$4="Параллельный режим (активная мощность)",F144,Q144)+Статистика!$J$4))-Статистика!$C$10)/MAX(Статистика!$G$10-Статистика!$C$10,0.000001)))))</f>
        <v>6.4881155555555736E-2</v>
      </c>
      <c r="BB144" s="12">
        <f>IF(A144="","",MAX(0,MAX(0,MIN(1,(((IF(Статистика!$C$4="Параллельный режим (активная мощность)",H144,S144)+Статистика!$J$4))-Статистика!$C$10)/MAX(Статистика!$G$10-Статистика!$C$10,0.000001)))-MAX(0,MIN(1,(((IF(Статистика!$C$4="Параллельный режим (активная мощность)",G144,R144)+Статистика!$J$4))-Статистика!$C$10)/MAX(Статистика!$G$10-Статистика!$C$10,0.000001)))))</f>
        <v>8.0474730555555096E-2</v>
      </c>
      <c r="BC144" s="12">
        <f>IF(A144="","",MAX(0,MAX(0,MIN(1,(((IF(Статистика!$C$4="Параллельный режим (активная мощность)",J144,U144)+Статистика!$J$4))-Статистика!$C$10)/MAX(Статистика!$G$10-Статистика!$C$10,0.000001)))-MAX(0,MIN(1,(((IF(Статистика!$C$4="Параллельный режим (активная мощность)",H144,S144)+Статистика!$J$4))-Статистика!$C$10)/MAX(Статистика!$G$10-Статистика!$C$10,0.000001)))))</f>
        <v>0.11543348850000013</v>
      </c>
      <c r="BD144" s="12">
        <f>IF(A144="","",MAX(0,1-MAX(0,MIN(1,(((IF(Статистика!$C$4="Параллельный режим (активная мощность)",J144,U144)+Статистика!$J$4))-Статистика!$C$10)/MAX(Статистика!$G$10-Статистика!$C$10,0.000001)))))</f>
        <v>9.481579205555557E-2</v>
      </c>
      <c r="BE144" s="12">
        <f>IF(A144="",NA(),IF(Статистика!$B$8="Вкл",(((IF(Статистика!$C$4="Параллельный режим (активная мощность)",F144,Q144)+Статистика!$J$4))-Статистика!$C$10)/MAX(Статистика!$G$10-Статистика!$C$10,0.000001),NA()))</f>
        <v>0.64439483333333347</v>
      </c>
      <c r="BF144" s="12">
        <f>IF(A144="",NA(),IF(Статистика!$D$8="Вкл",(((IF(Статистика!$C$4="Параллельный режим (активная мощность)",E144,P144)+Статистика!$J$4))-Статистика!$C$10)/MAX(Статистика!$G$10-Статистика!$C$10,0.000001),NA()))</f>
        <v>0.57533765833333317</v>
      </c>
      <c r="BG144" s="12">
        <f>IF(A144="",NA(),IF(Статистика!$D$8="Вкл",(((IF(Статистика!$C$4="Параллельный режим (активная мощность)",G144,R144)+Статистика!$J$4))-Статистика!$C$10)/MAX(Статистика!$G$10-Статистика!$C$10,0.000001),NA()))</f>
        <v>0.70927598888888921</v>
      </c>
      <c r="BH144" s="12">
        <f>IF(A144="",NA(),IF(Статистика!$F$8="Вкл",(((IF(Статистика!$C$4="Параллельный режим (активная мощность)",D144,O144)+Статистика!$J$4))-Статистика!$C$10)/MAX(Статистика!$G$10-Статистика!$C$10,0.000001),NA()))</f>
        <v>0.49642385055555588</v>
      </c>
      <c r="BI144" s="12">
        <f>IF(A144="",NA(),IF(Статистика!$F$8="Вкл",(((IF(Статистика!$C$4="Параллельный режим (активная мощность)",H144,S144)+Статистика!$J$4))-Статистика!$C$10)/MAX(Статистика!$G$10-Статистика!$C$10,0.000001),NA()))</f>
        <v>0.7897507194444443</v>
      </c>
      <c r="BJ144" s="12">
        <f>IF(A144="",NA(),IF(Статистика!$H$8="Вкл",(((IF(Статистика!$C$4="Параллельный режим (активная мощность)",B144,M144)+Статистика!$J$4))-Статистика!$C$10)/MAX(Статистика!$G$10-Статистика!$C$10,0.000001),NA()))</f>
        <v>-0.87048022744444431</v>
      </c>
      <c r="BK144" s="12">
        <f>IF(A144="",NA(),IF(Статистика!$H$8="Вкл",(((IF(Статистика!$C$4="Параллельный режим (активная мощность)",J144,U144)+Статистика!$J$4))-Статистика!$C$10)/MAX(Статистика!$G$10-Статистика!$C$10,0.000001),NA()))</f>
        <v>0.90518420794444443</v>
      </c>
      <c r="BL144" s="12" t="e">
        <f>IF(A144="",NA(),IF(Статистика!$J$8="Вкл",(((IF(Статистика!$C$4="Параллельный режим (активная мощность)",K144,V144)+Статистика!$J$4))-Статистика!$C$10)/MAX(Статистика!$G$10-Статистика!$C$10,0.000001),NA()))</f>
        <v>#N/A</v>
      </c>
      <c r="BM144" s="12" t="e">
        <f>IF(AND(A144&lt;&gt;"",Статистика!$C$6="Вкл",Статистика!$B$6&gt;0),(Статистика!$B$6-Статистика!$C$10)/MAX(Статистика!$G$10-Статистика!$C$10,0.000001),NA())</f>
        <v>#N/A</v>
      </c>
      <c r="BN144" s="12" t="e">
        <f>IF(AND(A144&lt;&gt;"",Статистика!$F$6="Вкл",Статистика!$E$6&gt;0),(Статистика!$E$6-Статистика!$C$10)/MAX(Статистика!$G$10-Статистика!$C$10,0.000001),NA())</f>
        <v>#N/A</v>
      </c>
      <c r="BO144" s="12" t="e">
        <f>IF(AND(A144&lt;&gt;"",Статистика!$I$6="Вкл",Статистика!$H$6&gt;0),(Статистика!$H$6-Статистика!$C$10)/MAX(Статистика!$G$10-Статистика!$C$10,0.000001),NA())</f>
        <v>#N/A</v>
      </c>
      <c r="BP144" s="12" t="e">
        <f>IF(AND(A144&lt;&gt;"",Статистика!$L$6="Вкл",Статистика!$K$6&gt;0),(Статистика!$K$6-Статистика!$C$10)/MAX(Статистика!$G$10-Статистика!$C$10,0.000001),NA())</f>
        <v>#N/A</v>
      </c>
      <c r="BQ144" s="12" t="e">
        <f>IF(AND(A144&lt;&gt;"",Статистика!$M$6="Вкл",Статистика!$O$6&gt;0),(Статистика!$O$6-Статистика!$C$10)/MAX(Статистика!$G$10-Статистика!$C$10,0.000001),NA())</f>
        <v>#N/A</v>
      </c>
      <c r="BR144" s="12">
        <f t="shared" si="4"/>
        <v>1</v>
      </c>
      <c r="BT144" s="12">
        <f>IF(Y144="","",MAX(0,MIN(1,(((IF(Статистика!$C$4="Параллельный режим (активная мощность)",Z144,AK144)+Статистика!$J$4))-Статистика!$C$10)/MAX(Статистика!$G$10-Статистика!$C$10,0.000001))))</f>
        <v>0.5301030733333334</v>
      </c>
      <c r="BU144" s="12">
        <f>IF(Y144="","",MAX(0,MAX(0,MIN(1,(((IF(Статистика!$C$4="Параллельный режим (активная мощность)",AB144,AM144)+Статистика!$J$4))-Статистика!$C$10)/MAX(Статистика!$G$10-Статистика!$C$10,0.000001)))-MAX(0,MIN(1,(((IF(Статистика!$C$4="Параллельный режим (активная мощность)",Z144,AK144)+Статистика!$J$4))-Статистика!$C$10)/MAX(Статистика!$G$10-Статистика!$C$10,0.000001)))))</f>
        <v>3.1719159999999968E-2</v>
      </c>
      <c r="BV144" s="12">
        <f>IF(Y144="","",MAX(0,MAX(0,MIN(1,(((IF(Статистика!$C$4="Параллельный режим (активная мощность)",AC144,AN144)+Статистика!$J$4))-Статистика!$C$10)/MAX(Статистика!$G$10-Статистика!$C$10,0.000001)))-MAX(0,MIN(1,(((IF(Статистика!$C$4="Параллельный режим (активная мощность)",AB144,AM144)+Статистика!$J$4))-Статистика!$C$10)/MAX(Статистика!$G$10-Статистика!$C$10,0.000001)))))</f>
        <v>4.5011775000000531E-2</v>
      </c>
      <c r="BW144" s="12">
        <f>IF(Y144="","",MAX(0,MAX(0,MIN(1,(((IF(Статистика!$C$4="Параллельный режим (активная мощность)",AD144,AO144)+Статистика!$J$4))-Статистика!$C$10)/MAX(Статистика!$G$10-Статистика!$C$10,0.000001)))-MAX(0,MIN(1,(((IF(Статистика!$C$4="Параллельный режим (активная мощность)",AC144,AN144)+Статистика!$J$4))-Статистика!$C$10)/MAX(Статистика!$G$10-Статистика!$C$10,0.000001)))))</f>
        <v>2.8685252777777337E-2</v>
      </c>
      <c r="BX144" s="12">
        <f>IF(Y144="","",MAX(0,MAX(0,MIN(1,(((IF(Статистика!$C$4="Параллельный режим (активная мощность)",AE144,AP144)+Статистика!$J$4))-Статистика!$C$10)/MAX(Статистика!$G$10-Статистика!$C$10,0.000001)))-MAX(0,MIN(1,(((IF(Статистика!$C$4="Параллельный режим (активная мощность)",AD144,AO144)+Статистика!$J$4))-Статистика!$C$10)/MAX(Статистика!$G$10-Статистика!$C$10,0.000001)))))</f>
        <v>8.9038155555555609E-2</v>
      </c>
      <c r="BY144" s="12">
        <f>IF(Y144="","",MAX(0,MAX(0,MIN(1,(((IF(Статистика!$C$4="Параллельный режим (активная мощность)",AF144,AQ144)+Статистика!$J$4))-Статистика!$C$10)/MAX(Статистика!$G$10-Статистика!$C$10,0.000001)))-MAX(0,MIN(1,(((IF(Статистика!$C$4="Параллельный режим (активная мощность)",AE144,AP144)+Статистика!$J$4))-Статистика!$C$10)/MAX(Статистика!$G$10-Статистика!$C$10,0.000001)))))</f>
        <v>0.1403695555555553</v>
      </c>
      <c r="BZ144" s="12">
        <f>IF(Y144="","",MAX(0,MAX(0,MIN(1,(((IF(Статистика!$C$4="Параллельный режим (активная мощность)",AH144,AS144)+Статистика!$J$4))-Статистика!$C$10)/MAX(Статистика!$G$10-Статистика!$C$10,0.000001)))-MAX(0,MIN(1,(((IF(Статистика!$C$4="Параллельный режим (активная мощность)",AF144,AQ144)+Статистика!$J$4))-Статистика!$C$10)/MAX(Статистика!$G$10-Статистика!$C$10,0.000001)))))</f>
        <v>8.0671250000002859E-3</v>
      </c>
      <c r="CA144" s="12">
        <f>IF(Y144="","",MAX(0,1-MAX(0,MIN(1,(((IF(Статистика!$C$4="Параллельный режим (активная мощность)",AH144,AS144)+Статистика!$J$4))-Статистика!$C$10)/MAX(Статистика!$G$10-Статистика!$C$10,0.000001)))))</f>
        <v>0.12700590277777757</v>
      </c>
      <c r="CB144" s="12">
        <f>IF(Y144="",NA(),IF(Статистика!$B$8="Вкл",(((IF(Статистика!$C$4="Параллельный режим (активная мощность)",AD144,AO144)+Статистика!$J$4))-Статистика!$C$10)/MAX(Статистика!$G$10-Статистика!$C$10,0.000001),NA()))</f>
        <v>0.63551926111111123</v>
      </c>
      <c r="CC144" s="12">
        <f>IF(Y144="",NA(),IF(Статистика!$D$8="Вкл",(((IF(Статистика!$C$4="Параллельный режим (активная мощность)",AC144,AN144)+Статистика!$J$4))-Статистика!$C$10)/MAX(Статистика!$G$10-Статистика!$C$10,0.000001),NA()))</f>
        <v>0.6068340083333339</v>
      </c>
      <c r="CD144" s="12">
        <f>IF(Y144="",NA(),IF(Статистика!$D$8="Вкл",(((IF(Статистика!$C$4="Параллельный режим (активная мощность)",AE144,AP144)+Статистика!$J$4))-Статистика!$C$10)/MAX(Статистика!$G$10-Статистика!$C$10,0.000001),NA()))</f>
        <v>0.72455741666666684</v>
      </c>
      <c r="CE144" s="12">
        <f>IF(Y144="",NA(),IF(Статистика!$F$8="Вкл",(((IF(Статистика!$C$4="Параллельный режим (активная мощность)",AB144,AM144)+Статистика!$J$4))-Статистика!$C$10)/MAX(Статистика!$G$10-Статистика!$C$10,0.000001),NA()))</f>
        <v>0.56182223333333337</v>
      </c>
      <c r="CF144" s="12">
        <f>IF(Y144="",NA(),IF(Статистика!$F$8="Вкл",(((IF(Статистика!$C$4="Параллельный режим (активная мощность)",AF144,AQ144)+Статистика!$J$4))-Статистика!$C$10)/MAX(Статистика!$G$10-Статистика!$C$10,0.000001),NA()))</f>
        <v>0.86492697222222215</v>
      </c>
      <c r="CG144" s="12">
        <f>IF(Y144="",NA(),IF(Статистика!$H$8="Вкл",(((IF(Статистика!$C$4="Параллельный режим (активная мощность)",Z144,AK144)+Статистика!$J$4))-Статистика!$C$10)/MAX(Статистика!$G$10-Статистика!$C$10,0.000001),NA()))</f>
        <v>0.5301030733333334</v>
      </c>
      <c r="CH144" s="12">
        <f>IF(Y144="",NA(),IF(Статистика!$H$8="Вкл",(((IF(Статистика!$C$4="Параллельный режим (активная мощность)",AH144,AS144)+Статистика!$J$4))-Статистика!$C$10)/MAX(Статистика!$G$10-Статистика!$C$10,0.000001),NA()))</f>
        <v>0.87299409722222243</v>
      </c>
      <c r="CI144" s="12" t="e">
        <f>IF(Y144="",NA(),IF(Статистика!$J$8="Вкл",(((IF(Статистика!$C$4="Параллельный режим (активная мощность)",AI144,AT144)+Статистика!$J$4))-Статистика!$C$10)/MAX(Статистика!$G$10-Статистика!$C$10,0.000001),NA()))</f>
        <v>#N/A</v>
      </c>
      <c r="CJ144" s="12" t="e">
        <f>IF(AND(Y144&lt;&gt;"",Статистика!$C$6="Вкл",Статистика!$B$6&gt;0),(Статистика!$B$6-Статистика!$C$10)/MAX(Статистика!$G$10-Статистика!$C$10,0.000001),NA())</f>
        <v>#N/A</v>
      </c>
      <c r="CK144" s="12" t="e">
        <f>IF(AND(Y144&lt;&gt;"",Статистика!$F$6="Вкл",Статистика!$E$6&gt;0),(Статистика!$E$6-Статистика!$C$10)/MAX(Статистика!$G$10-Статистика!$C$10,0.000001),NA())</f>
        <v>#N/A</v>
      </c>
      <c r="CL144" s="12" t="e">
        <f>IF(AND(Y144&lt;&gt;"",Статистика!$I$6="Вкл",Статистика!$H$6&gt;0),(Статистика!$H$6-Статистика!$C$10)/MAX(Статистика!$G$10-Статистика!$C$10,0.000001),NA())</f>
        <v>#N/A</v>
      </c>
      <c r="CM144" s="12" t="e">
        <f>IF(AND(Y144&lt;&gt;"",Статистика!$L$6="Вкл",Статистика!$K$6&gt;0),(Статистика!$K$6-Статистика!$C$10)/MAX(Статистика!$G$10-Статистика!$C$10,0.000001),NA())</f>
        <v>#N/A</v>
      </c>
      <c r="CN144" s="12" t="e">
        <f>IF(AND(Y144&lt;&gt;"",Статистика!$M$6="Вкл",Статистика!$O$6&gt;0),(Статистика!$O$6-Статистика!$C$10)/MAX(Статистика!$G$10-Статистика!$C$10,0.000001),NA())</f>
        <v>#N/A</v>
      </c>
      <c r="CO144" s="12">
        <f t="shared" si="5"/>
        <v>1</v>
      </c>
    </row>
    <row r="145" spans="1:93" ht="15" customHeight="1">
      <c r="A145" s="12" t="s">
        <v>636</v>
      </c>
      <c r="B145" s="12">
        <v>3367.6806390000002</v>
      </c>
      <c r="C145" s="12">
        <v>6099.746395000001</v>
      </c>
      <c r="D145" s="12">
        <v>7397.3273400000007</v>
      </c>
      <c r="E145" s="12">
        <v>7710.539866666667</v>
      </c>
      <c r="F145" s="12">
        <v>7904.6456833333323</v>
      </c>
      <c r="G145" s="12">
        <v>8070.2883416666664</v>
      </c>
      <c r="H145" s="12">
        <v>8302.7063516666676</v>
      </c>
      <c r="I145" s="12">
        <v>8451.6731049999999</v>
      </c>
      <c r="J145" s="12">
        <v>8613.6119276666686</v>
      </c>
      <c r="K145" s="12">
        <v>8796.7199999999993</v>
      </c>
      <c r="L145" s="12" t="s">
        <v>637</v>
      </c>
      <c r="M145" s="12">
        <v>3967.7655988333331</v>
      </c>
      <c r="N145" s="12">
        <v>6930.059860833333</v>
      </c>
      <c r="O145" s="12">
        <v>8357.1542983333311</v>
      </c>
      <c r="P145" s="12">
        <v>8703.8410166666654</v>
      </c>
      <c r="Q145" s="12">
        <v>8897.0982500000009</v>
      </c>
      <c r="R145" s="12">
        <v>9122.2158416666643</v>
      </c>
      <c r="S145" s="12">
        <v>9309.0220966666657</v>
      </c>
      <c r="T145" s="12">
        <v>9464.6089708333329</v>
      </c>
      <c r="U145" s="12">
        <v>9643.9947541666661</v>
      </c>
      <c r="V145" s="12">
        <v>9833.09</v>
      </c>
      <c r="W145" s="12" t="s">
        <v>637</v>
      </c>
      <c r="Y145" s="12" t="s">
        <v>636</v>
      </c>
      <c r="Z145" s="12">
        <v>7604.4194243333332</v>
      </c>
      <c r="AA145" s="12">
        <v>7634.0848550000001</v>
      </c>
      <c r="AB145" s="12">
        <v>7671.1666433333339</v>
      </c>
      <c r="AC145" s="12">
        <v>7749.2283499999994</v>
      </c>
      <c r="AD145" s="12">
        <v>7928.38465</v>
      </c>
      <c r="AE145" s="12">
        <v>8145.5790000000006</v>
      </c>
      <c r="AF145" s="12">
        <v>8529.4075066666664</v>
      </c>
      <c r="AG145" s="12">
        <v>8538.4784366666663</v>
      </c>
      <c r="AH145" s="12">
        <v>8545.7351806666666</v>
      </c>
      <c r="AI145" s="12">
        <v>8662.52</v>
      </c>
      <c r="AJ145" s="12" t="s">
        <v>638</v>
      </c>
      <c r="AK145" s="12">
        <v>8602.2453581666668</v>
      </c>
      <c r="AL145" s="12">
        <v>8616.2722575000007</v>
      </c>
      <c r="AM145" s="12">
        <v>8633.8058816666671</v>
      </c>
      <c r="AN145" s="12">
        <v>8702.9744416666672</v>
      </c>
      <c r="AO145" s="12">
        <v>9008.6268666666656</v>
      </c>
      <c r="AP145" s="12">
        <v>9225.6473000000005</v>
      </c>
      <c r="AQ145" s="12">
        <v>9502.3561699999991</v>
      </c>
      <c r="AR145" s="12">
        <v>9530.6358683333328</v>
      </c>
      <c r="AS145" s="12">
        <v>9553.2596269999995</v>
      </c>
      <c r="AT145" s="12">
        <v>9674.2000000000007</v>
      </c>
      <c r="AU145" s="12" t="s">
        <v>638</v>
      </c>
      <c r="AW145" s="12">
        <f>IF(A145="","",MAX(0,MIN(1,(((IF(Статистика!$C$4="Параллельный режим (активная мощность)",B145,M145)+Статистика!$J$4))-Статистика!$C$10)/MAX(Статистика!$G$10-Статистика!$C$10,0.000001))))</f>
        <v>0</v>
      </c>
      <c r="AX145" s="12">
        <f>IF(A145="","",MAX(0,MAX(0,MIN(1,(((IF(Статистика!$C$4="Параллельный режим (активная мощность)",D145,O145)+Статистика!$J$4))-Статистика!$C$10)/MAX(Статистика!$G$10-Статистика!$C$10,0.000001)))-MAX(0,MIN(1,(((IF(Статистика!$C$4="Параллельный режим (активная мощность)",B145,M145)+Статистика!$J$4))-Статистика!$C$10)/MAX(Статистика!$G$10-Статистика!$C$10,0.000001)))))</f>
        <v>0.46577578000000025</v>
      </c>
      <c r="AY145" s="12">
        <f>IF(A145="","",MAX(0,MAX(0,MIN(1,(((IF(Статистика!$C$4="Параллельный режим (активная мощность)",E145,P145)+Статистика!$J$4))-Статистика!$C$10)/MAX(Статистика!$G$10-Статистика!$C$10,0.000001)))-MAX(0,MIN(1,(((IF(Статистика!$C$4="Параллельный режим (активная мощность)",D145,O145)+Статистика!$J$4))-Статистика!$C$10)/MAX(Статистика!$G$10-Статистика!$C$10,0.000001)))))</f>
        <v>0.10440417555555542</v>
      </c>
      <c r="AZ145" s="12">
        <f>IF(A145="","",MAX(0,MAX(0,MIN(1,(((IF(Статистика!$C$4="Параллельный режим (активная мощность)",F145,Q145)+Статистика!$J$4))-Статистика!$C$10)/MAX(Статистика!$G$10-Статистика!$C$10,0.000001)))-MAX(0,MIN(1,(((IF(Статистика!$C$4="Параллельный режим (активная мощность)",E145,P145)+Статистика!$J$4))-Статистика!$C$10)/MAX(Статистика!$G$10-Статистика!$C$10,0.000001)))))</f>
        <v>6.4701938888888422E-2</v>
      </c>
      <c r="BA145" s="12">
        <f>IF(A145="","",MAX(0,MAX(0,MIN(1,(((IF(Статистика!$C$4="Параллельный режим (активная мощность)",G145,R145)+Статистика!$J$4))-Статистика!$C$10)/MAX(Статистика!$G$10-Статистика!$C$10,0.000001)))-MAX(0,MIN(1,(((IF(Статистика!$C$4="Параллельный режим (активная мощность)",F145,Q145)+Статистика!$J$4))-Статистика!$C$10)/MAX(Статистика!$G$10-Статистика!$C$10,0.000001)))))</f>
        <v>5.5214219444444712E-2</v>
      </c>
      <c r="BB145" s="12">
        <f>IF(A145="","",MAX(0,MAX(0,MIN(1,(((IF(Статистика!$C$4="Параллельный режим (активная мощность)",H145,S145)+Статистика!$J$4))-Статистика!$C$10)/MAX(Статистика!$G$10-Статистика!$C$10,0.000001)))-MAX(0,MIN(1,(((IF(Статистика!$C$4="Параллельный режим (активная мощность)",G145,R145)+Статистика!$J$4))-Статистика!$C$10)/MAX(Статистика!$G$10-Статистика!$C$10,0.000001)))))</f>
        <v>7.7472670000000354E-2</v>
      </c>
      <c r="BC145" s="12">
        <f>IF(A145="","",MAX(0,MAX(0,MIN(1,(((IF(Статистика!$C$4="Параллельный режим (активная мощность)",J145,U145)+Статистика!$J$4))-Статистика!$C$10)/MAX(Статистика!$G$10-Статистика!$C$10,0.000001)))-MAX(0,MIN(1,(((IF(Статистика!$C$4="Параллельный режим (активная мощность)",H145,S145)+Статистика!$J$4))-Статистика!$C$10)/MAX(Статистика!$G$10-Статистика!$C$10,0.000001)))))</f>
        <v>0.10363519200000038</v>
      </c>
      <c r="BD145" s="12">
        <f>IF(A145="","",MAX(0,1-MAX(0,MIN(1,(((IF(Статистика!$C$4="Параллельный режим (активная мощность)",J145,U145)+Статистика!$J$4))-Статистика!$C$10)/MAX(Статистика!$G$10-Статистика!$C$10,0.000001)))))</f>
        <v>0.12879602411111046</v>
      </c>
      <c r="BE145" s="12">
        <f>IF(A145="",NA(),IF(Статистика!$B$8="Вкл",(((IF(Статистика!$C$4="Параллельный режим (активная мощность)",F145,Q145)+Статистика!$J$4))-Статистика!$C$10)/MAX(Статистика!$G$10-Статистика!$C$10,0.000001),NA()))</f>
        <v>0.63488189444444409</v>
      </c>
      <c r="BF145" s="12">
        <f>IF(A145="",NA(),IF(Статистика!$D$8="Вкл",(((IF(Статистика!$C$4="Параллельный режим (активная мощность)",E145,P145)+Статистика!$J$4))-Статистика!$C$10)/MAX(Статистика!$G$10-Статистика!$C$10,0.000001),NA()))</f>
        <v>0.57017995555555567</v>
      </c>
      <c r="BG145" s="12">
        <f>IF(A145="",NA(),IF(Статистика!$D$8="Вкл",(((IF(Статистика!$C$4="Параллельный режим (активная мощность)",G145,R145)+Статистика!$J$4))-Статистика!$C$10)/MAX(Статистика!$G$10-Статистика!$C$10,0.000001),NA()))</f>
        <v>0.69009611388888881</v>
      </c>
      <c r="BH145" s="12">
        <f>IF(A145="",NA(),IF(Статистика!$F$8="Вкл",(((IF(Статистика!$C$4="Параллельный режим (активная мощность)",D145,O145)+Статистика!$J$4))-Статистика!$C$10)/MAX(Статистика!$G$10-Статистика!$C$10,0.000001),NA()))</f>
        <v>0.46577578000000025</v>
      </c>
      <c r="BI145" s="12">
        <f>IF(A145="",NA(),IF(Статистика!$F$8="Вкл",(((IF(Статистика!$C$4="Параллельный режим (активная мощность)",H145,S145)+Статистика!$J$4))-Статистика!$C$10)/MAX(Статистика!$G$10-Статистика!$C$10,0.000001),NA()))</f>
        <v>0.76756878388888916</v>
      </c>
      <c r="BJ145" s="12">
        <f>IF(A145="",NA(),IF(Статистика!$H$8="Вкл",(((IF(Статистика!$C$4="Параллельный режим (активная мощность)",B145,M145)+Статистика!$J$4))-Статистика!$C$10)/MAX(Статистика!$G$10-Статистика!$C$10,0.000001),NA()))</f>
        <v>-0.87743978699999992</v>
      </c>
      <c r="BK145" s="12">
        <f>IF(A145="",NA(),IF(Статистика!$H$8="Вкл",(((IF(Статистика!$C$4="Параллельный режим (активная мощность)",J145,U145)+Статистика!$J$4))-Статистика!$C$10)/MAX(Статистика!$G$10-Статистика!$C$10,0.000001),NA()))</f>
        <v>0.87120397588888954</v>
      </c>
      <c r="BL145" s="12" t="e">
        <f>IF(A145="",NA(),IF(Статистика!$J$8="Вкл",(((IF(Статистика!$C$4="Параллельный режим (активная мощность)",K145,V145)+Статистика!$J$4))-Статистика!$C$10)/MAX(Статистика!$G$10-Статистика!$C$10,0.000001),NA()))</f>
        <v>#N/A</v>
      </c>
      <c r="BM145" s="12" t="e">
        <f>IF(AND(A145&lt;&gt;"",Статистика!$C$6="Вкл",Статистика!$B$6&gt;0),(Статистика!$B$6-Статистика!$C$10)/MAX(Статистика!$G$10-Статистика!$C$10,0.000001),NA())</f>
        <v>#N/A</v>
      </c>
      <c r="BN145" s="12" t="e">
        <f>IF(AND(A145&lt;&gt;"",Статистика!$F$6="Вкл",Статистика!$E$6&gt;0),(Статистика!$E$6-Статистика!$C$10)/MAX(Статистика!$G$10-Статистика!$C$10,0.000001),NA())</f>
        <v>#N/A</v>
      </c>
      <c r="BO145" s="12" t="e">
        <f>IF(AND(A145&lt;&gt;"",Статистика!$I$6="Вкл",Статистика!$H$6&gt;0),(Статистика!$H$6-Статистика!$C$10)/MAX(Статистика!$G$10-Статистика!$C$10,0.000001),NA())</f>
        <v>#N/A</v>
      </c>
      <c r="BP145" s="12" t="e">
        <f>IF(AND(A145&lt;&gt;"",Статистика!$L$6="Вкл",Статистика!$K$6&gt;0),(Статистика!$K$6-Статистика!$C$10)/MAX(Статистика!$G$10-Статистика!$C$10,0.000001),NA())</f>
        <v>#N/A</v>
      </c>
      <c r="BQ145" s="12" t="e">
        <f>IF(AND(A145&lt;&gt;"",Статистика!$M$6="Вкл",Статистика!$O$6&gt;0),(Статистика!$O$6-Статистика!$C$10)/MAX(Статистика!$G$10-Статистика!$C$10,0.000001),NA())</f>
        <v>#N/A</v>
      </c>
      <c r="BR145" s="12">
        <f t="shared" si="4"/>
        <v>1</v>
      </c>
      <c r="BT145" s="12">
        <f>IF(Y145="","",MAX(0,MIN(1,(((IF(Статистика!$C$4="Параллельный режим (активная мощность)",Z145,AK145)+Статистика!$J$4))-Статистика!$C$10)/MAX(Статистика!$G$10-Статистика!$C$10,0.000001))))</f>
        <v>0.53480647477777776</v>
      </c>
      <c r="BU145" s="12">
        <f>IF(Y145="","",MAX(0,MAX(0,MIN(1,(((IF(Статистика!$C$4="Параллельный режим (активная мощность)",AB145,AM145)+Статистика!$J$4))-Статистика!$C$10)/MAX(Статистика!$G$10-Статистика!$C$10,0.000001)))-MAX(0,MIN(1,(((IF(Статистика!$C$4="Параллельный режим (активная мощность)",Z145,AK145)+Статистика!$J$4))-Статистика!$C$10)/MAX(Статистика!$G$10-Статистика!$C$10,0.000001)))))</f>
        <v>2.224907300000023E-2</v>
      </c>
      <c r="BV145" s="12">
        <f>IF(Y145="","",MAX(0,MAX(0,MIN(1,(((IF(Статистика!$C$4="Параллельный режим (активная мощность)",AC145,AN145)+Статистика!$J$4))-Статистика!$C$10)/MAX(Статистика!$G$10-Статистика!$C$10,0.000001)))-MAX(0,MIN(1,(((IF(Статистика!$C$4="Параллельный режим (активная мощность)",AB145,AM145)+Статистика!$J$4))-Статистика!$C$10)/MAX(Статистика!$G$10-Статистика!$C$10,0.000001)))))</f>
        <v>2.6020568888888485E-2</v>
      </c>
      <c r="BW145" s="12">
        <f>IF(Y145="","",MAX(0,MAX(0,MIN(1,(((IF(Статистика!$C$4="Параллельный режим (активная мощность)",AD145,AO145)+Статистика!$J$4))-Статистика!$C$10)/MAX(Статистика!$G$10-Статистика!$C$10,0.000001)))-MAX(0,MIN(1,(((IF(Статистика!$C$4="Параллельный режим (активная мощность)",AC145,AN145)+Статистика!$J$4))-Статистика!$C$10)/MAX(Статистика!$G$10-Статистика!$C$10,0.000001)))))</f>
        <v>5.9718766666666867E-2</v>
      </c>
      <c r="BX145" s="12">
        <f>IF(Y145="","",MAX(0,MAX(0,MIN(1,(((IF(Статистика!$C$4="Параллельный режим (активная мощность)",AE145,AP145)+Статистика!$J$4))-Статистика!$C$10)/MAX(Статистика!$G$10-Статистика!$C$10,0.000001)))-MAX(0,MIN(1,(((IF(Статистика!$C$4="Параллельный режим (активная мощность)",AD145,AO145)+Статистика!$J$4))-Статистика!$C$10)/MAX(Статистика!$G$10-Статистика!$C$10,0.000001)))))</f>
        <v>7.2398116666666845E-2</v>
      </c>
      <c r="BY145" s="12">
        <f>IF(Y145="","",MAX(0,MAX(0,MIN(1,(((IF(Статистика!$C$4="Параллельный режим (активная мощность)",AF145,AQ145)+Статистика!$J$4))-Статистика!$C$10)/MAX(Статистика!$G$10-Статистика!$C$10,0.000001)))-MAX(0,MIN(1,(((IF(Статистика!$C$4="Параллельный режим (активная мощность)",AE145,AP145)+Статистика!$J$4))-Статистика!$C$10)/MAX(Статистика!$G$10-Статистика!$C$10,0.000001)))))</f>
        <v>0.1279428355555553</v>
      </c>
      <c r="BZ145" s="12">
        <f>IF(Y145="","",MAX(0,MAX(0,MIN(1,(((IF(Статистика!$C$4="Параллельный режим (активная мощность)",AH145,AS145)+Статистика!$J$4))-Статистика!$C$10)/MAX(Статистика!$G$10-Статистика!$C$10,0.000001)))-MAX(0,MIN(1,(((IF(Статистика!$C$4="Параллельный режим (активная мощность)",AF145,AQ145)+Статистика!$J$4))-Статистика!$C$10)/MAX(Статистика!$G$10-Статистика!$C$10,0.000001)))))</f>
        <v>5.4425580000000418E-3</v>
      </c>
      <c r="CA145" s="12">
        <f>IF(Y145="","",MAX(0,1-MAX(0,MIN(1,(((IF(Статистика!$C$4="Параллельный режим (активная мощность)",AH145,AS145)+Статистика!$J$4))-Статистика!$C$10)/MAX(Статистика!$G$10-Статистика!$C$10,0.000001)))))</f>
        <v>0.15142160644444447</v>
      </c>
      <c r="CB145" s="12">
        <f>IF(Y145="",NA(),IF(Статистика!$B$8="Вкл",(((IF(Статистика!$C$4="Параллельный режим (активная мощность)",AD145,AO145)+Статистика!$J$4))-Статистика!$C$10)/MAX(Статистика!$G$10-Статистика!$C$10,0.000001),NA()))</f>
        <v>0.64279488333333334</v>
      </c>
      <c r="CC145" s="12">
        <f>IF(Y145="",NA(),IF(Статистика!$D$8="Вкл",(((IF(Статистика!$C$4="Параллельный режим (активная мощность)",AC145,AN145)+Статистика!$J$4))-Статистика!$C$10)/MAX(Статистика!$G$10-Статистика!$C$10,0.000001),NA()))</f>
        <v>0.58307611666666648</v>
      </c>
      <c r="CD145" s="12">
        <f>IF(Y145="",NA(),IF(Статистика!$D$8="Вкл",(((IF(Статистика!$C$4="Параллельный режим (активная мощность)",AE145,AP145)+Статистика!$J$4))-Статистика!$C$10)/MAX(Статистика!$G$10-Статистика!$C$10,0.000001),NA()))</f>
        <v>0.71519300000000019</v>
      </c>
      <c r="CE145" s="12">
        <f>IF(Y145="",NA(),IF(Статистика!$F$8="Вкл",(((IF(Статистика!$C$4="Параллельный режим (активная мощность)",AB145,AM145)+Статистика!$J$4))-Статистика!$C$10)/MAX(Статистика!$G$10-Статистика!$C$10,0.000001),NA()))</f>
        <v>0.55705554777777799</v>
      </c>
      <c r="CF145" s="12">
        <f>IF(Y145="",NA(),IF(Статистика!$F$8="Вкл",(((IF(Статистика!$C$4="Параллельный режим (активная мощность)",AF145,AQ145)+Статистика!$J$4))-Статистика!$C$10)/MAX(Статистика!$G$10-Статистика!$C$10,0.000001),NA()))</f>
        <v>0.84313583555555549</v>
      </c>
      <c r="CG145" s="12">
        <f>IF(Y145="",NA(),IF(Статистика!$H$8="Вкл",(((IF(Статистика!$C$4="Параллельный режим (активная мощность)",Z145,AK145)+Статистика!$J$4))-Статистика!$C$10)/MAX(Статистика!$G$10-Статистика!$C$10,0.000001),NA()))</f>
        <v>0.53480647477777776</v>
      </c>
      <c r="CH145" s="12">
        <f>IF(Y145="",NA(),IF(Статистика!$H$8="Вкл",(((IF(Статистика!$C$4="Параллельный режим (активная мощность)",AH145,AS145)+Статистика!$J$4))-Статистика!$C$10)/MAX(Статистика!$G$10-Статистика!$C$10,0.000001),NA()))</f>
        <v>0.84857839355555553</v>
      </c>
      <c r="CI145" s="12" t="e">
        <f>IF(Y145="",NA(),IF(Статистика!$J$8="Вкл",(((IF(Статистика!$C$4="Параллельный режим (активная мощность)",AI145,AT145)+Статистика!$J$4))-Статистика!$C$10)/MAX(Статистика!$G$10-Статистика!$C$10,0.000001),NA()))</f>
        <v>#N/A</v>
      </c>
      <c r="CJ145" s="12" t="e">
        <f>IF(AND(Y145&lt;&gt;"",Статистика!$C$6="Вкл",Статистика!$B$6&gt;0),(Статистика!$B$6-Статистика!$C$10)/MAX(Статистика!$G$10-Статистика!$C$10,0.000001),NA())</f>
        <v>#N/A</v>
      </c>
      <c r="CK145" s="12" t="e">
        <f>IF(AND(Y145&lt;&gt;"",Статистика!$F$6="Вкл",Статистика!$E$6&gt;0),(Статистика!$E$6-Статистика!$C$10)/MAX(Статистика!$G$10-Статистика!$C$10,0.000001),NA())</f>
        <v>#N/A</v>
      </c>
      <c r="CL145" s="12" t="e">
        <f>IF(AND(Y145&lt;&gt;"",Статистика!$I$6="Вкл",Статистика!$H$6&gt;0),(Статистика!$H$6-Статистика!$C$10)/MAX(Статистика!$G$10-Статистика!$C$10,0.000001),NA())</f>
        <v>#N/A</v>
      </c>
      <c r="CM145" s="12" t="e">
        <f>IF(AND(Y145&lt;&gt;"",Статистика!$L$6="Вкл",Статистика!$K$6&gt;0),(Статистика!$K$6-Статистика!$C$10)/MAX(Статистика!$G$10-Статистика!$C$10,0.000001),NA())</f>
        <v>#N/A</v>
      </c>
      <c r="CN145" s="12" t="e">
        <f>IF(AND(Y145&lt;&gt;"",Статистика!$M$6="Вкл",Статистика!$O$6&gt;0),(Статистика!$O$6-Статистика!$C$10)/MAX(Статистика!$G$10-Статистика!$C$10,0.000001),NA())</f>
        <v>#N/A</v>
      </c>
      <c r="CO145" s="12">
        <f t="shared" si="5"/>
        <v>1</v>
      </c>
    </row>
    <row r="146" spans="1:93" ht="15" customHeight="1">
      <c r="A146" s="12" t="s">
        <v>639</v>
      </c>
      <c r="B146" s="12">
        <v>3403.701369833333</v>
      </c>
      <c r="C146" s="12">
        <v>6110.5635158333343</v>
      </c>
      <c r="D146" s="12">
        <v>7408.4366933333331</v>
      </c>
      <c r="E146" s="12">
        <v>7708.5276583333334</v>
      </c>
      <c r="F146" s="12">
        <v>7912.666650000001</v>
      </c>
      <c r="G146" s="12">
        <v>8041.6858250000005</v>
      </c>
      <c r="H146" s="12">
        <v>8299.7466166666673</v>
      </c>
      <c r="I146" s="12">
        <v>8385.0515083333339</v>
      </c>
      <c r="J146" s="12">
        <v>8397.3094216666668</v>
      </c>
      <c r="K146" s="12">
        <v>8547.0300000000007</v>
      </c>
      <c r="L146" s="12" t="s">
        <v>640</v>
      </c>
      <c r="M146" s="12">
        <v>4039.8036003333332</v>
      </c>
      <c r="N146" s="12">
        <v>6957.6780016666671</v>
      </c>
      <c r="O146" s="12">
        <v>8384.5019133333335</v>
      </c>
      <c r="P146" s="12">
        <v>8687.3197916666668</v>
      </c>
      <c r="Q146" s="12">
        <v>8916.6622500000012</v>
      </c>
      <c r="R146" s="12">
        <v>9082.2959249999985</v>
      </c>
      <c r="S146" s="12">
        <v>9295.7914149999997</v>
      </c>
      <c r="T146" s="12">
        <v>9406.1919191666675</v>
      </c>
      <c r="U146" s="12">
        <v>9424.2858505000004</v>
      </c>
      <c r="V146" s="12">
        <v>9595.2199999999993</v>
      </c>
      <c r="W146" s="12" t="s">
        <v>640</v>
      </c>
      <c r="Y146" s="12" t="s">
        <v>639</v>
      </c>
      <c r="Z146" s="12">
        <v>7586.8780101666671</v>
      </c>
      <c r="AA146" s="12">
        <v>7597.0372508333339</v>
      </c>
      <c r="AB146" s="12">
        <v>7609.7363016666668</v>
      </c>
      <c r="AC146" s="12">
        <v>7718.2942416666674</v>
      </c>
      <c r="AD146" s="12">
        <v>7948.1988833333344</v>
      </c>
      <c r="AE146" s="12">
        <v>8071.1639999999998</v>
      </c>
      <c r="AF146" s="12">
        <v>8515.8616333333321</v>
      </c>
      <c r="AG146" s="12">
        <v>8541.0532833333327</v>
      </c>
      <c r="AH146" s="12">
        <v>8561.206603333334</v>
      </c>
      <c r="AI146" s="12">
        <v>8680.6299999999992</v>
      </c>
      <c r="AJ146" s="12" t="s">
        <v>641</v>
      </c>
      <c r="AK146" s="12">
        <v>8588.8420823333345</v>
      </c>
      <c r="AL146" s="12">
        <v>8591.6709449999998</v>
      </c>
      <c r="AM146" s="12">
        <v>8595.2070233333343</v>
      </c>
      <c r="AN146" s="12">
        <v>8643.2706999999991</v>
      </c>
      <c r="AO146" s="12">
        <v>8958.5524499999992</v>
      </c>
      <c r="AP146" s="12">
        <v>9153.2643666666663</v>
      </c>
      <c r="AQ146" s="12">
        <v>9490.2905133333334</v>
      </c>
      <c r="AR146" s="12">
        <v>9535.600723333333</v>
      </c>
      <c r="AS146" s="12">
        <v>9571.8488913333349</v>
      </c>
      <c r="AT146" s="12">
        <v>9671.5499999999993</v>
      </c>
      <c r="AU146" s="12" t="s">
        <v>642</v>
      </c>
      <c r="AW146" s="12">
        <f>IF(A146="","",MAX(0,MIN(1,(((IF(Статистика!$C$4="Параллельный режим (активная мощность)",B146,M146)+Статистика!$J$4))-Статистика!$C$10)/MAX(Статистика!$G$10-Статистика!$C$10,0.000001))))</f>
        <v>0</v>
      </c>
      <c r="AX146" s="12">
        <f>IF(A146="","",MAX(0,MAX(0,MIN(1,(((IF(Статистика!$C$4="Параллельный режим (активная мощность)",D146,O146)+Статистика!$J$4))-Статистика!$C$10)/MAX(Статистика!$G$10-Статистика!$C$10,0.000001)))-MAX(0,MIN(1,(((IF(Статистика!$C$4="Параллельный режим (активная мощность)",B146,M146)+Статистика!$J$4))-Статистика!$C$10)/MAX(Статистика!$G$10-Статистика!$C$10,0.000001)))))</f>
        <v>0.46947889777777768</v>
      </c>
      <c r="AY146" s="12">
        <f>IF(A146="","",MAX(0,MAX(0,MIN(1,(((IF(Статистика!$C$4="Параллельный режим (активная мощность)",E146,P146)+Статистика!$J$4))-Статистика!$C$10)/MAX(Статистика!$G$10-Статистика!$C$10,0.000001)))-MAX(0,MIN(1,(((IF(Статистика!$C$4="Параллельный режим (активная мощность)",D146,O146)+Статистика!$J$4))-Статистика!$C$10)/MAX(Статистика!$G$10-Статистика!$C$10,0.000001)))))</f>
        <v>0.10003032166666675</v>
      </c>
      <c r="AZ146" s="12">
        <f>IF(A146="","",MAX(0,MAX(0,MIN(1,(((IF(Статистика!$C$4="Параллельный режим (активная мощность)",F146,Q146)+Статистика!$J$4))-Статистика!$C$10)/MAX(Статистика!$G$10-Статистика!$C$10,0.000001)))-MAX(0,MIN(1,(((IF(Статистика!$C$4="Параллельный режим (активная мощность)",E146,P146)+Статистика!$J$4))-Статистика!$C$10)/MAX(Статистика!$G$10-Статистика!$C$10,0.000001)))))</f>
        <v>6.8046330555555867E-2</v>
      </c>
      <c r="BA146" s="12">
        <f>IF(A146="","",MAX(0,MAX(0,MIN(1,(((IF(Статистика!$C$4="Параллельный режим (активная мощность)",G146,R146)+Статистика!$J$4))-Статистика!$C$10)/MAX(Статистика!$G$10-Статистика!$C$10,0.000001)))-MAX(0,MIN(1,(((IF(Статистика!$C$4="Параллельный режим (активная мощность)",F146,Q146)+Статистика!$J$4))-Статистика!$C$10)/MAX(Статистика!$G$10-Статистика!$C$10,0.000001)))))</f>
        <v>4.3006391666666532E-2</v>
      </c>
      <c r="BB146" s="12">
        <f>IF(A146="","",MAX(0,MAX(0,MIN(1,(((IF(Статистика!$C$4="Параллельный режим (активная мощность)",H146,S146)+Статистика!$J$4))-Статистика!$C$10)/MAX(Статистика!$G$10-Статистика!$C$10,0.000001)))-MAX(0,MIN(1,(((IF(Статистика!$C$4="Параллельный режим (активная мощность)",G146,R146)+Статистика!$J$4))-Статистика!$C$10)/MAX(Статистика!$G$10-Статистика!$C$10,0.000001)))))</f>
        <v>8.6020263888888948E-2</v>
      </c>
      <c r="BC146" s="12">
        <f>IF(A146="","",MAX(0,MAX(0,MIN(1,(((IF(Статистика!$C$4="Параллельный режим (активная мощность)",J146,U146)+Статистика!$J$4))-Статистика!$C$10)/MAX(Статистика!$G$10-Статистика!$C$10,0.000001)))-MAX(0,MIN(1,(((IF(Статистика!$C$4="Параллельный режим (активная мощность)",H146,S146)+Статистика!$J$4))-Статистика!$C$10)/MAX(Статистика!$G$10-Статистика!$C$10,0.000001)))))</f>
        <v>3.2520934999999862E-2</v>
      </c>
      <c r="BD146" s="12">
        <f>IF(A146="","",MAX(0,1-MAX(0,MIN(1,(((IF(Статистика!$C$4="Параллельный режим (активная мощность)",J146,U146)+Статистика!$J$4))-Статистика!$C$10)/MAX(Статистика!$G$10-Статистика!$C$10,0.000001)))))</f>
        <v>0.20089685944444435</v>
      </c>
      <c r="BE146" s="12">
        <f>IF(A146="",NA(),IF(Статистика!$B$8="Вкл",(((IF(Статистика!$C$4="Параллельный режим (активная мощность)",F146,Q146)+Статистика!$J$4))-Статистика!$C$10)/MAX(Статистика!$G$10-Статистика!$C$10,0.000001),NA()))</f>
        <v>0.6375555500000003</v>
      </c>
      <c r="BF146" s="12">
        <f>IF(A146="",NA(),IF(Статистика!$D$8="Вкл",(((IF(Статистика!$C$4="Параллельный режим (активная мощность)",E146,P146)+Статистика!$J$4))-Статистика!$C$10)/MAX(Статистика!$G$10-Статистика!$C$10,0.000001),NA()))</f>
        <v>0.56950921944444444</v>
      </c>
      <c r="BG146" s="12">
        <f>IF(A146="",NA(),IF(Статистика!$D$8="Вкл",(((IF(Статистика!$C$4="Параллельный режим (активная мощность)",G146,R146)+Статистика!$J$4))-Статистика!$C$10)/MAX(Статистика!$G$10-Статистика!$C$10,0.000001),NA()))</f>
        <v>0.68056194166666684</v>
      </c>
      <c r="BH146" s="12">
        <f>IF(A146="",NA(),IF(Статистика!$F$8="Вкл",(((IF(Статистика!$C$4="Параллельный режим (активная мощность)",D146,O146)+Статистика!$J$4))-Статистика!$C$10)/MAX(Статистика!$G$10-Статистика!$C$10,0.000001),NA()))</f>
        <v>0.46947889777777768</v>
      </c>
      <c r="BI146" s="12">
        <f>IF(A146="",NA(),IF(Статистика!$F$8="Вкл",(((IF(Статистика!$C$4="Параллельный режим (активная мощность)",H146,S146)+Статистика!$J$4))-Статистика!$C$10)/MAX(Статистика!$G$10-Статистика!$C$10,0.000001),NA()))</f>
        <v>0.76658220555555578</v>
      </c>
      <c r="BJ146" s="12">
        <f>IF(A146="",NA(),IF(Статистика!$H$8="Вкл",(((IF(Статистика!$C$4="Параллельный режим (активная мощность)",B146,M146)+Статистика!$J$4))-Статистика!$C$10)/MAX(Статистика!$G$10-Статистика!$C$10,0.000001),NA()))</f>
        <v>-0.86543287672222236</v>
      </c>
      <c r="BK146" s="12">
        <f>IF(A146="",NA(),IF(Статистика!$H$8="Вкл",(((IF(Статистика!$C$4="Параллельный режим (активная мощность)",J146,U146)+Статистика!$J$4))-Статистика!$C$10)/MAX(Статистика!$G$10-Статистика!$C$10,0.000001),NA()))</f>
        <v>0.79910314055555565</v>
      </c>
      <c r="BL146" s="12" t="e">
        <f>IF(A146="",NA(),IF(Статистика!$J$8="Вкл",(((IF(Статистика!$C$4="Параллельный режим (активная мощность)",K146,V146)+Статистика!$J$4))-Статистика!$C$10)/MAX(Статистика!$G$10-Статистика!$C$10,0.000001),NA()))</f>
        <v>#N/A</v>
      </c>
      <c r="BM146" s="12" t="e">
        <f>IF(AND(A146&lt;&gt;"",Статистика!$C$6="Вкл",Статистика!$B$6&gt;0),(Статистика!$B$6-Статистика!$C$10)/MAX(Статистика!$G$10-Статистика!$C$10,0.000001),NA())</f>
        <v>#N/A</v>
      </c>
      <c r="BN146" s="12" t="e">
        <f>IF(AND(A146&lt;&gt;"",Статистика!$F$6="Вкл",Статистика!$E$6&gt;0),(Статистика!$E$6-Статистика!$C$10)/MAX(Статистика!$G$10-Статистика!$C$10,0.000001),NA())</f>
        <v>#N/A</v>
      </c>
      <c r="BO146" s="12" t="e">
        <f>IF(AND(A146&lt;&gt;"",Статистика!$I$6="Вкл",Статистика!$H$6&gt;0),(Статистика!$H$6-Статистика!$C$10)/MAX(Статистика!$G$10-Статистика!$C$10,0.000001),NA())</f>
        <v>#N/A</v>
      </c>
      <c r="BP146" s="12" t="e">
        <f>IF(AND(A146&lt;&gt;"",Статистика!$L$6="Вкл",Статистика!$K$6&gt;0),(Статистика!$K$6-Статистика!$C$10)/MAX(Статистика!$G$10-Статистика!$C$10,0.000001),NA())</f>
        <v>#N/A</v>
      </c>
      <c r="BQ146" s="12" t="e">
        <f>IF(AND(A146&lt;&gt;"",Статистика!$M$6="Вкл",Статистика!$O$6&gt;0),(Статистика!$O$6-Статистика!$C$10)/MAX(Статистика!$G$10-Статистика!$C$10,0.000001),NA())</f>
        <v>#N/A</v>
      </c>
      <c r="BR146" s="12">
        <f t="shared" si="4"/>
        <v>1</v>
      </c>
      <c r="BT146" s="12">
        <f>IF(Y146="","",MAX(0,MIN(1,(((IF(Статистика!$C$4="Параллельный режим (активная мощность)",Z146,AK146)+Статистика!$J$4))-Статистика!$C$10)/MAX(Статистика!$G$10-Статистика!$C$10,0.000001))))</f>
        <v>0.5289593367222224</v>
      </c>
      <c r="BU146" s="12">
        <f>IF(Y146="","",MAX(0,MAX(0,MIN(1,(((IF(Статистика!$C$4="Параллельный режим (активная мощность)",AB146,AM146)+Статистика!$J$4))-Статистика!$C$10)/MAX(Статистика!$G$10-Статистика!$C$10,0.000001)))-MAX(0,MIN(1,(((IF(Статистика!$C$4="Параллельный режим (активная мощность)",Z146,AK146)+Статистика!$J$4))-Статистика!$C$10)/MAX(Статистика!$G$10-Статистика!$C$10,0.000001)))))</f>
        <v>7.619430499999913E-3</v>
      </c>
      <c r="BV146" s="12">
        <f>IF(Y146="","",MAX(0,MAX(0,MIN(1,(((IF(Статистика!$C$4="Параллельный режим (активная мощность)",AC146,AN146)+Статистика!$J$4))-Статистика!$C$10)/MAX(Статистика!$G$10-Статистика!$C$10,0.000001)))-MAX(0,MIN(1,(((IF(Статистика!$C$4="Параллельный режим (активная мощность)",AB146,AM146)+Статистика!$J$4))-Статистика!$C$10)/MAX(Статистика!$G$10-Статистика!$C$10,0.000001)))))</f>
        <v>3.6185980000000173E-2</v>
      </c>
      <c r="BW146" s="12">
        <f>IF(Y146="","",MAX(0,MAX(0,MIN(1,(((IF(Статистика!$C$4="Параллельный режим (активная мощность)",AD146,AO146)+Статистика!$J$4))-Статистика!$C$10)/MAX(Статистика!$G$10-Статистика!$C$10,0.000001)))-MAX(0,MIN(1,(((IF(Статистика!$C$4="Параллельный режим (активная мощность)",AC146,AN146)+Статистика!$J$4))-Статистика!$C$10)/MAX(Статистика!$G$10-Статистика!$C$10,0.000001)))))</f>
        <v>7.6634880555555673E-2</v>
      </c>
      <c r="BX146" s="12">
        <f>IF(Y146="","",MAX(0,MAX(0,MIN(1,(((IF(Статистика!$C$4="Параллельный режим (активная мощность)",AE146,AP146)+Статистика!$J$4))-Статистика!$C$10)/MAX(Статистика!$G$10-Статистика!$C$10,0.000001)))-MAX(0,MIN(1,(((IF(Статистика!$C$4="Параллельный режим (активная мощность)",AD146,AO146)+Статистика!$J$4))-Статистика!$C$10)/MAX(Статистика!$G$10-Статистика!$C$10,0.000001)))))</f>
        <v>4.0988372222221736E-2</v>
      </c>
      <c r="BY146" s="12">
        <f>IF(Y146="","",MAX(0,MAX(0,MIN(1,(((IF(Статистика!$C$4="Параллельный режим (активная мощность)",AF146,AQ146)+Статистика!$J$4))-Статистика!$C$10)/MAX(Статистика!$G$10-Статистика!$C$10,0.000001)))-MAX(0,MIN(1,(((IF(Статистика!$C$4="Параллельный режим (активная мощность)",AE146,AP146)+Статистика!$J$4))-Статистика!$C$10)/MAX(Статистика!$G$10-Статистика!$C$10,0.000001)))))</f>
        <v>0.14823254444444411</v>
      </c>
      <c r="BZ146" s="12">
        <f>IF(Y146="","",MAX(0,MAX(0,MIN(1,(((IF(Статистика!$C$4="Параллельный режим (активная мощность)",AH146,AS146)+Статистика!$J$4))-Статистика!$C$10)/MAX(Статистика!$G$10-Статистика!$C$10,0.000001)))-MAX(0,MIN(1,(((IF(Статистика!$C$4="Параллельный режим (активная мощность)",AF146,AQ146)+Статистика!$J$4))-Статистика!$C$10)/MAX(Статистика!$G$10-Статистика!$C$10,0.000001)))))</f>
        <v>1.5114990000000605E-2</v>
      </c>
      <c r="CA146" s="12">
        <f>IF(Y146="","",MAX(0,1-MAX(0,MIN(1,(((IF(Статистика!$C$4="Параллельный режим (активная мощность)",AH146,AS146)+Статистика!$J$4))-Статистика!$C$10)/MAX(Статистика!$G$10-Статистика!$C$10,0.000001)))))</f>
        <v>0.14626446555555539</v>
      </c>
      <c r="CB146" s="12">
        <f>IF(Y146="",NA(),IF(Статистика!$B$8="Вкл",(((IF(Статистика!$C$4="Параллельный режим (активная мощность)",AD146,AO146)+Статистика!$J$4))-Статистика!$C$10)/MAX(Статистика!$G$10-Статистика!$C$10,0.000001),NA()))</f>
        <v>0.64939962777777815</v>
      </c>
      <c r="CC146" s="12">
        <f>IF(Y146="",NA(),IF(Статистика!$D$8="Вкл",(((IF(Статистика!$C$4="Параллельный режим (активная мощность)",AC146,AN146)+Статистика!$J$4))-Статистика!$C$10)/MAX(Статистика!$G$10-Статистика!$C$10,0.000001),NA()))</f>
        <v>0.57276474722222248</v>
      </c>
      <c r="CD146" s="12">
        <f>IF(Y146="",NA(),IF(Статистика!$D$8="Вкл",(((IF(Статистика!$C$4="Параллельный режим (активная мощность)",AE146,AP146)+Статистика!$J$4))-Статистика!$C$10)/MAX(Статистика!$G$10-Статистика!$C$10,0.000001),NA()))</f>
        <v>0.69038799999999989</v>
      </c>
      <c r="CE146" s="12">
        <f>IF(Y146="",NA(),IF(Статистика!$F$8="Вкл",(((IF(Статистика!$C$4="Параллельный режим (активная мощность)",AB146,AM146)+Статистика!$J$4))-Статистика!$C$10)/MAX(Статистика!$G$10-Статистика!$C$10,0.000001),NA()))</f>
        <v>0.53657876722222231</v>
      </c>
      <c r="CF146" s="12">
        <f>IF(Y146="",NA(),IF(Статистика!$F$8="Вкл",(((IF(Статистика!$C$4="Параллельный режим (активная мощность)",AF146,AQ146)+Статистика!$J$4))-Статистика!$C$10)/MAX(Статистика!$G$10-Статистика!$C$10,0.000001),NA()))</f>
        <v>0.838620544444444</v>
      </c>
      <c r="CG146" s="12">
        <f>IF(Y146="",NA(),IF(Статистика!$H$8="Вкл",(((IF(Статистика!$C$4="Параллельный режим (активная мощность)",Z146,AK146)+Статистика!$J$4))-Статистика!$C$10)/MAX(Статистика!$G$10-Статистика!$C$10,0.000001),NA()))</f>
        <v>0.5289593367222224</v>
      </c>
      <c r="CH146" s="12">
        <f>IF(Y146="",NA(),IF(Статистика!$H$8="Вкл",(((IF(Статистика!$C$4="Параллельный режим (активная мощность)",AH146,AS146)+Статистика!$J$4))-Статистика!$C$10)/MAX(Статистика!$G$10-Статистика!$C$10,0.000001),NA()))</f>
        <v>0.85373553444444461</v>
      </c>
      <c r="CI146" s="12" t="e">
        <f>IF(Y146="",NA(),IF(Статистика!$J$8="Вкл",(((IF(Статистика!$C$4="Параллельный режим (активная мощность)",AI146,AT146)+Статистика!$J$4))-Статистика!$C$10)/MAX(Статистика!$G$10-Статистика!$C$10,0.000001),NA()))</f>
        <v>#N/A</v>
      </c>
      <c r="CJ146" s="12" t="e">
        <f>IF(AND(Y146&lt;&gt;"",Статистика!$C$6="Вкл",Статистика!$B$6&gt;0),(Статистика!$B$6-Статистика!$C$10)/MAX(Статистика!$G$10-Статистика!$C$10,0.000001),NA())</f>
        <v>#N/A</v>
      </c>
      <c r="CK146" s="12" t="e">
        <f>IF(AND(Y146&lt;&gt;"",Статистика!$F$6="Вкл",Статистика!$E$6&gt;0),(Статистика!$E$6-Статистика!$C$10)/MAX(Статистика!$G$10-Статистика!$C$10,0.000001),NA())</f>
        <v>#N/A</v>
      </c>
      <c r="CL146" s="12" t="e">
        <f>IF(AND(Y146&lt;&gt;"",Статистика!$I$6="Вкл",Статистика!$H$6&gt;0),(Статистика!$H$6-Статистика!$C$10)/MAX(Статистика!$G$10-Статистика!$C$10,0.000001),NA())</f>
        <v>#N/A</v>
      </c>
      <c r="CM146" s="12" t="e">
        <f>IF(AND(Y146&lt;&gt;"",Статистика!$L$6="Вкл",Статистика!$K$6&gt;0),(Статистика!$K$6-Статистика!$C$10)/MAX(Статистика!$G$10-Статистика!$C$10,0.000001),NA())</f>
        <v>#N/A</v>
      </c>
      <c r="CN146" s="12" t="e">
        <f>IF(AND(Y146&lt;&gt;"",Статистика!$M$6="Вкл",Статистика!$O$6&gt;0),(Статистика!$O$6-Статистика!$C$10)/MAX(Статистика!$G$10-Статистика!$C$10,0.000001),NA())</f>
        <v>#N/A</v>
      </c>
      <c r="CO146" s="12">
        <f t="shared" si="5"/>
        <v>1</v>
      </c>
    </row>
    <row r="147" spans="1:93" ht="15" customHeight="1">
      <c r="A147" s="12" t="s">
        <v>643</v>
      </c>
      <c r="B147" s="12">
        <v>3404.0946098333334</v>
      </c>
      <c r="C147" s="12">
        <v>6106.9191824999998</v>
      </c>
      <c r="D147" s="12">
        <v>7480.3590083333329</v>
      </c>
      <c r="E147" s="12">
        <v>7669.7255166666664</v>
      </c>
      <c r="F147" s="12">
        <v>7874.4366499999996</v>
      </c>
      <c r="G147" s="12">
        <v>8056.428825</v>
      </c>
      <c r="H147" s="12">
        <v>8303.2986383333318</v>
      </c>
      <c r="I147" s="12">
        <v>8396.9038716666673</v>
      </c>
      <c r="J147" s="12">
        <v>8407.8246143333326</v>
      </c>
      <c r="K147" s="12">
        <v>8492.67</v>
      </c>
      <c r="L147" s="12" t="s">
        <v>644</v>
      </c>
      <c r="M147" s="12">
        <v>4054.0042451666668</v>
      </c>
      <c r="N147" s="12">
        <v>6960.3281591666673</v>
      </c>
      <c r="O147" s="12">
        <v>8409.8087366666659</v>
      </c>
      <c r="P147" s="12">
        <v>8642.1627833333332</v>
      </c>
      <c r="Q147" s="12">
        <v>8882.720933333334</v>
      </c>
      <c r="R147" s="12">
        <v>9101.9500083333332</v>
      </c>
      <c r="S147" s="12">
        <v>9321.6634283333333</v>
      </c>
      <c r="T147" s="12">
        <v>9393.7255408333331</v>
      </c>
      <c r="U147" s="12">
        <v>9425.1820148333336</v>
      </c>
      <c r="V147" s="12">
        <v>9533.99</v>
      </c>
      <c r="W147" s="12" t="s">
        <v>645</v>
      </c>
      <c r="Y147" s="12" t="s">
        <v>643</v>
      </c>
      <c r="Z147" s="12">
        <v>7556.1754255000005</v>
      </c>
      <c r="AA147" s="12">
        <v>7572.5560608333335</v>
      </c>
      <c r="AB147" s="12">
        <v>7593.0318550000002</v>
      </c>
      <c r="AC147" s="12">
        <v>7740.498716666666</v>
      </c>
      <c r="AD147" s="12">
        <v>7920.0147666666662</v>
      </c>
      <c r="AE147" s="12">
        <v>8013.838925</v>
      </c>
      <c r="AF147" s="12">
        <v>8473.8962699999993</v>
      </c>
      <c r="AG147" s="12">
        <v>8522.2000016666661</v>
      </c>
      <c r="AH147" s="12">
        <v>8560.842987</v>
      </c>
      <c r="AI147" s="12">
        <v>8665.32</v>
      </c>
      <c r="AJ147" s="12" t="s">
        <v>646</v>
      </c>
      <c r="AK147" s="12">
        <v>8586.0277269999988</v>
      </c>
      <c r="AL147" s="12">
        <v>8590.0753016666658</v>
      </c>
      <c r="AM147" s="12">
        <v>8595.1347699999988</v>
      </c>
      <c r="AN147" s="12">
        <v>8631.4610416666674</v>
      </c>
      <c r="AO147" s="12">
        <v>8938.6070666666674</v>
      </c>
      <c r="AP147" s="12">
        <v>9110.8839750000006</v>
      </c>
      <c r="AQ147" s="12">
        <v>9457.1257799999985</v>
      </c>
      <c r="AR147" s="12">
        <v>9516.4972899999975</v>
      </c>
      <c r="AS147" s="12">
        <v>9563.9944979999982</v>
      </c>
      <c r="AT147" s="12">
        <v>9671.7199999999993</v>
      </c>
      <c r="AU147" s="12" t="s">
        <v>646</v>
      </c>
      <c r="AW147" s="12">
        <f>IF(A147="","",MAX(0,MIN(1,(((IF(Статистика!$C$4="Параллельный режим (активная мощность)",B147,M147)+Статистика!$J$4))-Статистика!$C$10)/MAX(Статистика!$G$10-Статистика!$C$10,0.000001))))</f>
        <v>0</v>
      </c>
      <c r="AX147" s="12">
        <f>IF(A147="","",MAX(0,MAX(0,MIN(1,(((IF(Статистика!$C$4="Параллельный режим (активная мощность)",D147,O147)+Статистика!$J$4))-Статистика!$C$10)/MAX(Статистика!$G$10-Статистика!$C$10,0.000001)))-MAX(0,MIN(1,(((IF(Статистика!$C$4="Параллельный режим (активная мощность)",B147,M147)+Статистика!$J$4))-Статистика!$C$10)/MAX(Статистика!$G$10-Статистика!$C$10,0.000001)))))</f>
        <v>0.49345300277777765</v>
      </c>
      <c r="AY147" s="12">
        <f>IF(A147="","",MAX(0,MAX(0,MIN(1,(((IF(Статистика!$C$4="Параллельный режим (активная мощность)",E147,P147)+Статистика!$J$4))-Статистика!$C$10)/MAX(Статистика!$G$10-Статистика!$C$10,0.000001)))-MAX(0,MIN(1,(((IF(Статистика!$C$4="Параллельный режим (активная мощность)",D147,O147)+Статистика!$J$4))-Статистика!$C$10)/MAX(Статистика!$G$10-Статистика!$C$10,0.000001)))))</f>
        <v>6.3122169444444431E-2</v>
      </c>
      <c r="AZ147" s="12">
        <f>IF(A147="","",MAX(0,MAX(0,MIN(1,(((IF(Статистика!$C$4="Параллельный режим (активная мощность)",F147,Q147)+Статистика!$J$4))-Статистика!$C$10)/MAX(Статистика!$G$10-Статистика!$C$10,0.000001)))-MAX(0,MIN(1,(((IF(Статистика!$C$4="Параллельный режим (активная мощность)",E147,P147)+Статистика!$J$4))-Статистика!$C$10)/MAX(Статистика!$G$10-Статистика!$C$10,0.000001)))))</f>
        <v>6.823704444444445E-2</v>
      </c>
      <c r="BA147" s="12">
        <f>IF(A147="","",MAX(0,MAX(0,MIN(1,(((IF(Статистика!$C$4="Параллельный режим (активная мощность)",G147,R147)+Статистика!$J$4))-Статистика!$C$10)/MAX(Статистика!$G$10-Статистика!$C$10,0.000001)))-MAX(0,MIN(1,(((IF(Статистика!$C$4="Параллельный режим (активная мощность)",F147,Q147)+Статистика!$J$4))-Статистика!$C$10)/MAX(Статистика!$G$10-Статистика!$C$10,0.000001)))))</f>
        <v>6.0664058333333437E-2</v>
      </c>
      <c r="BB147" s="12">
        <f>IF(A147="","",MAX(0,MAX(0,MIN(1,(((IF(Статистика!$C$4="Параллельный режим (активная мощность)",H147,S147)+Статистика!$J$4))-Статистика!$C$10)/MAX(Статистика!$G$10-Статистика!$C$10,0.000001)))-MAX(0,MIN(1,(((IF(Статистика!$C$4="Параллельный режим (активная мощность)",G147,R147)+Статистика!$J$4))-Статистика!$C$10)/MAX(Статистика!$G$10-Статистика!$C$10,0.000001)))))</f>
        <v>8.2289937777777267E-2</v>
      </c>
      <c r="BC147" s="12">
        <f>IF(A147="","",MAX(0,MAX(0,MIN(1,(((IF(Статистика!$C$4="Параллельный режим (активная мощность)",J147,U147)+Статистика!$J$4))-Статистика!$C$10)/MAX(Статистика!$G$10-Статистика!$C$10,0.000001)))-MAX(0,MIN(1,(((IF(Статистика!$C$4="Параллельный режим (активная мощность)",H147,S147)+Статистика!$J$4))-Статистика!$C$10)/MAX(Статистика!$G$10-Статистика!$C$10,0.000001)))))</f>
        <v>3.4841992000000266E-2</v>
      </c>
      <c r="BD147" s="12">
        <f>IF(A147="","",MAX(0,1-MAX(0,MIN(1,(((IF(Статистика!$C$4="Параллельный режим (активная мощность)",J147,U147)+Статистика!$J$4))-Статистика!$C$10)/MAX(Статистика!$G$10-Статистика!$C$10,0.000001)))))</f>
        <v>0.1973917952222225</v>
      </c>
      <c r="BE147" s="12">
        <f>IF(A147="",NA(),IF(Статистика!$B$8="Вкл",(((IF(Статистика!$C$4="Параллельный режим (активная мощность)",F147,Q147)+Статистика!$J$4))-Статистика!$C$10)/MAX(Статистика!$G$10-Статистика!$C$10,0.000001),NA()))</f>
        <v>0.62481221666666653</v>
      </c>
      <c r="BF147" s="12">
        <f>IF(A147="",NA(),IF(Статистика!$D$8="Вкл",(((IF(Статистика!$C$4="Параллельный режим (активная мощность)",E147,P147)+Статистика!$J$4))-Статистика!$C$10)/MAX(Статистика!$G$10-Статистика!$C$10,0.000001),NA()))</f>
        <v>0.55657517222222208</v>
      </c>
      <c r="BG147" s="12">
        <f>IF(A147="",NA(),IF(Статистика!$D$8="Вкл",(((IF(Статистика!$C$4="Параллельный режим (активная мощность)",G147,R147)+Статистика!$J$4))-Статистика!$C$10)/MAX(Статистика!$G$10-Статистика!$C$10,0.000001),NA()))</f>
        <v>0.68547627499999997</v>
      </c>
      <c r="BH147" s="12">
        <f>IF(A147="",NA(),IF(Статистика!$F$8="Вкл",(((IF(Статистика!$C$4="Параллельный режим (активная мощность)",D147,O147)+Статистика!$J$4))-Статистика!$C$10)/MAX(Статистика!$G$10-Статистика!$C$10,0.000001),NA()))</f>
        <v>0.49345300277777765</v>
      </c>
      <c r="BI147" s="12">
        <f>IF(A147="",NA(),IF(Статистика!$F$8="Вкл",(((IF(Статистика!$C$4="Параллельный режим (активная мощность)",H147,S147)+Статистика!$J$4))-Статистика!$C$10)/MAX(Статистика!$G$10-Статистика!$C$10,0.000001),NA()))</f>
        <v>0.76776621277777723</v>
      </c>
      <c r="BJ147" s="12">
        <f>IF(A147="",NA(),IF(Статистика!$H$8="Вкл",(((IF(Статистика!$C$4="Параллельный режим (активная мощность)",B147,M147)+Статистика!$J$4))-Статистика!$C$10)/MAX(Статистика!$G$10-Статистика!$C$10,0.000001),NA()))</f>
        <v>-0.86530179672222218</v>
      </c>
      <c r="BK147" s="12">
        <f>IF(A147="",NA(),IF(Статистика!$H$8="Вкл",(((IF(Статистика!$C$4="Параллельный режим (активная мощность)",J147,U147)+Статистика!$J$4))-Статистика!$C$10)/MAX(Статистика!$G$10-Статистика!$C$10,0.000001),NA()))</f>
        <v>0.8026082047777775</v>
      </c>
      <c r="BL147" s="12" t="e">
        <f>IF(A147="",NA(),IF(Статистика!$J$8="Вкл",(((IF(Статистика!$C$4="Параллельный режим (активная мощность)",K147,V147)+Статистика!$J$4))-Статистика!$C$10)/MAX(Статистика!$G$10-Статистика!$C$10,0.000001),NA()))</f>
        <v>#N/A</v>
      </c>
      <c r="BM147" s="12" t="e">
        <f>IF(AND(A147&lt;&gt;"",Статистика!$C$6="Вкл",Статистика!$B$6&gt;0),(Статистика!$B$6-Статистика!$C$10)/MAX(Статистика!$G$10-Статистика!$C$10,0.000001),NA())</f>
        <v>#N/A</v>
      </c>
      <c r="BN147" s="12" t="e">
        <f>IF(AND(A147&lt;&gt;"",Статистика!$F$6="Вкл",Статистика!$E$6&gt;0),(Статистика!$E$6-Статистика!$C$10)/MAX(Статистика!$G$10-Статистика!$C$10,0.000001),NA())</f>
        <v>#N/A</v>
      </c>
      <c r="BO147" s="12" t="e">
        <f>IF(AND(A147&lt;&gt;"",Статистика!$I$6="Вкл",Статистика!$H$6&gt;0),(Статистика!$H$6-Статистика!$C$10)/MAX(Статистика!$G$10-Статистика!$C$10,0.000001),NA())</f>
        <v>#N/A</v>
      </c>
      <c r="BP147" s="12" t="e">
        <f>IF(AND(A147&lt;&gt;"",Статистика!$L$6="Вкл",Статистика!$K$6&gt;0),(Статистика!$K$6-Статистика!$C$10)/MAX(Статистика!$G$10-Статистика!$C$10,0.000001),NA())</f>
        <v>#N/A</v>
      </c>
      <c r="BQ147" s="12" t="e">
        <f>IF(AND(A147&lt;&gt;"",Статистика!$M$6="Вкл",Статистика!$O$6&gt;0),(Статистика!$O$6-Статистика!$C$10)/MAX(Статистика!$G$10-Статистика!$C$10,0.000001),NA())</f>
        <v>#N/A</v>
      </c>
      <c r="BR147" s="12">
        <f t="shared" si="4"/>
        <v>1</v>
      </c>
      <c r="BT147" s="12">
        <f>IF(Y147="","",MAX(0,MIN(1,(((IF(Статистика!$C$4="Параллельный режим (активная мощность)",Z147,AK147)+Статистика!$J$4))-Статистика!$C$10)/MAX(Статистика!$G$10-Статистика!$C$10,0.000001))))</f>
        <v>0.51872514183333351</v>
      </c>
      <c r="BU147" s="12">
        <f>IF(Y147="","",MAX(0,MAX(0,MIN(1,(((IF(Статистика!$C$4="Параллельный режим (активная мощность)",AB147,AM147)+Статистика!$J$4))-Статистика!$C$10)/MAX(Статистика!$G$10-Статистика!$C$10,0.000001)))-MAX(0,MIN(1,(((IF(Статистика!$C$4="Параллельный режим (активная мощность)",Z147,AK147)+Статистика!$J$4))-Статистика!$C$10)/MAX(Статистика!$G$10-Статистика!$C$10,0.000001)))))</f>
        <v>1.2285476499999892E-2</v>
      </c>
      <c r="BV147" s="12">
        <f>IF(Y147="","",MAX(0,MAX(0,MIN(1,(((IF(Статистика!$C$4="Параллельный режим (активная мощность)",AC147,AN147)+Статистика!$J$4))-Статистика!$C$10)/MAX(Статистика!$G$10-Статистика!$C$10,0.000001)))-MAX(0,MIN(1,(((IF(Статистика!$C$4="Параллельный режим (активная мощность)",AB147,AM147)+Статистика!$J$4))-Статистика!$C$10)/MAX(Статистика!$G$10-Статистика!$C$10,0.000001)))))</f>
        <v>4.9155620555555224E-2</v>
      </c>
      <c r="BW147" s="12">
        <f>IF(Y147="","",MAX(0,MAX(0,MIN(1,(((IF(Статистика!$C$4="Параллельный режим (активная мощность)",AD147,AO147)+Статистика!$J$4))-Статистика!$C$10)/MAX(Статистика!$G$10-Статистика!$C$10,0.000001)))-MAX(0,MIN(1,(((IF(Статистика!$C$4="Параллельный режим (активная мощность)",AC147,AN147)+Статистика!$J$4))-Статистика!$C$10)/MAX(Статистика!$G$10-Статистика!$C$10,0.000001)))))</f>
        <v>5.983868333333342E-2</v>
      </c>
      <c r="BX147" s="12">
        <f>IF(Y147="","",MAX(0,MAX(0,MIN(1,(((IF(Статистика!$C$4="Параллельный режим (активная мощность)",AE147,AP147)+Статистика!$J$4))-Статистика!$C$10)/MAX(Статистика!$G$10-Статистика!$C$10,0.000001)))-MAX(0,MIN(1,(((IF(Статистика!$C$4="Параллельный режим (активная мощность)",AD147,AO147)+Статистика!$J$4))-Статистика!$C$10)/MAX(Статистика!$G$10-Статистика!$C$10,0.000001)))))</f>
        <v>3.1274719444444599E-2</v>
      </c>
      <c r="BY147" s="12">
        <f>IF(Y147="","",MAX(0,MAX(0,MIN(1,(((IF(Статистика!$C$4="Параллельный режим (активная мощность)",AF147,AQ147)+Статистика!$J$4))-Статистика!$C$10)/MAX(Статистика!$G$10-Статистика!$C$10,0.000001)))-MAX(0,MIN(1,(((IF(Статистика!$C$4="Параллельный режим (активная мощность)",AE147,AP147)+Статистика!$J$4))-Статистика!$C$10)/MAX(Статистика!$G$10-Статистика!$C$10,0.000001)))))</f>
        <v>0.15335244833333306</v>
      </c>
      <c r="BZ147" s="12">
        <f>IF(Y147="","",MAX(0,MAX(0,MIN(1,(((IF(Статистика!$C$4="Параллельный режим (активная мощность)",AH147,AS147)+Статистика!$J$4))-Статистика!$C$10)/MAX(Статистика!$G$10-Статистика!$C$10,0.000001)))-MAX(0,MIN(1,(((IF(Статистика!$C$4="Параллельный режим (активная мощность)",AF147,AQ147)+Статистика!$J$4))-Статистика!$C$10)/MAX(Статистика!$G$10-Статистика!$C$10,0.000001)))))</f>
        <v>2.8982239000000298E-2</v>
      </c>
      <c r="CA147" s="12">
        <f>IF(Y147="","",MAX(0,1-MAX(0,MIN(1,(((IF(Статистика!$C$4="Параллельный режим (активная мощность)",AH147,AS147)+Статистика!$J$4))-Статистика!$C$10)/MAX(Статистика!$G$10-Статистика!$C$10,0.000001)))))</f>
        <v>0.14638567099999999</v>
      </c>
      <c r="CB147" s="12">
        <f>IF(Y147="",NA(),IF(Статистика!$B$8="Вкл",(((IF(Статистика!$C$4="Параллельный режим (активная мощность)",AD147,AO147)+Статистика!$J$4))-Статистика!$C$10)/MAX(Статистика!$G$10-Статистика!$C$10,0.000001),NA()))</f>
        <v>0.64000492222222205</v>
      </c>
      <c r="CC147" s="12">
        <f>IF(Y147="",NA(),IF(Статистика!$D$8="Вкл",(((IF(Статистика!$C$4="Параллельный режим (активная мощность)",AC147,AN147)+Статистика!$J$4))-Статистика!$C$10)/MAX(Статистика!$G$10-Статистика!$C$10,0.000001),NA()))</f>
        <v>0.58016623888888863</v>
      </c>
      <c r="CD147" s="12">
        <f>IF(Y147="",NA(),IF(Статистика!$D$8="Вкл",(((IF(Статистика!$C$4="Параллельный режим (активная мощность)",AE147,AP147)+Статистика!$J$4))-Статистика!$C$10)/MAX(Статистика!$G$10-Статистика!$C$10,0.000001),NA()))</f>
        <v>0.67127964166666665</v>
      </c>
      <c r="CE147" s="12">
        <f>IF(Y147="",NA(),IF(Статистика!$F$8="Вкл",(((IF(Статистика!$C$4="Параллельный режим (активная мощность)",AB147,AM147)+Статистика!$J$4))-Статистика!$C$10)/MAX(Статистика!$G$10-Статистика!$C$10,0.000001),NA()))</f>
        <v>0.53101061833333341</v>
      </c>
      <c r="CF147" s="12">
        <f>IF(Y147="",NA(),IF(Статистика!$F$8="Вкл",(((IF(Статистика!$C$4="Параллельный режим (активная мощность)",AF147,AQ147)+Статистика!$J$4))-Статистика!$C$10)/MAX(Статистика!$G$10-Статистика!$C$10,0.000001),NA()))</f>
        <v>0.82463208999999971</v>
      </c>
      <c r="CG147" s="12">
        <f>IF(Y147="",NA(),IF(Статистика!$H$8="Вкл",(((IF(Статистика!$C$4="Параллельный режим (активная мощность)",Z147,AK147)+Статистика!$J$4))-Статистика!$C$10)/MAX(Статистика!$G$10-Статистика!$C$10,0.000001),NA()))</f>
        <v>0.51872514183333351</v>
      </c>
      <c r="CH147" s="12">
        <f>IF(Y147="",NA(),IF(Статистика!$H$8="Вкл",(((IF(Статистика!$C$4="Параллельный режим (активная мощность)",AH147,AS147)+Статистика!$J$4))-Статистика!$C$10)/MAX(Статистика!$G$10-Статистика!$C$10,0.000001),NA()))</f>
        <v>0.85361432900000001</v>
      </c>
      <c r="CI147" s="12" t="e">
        <f>IF(Y147="",NA(),IF(Статистика!$J$8="Вкл",(((IF(Статистика!$C$4="Параллельный режим (активная мощность)",AI147,AT147)+Статистика!$J$4))-Статистика!$C$10)/MAX(Статистика!$G$10-Статистика!$C$10,0.000001),NA()))</f>
        <v>#N/A</v>
      </c>
      <c r="CJ147" s="12" t="e">
        <f>IF(AND(Y147&lt;&gt;"",Статистика!$C$6="Вкл",Статистика!$B$6&gt;0),(Статистика!$B$6-Статистика!$C$10)/MAX(Статистика!$G$10-Статистика!$C$10,0.000001),NA())</f>
        <v>#N/A</v>
      </c>
      <c r="CK147" s="12" t="e">
        <f>IF(AND(Y147&lt;&gt;"",Статистика!$F$6="Вкл",Статистика!$E$6&gt;0),(Статистика!$E$6-Статистика!$C$10)/MAX(Статистика!$G$10-Статистика!$C$10,0.000001),NA())</f>
        <v>#N/A</v>
      </c>
      <c r="CL147" s="12" t="e">
        <f>IF(AND(Y147&lt;&gt;"",Статистика!$I$6="Вкл",Статистика!$H$6&gt;0),(Статистика!$H$6-Статистика!$C$10)/MAX(Статистика!$G$10-Статистика!$C$10,0.000001),NA())</f>
        <v>#N/A</v>
      </c>
      <c r="CM147" s="12" t="e">
        <f>IF(AND(Y147&lt;&gt;"",Статистика!$L$6="Вкл",Статистика!$K$6&gt;0),(Статистика!$K$6-Статистика!$C$10)/MAX(Статистика!$G$10-Статистика!$C$10,0.000001),NA())</f>
        <v>#N/A</v>
      </c>
      <c r="CN147" s="12" t="e">
        <f>IF(AND(Y147&lt;&gt;"",Статистика!$M$6="Вкл",Статистика!$O$6&gt;0),(Статистика!$O$6-Статистика!$C$10)/MAX(Статистика!$G$10-Статистика!$C$10,0.000001),NA())</f>
        <v>#N/A</v>
      </c>
      <c r="CO147" s="12">
        <f t="shared" si="5"/>
        <v>1</v>
      </c>
    </row>
    <row r="148" spans="1:93" ht="15" customHeight="1">
      <c r="A148" s="12" t="s">
        <v>647</v>
      </c>
      <c r="B148" s="12">
        <v>3406.7718770000001</v>
      </c>
      <c r="C148" s="12">
        <v>6109.1248516666674</v>
      </c>
      <c r="D148" s="12">
        <v>7466.0515100000002</v>
      </c>
      <c r="E148" s="12">
        <v>7692.3190249999989</v>
      </c>
      <c r="F148" s="12">
        <v>7862.3017999999993</v>
      </c>
      <c r="G148" s="12">
        <v>8060.4713166666661</v>
      </c>
      <c r="H148" s="12">
        <v>8322.5660449999996</v>
      </c>
      <c r="I148" s="12">
        <v>8450.3340891666667</v>
      </c>
      <c r="J148" s="12">
        <v>8493.5390045000004</v>
      </c>
      <c r="K148" s="12">
        <v>8670.42</v>
      </c>
      <c r="L148" s="12" t="s">
        <v>648</v>
      </c>
      <c r="M148" s="12">
        <v>4056.4441440000001</v>
      </c>
      <c r="N148" s="12">
        <v>6956.8504533333335</v>
      </c>
      <c r="O148" s="12">
        <v>8419.1236049999989</v>
      </c>
      <c r="P148" s="12">
        <v>8671.9782750000013</v>
      </c>
      <c r="Q148" s="12">
        <v>8881.5374166666661</v>
      </c>
      <c r="R148" s="12">
        <v>9108.9518333333326</v>
      </c>
      <c r="S148" s="12">
        <v>9324.0243833333316</v>
      </c>
      <c r="T148" s="12">
        <v>9440.919182499998</v>
      </c>
      <c r="U148" s="12">
        <v>9512.8981298333329</v>
      </c>
      <c r="V148" s="12">
        <v>9714.56</v>
      </c>
      <c r="W148" s="12" t="s">
        <v>649</v>
      </c>
      <c r="Y148" s="12" t="s">
        <v>647</v>
      </c>
      <c r="Z148" s="12">
        <v>7575.8569330000009</v>
      </c>
      <c r="AA148" s="12">
        <v>7590.560398333334</v>
      </c>
      <c r="AB148" s="12">
        <v>7608.939730000001</v>
      </c>
      <c r="AC148" s="12">
        <v>7734.1251666666667</v>
      </c>
      <c r="AD148" s="12">
        <v>7900.0865999999996</v>
      </c>
      <c r="AE148" s="12">
        <v>8025.8352666666669</v>
      </c>
      <c r="AF148" s="12">
        <v>8482.8461816666677</v>
      </c>
      <c r="AG148" s="12">
        <v>8536.1864741666668</v>
      </c>
      <c r="AH148" s="12">
        <v>8578.8587081666683</v>
      </c>
      <c r="AI148" s="12">
        <v>8657.02</v>
      </c>
      <c r="AJ148" s="12" t="s">
        <v>650</v>
      </c>
      <c r="AK148" s="12">
        <v>8613.1109696666663</v>
      </c>
      <c r="AL148" s="12">
        <v>8613.5160483333329</v>
      </c>
      <c r="AM148" s="12">
        <v>8614.0223966666672</v>
      </c>
      <c r="AN148" s="12">
        <v>8630.0504666666675</v>
      </c>
      <c r="AO148" s="12">
        <v>8959.0217999999986</v>
      </c>
      <c r="AP148" s="12">
        <v>9083.8551249999982</v>
      </c>
      <c r="AQ148" s="12">
        <v>9463.9819783333332</v>
      </c>
      <c r="AR148" s="12">
        <v>9530.9098558333335</v>
      </c>
      <c r="AS148" s="12">
        <v>9584.4521578333333</v>
      </c>
      <c r="AT148" s="12">
        <v>9666.2900000000009</v>
      </c>
      <c r="AU148" s="12" t="s">
        <v>651</v>
      </c>
      <c r="AW148" s="12">
        <f>IF(A148="","",MAX(0,MIN(1,(((IF(Статистика!$C$4="Параллельный режим (активная мощность)",B148,M148)+Статистика!$J$4))-Статистика!$C$10)/MAX(Статистика!$G$10-Статистика!$C$10,0.000001))))</f>
        <v>0</v>
      </c>
      <c r="AX148" s="12">
        <f>IF(A148="","",MAX(0,MAX(0,MIN(1,(((IF(Статистика!$C$4="Параллельный режим (активная мощность)",D148,O148)+Статистика!$J$4))-Статистика!$C$10)/MAX(Статистика!$G$10-Статистика!$C$10,0.000001)))-MAX(0,MIN(1,(((IF(Статистика!$C$4="Параллельный режим (активная мощность)",B148,M148)+Статистика!$J$4))-Статистика!$C$10)/MAX(Статистика!$G$10-Статистика!$C$10,0.000001)))))</f>
        <v>0.48868383666666676</v>
      </c>
      <c r="AY148" s="12">
        <f>IF(A148="","",MAX(0,MAX(0,MIN(1,(((IF(Статистика!$C$4="Параллельный режим (активная мощность)",E148,P148)+Статистика!$J$4))-Статистика!$C$10)/MAX(Статистика!$G$10-Статистика!$C$10,0.000001)))-MAX(0,MIN(1,(((IF(Статистика!$C$4="Параллельный режим (активная мощность)",D148,O148)+Статистика!$J$4))-Статистика!$C$10)/MAX(Статистика!$G$10-Статистика!$C$10,0.000001)))))</f>
        <v>7.5422504999999529E-2</v>
      </c>
      <c r="AZ148" s="12">
        <f>IF(A148="","",MAX(0,MAX(0,MIN(1,(((IF(Статистика!$C$4="Параллельный режим (активная мощность)",F148,Q148)+Статистика!$J$4))-Статистика!$C$10)/MAX(Статистика!$G$10-Статистика!$C$10,0.000001)))-MAX(0,MIN(1,(((IF(Статистика!$C$4="Параллельный режим (активная мощность)",E148,P148)+Статистика!$J$4))-Статистика!$C$10)/MAX(Статистика!$G$10-Статистика!$C$10,0.000001)))))</f>
        <v>5.6660925000000084E-2</v>
      </c>
      <c r="BA148" s="12">
        <f>IF(A148="","",MAX(0,MAX(0,MIN(1,(((IF(Статистика!$C$4="Параллельный режим (активная мощность)",G148,R148)+Статистика!$J$4))-Статистика!$C$10)/MAX(Статистика!$G$10-Статистика!$C$10,0.000001)))-MAX(0,MIN(1,(((IF(Статистика!$C$4="Параллельный режим (активная мощность)",F148,Q148)+Статистика!$J$4))-Статистика!$C$10)/MAX(Статистика!$G$10-Статистика!$C$10,0.000001)))))</f>
        <v>6.6056505555555645E-2</v>
      </c>
      <c r="BB148" s="12">
        <f>IF(A148="","",MAX(0,MAX(0,MIN(1,(((IF(Статистика!$C$4="Параллельный режим (активная мощность)",H148,S148)+Статистика!$J$4))-Статистика!$C$10)/MAX(Статистика!$G$10-Статистика!$C$10,0.000001)))-MAX(0,MIN(1,(((IF(Статистика!$C$4="Параллельный режим (активная мощность)",G148,R148)+Статистика!$J$4))-Статистика!$C$10)/MAX(Статистика!$G$10-Статистика!$C$10,0.000001)))))</f>
        <v>8.7364909444444527E-2</v>
      </c>
      <c r="BC148" s="12">
        <f>IF(A148="","",MAX(0,MAX(0,MIN(1,(((IF(Статистика!$C$4="Параллельный режим (активная мощность)",J148,U148)+Статистика!$J$4))-Статистика!$C$10)/MAX(Статистика!$G$10-Статистика!$C$10,0.000001)))-MAX(0,MIN(1,(((IF(Статистика!$C$4="Параллельный режим (активная мощность)",H148,S148)+Статистика!$J$4))-Статистика!$C$10)/MAX(Статистика!$G$10-Статистика!$C$10,0.000001)))))</f>
        <v>5.6990986500000229E-2</v>
      </c>
      <c r="BD148" s="12">
        <f>IF(A148="","",MAX(0,1-MAX(0,MIN(1,(((IF(Статистика!$C$4="Параллельный режим (активная мощность)",J148,U148)+Статистика!$J$4))-Статистика!$C$10)/MAX(Статистика!$G$10-Статистика!$C$10,0.000001)))))</f>
        <v>0.16882033183333323</v>
      </c>
      <c r="BE148" s="12">
        <f>IF(A148="",NA(),IF(Статистика!$B$8="Вкл",(((IF(Статистика!$C$4="Параллельный режим (активная мощность)",F148,Q148)+Статистика!$J$4))-Статистика!$C$10)/MAX(Статистика!$G$10-Статистика!$C$10,0.000001),NA()))</f>
        <v>0.62076726666666637</v>
      </c>
      <c r="BF148" s="12">
        <f>IF(A148="",NA(),IF(Статистика!$D$8="Вкл",(((IF(Статистика!$C$4="Параллельный режим (активная мощность)",E148,P148)+Статистика!$J$4))-Статистика!$C$10)/MAX(Статистика!$G$10-Статистика!$C$10,0.000001),NA()))</f>
        <v>0.56410634166666629</v>
      </c>
      <c r="BG148" s="12">
        <f>IF(A148="",NA(),IF(Статистика!$D$8="Вкл",(((IF(Статистика!$C$4="Параллельный режим (активная мощность)",G148,R148)+Статистика!$J$4))-Статистика!$C$10)/MAX(Статистика!$G$10-Статистика!$C$10,0.000001),NA()))</f>
        <v>0.68682377222222202</v>
      </c>
      <c r="BH148" s="12">
        <f>IF(A148="",NA(),IF(Статистика!$F$8="Вкл",(((IF(Статистика!$C$4="Параллельный режим (активная мощность)",D148,O148)+Статистика!$J$4))-Статистика!$C$10)/MAX(Статистика!$G$10-Статистика!$C$10,0.000001),NA()))</f>
        <v>0.48868383666666676</v>
      </c>
      <c r="BI148" s="12">
        <f>IF(A148="",NA(),IF(Статистика!$F$8="Вкл",(((IF(Статистика!$C$4="Параллельный режим (активная мощность)",H148,S148)+Статистика!$J$4))-Статистика!$C$10)/MAX(Статистика!$G$10-Статистика!$C$10,0.000001),NA()))</f>
        <v>0.77418868166666654</v>
      </c>
      <c r="BJ148" s="12">
        <f>IF(A148="",NA(),IF(Статистика!$H$8="Вкл",(((IF(Статистика!$C$4="Параллельный режим (активная мощность)",B148,M148)+Статистика!$J$4))-Статистика!$C$10)/MAX(Статистика!$G$10-Статистика!$C$10,0.000001),NA()))</f>
        <v>-0.86440937433333331</v>
      </c>
      <c r="BK148" s="12">
        <f>IF(A148="",NA(),IF(Статистика!$H$8="Вкл",(((IF(Статистика!$C$4="Параллельный режим (активная мощность)",J148,U148)+Статистика!$J$4))-Статистика!$C$10)/MAX(Статистика!$G$10-Статистика!$C$10,0.000001),NA()))</f>
        <v>0.83117966816666677</v>
      </c>
      <c r="BL148" s="12" t="e">
        <f>IF(A148="",NA(),IF(Статистика!$J$8="Вкл",(((IF(Статистика!$C$4="Параллельный режим (активная мощность)",K148,V148)+Статистика!$J$4))-Статистика!$C$10)/MAX(Статистика!$G$10-Статистика!$C$10,0.000001),NA()))</f>
        <v>#N/A</v>
      </c>
      <c r="BM148" s="12" t="e">
        <f>IF(AND(A148&lt;&gt;"",Статистика!$C$6="Вкл",Статистика!$B$6&gt;0),(Статистика!$B$6-Статистика!$C$10)/MAX(Статистика!$G$10-Статистика!$C$10,0.000001),NA())</f>
        <v>#N/A</v>
      </c>
      <c r="BN148" s="12" t="e">
        <f>IF(AND(A148&lt;&gt;"",Статистика!$F$6="Вкл",Статистика!$E$6&gt;0),(Статистика!$E$6-Статистика!$C$10)/MAX(Статистика!$G$10-Статистика!$C$10,0.000001),NA())</f>
        <v>#N/A</v>
      </c>
      <c r="BO148" s="12" t="e">
        <f>IF(AND(A148&lt;&gt;"",Статистика!$I$6="Вкл",Статистика!$H$6&gt;0),(Статистика!$H$6-Статистика!$C$10)/MAX(Статистика!$G$10-Статистика!$C$10,0.000001),NA())</f>
        <v>#N/A</v>
      </c>
      <c r="BP148" s="12" t="e">
        <f>IF(AND(A148&lt;&gt;"",Статистика!$L$6="Вкл",Статистика!$K$6&gt;0),(Статистика!$K$6-Статистика!$C$10)/MAX(Статистика!$G$10-Статистика!$C$10,0.000001),NA())</f>
        <v>#N/A</v>
      </c>
      <c r="BQ148" s="12" t="e">
        <f>IF(AND(A148&lt;&gt;"",Статистика!$M$6="Вкл",Статистика!$O$6&gt;0),(Статистика!$O$6-Статистика!$C$10)/MAX(Статистика!$G$10-Статистика!$C$10,0.000001),NA())</f>
        <v>#N/A</v>
      </c>
      <c r="BR148" s="12">
        <f t="shared" si="4"/>
        <v>1</v>
      </c>
      <c r="BT148" s="12">
        <f>IF(Y148="","",MAX(0,MIN(1,(((IF(Статистика!$C$4="Параллельный режим (активная мощность)",Z148,AK148)+Статистика!$J$4))-Статистика!$C$10)/MAX(Статистика!$G$10-Статистика!$C$10,0.000001))))</f>
        <v>0.52528564433333369</v>
      </c>
      <c r="BU148" s="12">
        <f>IF(Y148="","",MAX(0,MAX(0,MIN(1,(((IF(Статистика!$C$4="Параллельный режим (активная мощность)",AB148,AM148)+Статистика!$J$4))-Статистика!$C$10)/MAX(Статистика!$G$10-Статистика!$C$10,0.000001)))-MAX(0,MIN(1,(((IF(Статистика!$C$4="Параллельный режим (активная мощность)",Z148,AK148)+Статистика!$J$4))-Статистика!$C$10)/MAX(Статистика!$G$10-Статистика!$C$10,0.000001)))))</f>
        <v>1.1027598999999944E-2</v>
      </c>
      <c r="BV148" s="12">
        <f>IF(Y148="","",MAX(0,MAX(0,MIN(1,(((IF(Статистика!$C$4="Параллельный режим (активная мощность)",AC148,AN148)+Статистика!$J$4))-Статистика!$C$10)/MAX(Статистика!$G$10-Статистика!$C$10,0.000001)))-MAX(0,MIN(1,(((IF(Статистика!$C$4="Параллельный режим (активная мощность)",AB148,AM148)+Статистика!$J$4))-Статистика!$C$10)/MAX(Статистика!$G$10-Статистика!$C$10,0.000001)))))</f>
        <v>4.1728478888888643E-2</v>
      </c>
      <c r="BW148" s="12">
        <f>IF(Y148="","",MAX(0,MAX(0,MIN(1,(((IF(Статистика!$C$4="Параллельный режим (активная мощность)",AD148,AO148)+Статистика!$J$4))-Статистика!$C$10)/MAX(Статистика!$G$10-Статистика!$C$10,0.000001)))-MAX(0,MIN(1,(((IF(Статистика!$C$4="Параллельный режим (активная мощность)",AC148,AN148)+Статистика!$J$4))-Статистика!$C$10)/MAX(Статистика!$G$10-Статистика!$C$10,0.000001)))))</f>
        <v>5.5320477777777599E-2</v>
      </c>
      <c r="BX148" s="12">
        <f>IF(Y148="","",MAX(0,MAX(0,MIN(1,(((IF(Статистика!$C$4="Параллельный режим (активная мощность)",AE148,AP148)+Статистика!$J$4))-Статистика!$C$10)/MAX(Статистика!$G$10-Статистика!$C$10,0.000001)))-MAX(0,MIN(1,(((IF(Статистика!$C$4="Параллельный режим (активная мощность)",AD148,AO148)+Статистика!$J$4))-Статистика!$C$10)/MAX(Статистика!$G$10-Статистика!$C$10,0.000001)))))</f>
        <v>4.1916222222222466E-2</v>
      </c>
      <c r="BY148" s="12">
        <f>IF(Y148="","",MAX(0,MAX(0,MIN(1,(((IF(Статистика!$C$4="Параллельный режим (активная мощность)",AF148,AQ148)+Статистика!$J$4))-Статистика!$C$10)/MAX(Статистика!$G$10-Статистика!$C$10,0.000001)))-MAX(0,MIN(1,(((IF(Статистика!$C$4="Параллельный режим (активная мощность)",AE148,AP148)+Статистика!$J$4))-Статистика!$C$10)/MAX(Статистика!$G$10-Статистика!$C$10,0.000001)))))</f>
        <v>0.15233697166666693</v>
      </c>
      <c r="BZ148" s="12">
        <f>IF(Y148="","",MAX(0,MAX(0,MIN(1,(((IF(Статистика!$C$4="Параллельный режим (активная мощность)",AH148,AS148)+Статистика!$J$4))-Статистика!$C$10)/MAX(Статистика!$G$10-Статистика!$C$10,0.000001)))-MAX(0,MIN(1,(((IF(Статистика!$C$4="Параллельный режим (активная мощность)",AF148,AQ148)+Статистика!$J$4))-Статистика!$C$10)/MAX(Статистика!$G$10-Статистика!$C$10,0.000001)))))</f>
        <v>3.200417550000012E-2</v>
      </c>
      <c r="CA148" s="12">
        <f>IF(Y148="","",MAX(0,1-MAX(0,MIN(1,(((IF(Статистика!$C$4="Параллельный режим (активная мощность)",AH148,AS148)+Статистика!$J$4))-Статистика!$C$10)/MAX(Статистика!$G$10-Статистика!$C$10,0.000001)))))</f>
        <v>0.14038043061111061</v>
      </c>
      <c r="CB148" s="12">
        <f>IF(Y148="",NA(),IF(Статистика!$B$8="Вкл",(((IF(Статистика!$C$4="Параллельный режим (активная мощность)",AD148,AO148)+Статистика!$J$4))-Статистика!$C$10)/MAX(Статистика!$G$10-Статистика!$C$10,0.000001),NA()))</f>
        <v>0.63336219999999988</v>
      </c>
      <c r="CC148" s="12">
        <f>IF(Y148="",NA(),IF(Статистика!$D$8="Вкл",(((IF(Статистика!$C$4="Параллельный режим (активная мощность)",AC148,AN148)+Статистика!$J$4))-Статистика!$C$10)/MAX(Статистика!$G$10-Статистика!$C$10,0.000001),NA()))</f>
        <v>0.57804172222222228</v>
      </c>
      <c r="CD148" s="12">
        <f>IF(Y148="",NA(),IF(Статистика!$D$8="Вкл",(((IF(Статистика!$C$4="Параллельный режим (активная мощность)",AE148,AP148)+Статистика!$J$4))-Статистика!$C$10)/MAX(Статистика!$G$10-Статистика!$C$10,0.000001),NA()))</f>
        <v>0.67527842222222234</v>
      </c>
      <c r="CE148" s="12">
        <f>IF(Y148="",NA(),IF(Статистика!$F$8="Вкл",(((IF(Статистика!$C$4="Параллельный режим (активная мощность)",AB148,AM148)+Статистика!$J$4))-Статистика!$C$10)/MAX(Статистика!$G$10-Статистика!$C$10,0.000001),NA()))</f>
        <v>0.53631324333333363</v>
      </c>
      <c r="CF148" s="12">
        <f>IF(Y148="",NA(),IF(Статистика!$F$8="Вкл",(((IF(Статистика!$C$4="Параллельный режим (активная мощность)",AF148,AQ148)+Статистика!$J$4))-Статистика!$C$10)/MAX(Статистика!$G$10-Статистика!$C$10,0.000001),NA()))</f>
        <v>0.82761539388888927</v>
      </c>
      <c r="CG148" s="12">
        <f>IF(Y148="",NA(),IF(Статистика!$H$8="Вкл",(((IF(Статистика!$C$4="Параллельный режим (активная мощность)",Z148,AK148)+Статистика!$J$4))-Статистика!$C$10)/MAX(Статистика!$G$10-Статистика!$C$10,0.000001),NA()))</f>
        <v>0.52528564433333369</v>
      </c>
      <c r="CH148" s="12">
        <f>IF(Y148="",NA(),IF(Статистика!$H$8="Вкл",(((IF(Статистика!$C$4="Параллельный режим (активная мощность)",AH148,AS148)+Статистика!$J$4))-Статистика!$C$10)/MAX(Статистика!$G$10-Статистика!$C$10,0.000001),NA()))</f>
        <v>0.85961956938888939</v>
      </c>
      <c r="CI148" s="12" t="e">
        <f>IF(Y148="",NA(),IF(Статистика!$J$8="Вкл",(((IF(Статистика!$C$4="Параллельный режим (активная мощность)",AI148,AT148)+Статистика!$J$4))-Статистика!$C$10)/MAX(Статистика!$G$10-Статистика!$C$10,0.000001),NA()))</f>
        <v>#N/A</v>
      </c>
      <c r="CJ148" s="12" t="e">
        <f>IF(AND(Y148&lt;&gt;"",Статистика!$C$6="Вкл",Статистика!$B$6&gt;0),(Статистика!$B$6-Статистика!$C$10)/MAX(Статистика!$G$10-Статистика!$C$10,0.000001),NA())</f>
        <v>#N/A</v>
      </c>
      <c r="CK148" s="12" t="e">
        <f>IF(AND(Y148&lt;&gt;"",Статистика!$F$6="Вкл",Статистика!$E$6&gt;0),(Статистика!$E$6-Статистика!$C$10)/MAX(Статистика!$G$10-Статистика!$C$10,0.000001),NA())</f>
        <v>#N/A</v>
      </c>
      <c r="CL148" s="12" t="e">
        <f>IF(AND(Y148&lt;&gt;"",Статистика!$I$6="Вкл",Статистика!$H$6&gt;0),(Статистика!$H$6-Статистика!$C$10)/MAX(Статистика!$G$10-Статистика!$C$10,0.000001),NA())</f>
        <v>#N/A</v>
      </c>
      <c r="CM148" s="12" t="e">
        <f>IF(AND(Y148&lt;&gt;"",Статистика!$L$6="Вкл",Статистика!$K$6&gt;0),(Статистика!$K$6-Статистика!$C$10)/MAX(Статистика!$G$10-Статистика!$C$10,0.000001),NA())</f>
        <v>#N/A</v>
      </c>
      <c r="CN148" s="12" t="e">
        <f>IF(AND(Y148&lt;&gt;"",Статистика!$M$6="Вкл",Статистика!$O$6&gt;0),(Статистика!$O$6-Статистика!$C$10)/MAX(Статистика!$G$10-Статистика!$C$10,0.000001),NA())</f>
        <v>#N/A</v>
      </c>
      <c r="CO148" s="12">
        <f t="shared" si="5"/>
        <v>1</v>
      </c>
    </row>
    <row r="149" spans="1:93" ht="15" customHeight="1">
      <c r="A149" s="12" t="s">
        <v>652</v>
      </c>
      <c r="B149" s="12">
        <v>3418.8148901666673</v>
      </c>
      <c r="C149" s="12">
        <v>6128.6701841666672</v>
      </c>
      <c r="D149" s="12">
        <v>7476.8802416666667</v>
      </c>
      <c r="E149" s="12">
        <v>7729.104508333332</v>
      </c>
      <c r="F149" s="12">
        <v>7921.5203333333338</v>
      </c>
      <c r="G149" s="12">
        <v>8064.3835333333327</v>
      </c>
      <c r="H149" s="12">
        <v>8310.1067333333322</v>
      </c>
      <c r="I149" s="12">
        <v>8482.9895341666652</v>
      </c>
      <c r="J149" s="12">
        <v>8610.9099068333326</v>
      </c>
      <c r="K149" s="12">
        <v>8758.84</v>
      </c>
      <c r="L149" s="12" t="s">
        <v>653</v>
      </c>
      <c r="M149" s="12">
        <v>4077.2525371666666</v>
      </c>
      <c r="N149" s="12">
        <v>6979.1508191666671</v>
      </c>
      <c r="O149" s="12">
        <v>8420.7270916666657</v>
      </c>
      <c r="P149" s="12">
        <v>8705.7768916666664</v>
      </c>
      <c r="Q149" s="12">
        <v>8887.2601166666664</v>
      </c>
      <c r="R149" s="12">
        <v>9071.6701499999999</v>
      </c>
      <c r="S149" s="12">
        <v>9339.7114766666655</v>
      </c>
      <c r="T149" s="12">
        <v>9472.7814766666652</v>
      </c>
      <c r="U149" s="12">
        <v>9633.1192286666665</v>
      </c>
      <c r="V149" s="12">
        <v>9777.5400000000009</v>
      </c>
      <c r="W149" s="12" t="s">
        <v>653</v>
      </c>
      <c r="Y149" s="12" t="s">
        <v>652</v>
      </c>
      <c r="Z149" s="12">
        <v>7500.0372175000002</v>
      </c>
      <c r="AA149" s="12">
        <v>7509.4514208333339</v>
      </c>
      <c r="AB149" s="12">
        <v>7521.2191750000011</v>
      </c>
      <c r="AC149" s="12">
        <v>7709.208466666666</v>
      </c>
      <c r="AD149" s="12">
        <v>7871.1947</v>
      </c>
      <c r="AE149" s="12">
        <v>8065.2227416666665</v>
      </c>
      <c r="AF149" s="12">
        <v>8441.5639983333331</v>
      </c>
      <c r="AG149" s="12">
        <v>8441.9707324999999</v>
      </c>
      <c r="AH149" s="12">
        <v>8442.2961198333342</v>
      </c>
      <c r="AI149" s="12">
        <v>8605.83</v>
      </c>
      <c r="AJ149" s="12" t="s">
        <v>654</v>
      </c>
      <c r="AK149" s="12">
        <v>8543.0090339999988</v>
      </c>
      <c r="AL149" s="12">
        <v>8545.2117033333325</v>
      </c>
      <c r="AM149" s="12">
        <v>8547.9650399999991</v>
      </c>
      <c r="AN149" s="12">
        <v>8654.9279916666655</v>
      </c>
      <c r="AO149" s="12">
        <v>8929.17425</v>
      </c>
      <c r="AP149" s="12">
        <v>9118.9974749999983</v>
      </c>
      <c r="AQ149" s="12">
        <v>9433.8729899999998</v>
      </c>
      <c r="AR149" s="12">
        <v>9442.8688449999991</v>
      </c>
      <c r="AS149" s="12">
        <v>9450.0655289999977</v>
      </c>
      <c r="AT149" s="12">
        <v>9598.7999999999993</v>
      </c>
      <c r="AU149" s="12" t="s">
        <v>655</v>
      </c>
      <c r="AW149" s="12">
        <f>IF(A149="","",MAX(0,MIN(1,(((IF(Статистика!$C$4="Параллельный режим (активная мощность)",B149,M149)+Статистика!$J$4))-Статистика!$C$10)/MAX(Статистика!$G$10-Статистика!$C$10,0.000001))))</f>
        <v>0</v>
      </c>
      <c r="AX149" s="12">
        <f>IF(A149="","",MAX(0,MAX(0,MIN(1,(((IF(Статистика!$C$4="Параллельный режим (активная мощность)",D149,O149)+Статистика!$J$4))-Статистика!$C$10)/MAX(Статистика!$G$10-Статистика!$C$10,0.000001)))-MAX(0,MIN(1,(((IF(Статистика!$C$4="Параллельный режим (активная мощность)",B149,M149)+Статистика!$J$4))-Статистика!$C$10)/MAX(Статистика!$G$10-Статистика!$C$10,0.000001)))))</f>
        <v>0.49229341388888892</v>
      </c>
      <c r="AY149" s="12">
        <f>IF(A149="","",MAX(0,MAX(0,MIN(1,(((IF(Статистика!$C$4="Параллельный режим (активная мощность)",E149,P149)+Статистика!$J$4))-Статистика!$C$10)/MAX(Статистика!$G$10-Статистика!$C$10,0.000001)))-MAX(0,MIN(1,(((IF(Статистика!$C$4="Параллельный режим (активная мощность)",D149,O149)+Статистика!$J$4))-Статистика!$C$10)/MAX(Статистика!$G$10-Статистика!$C$10,0.000001)))))</f>
        <v>8.4074755555555103E-2</v>
      </c>
      <c r="AZ149" s="12">
        <f>IF(A149="","",MAX(0,MAX(0,MIN(1,(((IF(Статистика!$C$4="Параллельный режим (активная мощность)",F149,Q149)+Статистика!$J$4))-Статистика!$C$10)/MAX(Статистика!$G$10-Статистика!$C$10,0.000001)))-MAX(0,MIN(1,(((IF(Статистика!$C$4="Параллельный режим (активная мощность)",E149,P149)+Статистика!$J$4))-Статистика!$C$10)/MAX(Статистика!$G$10-Статистика!$C$10,0.000001)))))</f>
        <v>6.4138608333333957E-2</v>
      </c>
      <c r="BA149" s="12">
        <f>IF(A149="","",MAX(0,MAX(0,MIN(1,(((IF(Статистика!$C$4="Параллельный режим (активная мощность)",G149,R149)+Статистика!$J$4))-Статистика!$C$10)/MAX(Статистика!$G$10-Статистика!$C$10,0.000001)))-MAX(0,MIN(1,(((IF(Статистика!$C$4="Параллельный режим (активная мощность)",F149,Q149)+Статистика!$J$4))-Статистика!$C$10)/MAX(Статистика!$G$10-Статистика!$C$10,0.000001)))))</f>
        <v>4.7621066666666212E-2</v>
      </c>
      <c r="BB149" s="12">
        <f>IF(A149="","",MAX(0,MAX(0,MIN(1,(((IF(Статистика!$C$4="Параллельный режим (активная мощность)",H149,S149)+Статистика!$J$4))-Статистика!$C$10)/MAX(Статистика!$G$10-Статистика!$C$10,0.000001)))-MAX(0,MIN(1,(((IF(Статистика!$C$4="Параллельный режим (активная мощность)",G149,R149)+Статистика!$J$4))-Статистика!$C$10)/MAX(Статистика!$G$10-Статистика!$C$10,0.000001)))))</f>
        <v>8.1907733333333232E-2</v>
      </c>
      <c r="BC149" s="12">
        <f>IF(A149="","",MAX(0,MAX(0,MIN(1,(((IF(Статистика!$C$4="Параллельный режим (активная мощность)",J149,U149)+Статистика!$J$4))-Статистика!$C$10)/MAX(Статистика!$G$10-Статистика!$C$10,0.000001)))-MAX(0,MIN(1,(((IF(Статистика!$C$4="Параллельный режим (активная мощность)",H149,S149)+Статистика!$J$4))-Статистика!$C$10)/MAX(Статистика!$G$10-Статистика!$C$10,0.000001)))))</f>
        <v>0.1002677245000001</v>
      </c>
      <c r="BD149" s="12">
        <f>IF(A149="","",MAX(0,1-MAX(0,MIN(1,(((IF(Статистика!$C$4="Параллельный режим (активная мощность)",J149,U149)+Статистика!$J$4))-Статистика!$C$10)/MAX(Статистика!$G$10-Статистика!$C$10,0.000001)))))</f>
        <v>0.12969669772222248</v>
      </c>
      <c r="BE149" s="12">
        <f>IF(A149="",NA(),IF(Статистика!$B$8="Вкл",(((IF(Статистика!$C$4="Параллельный режим (активная мощность)",F149,Q149)+Статистика!$J$4))-Статистика!$C$10)/MAX(Статистика!$G$10-Статистика!$C$10,0.000001),NA()))</f>
        <v>0.64050677777777798</v>
      </c>
      <c r="BF149" s="12">
        <f>IF(A149="",NA(),IF(Статистика!$D$8="Вкл",(((IF(Статистика!$C$4="Параллельный режим (активная мощность)",E149,P149)+Статистика!$J$4))-Статистика!$C$10)/MAX(Статистика!$G$10-Статистика!$C$10,0.000001),NA()))</f>
        <v>0.57636816944444402</v>
      </c>
      <c r="BG149" s="12">
        <f>IF(A149="",NA(),IF(Статистика!$D$8="Вкл",(((IF(Статистика!$C$4="Параллельный режим (активная мощность)",G149,R149)+Статистика!$J$4))-Статистика!$C$10)/MAX(Статистика!$G$10-Статистика!$C$10,0.000001),NA()))</f>
        <v>0.68812784444444419</v>
      </c>
      <c r="BH149" s="12">
        <f>IF(A149="",NA(),IF(Статистика!$F$8="Вкл",(((IF(Статистика!$C$4="Параллельный режим (активная мощность)",D149,O149)+Статистика!$J$4))-Статистика!$C$10)/MAX(Статистика!$G$10-Статистика!$C$10,0.000001),NA()))</f>
        <v>0.49229341388888892</v>
      </c>
      <c r="BI149" s="12">
        <f>IF(A149="",NA(),IF(Статистика!$F$8="Вкл",(((IF(Статистика!$C$4="Параллельный режим (активная мощность)",H149,S149)+Статистика!$J$4))-Статистика!$C$10)/MAX(Статистика!$G$10-Статистика!$C$10,0.000001),NA()))</f>
        <v>0.77003557777777742</v>
      </c>
      <c r="BJ149" s="12">
        <f>IF(A149="",NA(),IF(Статистика!$H$8="Вкл",(((IF(Статистика!$C$4="Параллельный режим (активная мощность)",B149,M149)+Статистика!$J$4))-Статистика!$C$10)/MAX(Статистика!$G$10-Статистика!$C$10,0.000001),NA()))</f>
        <v>-0.86039503661111094</v>
      </c>
      <c r="BK149" s="12">
        <f>IF(A149="",NA(),IF(Статистика!$H$8="Вкл",(((IF(Статистика!$C$4="Параллельный режим (активная мощность)",J149,U149)+Статистика!$J$4))-Статистика!$C$10)/MAX(Статистика!$G$10-Статистика!$C$10,0.000001),NA()))</f>
        <v>0.87030330227777752</v>
      </c>
      <c r="BL149" s="12" t="e">
        <f>IF(A149="",NA(),IF(Статистика!$J$8="Вкл",(((IF(Статистика!$C$4="Параллельный режим (активная мощность)",K149,V149)+Статистика!$J$4))-Статистика!$C$10)/MAX(Статистика!$G$10-Статистика!$C$10,0.000001),NA()))</f>
        <v>#N/A</v>
      </c>
      <c r="BM149" s="12" t="e">
        <f>IF(AND(A149&lt;&gt;"",Статистика!$C$6="Вкл",Статистика!$B$6&gt;0),(Статистика!$B$6-Статистика!$C$10)/MAX(Статистика!$G$10-Статистика!$C$10,0.000001),NA())</f>
        <v>#N/A</v>
      </c>
      <c r="BN149" s="12" t="e">
        <f>IF(AND(A149&lt;&gt;"",Статистика!$F$6="Вкл",Статистика!$E$6&gt;0),(Статистика!$E$6-Статистика!$C$10)/MAX(Статистика!$G$10-Статистика!$C$10,0.000001),NA())</f>
        <v>#N/A</v>
      </c>
      <c r="BO149" s="12" t="e">
        <f>IF(AND(A149&lt;&gt;"",Статистика!$I$6="Вкл",Статистика!$H$6&gt;0),(Статистика!$H$6-Статистика!$C$10)/MAX(Статистика!$G$10-Статистика!$C$10,0.000001),NA())</f>
        <v>#N/A</v>
      </c>
      <c r="BP149" s="12" t="e">
        <f>IF(AND(A149&lt;&gt;"",Статистика!$L$6="Вкл",Статистика!$K$6&gt;0),(Статистика!$K$6-Статистика!$C$10)/MAX(Статистика!$G$10-Статистика!$C$10,0.000001),NA())</f>
        <v>#N/A</v>
      </c>
      <c r="BQ149" s="12" t="e">
        <f>IF(AND(A149&lt;&gt;"",Статистика!$M$6="Вкл",Статистика!$O$6&gt;0),(Статистика!$O$6-Статистика!$C$10)/MAX(Статистика!$G$10-Статистика!$C$10,0.000001),NA())</f>
        <v>#N/A</v>
      </c>
      <c r="BR149" s="12">
        <f t="shared" si="4"/>
        <v>1</v>
      </c>
      <c r="BT149" s="12">
        <f>IF(Y149="","",MAX(0,MIN(1,(((IF(Статистика!$C$4="Параллельный режим (активная мощность)",Z149,AK149)+Статистика!$J$4))-Статистика!$C$10)/MAX(Статистика!$G$10-Статистика!$C$10,0.000001))))</f>
        <v>0.5000124058333334</v>
      </c>
      <c r="BU149" s="12">
        <f>IF(Y149="","",MAX(0,MAX(0,MIN(1,(((IF(Статистика!$C$4="Параллельный режим (активная мощность)",AB149,AM149)+Статистика!$J$4))-Статистика!$C$10)/MAX(Статистика!$G$10-Статистика!$C$10,0.000001)))-MAX(0,MIN(1,(((IF(Статистика!$C$4="Параллельный режим (активная мощность)",Z149,AK149)+Статистика!$J$4))-Статистика!$C$10)/MAX(Статистика!$G$10-Статистика!$C$10,0.000001)))))</f>
        <v>7.0606525000003195E-3</v>
      </c>
      <c r="BV149" s="12">
        <f>IF(Y149="","",MAX(0,MAX(0,MIN(1,(((IF(Статистика!$C$4="Параллельный режим (активная мощность)",AC149,AN149)+Статистика!$J$4))-Статистика!$C$10)/MAX(Статистика!$G$10-Статистика!$C$10,0.000001)))-MAX(0,MIN(1,(((IF(Статистика!$C$4="Параллельный режим (активная мощность)",AB149,AM149)+Статистика!$J$4))-Статистика!$C$10)/MAX(Статистика!$G$10-Статистика!$C$10,0.000001)))))</f>
        <v>6.2663097222221631E-2</v>
      </c>
      <c r="BW149" s="12">
        <f>IF(Y149="","",MAX(0,MAX(0,MIN(1,(((IF(Статистика!$C$4="Параллельный режим (активная мощность)",AD149,AO149)+Статистика!$J$4))-Статистика!$C$10)/MAX(Статистика!$G$10-Статистика!$C$10,0.000001)))-MAX(0,MIN(1,(((IF(Статистика!$C$4="Параллельный режим (активная мощность)",AC149,AN149)+Статистика!$J$4))-Статистика!$C$10)/MAX(Статистика!$G$10-Статистика!$C$10,0.000001)))))</f>
        <v>5.399541111111128E-2</v>
      </c>
      <c r="BX149" s="12">
        <f>IF(Y149="","",MAX(0,MAX(0,MIN(1,(((IF(Статистика!$C$4="Параллельный режим (активная мощность)",AE149,AP149)+Статистика!$J$4))-Статистика!$C$10)/MAX(Статистика!$G$10-Статистика!$C$10,0.000001)))-MAX(0,MIN(1,(((IF(Статистика!$C$4="Параллельный режим (активная мощность)",AD149,AO149)+Статистика!$J$4))-Статистика!$C$10)/MAX(Статистика!$G$10-Статистика!$C$10,0.000001)))))</f>
        <v>6.4676013888888884E-2</v>
      </c>
      <c r="BY149" s="12">
        <f>IF(Y149="","",MAX(0,MAX(0,MIN(1,(((IF(Статистика!$C$4="Параллельный режим (активная мощность)",AF149,AQ149)+Статистика!$J$4))-Статистика!$C$10)/MAX(Статистика!$G$10-Статистика!$C$10,0.000001)))-MAX(0,MIN(1,(((IF(Статистика!$C$4="Параллельный режим (активная мощность)",AE149,AP149)+Статистика!$J$4))-Статистика!$C$10)/MAX(Статистика!$G$10-Статистика!$C$10,0.000001)))))</f>
        <v>0.1254470855555555</v>
      </c>
      <c r="BZ149" s="12">
        <f>IF(Y149="","",MAX(0,MAX(0,MIN(1,(((IF(Статистика!$C$4="Параллельный режим (активная мощность)",AH149,AS149)+Статистика!$J$4))-Статистика!$C$10)/MAX(Статистика!$G$10-Статистика!$C$10,0.000001)))-MAX(0,MIN(1,(((IF(Статистика!$C$4="Параллельный режим (активная мощность)",AF149,AQ149)+Статистика!$J$4))-Статистика!$C$10)/MAX(Статистика!$G$10-Статистика!$C$10,0.000001)))))</f>
        <v>2.4404050000037536E-4</v>
      </c>
      <c r="CA149" s="12">
        <f>IF(Y149="","",MAX(0,1-MAX(0,MIN(1,(((IF(Статистика!$C$4="Параллельный режим (активная мощность)",AH149,AS149)+Статистика!$J$4))-Статистика!$C$10)/MAX(Статистика!$G$10-Статистика!$C$10,0.000001)))))</f>
        <v>0.18590129338888861</v>
      </c>
      <c r="CB149" s="12">
        <f>IF(Y149="",NA(),IF(Статистика!$B$8="Вкл",(((IF(Статистика!$C$4="Параллельный режим (активная мощность)",AD149,AO149)+Статистика!$J$4))-Статистика!$C$10)/MAX(Статистика!$G$10-Статистика!$C$10,0.000001),NA()))</f>
        <v>0.62373156666666663</v>
      </c>
      <c r="CC149" s="12">
        <f>IF(Y149="",NA(),IF(Статистика!$D$8="Вкл",(((IF(Статистика!$C$4="Параллельный режим (активная мощность)",AC149,AN149)+Статистика!$J$4))-Статистика!$C$10)/MAX(Статистика!$G$10-Статистика!$C$10,0.000001),NA()))</f>
        <v>0.56973615555555535</v>
      </c>
      <c r="CD149" s="12">
        <f>IF(Y149="",NA(),IF(Статистика!$D$8="Вкл",(((IF(Статистика!$C$4="Параллельный режим (активная мощность)",AE149,AP149)+Статистика!$J$4))-Статистика!$C$10)/MAX(Статистика!$G$10-Статистика!$C$10,0.000001),NA()))</f>
        <v>0.68840758055555551</v>
      </c>
      <c r="CE149" s="12">
        <f>IF(Y149="",NA(),IF(Статистика!$F$8="Вкл",(((IF(Статистика!$C$4="Параллельный режим (активная мощность)",AB149,AM149)+Статистика!$J$4))-Статистика!$C$10)/MAX(Статистика!$G$10-Статистика!$C$10,0.000001),NA()))</f>
        <v>0.50707305833333371</v>
      </c>
      <c r="CF149" s="12">
        <f>IF(Y149="",NA(),IF(Статистика!$F$8="Вкл",(((IF(Статистика!$C$4="Параллельный режим (активная мощность)",AF149,AQ149)+Статистика!$J$4))-Статистика!$C$10)/MAX(Статистика!$G$10-Статистика!$C$10,0.000001),NA()))</f>
        <v>0.81385466611111101</v>
      </c>
      <c r="CG149" s="12">
        <f>IF(Y149="",NA(),IF(Статистика!$H$8="Вкл",(((IF(Статистика!$C$4="Параллельный режим (активная мощность)",Z149,AK149)+Статистика!$J$4))-Статистика!$C$10)/MAX(Статистика!$G$10-Статистика!$C$10,0.000001),NA()))</f>
        <v>0.5000124058333334</v>
      </c>
      <c r="CH149" s="12">
        <f>IF(Y149="",NA(),IF(Статистика!$H$8="Вкл",(((IF(Статистика!$C$4="Параллельный режим (активная мощность)",AH149,AS149)+Статистика!$J$4))-Статистика!$C$10)/MAX(Статистика!$G$10-Статистика!$C$10,0.000001),NA()))</f>
        <v>0.81409870661111139</v>
      </c>
      <c r="CI149" s="12" t="e">
        <f>IF(Y149="",NA(),IF(Статистика!$J$8="Вкл",(((IF(Статистика!$C$4="Параллельный режим (активная мощность)",AI149,AT149)+Статистика!$J$4))-Статистика!$C$10)/MAX(Статистика!$G$10-Статистика!$C$10,0.000001),NA()))</f>
        <v>#N/A</v>
      </c>
      <c r="CJ149" s="12" t="e">
        <f>IF(AND(Y149&lt;&gt;"",Статистика!$C$6="Вкл",Статистика!$B$6&gt;0),(Статистика!$B$6-Статистика!$C$10)/MAX(Статистика!$G$10-Статистика!$C$10,0.000001),NA())</f>
        <v>#N/A</v>
      </c>
      <c r="CK149" s="12" t="e">
        <f>IF(AND(Y149&lt;&gt;"",Статистика!$F$6="Вкл",Статистика!$E$6&gt;0),(Статистика!$E$6-Статистика!$C$10)/MAX(Статистика!$G$10-Статистика!$C$10,0.000001),NA())</f>
        <v>#N/A</v>
      </c>
      <c r="CL149" s="12" t="e">
        <f>IF(AND(Y149&lt;&gt;"",Статистика!$I$6="Вкл",Статистика!$H$6&gt;0),(Статистика!$H$6-Статистика!$C$10)/MAX(Статистика!$G$10-Статистика!$C$10,0.000001),NA())</f>
        <v>#N/A</v>
      </c>
      <c r="CM149" s="12" t="e">
        <f>IF(AND(Y149&lt;&gt;"",Статистика!$L$6="Вкл",Статистика!$K$6&gt;0),(Статистика!$K$6-Статистика!$C$10)/MAX(Статистика!$G$10-Статистика!$C$10,0.000001),NA())</f>
        <v>#N/A</v>
      </c>
      <c r="CN149" s="12" t="e">
        <f>IF(AND(Y149&lt;&gt;"",Статистика!$M$6="Вкл",Статистика!$O$6&gt;0),(Статистика!$O$6-Статистика!$C$10)/MAX(Статистика!$G$10-Статистика!$C$10,0.000001),NA())</f>
        <v>#N/A</v>
      </c>
      <c r="CO149" s="12">
        <f t="shared" si="5"/>
        <v>1</v>
      </c>
    </row>
    <row r="150" spans="1:93" ht="15" customHeight="1">
      <c r="A150" s="12" t="s">
        <v>656</v>
      </c>
      <c r="B150" s="12">
        <v>3239.0898895</v>
      </c>
      <c r="C150" s="12">
        <v>6071.6755808333328</v>
      </c>
      <c r="D150" s="12">
        <v>7481.1555250000001</v>
      </c>
      <c r="E150" s="12">
        <v>7701.5838083333338</v>
      </c>
      <c r="F150" s="12">
        <v>7854.8243000000002</v>
      </c>
      <c r="G150" s="12">
        <v>8096.1946499999995</v>
      </c>
      <c r="H150" s="12">
        <v>8294.8639283333323</v>
      </c>
      <c r="I150" s="12">
        <v>8467.6949158333318</v>
      </c>
      <c r="J150" s="12">
        <v>8613.8922098333333</v>
      </c>
      <c r="K150" s="12">
        <v>8751.92</v>
      </c>
      <c r="L150" s="12" t="s">
        <v>657</v>
      </c>
      <c r="M150" s="12">
        <v>3920.70408</v>
      </c>
      <c r="N150" s="12">
        <v>6936.5672000000004</v>
      </c>
      <c r="O150" s="12">
        <v>8439.1157999999996</v>
      </c>
      <c r="P150" s="12">
        <v>8627.3280583333326</v>
      </c>
      <c r="Q150" s="12">
        <v>8899.5541166666662</v>
      </c>
      <c r="R150" s="12">
        <v>9076.1977666666662</v>
      </c>
      <c r="S150" s="12">
        <v>9306.0024466666655</v>
      </c>
      <c r="T150" s="12">
        <v>9453.8989058333318</v>
      </c>
      <c r="U150" s="12">
        <v>9640.2768211666662</v>
      </c>
      <c r="V150" s="12">
        <v>9798.82</v>
      </c>
      <c r="W150" s="12" t="s">
        <v>657</v>
      </c>
      <c r="Y150" s="12" t="s">
        <v>656</v>
      </c>
      <c r="Z150" s="12">
        <v>7469.1269288333342</v>
      </c>
      <c r="AA150" s="12">
        <v>7480.918510833334</v>
      </c>
      <c r="AB150" s="12">
        <v>7495.6579883333334</v>
      </c>
      <c r="AC150" s="12">
        <v>7731.7488333333331</v>
      </c>
      <c r="AD150" s="12">
        <v>7917.8948333333337</v>
      </c>
      <c r="AE150" s="12">
        <v>8070.9937083333334</v>
      </c>
      <c r="AF150" s="12">
        <v>8418.3610999999983</v>
      </c>
      <c r="AG150" s="12">
        <v>8436.5945166666661</v>
      </c>
      <c r="AH150" s="12">
        <v>8451.1812499999996</v>
      </c>
      <c r="AI150" s="12">
        <v>8519.52</v>
      </c>
      <c r="AJ150" s="12" t="s">
        <v>658</v>
      </c>
      <c r="AK150" s="12">
        <v>8510.5558920000003</v>
      </c>
      <c r="AL150" s="12">
        <v>8515.3623933333347</v>
      </c>
      <c r="AM150" s="12">
        <v>8521.3705200000004</v>
      </c>
      <c r="AN150" s="12">
        <v>8677.1939750000001</v>
      </c>
      <c r="AO150" s="12">
        <v>8954.1237833333325</v>
      </c>
      <c r="AP150" s="12">
        <v>9120.7847833333344</v>
      </c>
      <c r="AQ150" s="12">
        <v>9413.9475016666656</v>
      </c>
      <c r="AR150" s="12">
        <v>9421.8234008333329</v>
      </c>
      <c r="AS150" s="12">
        <v>9428.1241201666671</v>
      </c>
      <c r="AT150" s="12">
        <v>9497.0300000000007</v>
      </c>
      <c r="AU150" s="12" t="s">
        <v>659</v>
      </c>
      <c r="AW150" s="12">
        <f>IF(A150="","",MAX(0,MIN(1,(((IF(Статистика!$C$4="Параллельный режим (активная мощность)",B150,M150)+Статистика!$J$4))-Статистика!$C$10)/MAX(Статистика!$G$10-Статистика!$C$10,0.000001))))</f>
        <v>0</v>
      </c>
      <c r="AX150" s="12">
        <f>IF(A150="","",MAX(0,MAX(0,MIN(1,(((IF(Статистика!$C$4="Параллельный режим (активная мощность)",D150,O150)+Статистика!$J$4))-Статистика!$C$10)/MAX(Статистика!$G$10-Статистика!$C$10,0.000001)))-MAX(0,MIN(1,(((IF(Статистика!$C$4="Параллельный режим (активная мощность)",B150,M150)+Статистика!$J$4))-Статистика!$C$10)/MAX(Статистика!$G$10-Статистика!$C$10,0.000001)))))</f>
        <v>0.49371850833333336</v>
      </c>
      <c r="AY150" s="12">
        <f>IF(A150="","",MAX(0,MAX(0,MIN(1,(((IF(Статистика!$C$4="Параллельный режим (активная мощность)",E150,P150)+Статистика!$J$4))-Статистика!$C$10)/MAX(Статистика!$G$10-Статистика!$C$10,0.000001)))-MAX(0,MIN(1,(((IF(Статистика!$C$4="Параллельный режим (активная мощность)",D150,O150)+Статистика!$J$4))-Статистика!$C$10)/MAX(Статистика!$G$10-Статистика!$C$10,0.000001)))))</f>
        <v>7.3476094444444529E-2</v>
      </c>
      <c r="AZ150" s="12">
        <f>IF(A150="","",MAX(0,MAX(0,MIN(1,(((IF(Статистика!$C$4="Параллельный режим (активная мощность)",F150,Q150)+Статистика!$J$4))-Статистика!$C$10)/MAX(Статистика!$G$10-Статистика!$C$10,0.000001)))-MAX(0,MIN(1,(((IF(Статистика!$C$4="Параллельный режим (активная мощность)",E150,P150)+Статистика!$J$4))-Статистика!$C$10)/MAX(Статистика!$G$10-Статистика!$C$10,0.000001)))))</f>
        <v>5.1080163888888808E-2</v>
      </c>
      <c r="BA150" s="12">
        <f>IF(A150="","",MAX(0,MAX(0,MIN(1,(((IF(Статистика!$C$4="Параллельный режим (активная мощность)",G150,R150)+Статистика!$J$4))-Статистика!$C$10)/MAX(Статистика!$G$10-Статистика!$C$10,0.000001)))-MAX(0,MIN(1,(((IF(Статистика!$C$4="Параллельный режим (активная мощность)",F150,Q150)+Статистика!$J$4))-Статистика!$C$10)/MAX(Статистика!$G$10-Статистика!$C$10,0.000001)))))</f>
        <v>8.0456783333333171E-2</v>
      </c>
      <c r="BB150" s="12">
        <f>IF(A150="","",MAX(0,MAX(0,MIN(1,(((IF(Статистика!$C$4="Параллельный режим (активная мощность)",H150,S150)+Статистика!$J$4))-Статистика!$C$10)/MAX(Статистика!$G$10-Статистика!$C$10,0.000001)))-MAX(0,MIN(1,(((IF(Статистика!$C$4="Параллельный режим (активная мощность)",G150,R150)+Статистика!$J$4))-Статистика!$C$10)/MAX(Статистика!$G$10-Статистика!$C$10,0.000001)))))</f>
        <v>6.6223092777777604E-2</v>
      </c>
      <c r="BC150" s="12">
        <f>IF(A150="","",MAX(0,MAX(0,MIN(1,(((IF(Статистика!$C$4="Параллельный режим (активная мощность)",J150,U150)+Статистика!$J$4))-Статистика!$C$10)/MAX(Статистика!$G$10-Статистика!$C$10,0.000001)))-MAX(0,MIN(1,(((IF(Статистика!$C$4="Параллельный режим (активная мощность)",H150,S150)+Статистика!$J$4))-Статистика!$C$10)/MAX(Статистика!$G$10-Статистика!$C$10,0.000001)))))</f>
        <v>0.10634276050000024</v>
      </c>
      <c r="BD150" s="12">
        <f>IF(A150="","",MAX(0,1-MAX(0,MIN(1,(((IF(Статистика!$C$4="Параллельный режим (активная мощность)",J150,U150)+Статистика!$J$4))-Статистика!$C$10)/MAX(Статистика!$G$10-Статистика!$C$10,0.000001)))))</f>
        <v>0.12870259672222228</v>
      </c>
      <c r="BE150" s="12">
        <f>IF(A150="",NA(),IF(Статистика!$B$8="Вкл",(((IF(Статистика!$C$4="Параллельный режим (активная мощность)",F150,Q150)+Статистика!$J$4))-Статистика!$C$10)/MAX(Статистика!$G$10-Статистика!$C$10,0.000001),NA()))</f>
        <v>0.6182747666666667</v>
      </c>
      <c r="BF150" s="12">
        <f>IF(A150="",NA(),IF(Статистика!$D$8="Вкл",(((IF(Статистика!$C$4="Параллельный режим (активная мощность)",E150,P150)+Статистика!$J$4))-Статистика!$C$10)/MAX(Статистика!$G$10-Статистика!$C$10,0.000001),NA()))</f>
        <v>0.56719460277777789</v>
      </c>
      <c r="BG150" s="12">
        <f>IF(A150="",NA(),IF(Статистика!$D$8="Вкл",(((IF(Статистика!$C$4="Параллельный режим (активная мощность)",G150,R150)+Статистика!$J$4))-Статистика!$C$10)/MAX(Статистика!$G$10-Статистика!$C$10,0.000001),NA()))</f>
        <v>0.69873154999999987</v>
      </c>
      <c r="BH150" s="12">
        <f>IF(A150="",NA(),IF(Статистика!$F$8="Вкл",(((IF(Статистика!$C$4="Параллельный режим (активная мощность)",D150,O150)+Статистика!$J$4))-Статистика!$C$10)/MAX(Статистика!$G$10-Статистика!$C$10,0.000001),NA()))</f>
        <v>0.49371850833333336</v>
      </c>
      <c r="BI150" s="12">
        <f>IF(A150="",NA(),IF(Статистика!$F$8="Вкл",(((IF(Статистика!$C$4="Параллельный режим (активная мощность)",H150,S150)+Статистика!$J$4))-Статистика!$C$10)/MAX(Статистика!$G$10-Статистика!$C$10,0.000001),NA()))</f>
        <v>0.76495464277777747</v>
      </c>
      <c r="BJ150" s="12">
        <f>IF(A150="",NA(),IF(Статистика!$H$8="Вкл",(((IF(Статистика!$C$4="Параллельный режим (активная мощность)",B150,M150)+Статистика!$J$4))-Статистика!$C$10)/MAX(Статистика!$G$10-Статистика!$C$10,0.000001),NA()))</f>
        <v>-0.92030337016666663</v>
      </c>
      <c r="BK150" s="12">
        <f>IF(A150="",NA(),IF(Статистика!$H$8="Вкл",(((IF(Статистика!$C$4="Параллельный режим (активная мощность)",J150,U150)+Статистика!$J$4))-Статистика!$C$10)/MAX(Статистика!$G$10-Статистика!$C$10,0.000001),NA()))</f>
        <v>0.87129740327777772</v>
      </c>
      <c r="BL150" s="12" t="e">
        <f>IF(A150="",NA(),IF(Статистика!$J$8="Вкл",(((IF(Статистика!$C$4="Параллельный режим (активная мощность)",K150,V150)+Статистика!$J$4))-Статистика!$C$10)/MAX(Статистика!$G$10-Статистика!$C$10,0.000001),NA()))</f>
        <v>#N/A</v>
      </c>
      <c r="BM150" s="12" t="e">
        <f>IF(AND(A150&lt;&gt;"",Статистика!$C$6="Вкл",Статистика!$B$6&gt;0),(Статистика!$B$6-Статистика!$C$10)/MAX(Статистика!$G$10-Статистика!$C$10,0.000001),NA())</f>
        <v>#N/A</v>
      </c>
      <c r="BN150" s="12" t="e">
        <f>IF(AND(A150&lt;&gt;"",Статистика!$F$6="Вкл",Статистика!$E$6&gt;0),(Статистика!$E$6-Статистика!$C$10)/MAX(Статистика!$G$10-Статистика!$C$10,0.000001),NA())</f>
        <v>#N/A</v>
      </c>
      <c r="BO150" s="12" t="e">
        <f>IF(AND(A150&lt;&gt;"",Статистика!$I$6="Вкл",Статистика!$H$6&gt;0),(Статистика!$H$6-Статистика!$C$10)/MAX(Статистика!$G$10-Статистика!$C$10,0.000001),NA())</f>
        <v>#N/A</v>
      </c>
      <c r="BP150" s="12" t="e">
        <f>IF(AND(A150&lt;&gt;"",Статистика!$L$6="Вкл",Статистика!$K$6&gt;0),(Статистика!$K$6-Статистика!$C$10)/MAX(Статистика!$G$10-Статистика!$C$10,0.000001),NA())</f>
        <v>#N/A</v>
      </c>
      <c r="BQ150" s="12" t="e">
        <f>IF(AND(A150&lt;&gt;"",Статистика!$M$6="Вкл",Статистика!$O$6&gt;0),(Статистика!$O$6-Статистика!$C$10)/MAX(Статистика!$G$10-Статистика!$C$10,0.000001),NA())</f>
        <v>#N/A</v>
      </c>
      <c r="BR150" s="12">
        <f t="shared" si="4"/>
        <v>1</v>
      </c>
      <c r="BT150" s="12">
        <f>IF(Y150="","",MAX(0,MIN(1,(((IF(Статистика!$C$4="Параллельный режим (активная мощность)",Z150,AK150)+Статистика!$J$4))-Статистика!$C$10)/MAX(Статистика!$G$10-Статистика!$C$10,0.000001))))</f>
        <v>0.48970897627777804</v>
      </c>
      <c r="BU150" s="12">
        <f>IF(Y150="","",MAX(0,MAX(0,MIN(1,(((IF(Статистика!$C$4="Параллельный режим (активная мощность)",AB150,AM150)+Статистика!$J$4))-Статистика!$C$10)/MAX(Статистика!$G$10-Статистика!$C$10,0.000001)))-MAX(0,MIN(1,(((IF(Статистика!$C$4="Параллельный режим (активная мощность)",Z150,AK150)+Статистика!$J$4))-Статистика!$C$10)/MAX(Статистика!$G$10-Статистика!$C$10,0.000001)))))</f>
        <v>8.8436864999997256E-3</v>
      </c>
      <c r="BV150" s="12">
        <f>IF(Y150="","",MAX(0,MAX(0,MIN(1,(((IF(Статистика!$C$4="Параллельный режим (активная мощность)",AC150,AN150)+Статистика!$J$4))-Статистика!$C$10)/MAX(Статистика!$G$10-Статистика!$C$10,0.000001)))-MAX(0,MIN(1,(((IF(Статистика!$C$4="Параллельный режим (активная мощность)",AB150,AM150)+Статистика!$J$4))-Статистика!$C$10)/MAX(Статистика!$G$10-Статистика!$C$10,0.000001)))))</f>
        <v>7.8696948333333294E-2</v>
      </c>
      <c r="BW150" s="12">
        <f>IF(Y150="","",MAX(0,MAX(0,MIN(1,(((IF(Статистика!$C$4="Параллельный режим (активная мощность)",AD150,AO150)+Статистика!$J$4))-Статистика!$C$10)/MAX(Статистика!$G$10-Статистика!$C$10,0.000001)))-MAX(0,MIN(1,(((IF(Статистика!$C$4="Параллельный режим (активная мощность)",AC150,AN150)+Статистика!$J$4))-Статистика!$C$10)/MAX(Статистика!$G$10-Статистика!$C$10,0.000001)))))</f>
        <v>6.2048666666666863E-2</v>
      </c>
      <c r="BX150" s="12">
        <f>IF(Y150="","",MAX(0,MAX(0,MIN(1,(((IF(Статистика!$C$4="Параллельный режим (активная мощность)",AE150,AP150)+Статистика!$J$4))-Статистика!$C$10)/MAX(Статистика!$G$10-Статистика!$C$10,0.000001)))-MAX(0,MIN(1,(((IF(Статистика!$C$4="Параллельный режим (активная мощность)",AD150,AO150)+Статистика!$J$4))-Статистика!$C$10)/MAX(Статистика!$G$10-Статистика!$C$10,0.000001)))))</f>
        <v>5.1032958333333212E-2</v>
      </c>
      <c r="BY150" s="12">
        <f>IF(Y150="","",MAX(0,MAX(0,MIN(1,(((IF(Статистика!$C$4="Параллельный режим (активная мощность)",AF150,AQ150)+Статистика!$J$4))-Статистика!$C$10)/MAX(Статистика!$G$10-Статистика!$C$10,0.000001)))-MAX(0,MIN(1,(((IF(Статистика!$C$4="Параллельный режим (активная мощность)",AE150,AP150)+Статистика!$J$4))-Статистика!$C$10)/MAX(Статистика!$G$10-Статистика!$C$10,0.000001)))))</f>
        <v>0.11578913055555495</v>
      </c>
      <c r="BZ150" s="12">
        <f>IF(Y150="","",MAX(0,MAX(0,MIN(1,(((IF(Статистика!$C$4="Параллельный режим (активная мощность)",AH150,AS150)+Статистика!$J$4))-Статистика!$C$10)/MAX(Статистика!$G$10-Статистика!$C$10,0.000001)))-MAX(0,MIN(1,(((IF(Статистика!$C$4="Параллельный режим (активная мощность)",AF150,AQ150)+Статистика!$J$4))-Статистика!$C$10)/MAX(Статистика!$G$10-Статистика!$C$10,0.000001)))))</f>
        <v>1.0940050000000423E-2</v>
      </c>
      <c r="CA150" s="12">
        <f>IF(Y150="","",MAX(0,1-MAX(0,MIN(1,(((IF(Статистика!$C$4="Параллельный режим (активная мощность)",AH150,AS150)+Статистика!$J$4))-Статистика!$C$10)/MAX(Статистика!$G$10-Статистика!$C$10,0.000001)))))</f>
        <v>0.18293958333333349</v>
      </c>
      <c r="CB150" s="12">
        <f>IF(Y150="",NA(),IF(Статистика!$B$8="Вкл",(((IF(Статистика!$C$4="Параллельный режим (активная мощность)",AD150,AO150)+Статистика!$J$4))-Статистика!$C$10)/MAX(Статистика!$G$10-Статистика!$C$10,0.000001),NA()))</f>
        <v>0.63929827777777792</v>
      </c>
      <c r="CC150" s="12">
        <f>IF(Y150="",NA(),IF(Статистика!$D$8="Вкл",(((IF(Статистика!$C$4="Параллельный режим (активная мощность)",AC150,AN150)+Статистика!$J$4))-Статистика!$C$10)/MAX(Статистика!$G$10-Статистика!$C$10,0.000001),NA()))</f>
        <v>0.57724961111111106</v>
      </c>
      <c r="CD150" s="12">
        <f>IF(Y150="",NA(),IF(Статистика!$D$8="Вкл",(((IF(Статистика!$C$4="Параллельный режим (активная мощность)",AE150,AP150)+Статистика!$J$4))-Статистика!$C$10)/MAX(Статистика!$G$10-Статистика!$C$10,0.000001),NA()))</f>
        <v>0.69033123611111114</v>
      </c>
      <c r="CE150" s="12">
        <f>IF(Y150="",NA(),IF(Статистика!$F$8="Вкл",(((IF(Статистика!$C$4="Параллельный режим (активная мощность)",AB150,AM150)+Статистика!$J$4))-Статистика!$C$10)/MAX(Статистика!$G$10-Статистика!$C$10,0.000001),NA()))</f>
        <v>0.49855266277777777</v>
      </c>
      <c r="CF150" s="12">
        <f>IF(Y150="",NA(),IF(Статистика!$F$8="Вкл",(((IF(Статистика!$C$4="Параллельный режим (активная мощность)",AF150,AQ150)+Статистика!$J$4))-Статистика!$C$10)/MAX(Статистика!$G$10-Статистика!$C$10,0.000001),NA()))</f>
        <v>0.80612036666666609</v>
      </c>
      <c r="CG150" s="12">
        <f>IF(Y150="",NA(),IF(Статистика!$H$8="Вкл",(((IF(Статистика!$C$4="Параллельный режим (активная мощность)",Z150,AK150)+Статистика!$J$4))-Статистика!$C$10)/MAX(Статистика!$G$10-Статистика!$C$10,0.000001),NA()))</f>
        <v>0.48970897627777804</v>
      </c>
      <c r="CH150" s="12">
        <f>IF(Y150="",NA(),IF(Статистика!$H$8="Вкл",(((IF(Статистика!$C$4="Параллельный режим (активная мощность)",AH150,AS150)+Статистика!$J$4))-Статистика!$C$10)/MAX(Статистика!$G$10-Статистика!$C$10,0.000001),NA()))</f>
        <v>0.81706041666666651</v>
      </c>
      <c r="CI150" s="12" t="e">
        <f>IF(Y150="",NA(),IF(Статистика!$J$8="Вкл",(((IF(Статистика!$C$4="Параллельный режим (активная мощность)",AI150,AT150)+Статистика!$J$4))-Статистика!$C$10)/MAX(Статистика!$G$10-Статистика!$C$10,0.000001),NA()))</f>
        <v>#N/A</v>
      </c>
      <c r="CJ150" s="12" t="e">
        <f>IF(AND(Y150&lt;&gt;"",Статистика!$C$6="Вкл",Статистика!$B$6&gt;0),(Статистика!$B$6-Статистика!$C$10)/MAX(Статистика!$G$10-Статистика!$C$10,0.000001),NA())</f>
        <v>#N/A</v>
      </c>
      <c r="CK150" s="12" t="e">
        <f>IF(AND(Y150&lt;&gt;"",Статистика!$F$6="Вкл",Статистика!$E$6&gt;0),(Статистика!$E$6-Статистика!$C$10)/MAX(Статистика!$G$10-Статистика!$C$10,0.000001),NA())</f>
        <v>#N/A</v>
      </c>
      <c r="CL150" s="12" t="e">
        <f>IF(AND(Y150&lt;&gt;"",Статистика!$I$6="Вкл",Статистика!$H$6&gt;0),(Статистика!$H$6-Статистика!$C$10)/MAX(Статистика!$G$10-Статистика!$C$10,0.000001),NA())</f>
        <v>#N/A</v>
      </c>
      <c r="CM150" s="12" t="e">
        <f>IF(AND(Y150&lt;&gt;"",Статистика!$L$6="Вкл",Статистика!$K$6&gt;0),(Статистика!$K$6-Статистика!$C$10)/MAX(Статистика!$G$10-Статистика!$C$10,0.000001),NA())</f>
        <v>#N/A</v>
      </c>
      <c r="CN150" s="12" t="e">
        <f>IF(AND(Y150&lt;&gt;"",Статистика!$M$6="Вкл",Статистика!$O$6&gt;0),(Статистика!$O$6-Статистика!$C$10)/MAX(Статистика!$G$10-Статистика!$C$10,0.000001),NA())</f>
        <v>#N/A</v>
      </c>
      <c r="CO150" s="12">
        <f t="shared" si="5"/>
        <v>1</v>
      </c>
    </row>
    <row r="151" spans="1:93" ht="15" customHeight="1">
      <c r="A151" s="12" t="s">
        <v>660</v>
      </c>
      <c r="B151" s="12">
        <v>3231.5139493333336</v>
      </c>
      <c r="C151" s="12">
        <v>6078.1157466666673</v>
      </c>
      <c r="D151" s="12">
        <v>7475.3996683333335</v>
      </c>
      <c r="E151" s="12">
        <v>7744.5156083333341</v>
      </c>
      <c r="F151" s="12">
        <v>7831.7698166666669</v>
      </c>
      <c r="G151" s="12">
        <v>8083.1572166666665</v>
      </c>
      <c r="H151" s="12">
        <v>8305.9770916666657</v>
      </c>
      <c r="I151" s="12">
        <v>8471.0040141666668</v>
      </c>
      <c r="J151" s="12">
        <v>8583.2159761666662</v>
      </c>
      <c r="K151" s="12">
        <v>8688.33</v>
      </c>
      <c r="L151" s="12" t="s">
        <v>661</v>
      </c>
      <c r="M151" s="12">
        <v>3911.127579</v>
      </c>
      <c r="N151" s="12">
        <v>6947.727361666668</v>
      </c>
      <c r="O151" s="12">
        <v>8436.7951500000017</v>
      </c>
      <c r="P151" s="12">
        <v>8686.800341666667</v>
      </c>
      <c r="Q151" s="12">
        <v>8854.6406000000006</v>
      </c>
      <c r="R151" s="12">
        <v>9093.5829750000012</v>
      </c>
      <c r="S151" s="12">
        <v>9325.1322766666653</v>
      </c>
      <c r="T151" s="12">
        <v>9480.7415916666669</v>
      </c>
      <c r="U151" s="12">
        <v>9622.5556516666675</v>
      </c>
      <c r="V151" s="12">
        <v>9728.5499999999993</v>
      </c>
      <c r="W151" s="12" t="s">
        <v>662</v>
      </c>
      <c r="Y151" s="12" t="s">
        <v>660</v>
      </c>
      <c r="Z151" s="12">
        <v>7480.3213253333342</v>
      </c>
      <c r="AA151" s="12">
        <v>7482.5846266666676</v>
      </c>
      <c r="AB151" s="12">
        <v>7485.4137533333333</v>
      </c>
      <c r="AC151" s="12">
        <v>7773.960575000001</v>
      </c>
      <c r="AD151" s="12">
        <v>7931.0478499999999</v>
      </c>
      <c r="AE151" s="12">
        <v>8074.0640000000003</v>
      </c>
      <c r="AF151" s="12">
        <v>8390.0576900000015</v>
      </c>
      <c r="AG151" s="12">
        <v>8410.2614450000001</v>
      </c>
      <c r="AH151" s="12">
        <v>8426.4244490000001</v>
      </c>
      <c r="AI151" s="12">
        <v>8538.51</v>
      </c>
      <c r="AJ151" s="12" t="s">
        <v>663</v>
      </c>
      <c r="AK151" s="12">
        <v>8497.9576188333322</v>
      </c>
      <c r="AL151" s="12">
        <v>8507.5956941666645</v>
      </c>
      <c r="AM151" s="12">
        <v>8519.6432883333309</v>
      </c>
      <c r="AN151" s="12">
        <v>8719.7911916666671</v>
      </c>
      <c r="AO151" s="12">
        <v>8978.2355499999994</v>
      </c>
      <c r="AP151" s="12">
        <v>9120.8942416666669</v>
      </c>
      <c r="AQ151" s="12">
        <v>9379.8347366666676</v>
      </c>
      <c r="AR151" s="12">
        <v>9389.9758016666692</v>
      </c>
      <c r="AS151" s="12">
        <v>9398.0886536666694</v>
      </c>
      <c r="AT151" s="12">
        <v>9503.1200000000008</v>
      </c>
      <c r="AU151" s="12" t="s">
        <v>663</v>
      </c>
      <c r="AW151" s="12">
        <f>IF(A151="","",MAX(0,MIN(1,(((IF(Статистика!$C$4="Параллельный режим (активная мощность)",B151,M151)+Статистика!$J$4))-Статистика!$C$10)/MAX(Статистика!$G$10-Статистика!$C$10,0.000001))))</f>
        <v>0</v>
      </c>
      <c r="AX151" s="12">
        <f>IF(A151="","",MAX(0,MAX(0,MIN(1,(((IF(Статистика!$C$4="Параллельный режим (активная мощность)",D151,O151)+Статистика!$J$4))-Статистика!$C$10)/MAX(Статистика!$G$10-Статистика!$C$10,0.000001)))-MAX(0,MIN(1,(((IF(Статистика!$C$4="Параллельный режим (активная мощность)",B151,M151)+Статистика!$J$4))-Статистика!$C$10)/MAX(Статистика!$G$10-Статистика!$C$10,0.000001)))))</f>
        <v>0.49179988944444447</v>
      </c>
      <c r="AY151" s="12">
        <f>IF(A151="","",MAX(0,MAX(0,MIN(1,(((IF(Статистика!$C$4="Параллельный режим (активная мощность)",E151,P151)+Статистика!$J$4))-Статистика!$C$10)/MAX(Статистика!$G$10-Статистика!$C$10,0.000001)))-MAX(0,MIN(1,(((IF(Статистика!$C$4="Параллельный режим (активная мощность)",D151,O151)+Статистика!$J$4))-Статистика!$C$10)/MAX(Статистика!$G$10-Статистика!$C$10,0.000001)))))</f>
        <v>8.9705313333333592E-2</v>
      </c>
      <c r="AZ151" s="12">
        <f>IF(A151="","",MAX(0,MAX(0,MIN(1,(((IF(Статистика!$C$4="Параллельный режим (активная мощность)",F151,Q151)+Статистика!$J$4))-Статистика!$C$10)/MAX(Статистика!$G$10-Статистика!$C$10,0.000001)))-MAX(0,MIN(1,(((IF(Статистика!$C$4="Параллельный режим (активная мощность)",E151,P151)+Статистика!$J$4))-Статистика!$C$10)/MAX(Статистика!$G$10-Статистика!$C$10,0.000001)))))</f>
        <v>2.9084736111110954E-2</v>
      </c>
      <c r="BA151" s="12">
        <f>IF(A151="","",MAX(0,MAX(0,MIN(1,(((IF(Статистика!$C$4="Параллельный режим (активная мощность)",G151,R151)+Статистика!$J$4))-Статистика!$C$10)/MAX(Статистика!$G$10-Статистика!$C$10,0.000001)))-MAX(0,MIN(1,(((IF(Статистика!$C$4="Параллельный режим (активная мощность)",F151,Q151)+Статистика!$J$4))-Статистика!$C$10)/MAX(Статистика!$G$10-Статистика!$C$10,0.000001)))))</f>
        <v>8.3795799999999865E-2</v>
      </c>
      <c r="BB151" s="12">
        <f>IF(A151="","",MAX(0,MAX(0,MIN(1,(((IF(Статистика!$C$4="Параллельный режим (активная мощность)",H151,S151)+Статистика!$J$4))-Статистика!$C$10)/MAX(Статистика!$G$10-Статистика!$C$10,0.000001)))-MAX(0,MIN(1,(((IF(Статистика!$C$4="Параллельный режим (активная мощность)",G151,R151)+Статистика!$J$4))-Статистика!$C$10)/MAX(Статистика!$G$10-Статистика!$C$10,0.000001)))))</f>
        <v>7.4273291666666408E-2</v>
      </c>
      <c r="BC151" s="12">
        <f>IF(A151="","",MAX(0,MAX(0,MIN(1,(((IF(Статистика!$C$4="Параллельный режим (активная мощность)",J151,U151)+Статистика!$J$4))-Статистика!$C$10)/MAX(Статистика!$G$10-Статистика!$C$10,0.000001)))-MAX(0,MIN(1,(((IF(Статистика!$C$4="Параллельный режим (активная мощность)",H151,S151)+Статистика!$J$4))-Статистика!$C$10)/MAX(Статистика!$G$10-Статистика!$C$10,0.000001)))))</f>
        <v>9.2412961500000113E-2</v>
      </c>
      <c r="BD151" s="12">
        <f>IF(A151="","",MAX(0,1-MAX(0,MIN(1,(((IF(Статистика!$C$4="Параллельный режим (активная мощность)",J151,U151)+Статистика!$J$4))-Статистика!$C$10)/MAX(Статистика!$G$10-Статистика!$C$10,0.000001)))))</f>
        <v>0.1389280079444446</v>
      </c>
      <c r="BE151" s="12">
        <f>IF(A151="",NA(),IF(Статистика!$B$8="Вкл",(((IF(Статистика!$C$4="Параллельный режим (активная мощность)",F151,Q151)+Статистика!$J$4))-Статистика!$C$10)/MAX(Статистика!$G$10-Статистика!$C$10,0.000001),NA()))</f>
        <v>0.61058993888888902</v>
      </c>
      <c r="BF151" s="12">
        <f>IF(A151="",NA(),IF(Статистика!$D$8="Вкл",(((IF(Статистика!$C$4="Параллельный режим (активная мощность)",E151,P151)+Статистика!$J$4))-Статистика!$C$10)/MAX(Статистика!$G$10-Статистика!$C$10,0.000001),NA()))</f>
        <v>0.58150520277777806</v>
      </c>
      <c r="BG151" s="12">
        <f>IF(A151="",NA(),IF(Статистика!$D$8="Вкл",(((IF(Статистика!$C$4="Параллельный режим (активная мощность)",G151,R151)+Статистика!$J$4))-Статистика!$C$10)/MAX(Статистика!$G$10-Статистика!$C$10,0.000001),NA()))</f>
        <v>0.69438573888888888</v>
      </c>
      <c r="BH151" s="12">
        <f>IF(A151="",NA(),IF(Статистика!$F$8="Вкл",(((IF(Статистика!$C$4="Параллельный режим (активная мощность)",D151,O151)+Статистика!$J$4))-Статистика!$C$10)/MAX(Статистика!$G$10-Статистика!$C$10,0.000001),NA()))</f>
        <v>0.49179988944444447</v>
      </c>
      <c r="BI151" s="12">
        <f>IF(A151="",NA(),IF(Статистика!$F$8="Вкл",(((IF(Статистика!$C$4="Параллельный режим (активная мощность)",H151,S151)+Статистика!$J$4))-Статистика!$C$10)/MAX(Статистика!$G$10-Статистика!$C$10,0.000001),NA()))</f>
        <v>0.76865903055555529</v>
      </c>
      <c r="BJ151" s="12">
        <f>IF(A151="",NA(),IF(Статистика!$H$8="Вкл",(((IF(Статистика!$C$4="Параллельный режим (активная мощность)",B151,M151)+Статистика!$J$4))-Статистика!$C$10)/MAX(Статистика!$G$10-Статистика!$C$10,0.000001),NA()))</f>
        <v>-0.92282868355555547</v>
      </c>
      <c r="BK151" s="12">
        <f>IF(A151="",NA(),IF(Статистика!$H$8="Вкл",(((IF(Статистика!$C$4="Параллельный режим (активная мощность)",J151,U151)+Статистика!$J$4))-Статистика!$C$10)/MAX(Статистика!$G$10-Статистика!$C$10,0.000001),NA()))</f>
        <v>0.8610719920555554</v>
      </c>
      <c r="BL151" s="12" t="e">
        <f>IF(A151="",NA(),IF(Статистика!$J$8="Вкл",(((IF(Статистика!$C$4="Параллельный режим (активная мощность)",K151,V151)+Статистика!$J$4))-Статистика!$C$10)/MAX(Статистика!$G$10-Статистика!$C$10,0.000001),NA()))</f>
        <v>#N/A</v>
      </c>
      <c r="BM151" s="12" t="e">
        <f>IF(AND(A151&lt;&gt;"",Статистика!$C$6="Вкл",Статистика!$B$6&gt;0),(Статистика!$B$6-Статистика!$C$10)/MAX(Статистика!$G$10-Статистика!$C$10,0.000001),NA())</f>
        <v>#N/A</v>
      </c>
      <c r="BN151" s="12" t="e">
        <f>IF(AND(A151&lt;&gt;"",Статистика!$F$6="Вкл",Статистика!$E$6&gt;0),(Статистика!$E$6-Статистика!$C$10)/MAX(Статистика!$G$10-Статистика!$C$10,0.000001),NA())</f>
        <v>#N/A</v>
      </c>
      <c r="BO151" s="12" t="e">
        <f>IF(AND(A151&lt;&gt;"",Статистика!$I$6="Вкл",Статистика!$H$6&gt;0),(Статистика!$H$6-Статистика!$C$10)/MAX(Статистика!$G$10-Статистика!$C$10,0.000001),NA())</f>
        <v>#N/A</v>
      </c>
      <c r="BP151" s="12" t="e">
        <f>IF(AND(A151&lt;&gt;"",Статистика!$L$6="Вкл",Статистика!$K$6&gt;0),(Статистика!$K$6-Статистика!$C$10)/MAX(Статистика!$G$10-Статистика!$C$10,0.000001),NA())</f>
        <v>#N/A</v>
      </c>
      <c r="BQ151" s="12" t="e">
        <f>IF(AND(A151&lt;&gt;"",Статистика!$M$6="Вкл",Статистика!$O$6&gt;0),(Статистика!$O$6-Статистика!$C$10)/MAX(Статистика!$G$10-Статистика!$C$10,0.000001),NA())</f>
        <v>#N/A</v>
      </c>
      <c r="BR151" s="12">
        <f t="shared" si="4"/>
        <v>1</v>
      </c>
      <c r="BT151" s="12">
        <f>IF(Y151="","",MAX(0,MIN(1,(((IF(Статистика!$C$4="Параллельный режим (активная мощность)",Z151,AK151)+Статистика!$J$4))-Статистика!$C$10)/MAX(Статистика!$G$10-Статистика!$C$10,0.000001))))</f>
        <v>0.49344044177777807</v>
      </c>
      <c r="BU151" s="12">
        <f>IF(Y151="","",MAX(0,MAX(0,MIN(1,(((IF(Статистика!$C$4="Параллельный режим (активная мощность)",AB151,AM151)+Статистика!$J$4))-Статистика!$C$10)/MAX(Статистика!$G$10-Статистика!$C$10,0.000001)))-MAX(0,MIN(1,(((IF(Статистика!$C$4="Параллельный режим (активная мощность)",Z151,AK151)+Статистика!$J$4))-Статистика!$C$10)/MAX(Статистика!$G$10-Статистика!$C$10,0.000001)))))</f>
        <v>1.697475999999698E-3</v>
      </c>
      <c r="BV151" s="12">
        <f>IF(Y151="","",MAX(0,MAX(0,MIN(1,(((IF(Статистика!$C$4="Параллельный режим (активная мощность)",AC151,AN151)+Статистика!$J$4))-Статистика!$C$10)/MAX(Статистика!$G$10-Статистика!$C$10,0.000001)))-MAX(0,MIN(1,(((IF(Статистика!$C$4="Параллельный режим (активная мощность)",AB151,AM151)+Статистика!$J$4))-Статистика!$C$10)/MAX(Статистика!$G$10-Статистика!$C$10,0.000001)))))</f>
        <v>9.6182273888889169E-2</v>
      </c>
      <c r="BW151" s="12">
        <f>IF(Y151="","",MAX(0,MAX(0,MIN(1,(((IF(Статистика!$C$4="Параллельный режим (активная мощность)",AD151,AO151)+Статистика!$J$4))-Статистика!$C$10)/MAX(Статистика!$G$10-Статистика!$C$10,0.000001)))-MAX(0,MIN(1,(((IF(Статистика!$C$4="Параллельный режим (активная мощность)",AC151,AN151)+Статистика!$J$4))-Статистика!$C$10)/MAX(Статистика!$G$10-Статистика!$C$10,0.000001)))))</f>
        <v>5.2362424999999657E-2</v>
      </c>
      <c r="BX151" s="12">
        <f>IF(Y151="","",MAX(0,MAX(0,MIN(1,(((IF(Статистика!$C$4="Параллельный режим (активная мощность)",AE151,AP151)+Статистика!$J$4))-Статистика!$C$10)/MAX(Статистика!$G$10-Статистика!$C$10,0.000001)))-MAX(0,MIN(1,(((IF(Статистика!$C$4="Параллельный режим (активная мощность)",AD151,AO151)+Статистика!$J$4))-Статистика!$C$10)/MAX(Статистика!$G$10-Статистика!$C$10,0.000001)))))</f>
        <v>4.7672050000000188E-2</v>
      </c>
      <c r="BY151" s="12">
        <f>IF(Y151="","",MAX(0,MAX(0,MIN(1,(((IF(Статистика!$C$4="Параллельный режим (активная мощность)",AF151,AQ151)+Статистика!$J$4))-Статистика!$C$10)/MAX(Статистика!$G$10-Статистика!$C$10,0.000001)))-MAX(0,MIN(1,(((IF(Статистика!$C$4="Параллельный режим (активная мощность)",AE151,AP151)+Статистика!$J$4))-Статистика!$C$10)/MAX(Статистика!$G$10-Статистика!$C$10,0.000001)))))</f>
        <v>0.10533123000000033</v>
      </c>
      <c r="BZ151" s="12">
        <f>IF(Y151="","",MAX(0,MAX(0,MIN(1,(((IF(Статистика!$C$4="Параллельный режим (активная мощность)",AH151,AS151)+Статистика!$J$4))-Статистика!$C$10)/MAX(Статистика!$G$10-Статистика!$C$10,0.000001)))-MAX(0,MIN(1,(((IF(Статистика!$C$4="Параллельный режим (активная мощность)",AF151,AQ151)+Статистика!$J$4))-Статистика!$C$10)/MAX(Статистика!$G$10-Статистика!$C$10,0.000001)))))</f>
        <v>1.2122252999999583E-2</v>
      </c>
      <c r="CA151" s="12">
        <f>IF(Y151="","",MAX(0,1-MAX(0,MIN(1,(((IF(Статистика!$C$4="Параллельный режим (активная мощность)",AH151,AS151)+Статистика!$J$4))-Статистика!$C$10)/MAX(Статистика!$G$10-Статистика!$C$10,0.000001)))))</f>
        <v>0.1911918503333333</v>
      </c>
      <c r="CB151" s="12">
        <f>IF(Y151="",NA(),IF(Статистика!$B$8="Вкл",(((IF(Статистика!$C$4="Параллельный режим (активная мощность)",AD151,AO151)+Статистика!$J$4))-Статистика!$C$10)/MAX(Статистика!$G$10-Статистика!$C$10,0.000001),NA()))</f>
        <v>0.6436826166666666</v>
      </c>
      <c r="CC151" s="12">
        <f>IF(Y151="",NA(),IF(Статистика!$D$8="Вкл",(((IF(Статистика!$C$4="Параллельный режим (активная мощность)",AC151,AN151)+Статистика!$J$4))-Статистика!$C$10)/MAX(Статистика!$G$10-Статистика!$C$10,0.000001),NA()))</f>
        <v>0.59132019166666694</v>
      </c>
      <c r="CD151" s="12">
        <f>IF(Y151="",NA(),IF(Статистика!$D$8="Вкл",(((IF(Статистика!$C$4="Параллельный режим (активная мощность)",AE151,AP151)+Статистика!$J$4))-Статистика!$C$10)/MAX(Статистика!$G$10-Статистика!$C$10,0.000001),NA()))</f>
        <v>0.69135466666666678</v>
      </c>
      <c r="CE151" s="12">
        <f>IF(Y151="",NA(),IF(Статистика!$F$8="Вкл",(((IF(Статистика!$C$4="Параллельный режим (активная мощность)",AB151,AM151)+Статистика!$J$4))-Статистика!$C$10)/MAX(Статистика!$G$10-Статистика!$C$10,0.000001),NA()))</f>
        <v>0.49513791777777777</v>
      </c>
      <c r="CF151" s="12">
        <f>IF(Y151="",NA(),IF(Статистика!$F$8="Вкл",(((IF(Статистика!$C$4="Параллельный режим (активная мощность)",AF151,AQ151)+Статистика!$J$4))-Статистика!$C$10)/MAX(Статистика!$G$10-Статистика!$C$10,0.000001),NA()))</f>
        <v>0.79668589666666711</v>
      </c>
      <c r="CG151" s="12">
        <f>IF(Y151="",NA(),IF(Статистика!$H$8="Вкл",(((IF(Статистика!$C$4="Параллельный режим (активная мощность)",Z151,AK151)+Статистика!$J$4))-Статистика!$C$10)/MAX(Статистика!$G$10-Статистика!$C$10,0.000001),NA()))</f>
        <v>0.49344044177777807</v>
      </c>
      <c r="CH151" s="12">
        <f>IF(Y151="",NA(),IF(Статистика!$H$8="Вкл",(((IF(Статистика!$C$4="Параллельный режим (активная мощность)",AH151,AS151)+Статистика!$J$4))-Статистика!$C$10)/MAX(Статистика!$G$10-Статистика!$C$10,0.000001),NA()))</f>
        <v>0.8088081496666667</v>
      </c>
      <c r="CI151" s="12" t="e">
        <f>IF(Y151="",NA(),IF(Статистика!$J$8="Вкл",(((IF(Статистика!$C$4="Параллельный режим (активная мощность)",AI151,AT151)+Статистика!$J$4))-Статистика!$C$10)/MAX(Статистика!$G$10-Статистика!$C$10,0.000001),NA()))</f>
        <v>#N/A</v>
      </c>
      <c r="CJ151" s="12" t="e">
        <f>IF(AND(Y151&lt;&gt;"",Статистика!$C$6="Вкл",Статистика!$B$6&gt;0),(Статистика!$B$6-Статистика!$C$10)/MAX(Статистика!$G$10-Статистика!$C$10,0.000001),NA())</f>
        <v>#N/A</v>
      </c>
      <c r="CK151" s="12" t="e">
        <f>IF(AND(Y151&lt;&gt;"",Статистика!$F$6="Вкл",Статистика!$E$6&gt;0),(Статистика!$E$6-Статистика!$C$10)/MAX(Статистика!$G$10-Статистика!$C$10,0.000001),NA())</f>
        <v>#N/A</v>
      </c>
      <c r="CL151" s="12" t="e">
        <f>IF(AND(Y151&lt;&gt;"",Статистика!$I$6="Вкл",Статистика!$H$6&gt;0),(Статистика!$H$6-Статистика!$C$10)/MAX(Статистика!$G$10-Статистика!$C$10,0.000001),NA())</f>
        <v>#N/A</v>
      </c>
      <c r="CM151" s="12" t="e">
        <f>IF(AND(Y151&lt;&gt;"",Статистика!$L$6="Вкл",Статистика!$K$6&gt;0),(Статистика!$K$6-Статистика!$C$10)/MAX(Статистика!$G$10-Статистика!$C$10,0.000001),NA())</f>
        <v>#N/A</v>
      </c>
      <c r="CN151" s="12" t="e">
        <f>IF(AND(Y151&lt;&gt;"",Статистика!$M$6="Вкл",Статистика!$O$6&gt;0),(Статистика!$O$6-Статистика!$C$10)/MAX(Статистика!$G$10-Статистика!$C$10,0.000001),NA())</f>
        <v>#N/A</v>
      </c>
      <c r="CO151" s="12">
        <f t="shared" si="5"/>
        <v>1</v>
      </c>
    </row>
    <row r="152" spans="1:93" ht="15" customHeight="1">
      <c r="A152" s="12" t="s">
        <v>664</v>
      </c>
      <c r="B152" s="12">
        <v>3275.5026124999995</v>
      </c>
      <c r="C152" s="12">
        <v>6097.4070624999995</v>
      </c>
      <c r="D152" s="12">
        <v>7483.1597899999997</v>
      </c>
      <c r="E152" s="12">
        <v>7688.5101916666663</v>
      </c>
      <c r="F152" s="12">
        <v>7854.4108666666671</v>
      </c>
      <c r="G152" s="12">
        <v>8055.432691666666</v>
      </c>
      <c r="H152" s="12">
        <v>8307.0047283333333</v>
      </c>
      <c r="I152" s="12">
        <v>8449.2639825000006</v>
      </c>
      <c r="J152" s="12">
        <v>8559.861649833334</v>
      </c>
      <c r="K152" s="12">
        <v>8711.8799999999992</v>
      </c>
      <c r="L152" s="12" t="s">
        <v>665</v>
      </c>
      <c r="M152" s="12">
        <v>3946.9285163333334</v>
      </c>
      <c r="N152" s="12">
        <v>6974.9299150000006</v>
      </c>
      <c r="O152" s="12">
        <v>8450.4778433333322</v>
      </c>
      <c r="P152" s="12">
        <v>8645.7833749999991</v>
      </c>
      <c r="Q152" s="12">
        <v>8865.5812333333342</v>
      </c>
      <c r="R152" s="12">
        <v>9078.0144833333343</v>
      </c>
      <c r="S152" s="12">
        <v>9297.9501799999998</v>
      </c>
      <c r="T152" s="12">
        <v>9443.1850949999989</v>
      </c>
      <c r="U152" s="12">
        <v>9576.9271790000003</v>
      </c>
      <c r="V152" s="12">
        <v>9737.5400000000009</v>
      </c>
      <c r="W152" s="12" t="s">
        <v>665</v>
      </c>
      <c r="Y152" s="12" t="s">
        <v>664</v>
      </c>
      <c r="Z152" s="12">
        <v>7489.1311391666659</v>
      </c>
      <c r="AA152" s="12">
        <v>7494.416895833333</v>
      </c>
      <c r="AB152" s="12">
        <v>7501.0240916666662</v>
      </c>
      <c r="AC152" s="12">
        <v>7773.5215750000007</v>
      </c>
      <c r="AD152" s="12">
        <v>7931.7813333333334</v>
      </c>
      <c r="AE152" s="12">
        <v>8026.0691583333328</v>
      </c>
      <c r="AF152" s="12">
        <v>8418.797634999999</v>
      </c>
      <c r="AG152" s="12">
        <v>8426.9100341666672</v>
      </c>
      <c r="AH152" s="12">
        <v>8433.3999535000003</v>
      </c>
      <c r="AI152" s="12">
        <v>8530.31</v>
      </c>
      <c r="AJ152" s="12" t="s">
        <v>666</v>
      </c>
      <c r="AK152" s="12">
        <v>8512.4405493333361</v>
      </c>
      <c r="AL152" s="12">
        <v>8517.8858133333342</v>
      </c>
      <c r="AM152" s="12">
        <v>8524.6923933333346</v>
      </c>
      <c r="AN152" s="12">
        <v>8723.9891499999994</v>
      </c>
      <c r="AO152" s="12">
        <v>8965.2417666666661</v>
      </c>
      <c r="AP152" s="12">
        <v>9116.3573416666659</v>
      </c>
      <c r="AQ152" s="12">
        <v>9405.1736583333332</v>
      </c>
      <c r="AR152" s="12">
        <v>9408.3108124999981</v>
      </c>
      <c r="AS152" s="12">
        <v>9410.8205358333307</v>
      </c>
      <c r="AT152" s="12">
        <v>9499.57</v>
      </c>
      <c r="AU152" s="12" t="s">
        <v>666</v>
      </c>
      <c r="AW152" s="12">
        <f>IF(A152="","",MAX(0,MIN(1,(((IF(Статистика!$C$4="Параллельный режим (активная мощность)",B152,M152)+Статистика!$J$4))-Статистика!$C$10)/MAX(Статистика!$G$10-Статистика!$C$10,0.000001))))</f>
        <v>0</v>
      </c>
      <c r="AX152" s="12">
        <f>IF(A152="","",MAX(0,MAX(0,MIN(1,(((IF(Статистика!$C$4="Параллельный режим (активная мощность)",D152,O152)+Статистика!$J$4))-Статистика!$C$10)/MAX(Статистика!$G$10-Статистика!$C$10,0.000001)))-MAX(0,MIN(1,(((IF(Статистика!$C$4="Параллельный режим (активная мощность)",B152,M152)+Статистика!$J$4))-Статистика!$C$10)/MAX(Статистика!$G$10-Статистика!$C$10,0.000001)))))</f>
        <v>0.49438659666666657</v>
      </c>
      <c r="AY152" s="12">
        <f>IF(A152="","",MAX(0,MAX(0,MIN(1,(((IF(Статистика!$C$4="Параллельный режим (активная мощность)",E152,P152)+Статистика!$J$4))-Статистика!$C$10)/MAX(Статистика!$G$10-Статистика!$C$10,0.000001)))-MAX(0,MIN(1,(((IF(Статистика!$C$4="Параллельный режим (активная мощность)",D152,O152)+Статистика!$J$4))-Статистика!$C$10)/MAX(Статистика!$G$10-Статистика!$C$10,0.000001)))))</f>
        <v>6.845013388888882E-2</v>
      </c>
      <c r="AZ152" s="12">
        <f>IF(A152="","",MAX(0,MAX(0,MIN(1,(((IF(Статистика!$C$4="Параллельный режим (активная мощность)",F152,Q152)+Статистика!$J$4))-Статистика!$C$10)/MAX(Статистика!$G$10-Статистика!$C$10,0.000001)))-MAX(0,MIN(1,(((IF(Статистика!$C$4="Параллельный режим (активная мощность)",E152,P152)+Статистика!$J$4))-Статистика!$C$10)/MAX(Статистика!$G$10-Статистика!$C$10,0.000001)))))</f>
        <v>5.5300225000000314E-2</v>
      </c>
      <c r="BA152" s="12">
        <f>IF(A152="","",MAX(0,MAX(0,MIN(1,(((IF(Статистика!$C$4="Параллельный режим (активная мощность)",G152,R152)+Статистика!$J$4))-Статистика!$C$10)/MAX(Статистика!$G$10-Статистика!$C$10,0.000001)))-MAX(0,MIN(1,(((IF(Статистика!$C$4="Параллельный режим (активная мощность)",F152,Q152)+Статистика!$J$4))-Статистика!$C$10)/MAX(Статистика!$G$10-Статистика!$C$10,0.000001)))))</f>
        <v>6.7007274999999589E-2</v>
      </c>
      <c r="BB152" s="12">
        <f>IF(A152="","",MAX(0,MAX(0,MIN(1,(((IF(Статистика!$C$4="Параллельный режим (активная мощность)",H152,S152)+Статистика!$J$4))-Статистика!$C$10)/MAX(Статистика!$G$10-Статистика!$C$10,0.000001)))-MAX(0,MIN(1,(((IF(Статистика!$C$4="Параллельный режим (активная мощность)",G152,R152)+Статистика!$J$4))-Статистика!$C$10)/MAX(Статистика!$G$10-Статистика!$C$10,0.000001)))))</f>
        <v>8.3857345555555796E-2</v>
      </c>
      <c r="BC152" s="12">
        <f>IF(A152="","",MAX(0,MAX(0,MIN(1,(((IF(Статистика!$C$4="Параллельный режим (активная мощность)",J152,U152)+Статистика!$J$4))-Статистика!$C$10)/MAX(Статистика!$G$10-Статистика!$C$10,0.000001)))-MAX(0,MIN(1,(((IF(Статистика!$C$4="Параллельный режим (активная мощность)",H152,S152)+Статистика!$J$4))-Статистика!$C$10)/MAX(Статистика!$G$10-Статистика!$C$10,0.000001)))))</f>
        <v>8.4285640500000203E-2</v>
      </c>
      <c r="BD152" s="12">
        <f>IF(A152="","",MAX(0,1-MAX(0,MIN(1,(((IF(Статистика!$C$4="Параллельный режим (активная мощность)",J152,U152)+Статистика!$J$4))-Статистика!$C$10)/MAX(Статистика!$G$10-Статистика!$C$10,0.000001)))))</f>
        <v>0.14671278338888871</v>
      </c>
      <c r="BE152" s="12">
        <f>IF(A152="",NA(),IF(Статистика!$B$8="Вкл",(((IF(Статистика!$C$4="Параллельный режим (активная мощность)",F152,Q152)+Статистика!$J$4))-Статистика!$C$10)/MAX(Статистика!$G$10-Статистика!$C$10,0.000001),NA()))</f>
        <v>0.6181369555555557</v>
      </c>
      <c r="BF152" s="12">
        <f>IF(A152="",NA(),IF(Статистика!$D$8="Вкл",(((IF(Статистика!$C$4="Параллельный режим (активная мощность)",E152,P152)+Статистика!$J$4))-Статистика!$C$10)/MAX(Статистика!$G$10-Статистика!$C$10,0.000001),NA()))</f>
        <v>0.56283673055555539</v>
      </c>
      <c r="BG152" s="12">
        <f>IF(A152="",NA(),IF(Статистика!$D$8="Вкл",(((IF(Статистика!$C$4="Параллельный режим (активная мощность)",G152,R152)+Статистика!$J$4))-Статистика!$C$10)/MAX(Статистика!$G$10-Статистика!$C$10,0.000001),NA()))</f>
        <v>0.68514423055555529</v>
      </c>
      <c r="BH152" s="12">
        <f>IF(A152="",NA(),IF(Статистика!$F$8="Вкл",(((IF(Статистика!$C$4="Параллельный режим (активная мощность)",D152,O152)+Статистика!$J$4))-Статистика!$C$10)/MAX(Статистика!$G$10-Статистика!$C$10,0.000001),NA()))</f>
        <v>0.49438659666666657</v>
      </c>
      <c r="BI152" s="12">
        <f>IF(A152="",NA(),IF(Статистика!$F$8="Вкл",(((IF(Статистика!$C$4="Параллельный режим (активная мощность)",H152,S152)+Статистика!$J$4))-Статистика!$C$10)/MAX(Статистика!$G$10-Статистика!$C$10,0.000001),NA()))</f>
        <v>0.76900157611111108</v>
      </c>
      <c r="BJ152" s="12">
        <f>IF(A152="",NA(),IF(Статистика!$H$8="Вкл",(((IF(Статистика!$C$4="Параллельный режим (активная мощность)",B152,M152)+Статистика!$J$4))-Статистика!$C$10)/MAX(Статистика!$G$10-Статистика!$C$10,0.000001),NA()))</f>
        <v>-0.90816579583333346</v>
      </c>
      <c r="BK152" s="12">
        <f>IF(A152="",NA(),IF(Статистика!$H$8="Вкл",(((IF(Статистика!$C$4="Параллельный режим (активная мощность)",J152,U152)+Статистика!$J$4))-Статистика!$C$10)/MAX(Статистика!$G$10-Статистика!$C$10,0.000001),NA()))</f>
        <v>0.85328721661111129</v>
      </c>
      <c r="BL152" s="12" t="e">
        <f>IF(A152="",NA(),IF(Статистика!$J$8="Вкл",(((IF(Статистика!$C$4="Параллельный режим (активная мощность)",K152,V152)+Статистика!$J$4))-Статистика!$C$10)/MAX(Статистика!$G$10-Статистика!$C$10,0.000001),NA()))</f>
        <v>#N/A</v>
      </c>
      <c r="BM152" s="12" t="e">
        <f>IF(AND(A152&lt;&gt;"",Статистика!$C$6="Вкл",Статистика!$B$6&gt;0),(Статистика!$B$6-Статистика!$C$10)/MAX(Статистика!$G$10-Статистика!$C$10,0.000001),NA())</f>
        <v>#N/A</v>
      </c>
      <c r="BN152" s="12" t="e">
        <f>IF(AND(A152&lt;&gt;"",Статистика!$F$6="Вкл",Статистика!$E$6&gt;0),(Статистика!$E$6-Статистика!$C$10)/MAX(Статистика!$G$10-Статистика!$C$10,0.000001),NA())</f>
        <v>#N/A</v>
      </c>
      <c r="BO152" s="12" t="e">
        <f>IF(AND(A152&lt;&gt;"",Статистика!$I$6="Вкл",Статистика!$H$6&gt;0),(Статистика!$H$6-Статистика!$C$10)/MAX(Статистика!$G$10-Статистика!$C$10,0.000001),NA())</f>
        <v>#N/A</v>
      </c>
      <c r="BP152" s="12" t="e">
        <f>IF(AND(A152&lt;&gt;"",Статистика!$L$6="Вкл",Статистика!$K$6&gt;0),(Статистика!$K$6-Статистика!$C$10)/MAX(Статистика!$G$10-Статистика!$C$10,0.000001),NA())</f>
        <v>#N/A</v>
      </c>
      <c r="BQ152" s="12" t="e">
        <f>IF(AND(A152&lt;&gt;"",Статистика!$M$6="Вкл",Статистика!$O$6&gt;0),(Статистика!$O$6-Статистика!$C$10)/MAX(Статистика!$G$10-Статистика!$C$10,0.000001),NA())</f>
        <v>#N/A</v>
      </c>
      <c r="BR152" s="12">
        <f t="shared" si="4"/>
        <v>1</v>
      </c>
      <c r="BT152" s="12">
        <f>IF(Y152="","",MAX(0,MIN(1,(((IF(Статистика!$C$4="Параллельный режим (активная мощность)",Z152,AK152)+Статистика!$J$4))-Статистика!$C$10)/MAX(Статистика!$G$10-Статистика!$C$10,0.000001))))</f>
        <v>0.49637704638888863</v>
      </c>
      <c r="BU152" s="12">
        <f>IF(Y152="","",MAX(0,MAX(0,MIN(1,(((IF(Статистика!$C$4="Параллельный режим (активная мощность)",AB152,AM152)+Статистика!$J$4))-Статистика!$C$10)/MAX(Статистика!$G$10-Статистика!$C$10,0.000001)))-MAX(0,MIN(1,(((IF(Статистика!$C$4="Параллельный режим (активная мощность)",Z152,AK152)+Статистика!$J$4))-Статистика!$C$10)/MAX(Статистика!$G$10-Статистика!$C$10,0.000001)))))</f>
        <v>3.9643175000000919E-3</v>
      </c>
      <c r="BV152" s="12">
        <f>IF(Y152="","",MAX(0,MAX(0,MIN(1,(((IF(Статистика!$C$4="Параллельный режим (активная мощность)",AC152,AN152)+Статистика!$J$4))-Статистика!$C$10)/MAX(Статистика!$G$10-Статистика!$C$10,0.000001)))-MAX(0,MIN(1,(((IF(Статистика!$C$4="Параллельный режим (активная мощность)",AB152,AM152)+Статистика!$J$4))-Статистика!$C$10)/MAX(Статистика!$G$10-Статистика!$C$10,0.000001)))))</f>
        <v>9.0832494444444856E-2</v>
      </c>
      <c r="BW152" s="12">
        <f>IF(Y152="","",MAX(0,MAX(0,MIN(1,(((IF(Статистика!$C$4="Параллельный режим (активная мощность)",AD152,AO152)+Статистика!$J$4))-Статистика!$C$10)/MAX(Статистика!$G$10-Статистика!$C$10,0.000001)))-MAX(0,MIN(1,(((IF(Статистика!$C$4="Параллельный режим (активная мощность)",AC152,AN152)+Статистика!$J$4))-Статистика!$C$10)/MAX(Статистика!$G$10-Статистика!$C$10,0.000001)))))</f>
        <v>5.2753252777777537E-2</v>
      </c>
      <c r="BX152" s="12">
        <f>IF(Y152="","",MAX(0,MAX(0,MIN(1,(((IF(Статистика!$C$4="Параллельный режим (активная мощность)",AE152,AP152)+Статистика!$J$4))-Статистика!$C$10)/MAX(Статистика!$G$10-Статистика!$C$10,0.000001)))-MAX(0,MIN(1,(((IF(Статистика!$C$4="Параллельный режим (активная мощность)",AD152,AO152)+Статистика!$J$4))-Статистика!$C$10)/MAX(Статистика!$G$10-Статистика!$C$10,0.000001)))))</f>
        <v>3.1429274999999812E-2</v>
      </c>
      <c r="BY152" s="12">
        <f>IF(Y152="","",MAX(0,MAX(0,MIN(1,(((IF(Статистика!$C$4="Параллельный режим (активная мощность)",AF152,AQ152)+Статистика!$J$4))-Статистика!$C$10)/MAX(Статистика!$G$10-Статистика!$C$10,0.000001)))-MAX(0,MIN(1,(((IF(Статистика!$C$4="Параллельный режим (активная мощность)",AE152,AP152)+Статистика!$J$4))-Статистика!$C$10)/MAX(Статистика!$G$10-Статистика!$C$10,0.000001)))))</f>
        <v>0.13090949222222203</v>
      </c>
      <c r="BZ152" s="12">
        <f>IF(Y152="","",MAX(0,MAX(0,MIN(1,(((IF(Статистика!$C$4="Параллельный режим (активная мощность)",AH152,AS152)+Статистика!$J$4))-Статистика!$C$10)/MAX(Статистика!$G$10-Статистика!$C$10,0.000001)))-MAX(0,MIN(1,(((IF(Статистика!$C$4="Параллельный режим (активная мощность)",AF152,AQ152)+Статистика!$J$4))-Статистика!$C$10)/MAX(Статистика!$G$10-Статистика!$C$10,0.000001)))))</f>
        <v>4.8674395000004589E-3</v>
      </c>
      <c r="CA152" s="12">
        <f>IF(Y152="","",MAX(0,1-MAX(0,MIN(1,(((IF(Статистика!$C$4="Параллельный режим (активная мощность)",AH152,AS152)+Статистика!$J$4))-Статистика!$C$10)/MAX(Статистика!$G$10-Статистика!$C$10,0.000001)))))</f>
        <v>0.18886668216666658</v>
      </c>
      <c r="CB152" s="12">
        <f>IF(Y152="",NA(),IF(Статистика!$B$8="Вкл",(((IF(Статистика!$C$4="Параллельный режим (активная мощность)",AD152,AO152)+Статистика!$J$4))-Статистика!$C$10)/MAX(Статистика!$G$10-Статистика!$C$10,0.000001),NA()))</f>
        <v>0.64392711111111112</v>
      </c>
      <c r="CC152" s="12">
        <f>IF(Y152="",NA(),IF(Статистика!$D$8="Вкл",(((IF(Статистика!$C$4="Параллельный режим (активная мощность)",AC152,AN152)+Статистика!$J$4))-Статистика!$C$10)/MAX(Статистика!$G$10-Статистика!$C$10,0.000001),NA()))</f>
        <v>0.59117385833333358</v>
      </c>
      <c r="CD152" s="12">
        <f>IF(Y152="",NA(),IF(Статистика!$D$8="Вкл",(((IF(Статистика!$C$4="Параллельный режим (активная мощность)",AE152,AP152)+Статистика!$J$4))-Статистика!$C$10)/MAX(Статистика!$G$10-Статистика!$C$10,0.000001),NA()))</f>
        <v>0.67535638611111093</v>
      </c>
      <c r="CE152" s="12">
        <f>IF(Y152="",NA(),IF(Статистика!$F$8="Вкл",(((IF(Статистика!$C$4="Параллельный режим (активная мощность)",AB152,AM152)+Статистика!$J$4))-Статистика!$C$10)/MAX(Статистика!$G$10-Статистика!$C$10,0.000001),NA()))</f>
        <v>0.50034136388888872</v>
      </c>
      <c r="CF152" s="12">
        <f>IF(Y152="",NA(),IF(Статистика!$F$8="Вкл",(((IF(Статистика!$C$4="Параллельный режим (активная мощность)",AF152,AQ152)+Статистика!$J$4))-Статистика!$C$10)/MAX(Статистика!$G$10-Статистика!$C$10,0.000001),NA()))</f>
        <v>0.80626587833333296</v>
      </c>
      <c r="CG152" s="12">
        <f>IF(Y152="",NA(),IF(Статистика!$H$8="Вкл",(((IF(Статистика!$C$4="Параллельный режим (активная мощность)",Z152,AK152)+Статистика!$J$4))-Статистика!$C$10)/MAX(Статистика!$G$10-Статистика!$C$10,0.000001),NA()))</f>
        <v>0.49637704638888863</v>
      </c>
      <c r="CH152" s="12">
        <f>IF(Y152="",NA(),IF(Статистика!$H$8="Вкл",(((IF(Статистика!$C$4="Параллельный режим (активная мощность)",AH152,AS152)+Статистика!$J$4))-Статистика!$C$10)/MAX(Статистика!$G$10-Статистика!$C$10,0.000001),NA()))</f>
        <v>0.81113331783333342</v>
      </c>
      <c r="CI152" s="12" t="e">
        <f>IF(Y152="",NA(),IF(Статистика!$J$8="Вкл",(((IF(Статистика!$C$4="Параллельный режим (активная мощность)",AI152,AT152)+Статистика!$J$4))-Статистика!$C$10)/MAX(Статистика!$G$10-Статистика!$C$10,0.000001),NA()))</f>
        <v>#N/A</v>
      </c>
      <c r="CJ152" s="12" t="e">
        <f>IF(AND(Y152&lt;&gt;"",Статистика!$C$6="Вкл",Статистика!$B$6&gt;0),(Статистика!$B$6-Статистика!$C$10)/MAX(Статистика!$G$10-Статистика!$C$10,0.000001),NA())</f>
        <v>#N/A</v>
      </c>
      <c r="CK152" s="12" t="e">
        <f>IF(AND(Y152&lt;&gt;"",Статистика!$F$6="Вкл",Статистика!$E$6&gt;0),(Статистика!$E$6-Статистика!$C$10)/MAX(Статистика!$G$10-Статистика!$C$10,0.000001),NA())</f>
        <v>#N/A</v>
      </c>
      <c r="CL152" s="12" t="e">
        <f>IF(AND(Y152&lt;&gt;"",Статистика!$I$6="Вкл",Статистика!$H$6&gt;0),(Статистика!$H$6-Статистика!$C$10)/MAX(Статистика!$G$10-Статистика!$C$10,0.000001),NA())</f>
        <v>#N/A</v>
      </c>
      <c r="CM152" s="12" t="e">
        <f>IF(AND(Y152&lt;&gt;"",Статистика!$L$6="Вкл",Статистика!$K$6&gt;0),(Статистика!$K$6-Статистика!$C$10)/MAX(Статистика!$G$10-Статистика!$C$10,0.000001),NA())</f>
        <v>#N/A</v>
      </c>
      <c r="CN152" s="12" t="e">
        <f>IF(AND(Y152&lt;&gt;"",Статистика!$M$6="Вкл",Статистика!$O$6&gt;0),(Статистика!$O$6-Статистика!$C$10)/MAX(Статистика!$G$10-Статистика!$C$10,0.000001),NA())</f>
        <v>#N/A</v>
      </c>
      <c r="CO152" s="12">
        <f t="shared" si="5"/>
        <v>1</v>
      </c>
    </row>
    <row r="153" spans="1:93" ht="15" customHeight="1">
      <c r="A153" s="12" t="s">
        <v>667</v>
      </c>
      <c r="B153" s="12">
        <v>3270.7420871666668</v>
      </c>
      <c r="C153" s="12">
        <v>6088.8245691666671</v>
      </c>
      <c r="D153" s="12">
        <v>7462.4228516666662</v>
      </c>
      <c r="E153" s="12">
        <v>7704.3486916666679</v>
      </c>
      <c r="F153" s="12">
        <v>7824.6039666666666</v>
      </c>
      <c r="G153" s="12">
        <v>8011.0126000000009</v>
      </c>
      <c r="H153" s="12">
        <v>8320.9140549999975</v>
      </c>
      <c r="I153" s="12">
        <v>8471.9917949999981</v>
      </c>
      <c r="J153" s="12">
        <v>8568.2937189999993</v>
      </c>
      <c r="K153" s="12">
        <v>8767.1</v>
      </c>
      <c r="L153" s="12" t="s">
        <v>668</v>
      </c>
      <c r="M153" s="12">
        <v>3939.6843805000003</v>
      </c>
      <c r="N153" s="12">
        <v>6967.9673691666667</v>
      </c>
      <c r="O153" s="12">
        <v>8417.6044299999994</v>
      </c>
      <c r="P153" s="12">
        <v>8632.0439499999993</v>
      </c>
      <c r="Q153" s="12">
        <v>8829.5835833333331</v>
      </c>
      <c r="R153" s="12">
        <v>9006.787566666666</v>
      </c>
      <c r="S153" s="12">
        <v>9307.670259999999</v>
      </c>
      <c r="T153" s="12">
        <v>9458.7687724999996</v>
      </c>
      <c r="U153" s="12">
        <v>9585.3711144999997</v>
      </c>
      <c r="V153" s="12">
        <v>9775.23</v>
      </c>
      <c r="W153" s="12" t="s">
        <v>668</v>
      </c>
      <c r="Y153" s="12" t="s">
        <v>667</v>
      </c>
      <c r="Z153" s="12">
        <v>7471.2412878333334</v>
      </c>
      <c r="AA153" s="12">
        <v>7486.189239166667</v>
      </c>
      <c r="AB153" s="12">
        <v>7504.8741783333344</v>
      </c>
      <c r="AC153" s="12">
        <v>7733.2407416666665</v>
      </c>
      <c r="AD153" s="12">
        <v>7860.3145166666663</v>
      </c>
      <c r="AE153" s="12">
        <v>8061.7966333333325</v>
      </c>
      <c r="AF153" s="12">
        <v>8417.2005133333332</v>
      </c>
      <c r="AG153" s="12">
        <v>8425.9923733333326</v>
      </c>
      <c r="AH153" s="12">
        <v>8433.0258613333335</v>
      </c>
      <c r="AI153" s="12">
        <v>8660.02</v>
      </c>
      <c r="AJ153" s="12" t="s">
        <v>669</v>
      </c>
      <c r="AK153" s="12">
        <v>8529.5532551666674</v>
      </c>
      <c r="AL153" s="12">
        <v>8530.3798758333342</v>
      </c>
      <c r="AM153" s="12">
        <v>8531.4131516666657</v>
      </c>
      <c r="AN153" s="12">
        <v>8728.9066416666665</v>
      </c>
      <c r="AO153" s="12">
        <v>8920.2820833333353</v>
      </c>
      <c r="AP153" s="12">
        <v>9113.0156666666662</v>
      </c>
      <c r="AQ153" s="12">
        <v>9399.1351016666649</v>
      </c>
      <c r="AR153" s="12">
        <v>9421.3100841666655</v>
      </c>
      <c r="AS153" s="12">
        <v>9439.0500701666642</v>
      </c>
      <c r="AT153" s="12">
        <v>9643.7900000000009</v>
      </c>
      <c r="AU153" s="12" t="s">
        <v>670</v>
      </c>
      <c r="AW153" s="12">
        <f>IF(A153="","",MAX(0,MIN(1,(((IF(Статистика!$C$4="Параллельный режим (активная мощность)",B153,M153)+Статистика!$J$4))-Статистика!$C$10)/MAX(Статистика!$G$10-Статистика!$C$10,0.000001))))</f>
        <v>0</v>
      </c>
      <c r="AX153" s="12">
        <f>IF(A153="","",MAX(0,MAX(0,MIN(1,(((IF(Статистика!$C$4="Параллельный режим (активная мощность)",D153,O153)+Статистика!$J$4))-Статистика!$C$10)/MAX(Статистика!$G$10-Статистика!$C$10,0.000001)))-MAX(0,MIN(1,(((IF(Статистика!$C$4="Параллельный режим (активная мощность)",B153,M153)+Статистика!$J$4))-Статистика!$C$10)/MAX(Статистика!$G$10-Статистика!$C$10,0.000001)))))</f>
        <v>0.48747428388888875</v>
      </c>
      <c r="AY153" s="12">
        <f>IF(A153="","",MAX(0,MAX(0,MIN(1,(((IF(Статистика!$C$4="Параллельный режим (активная мощность)",E153,P153)+Статистика!$J$4))-Статистика!$C$10)/MAX(Статистика!$G$10-Статистика!$C$10,0.000001)))-MAX(0,MIN(1,(((IF(Статистика!$C$4="Параллельный режим (активная мощность)",D153,O153)+Статистика!$J$4))-Статистика!$C$10)/MAX(Статистика!$G$10-Статистика!$C$10,0.000001)))))</f>
        <v>8.0641946666667186E-2</v>
      </c>
      <c r="AZ153" s="12">
        <f>IF(A153="","",MAX(0,MAX(0,MIN(1,(((IF(Статистика!$C$4="Параллельный режим (активная мощность)",F153,Q153)+Статистика!$J$4))-Статистика!$C$10)/MAX(Статистика!$G$10-Статистика!$C$10,0.000001)))-MAX(0,MIN(1,(((IF(Статистика!$C$4="Параллельный режим (активная мощность)",E153,P153)+Статистика!$J$4))-Статистика!$C$10)/MAX(Статистика!$G$10-Статистика!$C$10,0.000001)))))</f>
        <v>4.0085091666666295E-2</v>
      </c>
      <c r="BA153" s="12">
        <f>IF(A153="","",MAX(0,MAX(0,MIN(1,(((IF(Статистика!$C$4="Параллельный режим (активная мощность)",G153,R153)+Статистика!$J$4))-Статистика!$C$10)/MAX(Статистика!$G$10-Статистика!$C$10,0.000001)))-MAX(0,MIN(1,(((IF(Статистика!$C$4="Параллельный режим (активная мощность)",F153,Q153)+Статистика!$J$4))-Статистика!$C$10)/MAX(Статистика!$G$10-Статистика!$C$10,0.000001)))))</f>
        <v>6.213621111111145E-2</v>
      </c>
      <c r="BB153" s="12">
        <f>IF(A153="","",MAX(0,MAX(0,MIN(1,(((IF(Статистика!$C$4="Параллельный режим (активная мощность)",H153,S153)+Статистика!$J$4))-Статистика!$C$10)/MAX(Статистика!$G$10-Статистика!$C$10,0.000001)))-MAX(0,MIN(1,(((IF(Статистика!$C$4="Параллельный режим (активная мощность)",G153,R153)+Статистика!$J$4))-Статистика!$C$10)/MAX(Статистика!$G$10-Статистика!$C$10,0.000001)))))</f>
        <v>0.10330048499999878</v>
      </c>
      <c r="BC153" s="12">
        <f>IF(A153="","",MAX(0,MAX(0,MIN(1,(((IF(Статистика!$C$4="Параллельный режим (активная мощность)",J153,U153)+Статистика!$J$4))-Статистика!$C$10)/MAX(Статистика!$G$10-Статистика!$C$10,0.000001)))-MAX(0,MIN(1,(((IF(Статистика!$C$4="Параллельный режим (активная мощность)",H153,S153)+Статистика!$J$4))-Статистика!$C$10)/MAX(Статистика!$G$10-Статистика!$C$10,0.000001)))))</f>
        <v>8.2459888000000703E-2</v>
      </c>
      <c r="BD153" s="12">
        <f>IF(A153="","",MAX(0,1-MAX(0,MIN(1,(((IF(Статистика!$C$4="Параллельный режим (активная мощность)",J153,U153)+Статистика!$J$4))-Статистика!$C$10)/MAX(Статистика!$G$10-Статистика!$C$10,0.000001)))))</f>
        <v>0.14390209366666684</v>
      </c>
      <c r="BE153" s="12">
        <f>IF(A153="",NA(),IF(Статистика!$B$8="Вкл",(((IF(Статистика!$C$4="Параллельный режим (активная мощность)",F153,Q153)+Статистика!$J$4))-Статистика!$C$10)/MAX(Статистика!$G$10-Статистика!$C$10,0.000001),NA()))</f>
        <v>0.60820132222222223</v>
      </c>
      <c r="BF153" s="12">
        <f>IF(A153="",NA(),IF(Статистика!$D$8="Вкл",(((IF(Статистика!$C$4="Параллельный режим (активная мощность)",E153,P153)+Статистика!$J$4))-Статистика!$C$10)/MAX(Статистика!$G$10-Статистика!$C$10,0.000001),NA()))</f>
        <v>0.56811623055555593</v>
      </c>
      <c r="BG153" s="12">
        <f>IF(A153="",NA(),IF(Статистика!$D$8="Вкл",(((IF(Статистика!$C$4="Параллельный режим (активная мощность)",G153,R153)+Статистика!$J$4))-Статистика!$C$10)/MAX(Статистика!$G$10-Статистика!$C$10,0.000001),NA()))</f>
        <v>0.67033753333333368</v>
      </c>
      <c r="BH153" s="12">
        <f>IF(A153="",NA(),IF(Статистика!$F$8="Вкл",(((IF(Статистика!$C$4="Параллельный режим (активная мощность)",D153,O153)+Статистика!$J$4))-Статистика!$C$10)/MAX(Статистика!$G$10-Статистика!$C$10,0.000001),NA()))</f>
        <v>0.48747428388888875</v>
      </c>
      <c r="BI153" s="12">
        <f>IF(A153="",NA(),IF(Статистика!$F$8="Вкл",(((IF(Статистика!$C$4="Параллельный режим (активная мощность)",H153,S153)+Статистика!$J$4))-Статистика!$C$10)/MAX(Статистика!$G$10-Статистика!$C$10,0.000001),NA()))</f>
        <v>0.77363801833333246</v>
      </c>
      <c r="BJ153" s="12">
        <f>IF(A153="",NA(),IF(Статистика!$H$8="Вкл",(((IF(Статистика!$C$4="Параллельный режим (активная мощность)",B153,M153)+Статистика!$J$4))-Статистика!$C$10)/MAX(Статистика!$G$10-Статистика!$C$10,0.000001),NA()))</f>
        <v>-0.90975263761111103</v>
      </c>
      <c r="BK153" s="12">
        <f>IF(A153="",NA(),IF(Статистика!$H$8="Вкл",(((IF(Статистика!$C$4="Параллельный режим (активная мощность)",J153,U153)+Статистика!$J$4))-Статистика!$C$10)/MAX(Статистика!$G$10-Статистика!$C$10,0.000001),NA()))</f>
        <v>0.85609790633333316</v>
      </c>
      <c r="BL153" s="12" t="e">
        <f>IF(A153="",NA(),IF(Статистика!$J$8="Вкл",(((IF(Статистика!$C$4="Параллельный режим (активная мощность)",K153,V153)+Статистика!$J$4))-Статистика!$C$10)/MAX(Статистика!$G$10-Статистика!$C$10,0.000001),NA()))</f>
        <v>#N/A</v>
      </c>
      <c r="BM153" s="12" t="e">
        <f>IF(AND(A153&lt;&gt;"",Статистика!$C$6="Вкл",Статистика!$B$6&gt;0),(Статистика!$B$6-Статистика!$C$10)/MAX(Статистика!$G$10-Статистика!$C$10,0.000001),NA())</f>
        <v>#N/A</v>
      </c>
      <c r="BN153" s="12" t="e">
        <f>IF(AND(A153&lt;&gt;"",Статистика!$F$6="Вкл",Статистика!$E$6&gt;0),(Статистика!$E$6-Статистика!$C$10)/MAX(Статистика!$G$10-Статистика!$C$10,0.000001),NA())</f>
        <v>#N/A</v>
      </c>
      <c r="BO153" s="12" t="e">
        <f>IF(AND(A153&lt;&gt;"",Статистика!$I$6="Вкл",Статистика!$H$6&gt;0),(Статистика!$H$6-Статистика!$C$10)/MAX(Статистика!$G$10-Статистика!$C$10,0.000001),NA())</f>
        <v>#N/A</v>
      </c>
      <c r="BP153" s="12" t="e">
        <f>IF(AND(A153&lt;&gt;"",Статистика!$L$6="Вкл",Статистика!$K$6&gt;0),(Статистика!$K$6-Статистика!$C$10)/MAX(Статистика!$G$10-Статистика!$C$10,0.000001),NA())</f>
        <v>#N/A</v>
      </c>
      <c r="BQ153" s="12" t="e">
        <f>IF(AND(A153&lt;&gt;"",Статистика!$M$6="Вкл",Статистика!$O$6&gt;0),(Статистика!$O$6-Статистика!$C$10)/MAX(Статистика!$G$10-Статистика!$C$10,0.000001),NA())</f>
        <v>#N/A</v>
      </c>
      <c r="BR153" s="12">
        <f t="shared" si="4"/>
        <v>1</v>
      </c>
      <c r="BT153" s="12">
        <f>IF(Y153="","",MAX(0,MIN(1,(((IF(Статистика!$C$4="Параллельный режим (активная мощность)",Z153,AK153)+Статистика!$J$4))-Статистика!$C$10)/MAX(Статистика!$G$10-Статистика!$C$10,0.000001))))</f>
        <v>0.49041376261111114</v>
      </c>
      <c r="BU153" s="12">
        <f>IF(Y153="","",MAX(0,MAX(0,MIN(1,(((IF(Статистика!$C$4="Параллельный режим (активная мощность)",AB153,AM153)+Статистика!$J$4))-Статистика!$C$10)/MAX(Статистика!$G$10-Статистика!$C$10,0.000001)))-MAX(0,MIN(1,(((IF(Статистика!$C$4="Параллельный режим (активная мощность)",Z153,AK153)+Статистика!$J$4))-Статистика!$C$10)/MAX(Статистика!$G$10-Статистика!$C$10,0.000001)))))</f>
        <v>1.1210963500000282E-2</v>
      </c>
      <c r="BV153" s="12">
        <f>IF(Y153="","",MAX(0,MAX(0,MIN(1,(((IF(Статистика!$C$4="Параллельный режим (активная мощность)",AC153,AN153)+Статистика!$J$4))-Статистика!$C$10)/MAX(Статистика!$G$10-Статистика!$C$10,0.000001)))-MAX(0,MIN(1,(((IF(Статистика!$C$4="Параллельный режим (активная мощность)",AB153,AM153)+Статистика!$J$4))-Статистика!$C$10)/MAX(Статистика!$G$10-Статистика!$C$10,0.000001)))))</f>
        <v>7.6122187777777461E-2</v>
      </c>
      <c r="BW153" s="12">
        <f>IF(Y153="","",MAX(0,MAX(0,MIN(1,(((IF(Статистика!$C$4="Параллельный режим (активная мощность)",AD153,AO153)+Статистика!$J$4))-Статистика!$C$10)/MAX(Статистика!$G$10-Статистика!$C$10,0.000001)))-MAX(0,MIN(1,(((IF(Статистика!$C$4="Параллельный режим (активная мощность)",AC153,AN153)+Статистика!$J$4))-Статистика!$C$10)/MAX(Статистика!$G$10-Статистика!$C$10,0.000001)))))</f>
        <v>4.2357924999999907E-2</v>
      </c>
      <c r="BX153" s="12">
        <f>IF(Y153="","",MAX(0,MAX(0,MIN(1,(((IF(Статистика!$C$4="Параллельный режим (активная мощность)",AE153,AP153)+Статистика!$J$4))-Статистика!$C$10)/MAX(Статистика!$G$10-Статистика!$C$10,0.000001)))-MAX(0,MIN(1,(((IF(Статистика!$C$4="Параллельный режим (активная мощность)",AD153,AO153)+Статистика!$J$4))-Статистика!$C$10)/MAX(Статистика!$G$10-Статистика!$C$10,0.000001)))))</f>
        <v>6.7160705555555422E-2</v>
      </c>
      <c r="BY153" s="12">
        <f>IF(Y153="","",MAX(0,MAX(0,MIN(1,(((IF(Статистика!$C$4="Параллельный режим (активная мощность)",AF153,AQ153)+Статистика!$J$4))-Статистика!$C$10)/MAX(Статистика!$G$10-Статистика!$C$10,0.000001)))-MAX(0,MIN(1,(((IF(Статистика!$C$4="Параллельный режим (активная мощность)",AE153,AP153)+Статистика!$J$4))-Статистика!$C$10)/MAX(Статистика!$G$10-Статистика!$C$10,0.000001)))))</f>
        <v>0.11846796000000015</v>
      </c>
      <c r="BZ153" s="12">
        <f>IF(Y153="","",MAX(0,MAX(0,MIN(1,(((IF(Статистика!$C$4="Параллельный режим (активная мощность)",AH153,AS153)+Статистика!$J$4))-Статистика!$C$10)/MAX(Статистика!$G$10-Статистика!$C$10,0.000001)))-MAX(0,MIN(1,(((IF(Статистика!$C$4="Параллельный режим (активная мощность)",AF153,AQ153)+Статистика!$J$4))-Статистика!$C$10)/MAX(Статистика!$G$10-Статистика!$C$10,0.000001)))))</f>
        <v>5.2751160000001907E-3</v>
      </c>
      <c r="CA153" s="12">
        <f>IF(Y153="","",MAX(0,1-MAX(0,MIN(1,(((IF(Статистика!$C$4="Параллельный режим (активная мощность)",AH153,AS153)+Статистика!$J$4))-Статистика!$C$10)/MAX(Статистика!$G$10-Статистика!$C$10,0.000001)))))</f>
        <v>0.18899137955555545</v>
      </c>
      <c r="CB153" s="12">
        <f>IF(Y153="",NA(),IF(Статистика!$B$8="Вкл",(((IF(Статистика!$C$4="Параллельный режим (активная мощность)",AD153,AO153)+Статистика!$J$4))-Статистика!$C$10)/MAX(Статистика!$G$10-Статистика!$C$10,0.000001),NA()))</f>
        <v>0.62010483888888879</v>
      </c>
      <c r="CC153" s="12">
        <f>IF(Y153="",NA(),IF(Статистика!$D$8="Вкл",(((IF(Статистика!$C$4="Параллельный режим (активная мощность)",AC153,AN153)+Статистика!$J$4))-Статистика!$C$10)/MAX(Статистика!$G$10-Статистика!$C$10,0.000001),NA()))</f>
        <v>0.57774691388888888</v>
      </c>
      <c r="CD153" s="12">
        <f>IF(Y153="",NA(),IF(Статистика!$D$8="Вкл",(((IF(Статистика!$C$4="Параллельный режим (активная мощность)",AE153,AP153)+Статистика!$J$4))-Статистика!$C$10)/MAX(Статистика!$G$10-Статистика!$C$10,0.000001),NA()))</f>
        <v>0.68726554444444421</v>
      </c>
      <c r="CE153" s="12">
        <f>IF(Y153="",NA(),IF(Статистика!$F$8="Вкл",(((IF(Статистика!$C$4="Параллельный режим (активная мощность)",AB153,AM153)+Статистика!$J$4))-Статистика!$C$10)/MAX(Статистика!$G$10-Статистика!$C$10,0.000001),NA()))</f>
        <v>0.50162472611111142</v>
      </c>
      <c r="CF153" s="12">
        <f>IF(Y153="",NA(),IF(Статистика!$F$8="Вкл",(((IF(Статистика!$C$4="Параллельный режим (активная мощность)",AF153,AQ153)+Статистика!$J$4))-Статистика!$C$10)/MAX(Статистика!$G$10-Статистика!$C$10,0.000001),NA()))</f>
        <v>0.80573350444444436</v>
      </c>
      <c r="CG153" s="12">
        <f>IF(Y153="",NA(),IF(Статистика!$H$8="Вкл",(((IF(Статистика!$C$4="Параллельный режим (активная мощность)",Z153,AK153)+Статистика!$J$4))-Статистика!$C$10)/MAX(Статистика!$G$10-Статистика!$C$10,0.000001),NA()))</f>
        <v>0.49041376261111114</v>
      </c>
      <c r="CH153" s="12">
        <f>IF(Y153="",NA(),IF(Статистика!$H$8="Вкл",(((IF(Статистика!$C$4="Параллельный режим (активная мощность)",AH153,AS153)+Статистика!$J$4))-Статистика!$C$10)/MAX(Статистика!$G$10-Статистика!$C$10,0.000001),NA()))</f>
        <v>0.81100862044444455</v>
      </c>
      <c r="CI153" s="12" t="e">
        <f>IF(Y153="",NA(),IF(Статистика!$J$8="Вкл",(((IF(Статистика!$C$4="Параллельный режим (активная мощность)",AI153,AT153)+Статистика!$J$4))-Статистика!$C$10)/MAX(Статистика!$G$10-Статистика!$C$10,0.000001),NA()))</f>
        <v>#N/A</v>
      </c>
      <c r="CJ153" s="12" t="e">
        <f>IF(AND(Y153&lt;&gt;"",Статистика!$C$6="Вкл",Статистика!$B$6&gt;0),(Статистика!$B$6-Статистика!$C$10)/MAX(Статистика!$G$10-Статистика!$C$10,0.000001),NA())</f>
        <v>#N/A</v>
      </c>
      <c r="CK153" s="12" t="e">
        <f>IF(AND(Y153&lt;&gt;"",Статистика!$F$6="Вкл",Статистика!$E$6&gt;0),(Статистика!$E$6-Статистика!$C$10)/MAX(Статистика!$G$10-Статистика!$C$10,0.000001),NA())</f>
        <v>#N/A</v>
      </c>
      <c r="CL153" s="12" t="e">
        <f>IF(AND(Y153&lt;&gt;"",Статистика!$I$6="Вкл",Статистика!$H$6&gt;0),(Статистика!$H$6-Статистика!$C$10)/MAX(Статистика!$G$10-Статистика!$C$10,0.000001),NA())</f>
        <v>#N/A</v>
      </c>
      <c r="CM153" s="12" t="e">
        <f>IF(AND(Y153&lt;&gt;"",Статистика!$L$6="Вкл",Статистика!$K$6&gt;0),(Статистика!$K$6-Статистика!$C$10)/MAX(Статистика!$G$10-Статистика!$C$10,0.000001),NA())</f>
        <v>#N/A</v>
      </c>
      <c r="CN153" s="12" t="e">
        <f>IF(AND(Y153&lt;&gt;"",Статистика!$M$6="Вкл",Статистика!$O$6&gt;0),(Статистика!$O$6-Статистика!$C$10)/MAX(Статистика!$G$10-Статистика!$C$10,0.000001),NA())</f>
        <v>#N/A</v>
      </c>
      <c r="CO153" s="12">
        <f t="shared" si="5"/>
        <v>1</v>
      </c>
    </row>
    <row r="154" spans="1:93" ht="15" customHeight="1">
      <c r="A154" s="12" t="s">
        <v>671</v>
      </c>
      <c r="B154" s="12">
        <v>3229.2068846666666</v>
      </c>
      <c r="C154" s="12">
        <v>6164.8817566666676</v>
      </c>
      <c r="D154" s="12">
        <v>7563.3889766666671</v>
      </c>
      <c r="E154" s="12">
        <v>7802.5331833333321</v>
      </c>
      <c r="F154" s="12">
        <v>7944.2181666666665</v>
      </c>
      <c r="G154" s="12">
        <v>8159.8948916666668</v>
      </c>
      <c r="H154" s="12">
        <v>8424.5239666666657</v>
      </c>
      <c r="I154" s="12">
        <v>8572.7739408333327</v>
      </c>
      <c r="J154" s="12">
        <v>8683.5496681666646</v>
      </c>
      <c r="K154" s="12">
        <v>8853.8799999999992</v>
      </c>
      <c r="L154" s="12" t="s">
        <v>672</v>
      </c>
      <c r="M154" s="12">
        <v>3897.4351744999999</v>
      </c>
      <c r="N154" s="12">
        <v>7011.950939166667</v>
      </c>
      <c r="O154" s="12">
        <v>8501.6073500000002</v>
      </c>
      <c r="P154" s="12">
        <v>8741.6593000000012</v>
      </c>
      <c r="Q154" s="12">
        <v>8889.8367666666672</v>
      </c>
      <c r="R154" s="12">
        <v>9148.6979416666654</v>
      </c>
      <c r="S154" s="12">
        <v>9394.9370983333338</v>
      </c>
      <c r="T154" s="12">
        <v>9548.3144808333345</v>
      </c>
      <c r="U154" s="12">
        <v>9687.5730028333346</v>
      </c>
      <c r="V154" s="12">
        <v>9862.4599999999991</v>
      </c>
      <c r="W154" s="12" t="s">
        <v>673</v>
      </c>
      <c r="Y154" s="12" t="s">
        <v>671</v>
      </c>
      <c r="Z154" s="12">
        <v>7562.8827125000007</v>
      </c>
      <c r="AA154" s="12">
        <v>7594.0172958333333</v>
      </c>
      <c r="AB154" s="12">
        <v>7632.9355249999999</v>
      </c>
      <c r="AC154" s="12">
        <v>7827.358841666668</v>
      </c>
      <c r="AD154" s="12">
        <v>7980.2701500000003</v>
      </c>
      <c r="AE154" s="12">
        <v>8199.3724416666664</v>
      </c>
      <c r="AF154" s="12">
        <v>8535.170516666667</v>
      </c>
      <c r="AG154" s="12">
        <v>8550.7830916666662</v>
      </c>
      <c r="AH154" s="12">
        <v>8563.2731516666663</v>
      </c>
      <c r="AI154" s="12">
        <v>8691.2000000000007</v>
      </c>
      <c r="AJ154" s="12" t="s">
        <v>674</v>
      </c>
      <c r="AK154" s="12">
        <v>8595.8744073333328</v>
      </c>
      <c r="AL154" s="12">
        <v>8615.7008366666669</v>
      </c>
      <c r="AM154" s="12">
        <v>8640.4838733333327</v>
      </c>
      <c r="AN154" s="12">
        <v>8804.6338749999995</v>
      </c>
      <c r="AO154" s="12">
        <v>9033.1533833333324</v>
      </c>
      <c r="AP154" s="12">
        <v>9240.1162416666666</v>
      </c>
      <c r="AQ154" s="12">
        <v>9511.1304216666667</v>
      </c>
      <c r="AR154" s="12">
        <v>9547.558177500001</v>
      </c>
      <c r="AS154" s="12">
        <v>9576.7003821666676</v>
      </c>
      <c r="AT154" s="12">
        <v>9701.5499999999993</v>
      </c>
      <c r="AU154" s="12" t="s">
        <v>674</v>
      </c>
      <c r="AW154" s="12">
        <f>IF(A154="","",MAX(0,MIN(1,(((IF(Статистика!$C$4="Параллельный режим (активная мощность)",B154,M154)+Статистика!$J$4))-Статистика!$C$10)/MAX(Статистика!$G$10-Статистика!$C$10,0.000001))))</f>
        <v>0</v>
      </c>
      <c r="AX154" s="12">
        <f>IF(A154="","",MAX(0,MAX(0,MIN(1,(((IF(Статистика!$C$4="Параллельный режим (активная мощность)",D154,O154)+Статистика!$J$4))-Статистика!$C$10)/MAX(Статистика!$G$10-Статистика!$C$10,0.000001)))-MAX(0,MIN(1,(((IF(Статистика!$C$4="Параллельный режим (активная мощность)",B154,M154)+Статистика!$J$4))-Статистика!$C$10)/MAX(Статистика!$G$10-Статистика!$C$10,0.000001)))))</f>
        <v>0.52112965888888907</v>
      </c>
      <c r="AY154" s="12">
        <f>IF(A154="","",MAX(0,MAX(0,MIN(1,(((IF(Статистика!$C$4="Параллельный режим (активная мощность)",E154,P154)+Статистика!$J$4))-Статистика!$C$10)/MAX(Статистика!$G$10-Статистика!$C$10,0.000001)))-MAX(0,MIN(1,(((IF(Статистика!$C$4="Параллельный режим (активная мощность)",D154,O154)+Статистика!$J$4))-Статистика!$C$10)/MAX(Статистика!$G$10-Статистика!$C$10,0.000001)))))</f>
        <v>7.9714735555554972E-2</v>
      </c>
      <c r="AZ154" s="12">
        <f>IF(A154="","",MAX(0,MAX(0,MIN(1,(((IF(Статистика!$C$4="Параллельный режим (активная мощность)",F154,Q154)+Статистика!$J$4))-Статистика!$C$10)/MAX(Статистика!$G$10-Статистика!$C$10,0.000001)))-MAX(0,MIN(1,(((IF(Статистика!$C$4="Параллельный режим (активная мощность)",E154,P154)+Статистика!$J$4))-Статистика!$C$10)/MAX(Статистика!$G$10-Статистика!$C$10,0.000001)))))</f>
        <v>4.722832777777819E-2</v>
      </c>
      <c r="BA154" s="12">
        <f>IF(A154="","",MAX(0,MAX(0,MIN(1,(((IF(Статистика!$C$4="Параллельный режим (активная мощность)",G154,R154)+Статистика!$J$4))-Статистика!$C$10)/MAX(Статистика!$G$10-Статистика!$C$10,0.000001)))-MAX(0,MIN(1,(((IF(Статистика!$C$4="Параллельный режим (активная мощность)",F154,Q154)+Статистика!$J$4))-Статистика!$C$10)/MAX(Статистика!$G$10-Статистика!$C$10,0.000001)))))</f>
        <v>7.1892241666666745E-2</v>
      </c>
      <c r="BB154" s="12">
        <f>IF(A154="","",MAX(0,MAX(0,MIN(1,(((IF(Статистика!$C$4="Параллельный режим (активная мощность)",H154,S154)+Статистика!$J$4))-Статистика!$C$10)/MAX(Статистика!$G$10-Статистика!$C$10,0.000001)))-MAX(0,MIN(1,(((IF(Статистика!$C$4="Параллельный режим (активная мощность)",G154,R154)+Статистика!$J$4))-Статистика!$C$10)/MAX(Статистика!$G$10-Статистика!$C$10,0.000001)))))</f>
        <v>8.8209691666666257E-2</v>
      </c>
      <c r="BC154" s="12">
        <f>IF(A154="","",MAX(0,MAX(0,MIN(1,(((IF(Статистика!$C$4="Параллельный режим (активная мощность)",J154,U154)+Статистика!$J$4))-Статистика!$C$10)/MAX(Статистика!$G$10-Статистика!$C$10,0.000001)))-MAX(0,MIN(1,(((IF(Статистика!$C$4="Параллельный режим (активная мощность)",H154,S154)+Статистика!$J$4))-Статистика!$C$10)/MAX(Статистика!$G$10-Статистика!$C$10,0.000001)))))</f>
        <v>8.6341900499999569E-2</v>
      </c>
      <c r="BD154" s="12">
        <f>IF(A154="","",MAX(0,1-MAX(0,MIN(1,(((IF(Статистика!$C$4="Параллельный режим (активная мощность)",J154,U154)+Статистика!$J$4))-Статистика!$C$10)/MAX(Статистика!$G$10-Статистика!$C$10,0.000001)))))</f>
        <v>0.1054834439444452</v>
      </c>
      <c r="BE154" s="12">
        <f>IF(A154="",NA(),IF(Статистика!$B$8="Вкл",(((IF(Статистика!$C$4="Параллельный режим (активная мощность)",F154,Q154)+Статистика!$J$4))-Статистика!$C$10)/MAX(Статистика!$G$10-Статистика!$C$10,0.000001),NA()))</f>
        <v>0.64807272222222223</v>
      </c>
      <c r="BF154" s="12">
        <f>IF(A154="",NA(),IF(Статистика!$D$8="Вкл",(((IF(Статистика!$C$4="Параллельный режим (активная мощность)",E154,P154)+Статистика!$J$4))-Статистика!$C$10)/MAX(Статистика!$G$10-Статистика!$C$10,0.000001),NA()))</f>
        <v>0.60084439444444404</v>
      </c>
      <c r="BG154" s="12">
        <f>IF(A154="",NA(),IF(Статистика!$D$8="Вкл",(((IF(Статистика!$C$4="Параллельный режим (активная мощность)",G154,R154)+Статистика!$J$4))-Статистика!$C$10)/MAX(Статистика!$G$10-Статистика!$C$10,0.000001),NA()))</f>
        <v>0.71996496388888898</v>
      </c>
      <c r="BH154" s="12">
        <f>IF(A154="",NA(),IF(Статистика!$F$8="Вкл",(((IF(Статистика!$C$4="Параллельный режим (активная мощность)",D154,O154)+Статистика!$J$4))-Статистика!$C$10)/MAX(Статистика!$G$10-Статистика!$C$10,0.000001),NA()))</f>
        <v>0.52112965888888907</v>
      </c>
      <c r="BI154" s="12">
        <f>IF(A154="",NA(),IF(Статистика!$F$8="Вкл",(((IF(Статистика!$C$4="Параллельный режим (активная мощность)",H154,S154)+Статистика!$J$4))-Статистика!$C$10)/MAX(Статистика!$G$10-Статистика!$C$10,0.000001),NA()))</f>
        <v>0.80817465555555523</v>
      </c>
      <c r="BJ154" s="12">
        <f>IF(A154="",NA(),IF(Статистика!$H$8="Вкл",(((IF(Статистика!$C$4="Параллельный режим (активная мощность)",B154,M154)+Статистика!$J$4))-Статистика!$C$10)/MAX(Статистика!$G$10-Статистика!$C$10,0.000001),NA()))</f>
        <v>-0.92359770511111117</v>
      </c>
      <c r="BK154" s="12">
        <f>IF(A154="",NA(),IF(Статистика!$H$8="Вкл",(((IF(Статистика!$C$4="Параллельный режим (активная мощность)",J154,U154)+Статистика!$J$4))-Статистика!$C$10)/MAX(Статистика!$G$10-Статистика!$C$10,0.000001),NA()))</f>
        <v>0.8945165560555548</v>
      </c>
      <c r="BL154" s="12" t="e">
        <f>IF(A154="",NA(),IF(Статистика!$J$8="Вкл",(((IF(Статистика!$C$4="Параллельный режим (активная мощность)",K154,V154)+Статистика!$J$4))-Статистика!$C$10)/MAX(Статистика!$G$10-Статистика!$C$10,0.000001),NA()))</f>
        <v>#N/A</v>
      </c>
      <c r="BM154" s="12" t="e">
        <f>IF(AND(A154&lt;&gt;"",Статистика!$C$6="Вкл",Статистика!$B$6&gt;0),(Статистика!$B$6-Статистика!$C$10)/MAX(Статистика!$G$10-Статистика!$C$10,0.000001),NA())</f>
        <v>#N/A</v>
      </c>
      <c r="BN154" s="12" t="e">
        <f>IF(AND(A154&lt;&gt;"",Статистика!$F$6="Вкл",Статистика!$E$6&gt;0),(Статистика!$E$6-Статистика!$C$10)/MAX(Статистика!$G$10-Статистика!$C$10,0.000001),NA())</f>
        <v>#N/A</v>
      </c>
      <c r="BO154" s="12" t="e">
        <f>IF(AND(A154&lt;&gt;"",Статистика!$I$6="Вкл",Статистика!$H$6&gt;0),(Статистика!$H$6-Статистика!$C$10)/MAX(Статистика!$G$10-Статистика!$C$10,0.000001),NA())</f>
        <v>#N/A</v>
      </c>
      <c r="BP154" s="12" t="e">
        <f>IF(AND(A154&lt;&gt;"",Статистика!$L$6="Вкл",Статистика!$K$6&gt;0),(Статистика!$K$6-Статистика!$C$10)/MAX(Статистика!$G$10-Статистика!$C$10,0.000001),NA())</f>
        <v>#N/A</v>
      </c>
      <c r="BQ154" s="12" t="e">
        <f>IF(AND(A154&lt;&gt;"",Статистика!$M$6="Вкл",Статистика!$O$6&gt;0),(Статистика!$O$6-Статистика!$C$10)/MAX(Статистика!$G$10-Статистика!$C$10,0.000001),NA())</f>
        <v>#N/A</v>
      </c>
      <c r="BR154" s="12">
        <f t="shared" si="4"/>
        <v>1</v>
      </c>
      <c r="BT154" s="12">
        <f>IF(Y154="","",MAX(0,MIN(1,(((IF(Статистика!$C$4="Параллельный режим (активная мощность)",Z154,AK154)+Статистика!$J$4))-Статистика!$C$10)/MAX(Статистика!$G$10-Статистика!$C$10,0.000001))))</f>
        <v>0.52096090416666685</v>
      </c>
      <c r="BU154" s="12">
        <f>IF(Y154="","",MAX(0,MAX(0,MIN(1,(((IF(Статистика!$C$4="Параллельный режим (активная мощность)",AB154,AM154)+Статистика!$J$4))-Статистика!$C$10)/MAX(Статистика!$G$10-Статистика!$C$10,0.000001)))-MAX(0,MIN(1,(((IF(Статистика!$C$4="Параллельный режим (активная мощность)",Z154,AK154)+Статистика!$J$4))-Статистика!$C$10)/MAX(Статистика!$G$10-Статистика!$C$10,0.000001)))))</f>
        <v>2.3350937499999724E-2</v>
      </c>
      <c r="BV154" s="12">
        <f>IF(Y154="","",MAX(0,MAX(0,MIN(1,(((IF(Статистика!$C$4="Параллельный режим (активная мощность)",AC154,AN154)+Статистика!$J$4))-Статистика!$C$10)/MAX(Статистика!$G$10-Статистика!$C$10,0.000001)))-MAX(0,MIN(1,(((IF(Статистика!$C$4="Параллельный режим (активная мощность)",AB154,AM154)+Статистика!$J$4))-Статистика!$C$10)/MAX(Статистика!$G$10-Статистика!$C$10,0.000001)))))</f>
        <v>6.4807772222222781E-2</v>
      </c>
      <c r="BW154" s="12">
        <f>IF(Y154="","",MAX(0,MAX(0,MIN(1,(((IF(Статистика!$C$4="Параллельный режим (активная мощность)",AD154,AO154)+Статистика!$J$4))-Статистика!$C$10)/MAX(Статистика!$G$10-Статистика!$C$10,0.000001)))-MAX(0,MIN(1,(((IF(Статистика!$C$4="Параллельный режим (активная мощность)",AC154,AN154)+Статистика!$J$4))-Статистика!$C$10)/MAX(Статистика!$G$10-Статистика!$C$10,0.000001)))))</f>
        <v>5.097043611111074E-2</v>
      </c>
      <c r="BX154" s="12">
        <f>IF(Y154="","",MAX(0,MAX(0,MIN(1,(((IF(Статистика!$C$4="Параллельный режим (активная мощность)",AE154,AP154)+Статистика!$J$4))-Статистика!$C$10)/MAX(Статистика!$G$10-Статистика!$C$10,0.000001)))-MAX(0,MIN(1,(((IF(Статистика!$C$4="Параллельный режим (активная мощность)",AD154,AO154)+Статистика!$J$4))-Статистика!$C$10)/MAX(Статистика!$G$10-Статистика!$C$10,0.000001)))))</f>
        <v>7.3034097222222094E-2</v>
      </c>
      <c r="BY154" s="12">
        <f>IF(Y154="","",MAX(0,MAX(0,MIN(1,(((IF(Статистика!$C$4="Параллельный режим (активная мощность)",AF154,AQ154)+Статистика!$J$4))-Статистика!$C$10)/MAX(Статистика!$G$10-Статистика!$C$10,0.000001)))-MAX(0,MIN(1,(((IF(Статистика!$C$4="Параллельный режим (активная мощность)",AE154,AP154)+Статистика!$J$4))-Статистика!$C$10)/MAX(Статистика!$G$10-Статистика!$C$10,0.000001)))))</f>
        <v>0.11193269166666686</v>
      </c>
      <c r="BZ154" s="12">
        <f>IF(Y154="","",MAX(0,MAX(0,MIN(1,(((IF(Статистика!$C$4="Параллельный режим (активная мощность)",AH154,AS154)+Статистика!$J$4))-Статистика!$C$10)/MAX(Статистика!$G$10-Статистика!$C$10,0.000001)))-MAX(0,MIN(1,(((IF(Статистика!$C$4="Параллельный режим (активная мощность)",AF154,AQ154)+Статистика!$J$4))-Статистика!$C$10)/MAX(Статистика!$G$10-Статистика!$C$10,0.000001)))))</f>
        <v>9.3675449999996996E-3</v>
      </c>
      <c r="CA154" s="12">
        <f>IF(Y154="","",MAX(0,1-MAX(0,MIN(1,(((IF(Статистика!$C$4="Параллельный режим (активная мощность)",AH154,AS154)+Статистика!$J$4))-Статистика!$C$10)/MAX(Статистика!$G$10-Статистика!$C$10,0.000001)))))</f>
        <v>0.14557561611111125</v>
      </c>
      <c r="CB154" s="12">
        <f>IF(Y154="",NA(),IF(Статистика!$B$8="Вкл",(((IF(Статистика!$C$4="Параллельный режим (активная мощность)",AD154,AO154)+Статистика!$J$4))-Статистика!$C$10)/MAX(Статистика!$G$10-Статистика!$C$10,0.000001),NA()))</f>
        <v>0.66009005000000009</v>
      </c>
      <c r="CC154" s="12">
        <f>IF(Y154="",NA(),IF(Статистика!$D$8="Вкл",(((IF(Статистика!$C$4="Параллельный режим (активная мощность)",AC154,AN154)+Статистика!$J$4))-Статистика!$C$10)/MAX(Статистика!$G$10-Статистика!$C$10,0.000001),NA()))</f>
        <v>0.60911961388888936</v>
      </c>
      <c r="CD154" s="12">
        <f>IF(Y154="",NA(),IF(Статистика!$D$8="Вкл",(((IF(Статистика!$C$4="Параллельный режим (активная мощность)",AE154,AP154)+Статистика!$J$4))-Статистика!$C$10)/MAX(Статистика!$G$10-Статистика!$C$10,0.000001),NA()))</f>
        <v>0.73312414722222219</v>
      </c>
      <c r="CE154" s="12">
        <f>IF(Y154="",NA(),IF(Статистика!$F$8="Вкл",(((IF(Статистика!$C$4="Параллельный режим (активная мощность)",AB154,AM154)+Статистика!$J$4))-Статистика!$C$10)/MAX(Статистика!$G$10-Статистика!$C$10,0.000001),NA()))</f>
        <v>0.54431184166666657</v>
      </c>
      <c r="CF154" s="12">
        <f>IF(Y154="",NA(),IF(Статистика!$F$8="Вкл",(((IF(Статистика!$C$4="Параллельный режим (активная мощность)",AF154,AQ154)+Статистика!$J$4))-Статистика!$C$10)/MAX(Статистика!$G$10-Статистика!$C$10,0.000001),NA()))</f>
        <v>0.84505683888888905</v>
      </c>
      <c r="CG154" s="12">
        <f>IF(Y154="",NA(),IF(Статистика!$H$8="Вкл",(((IF(Статистика!$C$4="Параллельный режим (активная мощность)",Z154,AK154)+Статистика!$J$4))-Статистика!$C$10)/MAX(Статистика!$G$10-Статистика!$C$10,0.000001),NA()))</f>
        <v>0.52096090416666685</v>
      </c>
      <c r="CH154" s="12">
        <f>IF(Y154="",NA(),IF(Статистика!$H$8="Вкл",(((IF(Статистика!$C$4="Параллельный режим (активная мощность)",AH154,AS154)+Статистика!$J$4))-Статистика!$C$10)/MAX(Статистика!$G$10-Статистика!$C$10,0.000001),NA()))</f>
        <v>0.85442438388888875</v>
      </c>
      <c r="CI154" s="12" t="e">
        <f>IF(Y154="",NA(),IF(Статистика!$J$8="Вкл",(((IF(Статистика!$C$4="Параллельный режим (активная мощность)",AI154,AT154)+Статистика!$J$4))-Статистика!$C$10)/MAX(Статистика!$G$10-Статистика!$C$10,0.000001),NA()))</f>
        <v>#N/A</v>
      </c>
      <c r="CJ154" s="12" t="e">
        <f>IF(AND(Y154&lt;&gt;"",Статистика!$C$6="Вкл",Статистика!$B$6&gt;0),(Статистика!$B$6-Статистика!$C$10)/MAX(Статистика!$G$10-Статистика!$C$10,0.000001),NA())</f>
        <v>#N/A</v>
      </c>
      <c r="CK154" s="12" t="e">
        <f>IF(AND(Y154&lt;&gt;"",Статистика!$F$6="Вкл",Статистика!$E$6&gt;0),(Статистика!$E$6-Статистика!$C$10)/MAX(Статистика!$G$10-Статистика!$C$10,0.000001),NA())</f>
        <v>#N/A</v>
      </c>
      <c r="CL154" s="12" t="e">
        <f>IF(AND(Y154&lt;&gt;"",Статистика!$I$6="Вкл",Статистика!$H$6&gt;0),(Статистика!$H$6-Статистика!$C$10)/MAX(Статистика!$G$10-Статистика!$C$10,0.000001),NA())</f>
        <v>#N/A</v>
      </c>
      <c r="CM154" s="12" t="e">
        <f>IF(AND(Y154&lt;&gt;"",Статистика!$L$6="Вкл",Статистика!$K$6&gt;0),(Статистика!$K$6-Статистика!$C$10)/MAX(Статистика!$G$10-Статистика!$C$10,0.000001),NA())</f>
        <v>#N/A</v>
      </c>
      <c r="CN154" s="12" t="e">
        <f>IF(AND(Y154&lt;&gt;"",Статистика!$M$6="Вкл",Статистика!$O$6&gt;0),(Статистика!$O$6-Статистика!$C$10)/MAX(Статистика!$G$10-Статистика!$C$10,0.000001),NA())</f>
        <v>#N/A</v>
      </c>
      <c r="CO154" s="12">
        <f t="shared" si="5"/>
        <v>1</v>
      </c>
    </row>
    <row r="155" spans="1:93" ht="15" customHeight="1">
      <c r="A155" s="12" t="s">
        <v>675</v>
      </c>
      <c r="B155" s="12">
        <v>3155.6201473333331</v>
      </c>
      <c r="C155" s="12">
        <v>6167.6644700000015</v>
      </c>
      <c r="D155" s="12">
        <v>7598.1445333333331</v>
      </c>
      <c r="E155" s="12">
        <v>7809.2538250000007</v>
      </c>
      <c r="F155" s="12">
        <v>7963.9941833333323</v>
      </c>
      <c r="G155" s="12">
        <v>8141.1014749999995</v>
      </c>
      <c r="H155" s="12">
        <v>8382.0245533333327</v>
      </c>
      <c r="I155" s="12">
        <v>8525.6711249999989</v>
      </c>
      <c r="J155" s="12">
        <v>8658.8021983333329</v>
      </c>
      <c r="K155" s="12">
        <v>8842.76</v>
      </c>
      <c r="L155" s="12" t="s">
        <v>676</v>
      </c>
      <c r="M155" s="12">
        <v>3825.1416846666666</v>
      </c>
      <c r="N155" s="12">
        <v>7019.6241566666667</v>
      </c>
      <c r="O155" s="12">
        <v>8545.1325666666671</v>
      </c>
      <c r="P155" s="12">
        <v>8737.2214166666654</v>
      </c>
      <c r="Q155" s="12">
        <v>8934.7743000000009</v>
      </c>
      <c r="R155" s="12">
        <v>9133.9666333333334</v>
      </c>
      <c r="S155" s="12">
        <v>9350.1822366666656</v>
      </c>
      <c r="T155" s="12">
        <v>9490.2626233333322</v>
      </c>
      <c r="U155" s="12">
        <v>9664.9475646666651</v>
      </c>
      <c r="V155" s="12">
        <v>9840.74</v>
      </c>
      <c r="W155" s="12" t="s">
        <v>676</v>
      </c>
      <c r="Y155" s="12" t="s">
        <v>675</v>
      </c>
      <c r="Z155" s="12">
        <v>7569.5614716666678</v>
      </c>
      <c r="AA155" s="12">
        <v>7587.895758333334</v>
      </c>
      <c r="AB155" s="12">
        <v>7610.8136166666663</v>
      </c>
      <c r="AC155" s="12">
        <v>7854.2853916666681</v>
      </c>
      <c r="AD155" s="12">
        <v>7975.7302833333333</v>
      </c>
      <c r="AE155" s="12">
        <v>8159.6235333333334</v>
      </c>
      <c r="AF155" s="12">
        <v>8528.4018116666684</v>
      </c>
      <c r="AG155" s="12">
        <v>8543.338005833335</v>
      </c>
      <c r="AH155" s="12">
        <v>8555.2869611666683</v>
      </c>
      <c r="AI155" s="12">
        <v>8704.35</v>
      </c>
      <c r="AJ155" s="12" t="s">
        <v>677</v>
      </c>
      <c r="AK155" s="12">
        <v>8607.1498971666661</v>
      </c>
      <c r="AL155" s="12">
        <v>8614.2885524999983</v>
      </c>
      <c r="AM155" s="12">
        <v>8623.2118716666646</v>
      </c>
      <c r="AN155" s="12">
        <v>8847.6992916666677</v>
      </c>
      <c r="AO155" s="12">
        <v>9002.1427333333322</v>
      </c>
      <c r="AP155" s="12">
        <v>9198.6170750000019</v>
      </c>
      <c r="AQ155" s="12">
        <v>9507.8541066666658</v>
      </c>
      <c r="AR155" s="12">
        <v>9539.6497533333331</v>
      </c>
      <c r="AS155" s="12">
        <v>9565.0862706666667</v>
      </c>
      <c r="AT155" s="12">
        <v>9701.66</v>
      </c>
      <c r="AU155" s="12" t="s">
        <v>677</v>
      </c>
      <c r="AW155" s="12">
        <f>IF(A155="","",MAX(0,MIN(1,(((IF(Статистика!$C$4="Параллельный режим (активная мощность)",B155,M155)+Статистика!$J$4))-Статистика!$C$10)/MAX(Статистика!$G$10-Статистика!$C$10,0.000001))))</f>
        <v>0</v>
      </c>
      <c r="AX155" s="12">
        <f>IF(A155="","",MAX(0,MAX(0,MIN(1,(((IF(Статистика!$C$4="Параллельный режим (активная мощность)",D155,O155)+Статистика!$J$4))-Статистика!$C$10)/MAX(Статистика!$G$10-Статистика!$C$10,0.000001)))-MAX(0,MIN(1,(((IF(Статистика!$C$4="Параллельный режим (активная мощность)",B155,M155)+Статистика!$J$4))-Статистика!$C$10)/MAX(Статистика!$G$10-Статистика!$C$10,0.000001)))))</f>
        <v>0.53271484444444439</v>
      </c>
      <c r="AY155" s="12">
        <f>IF(A155="","",MAX(0,MAX(0,MIN(1,(((IF(Статистика!$C$4="Параллельный режим (активная мощность)",E155,P155)+Статистика!$J$4))-Статистика!$C$10)/MAX(Статистика!$G$10-Статистика!$C$10,0.000001)))-MAX(0,MIN(1,(((IF(Статистика!$C$4="Параллельный режим (активная мощность)",D155,O155)+Статистика!$J$4))-Статистика!$C$10)/MAX(Статистика!$G$10-Статистика!$C$10,0.000001)))))</f>
        <v>7.0369763888889159E-2</v>
      </c>
      <c r="AZ155" s="12">
        <f>IF(A155="","",MAX(0,MAX(0,MIN(1,(((IF(Статистика!$C$4="Параллельный режим (активная мощность)",F155,Q155)+Статистика!$J$4))-Статистика!$C$10)/MAX(Статистика!$G$10-Статистика!$C$10,0.000001)))-MAX(0,MIN(1,(((IF(Статистика!$C$4="Параллельный режим (активная мощность)",E155,P155)+Статистика!$J$4))-Статистика!$C$10)/MAX(Статистика!$G$10-Статистика!$C$10,0.000001)))))</f>
        <v>5.158011944444385E-2</v>
      </c>
      <c r="BA155" s="12">
        <f>IF(A155="","",MAX(0,MAX(0,MIN(1,(((IF(Статистика!$C$4="Параллельный режим (активная мощность)",G155,R155)+Статистика!$J$4))-Статистика!$C$10)/MAX(Статистика!$G$10-Статистика!$C$10,0.000001)))-MAX(0,MIN(1,(((IF(Статистика!$C$4="Параллельный режим (активная мощность)",F155,Q155)+Статистика!$J$4))-Статистика!$C$10)/MAX(Статистика!$G$10-Статистика!$C$10,0.000001)))))</f>
        <v>5.9035763888889092E-2</v>
      </c>
      <c r="BB155" s="12">
        <f>IF(A155="","",MAX(0,MAX(0,MIN(1,(((IF(Статистика!$C$4="Параллельный режим (активная мощность)",H155,S155)+Статистика!$J$4))-Статистика!$C$10)/MAX(Статистика!$G$10-Статистика!$C$10,0.000001)))-MAX(0,MIN(1,(((IF(Статистика!$C$4="Параллельный режим (активная мощность)",G155,R155)+Статистика!$J$4))-Статистика!$C$10)/MAX(Статистика!$G$10-Статистика!$C$10,0.000001)))))</f>
        <v>8.0307692777777717E-2</v>
      </c>
      <c r="BC155" s="12">
        <f>IF(A155="","",MAX(0,MAX(0,MIN(1,(((IF(Статистика!$C$4="Параллельный режим (активная мощность)",J155,U155)+Статистика!$J$4))-Статистика!$C$10)/MAX(Статистика!$G$10-Статистика!$C$10,0.000001)))-MAX(0,MIN(1,(((IF(Статистика!$C$4="Параллельный режим (активная мощность)",H155,S155)+Статистика!$J$4))-Статистика!$C$10)/MAX(Статистика!$G$10-Статистика!$C$10,0.000001)))))</f>
        <v>9.2259215000000117E-2</v>
      </c>
      <c r="BD155" s="12">
        <f>IF(A155="","",MAX(0,1-MAX(0,MIN(1,(((IF(Статистика!$C$4="Параллельный режим (активная мощность)",J155,U155)+Статистика!$J$4))-Статистика!$C$10)/MAX(Статистика!$G$10-Статистика!$C$10,0.000001)))))</f>
        <v>0.11373260055555567</v>
      </c>
      <c r="BE155" s="12">
        <f>IF(A155="",NA(),IF(Статистика!$B$8="Вкл",(((IF(Статистика!$C$4="Параллельный режим (активная мощность)",F155,Q155)+Статистика!$J$4))-Статистика!$C$10)/MAX(Статистика!$G$10-Статистика!$C$10,0.000001),NA()))</f>
        <v>0.6546647277777774</v>
      </c>
      <c r="BF155" s="12">
        <f>IF(A155="",NA(),IF(Статистика!$D$8="Вкл",(((IF(Статистика!$C$4="Параллельный режим (активная мощность)",E155,P155)+Статистика!$J$4))-Статистика!$C$10)/MAX(Статистика!$G$10-Статистика!$C$10,0.000001),NA()))</f>
        <v>0.60308460833333355</v>
      </c>
      <c r="BG155" s="12">
        <f>IF(A155="",NA(),IF(Статистика!$D$8="Вкл",(((IF(Статистика!$C$4="Параллельный режим (активная мощность)",G155,R155)+Статистика!$J$4))-Статистика!$C$10)/MAX(Статистика!$G$10-Статистика!$C$10,0.000001),NA()))</f>
        <v>0.71370049166666649</v>
      </c>
      <c r="BH155" s="12">
        <f>IF(A155="",NA(),IF(Статистика!$F$8="Вкл",(((IF(Статистика!$C$4="Параллельный режим (активная мощность)",D155,O155)+Статистика!$J$4))-Статистика!$C$10)/MAX(Статистика!$G$10-Статистика!$C$10,0.000001),NA()))</f>
        <v>0.53271484444444439</v>
      </c>
      <c r="BI155" s="12">
        <f>IF(A155="",NA(),IF(Статистика!$F$8="Вкл",(((IF(Статистика!$C$4="Параллельный режим (активная мощность)",H155,S155)+Статистика!$J$4))-Статистика!$C$10)/MAX(Статистика!$G$10-Статистика!$C$10,0.000001),NA()))</f>
        <v>0.79400818444444421</v>
      </c>
      <c r="BJ155" s="12">
        <f>IF(A155="",NA(),IF(Статистика!$H$8="Вкл",(((IF(Статистика!$C$4="Параллельный режим (активная мощность)",B155,M155)+Статистика!$J$4))-Статистика!$C$10)/MAX(Статистика!$G$10-Статистика!$C$10,0.000001),NA()))</f>
        <v>-0.94812661755555561</v>
      </c>
      <c r="BK155" s="12">
        <f>IF(A155="",NA(),IF(Статистика!$H$8="Вкл",(((IF(Статистика!$C$4="Параллельный режим (активная мощность)",J155,U155)+Статистика!$J$4))-Статистика!$C$10)/MAX(Статистика!$G$10-Статистика!$C$10,0.000001),NA()))</f>
        <v>0.88626739944444433</v>
      </c>
      <c r="BL155" s="12" t="e">
        <f>IF(A155="",NA(),IF(Статистика!$J$8="Вкл",(((IF(Статистика!$C$4="Параллельный режим (активная мощность)",K155,V155)+Статистика!$J$4))-Статистика!$C$10)/MAX(Статистика!$G$10-Статистика!$C$10,0.000001),NA()))</f>
        <v>#N/A</v>
      </c>
      <c r="BM155" s="12" t="e">
        <f>IF(AND(A155&lt;&gt;"",Статистика!$C$6="Вкл",Статистика!$B$6&gt;0),(Статистика!$B$6-Статистика!$C$10)/MAX(Статистика!$G$10-Статистика!$C$10,0.000001),NA())</f>
        <v>#N/A</v>
      </c>
      <c r="BN155" s="12" t="e">
        <f>IF(AND(A155&lt;&gt;"",Статистика!$F$6="Вкл",Статистика!$E$6&gt;0),(Статистика!$E$6-Статистика!$C$10)/MAX(Статистика!$G$10-Статистика!$C$10,0.000001),NA())</f>
        <v>#N/A</v>
      </c>
      <c r="BO155" s="12" t="e">
        <f>IF(AND(A155&lt;&gt;"",Статистика!$I$6="Вкл",Статистика!$H$6&gt;0),(Статистика!$H$6-Статистика!$C$10)/MAX(Статистика!$G$10-Статистика!$C$10,0.000001),NA())</f>
        <v>#N/A</v>
      </c>
      <c r="BP155" s="12" t="e">
        <f>IF(AND(A155&lt;&gt;"",Статистика!$L$6="Вкл",Статистика!$K$6&gt;0),(Статистика!$K$6-Статистика!$C$10)/MAX(Статистика!$G$10-Статистика!$C$10,0.000001),NA())</f>
        <v>#N/A</v>
      </c>
      <c r="BQ155" s="12" t="e">
        <f>IF(AND(A155&lt;&gt;"",Статистика!$M$6="Вкл",Статистика!$O$6&gt;0),(Статистика!$O$6-Статистика!$C$10)/MAX(Статистика!$G$10-Статистика!$C$10,0.000001),NA())</f>
        <v>#N/A</v>
      </c>
      <c r="BR155" s="12">
        <f t="shared" si="4"/>
        <v>1</v>
      </c>
      <c r="BT155" s="12">
        <f>IF(Y155="","",MAX(0,MIN(1,(((IF(Статистика!$C$4="Параллельный режим (активная мощность)",Z155,AK155)+Статистика!$J$4))-Статистика!$C$10)/MAX(Статистика!$G$10-Статистика!$C$10,0.000001))))</f>
        <v>0.52318715722222264</v>
      </c>
      <c r="BU155" s="12">
        <f>IF(Y155="","",MAX(0,MAX(0,MIN(1,(((IF(Статистика!$C$4="Параллельный режим (активная мощность)",AB155,AM155)+Статистика!$J$4))-Статистика!$C$10)/MAX(Статистика!$G$10-Статистика!$C$10,0.000001)))-MAX(0,MIN(1,(((IF(Статистика!$C$4="Параллельный режим (активная мощность)",Z155,AK155)+Статистика!$J$4))-Статистика!$C$10)/MAX(Статистика!$G$10-Статистика!$C$10,0.000001)))))</f>
        <v>1.3750714999999469E-2</v>
      </c>
      <c r="BV155" s="12">
        <f>IF(Y155="","",MAX(0,MAX(0,MIN(1,(((IF(Статистика!$C$4="Параллельный режим (активная мощность)",AC155,AN155)+Статистика!$J$4))-Статистика!$C$10)/MAX(Статистика!$G$10-Статистика!$C$10,0.000001)))-MAX(0,MIN(1,(((IF(Статистика!$C$4="Параллельный режим (активная мощность)",AB155,AM155)+Статистика!$J$4))-Статистика!$C$10)/MAX(Статистика!$G$10-Статистика!$C$10,0.000001)))))</f>
        <v>8.1157258333333981E-2</v>
      </c>
      <c r="BW155" s="12">
        <f>IF(Y155="","",MAX(0,MAX(0,MIN(1,(((IF(Статистика!$C$4="Параллельный режим (активная мощность)",AD155,AO155)+Статистика!$J$4))-Статистика!$C$10)/MAX(Статистика!$G$10-Статистика!$C$10,0.000001)))-MAX(0,MIN(1,(((IF(Статистика!$C$4="Параллельный режим (активная мощность)",AC155,AN155)+Статистика!$J$4))-Статистика!$C$10)/MAX(Статистика!$G$10-Статистика!$C$10,0.000001)))))</f>
        <v>4.0481630555554982E-2</v>
      </c>
      <c r="BX155" s="12">
        <f>IF(Y155="","",MAX(0,MAX(0,MIN(1,(((IF(Статистика!$C$4="Параллельный режим (активная мощность)",AE155,AP155)+Статистика!$J$4))-Статистика!$C$10)/MAX(Статистика!$G$10-Статистика!$C$10,0.000001)))-MAX(0,MIN(1,(((IF(Статистика!$C$4="Параллельный режим (активная мощность)",AD155,AO155)+Статистика!$J$4))-Статистика!$C$10)/MAX(Статистика!$G$10-Статистика!$C$10,0.000001)))))</f>
        <v>6.129775000000004E-2</v>
      </c>
      <c r="BY155" s="12">
        <f>IF(Y155="","",MAX(0,MAX(0,MIN(1,(((IF(Статистика!$C$4="Параллельный режим (активная мощность)",AF155,AQ155)+Статистика!$J$4))-Статистика!$C$10)/MAX(Статистика!$G$10-Статистика!$C$10,0.000001)))-MAX(0,MIN(1,(((IF(Статистика!$C$4="Параллельный режим (активная мощность)",AE155,AP155)+Статистика!$J$4))-Статистика!$C$10)/MAX(Статистика!$G$10-Статистика!$C$10,0.000001)))))</f>
        <v>0.12292609277777833</v>
      </c>
      <c r="BZ155" s="12">
        <f>IF(Y155="","",MAX(0,MAX(0,MIN(1,(((IF(Статистика!$C$4="Параллельный режим (активная мощность)",AH155,AS155)+Статистика!$J$4))-Статистика!$C$10)/MAX(Статистика!$G$10-Статистика!$C$10,0.000001)))-MAX(0,MIN(1,(((IF(Статистика!$C$4="Параллельный режим (активная мощность)",AF155,AQ155)+Статистика!$J$4))-Статистика!$C$10)/MAX(Статистика!$G$10-Статистика!$C$10,0.000001)))))</f>
        <v>8.9617164999999943E-3</v>
      </c>
      <c r="CA155" s="12">
        <f>IF(Y155="","",MAX(0,1-MAX(0,MIN(1,(((IF(Статистика!$C$4="Параллельный режим (активная мощность)",AH155,AS155)+Статистика!$J$4))-Статистика!$C$10)/MAX(Статистика!$G$10-Статистика!$C$10,0.000001)))))</f>
        <v>0.14823767961111056</v>
      </c>
      <c r="CB155" s="12">
        <f>IF(Y155="",NA(),IF(Статистика!$B$8="Вкл",(((IF(Статистика!$C$4="Параллельный режим (активная мощность)",AD155,AO155)+Статистика!$J$4))-Статистика!$C$10)/MAX(Статистика!$G$10-Статистика!$C$10,0.000001),NA()))</f>
        <v>0.65857676111111108</v>
      </c>
      <c r="CC155" s="12">
        <f>IF(Y155="",NA(),IF(Статистика!$D$8="Вкл",(((IF(Статистика!$C$4="Параллельный режим (активная мощность)",AC155,AN155)+Статистика!$J$4))-Статистика!$C$10)/MAX(Статистика!$G$10-Статистика!$C$10,0.000001),NA()))</f>
        <v>0.61809513055555609</v>
      </c>
      <c r="CD155" s="12">
        <f>IF(Y155="",NA(),IF(Статистика!$D$8="Вкл",(((IF(Статистика!$C$4="Параллельный режим (активная мощность)",AE155,AP155)+Статистика!$J$4))-Статистика!$C$10)/MAX(Статистика!$G$10-Статистика!$C$10,0.000001),NA()))</f>
        <v>0.71987451111111112</v>
      </c>
      <c r="CE155" s="12">
        <f>IF(Y155="",NA(),IF(Статистика!$F$8="Вкл",(((IF(Статистика!$C$4="Параллельный режим (активная мощность)",AB155,AM155)+Статистика!$J$4))-Статистика!$C$10)/MAX(Статистика!$G$10-Статистика!$C$10,0.000001),NA()))</f>
        <v>0.53693787222222211</v>
      </c>
      <c r="CF155" s="12">
        <f>IF(Y155="",NA(),IF(Статистика!$F$8="Вкл",(((IF(Статистика!$C$4="Параллельный режим (активная мощность)",AF155,AQ155)+Статистика!$J$4))-Статистика!$C$10)/MAX(Статистика!$G$10-Статистика!$C$10,0.000001),NA()))</f>
        <v>0.84280060388888944</v>
      </c>
      <c r="CG155" s="12">
        <f>IF(Y155="",NA(),IF(Статистика!$H$8="Вкл",(((IF(Статистика!$C$4="Параллельный режим (активная мощность)",Z155,AK155)+Статистика!$J$4))-Статистика!$C$10)/MAX(Статистика!$G$10-Статистика!$C$10,0.000001),NA()))</f>
        <v>0.52318715722222264</v>
      </c>
      <c r="CH155" s="12">
        <f>IF(Y155="",NA(),IF(Статистика!$H$8="Вкл",(((IF(Статистика!$C$4="Параллельный режим (активная мощность)",AH155,AS155)+Статистика!$J$4))-Статистика!$C$10)/MAX(Статистика!$G$10-Статистика!$C$10,0.000001),NA()))</f>
        <v>0.85176232038888944</v>
      </c>
      <c r="CI155" s="12" t="e">
        <f>IF(Y155="",NA(),IF(Статистика!$J$8="Вкл",(((IF(Статистика!$C$4="Параллельный режим (активная мощность)",AI155,AT155)+Статистика!$J$4))-Статистика!$C$10)/MAX(Статистика!$G$10-Статистика!$C$10,0.000001),NA()))</f>
        <v>#N/A</v>
      </c>
      <c r="CJ155" s="12" t="e">
        <f>IF(AND(Y155&lt;&gt;"",Статистика!$C$6="Вкл",Статистика!$B$6&gt;0),(Статистика!$B$6-Статистика!$C$10)/MAX(Статистика!$G$10-Статистика!$C$10,0.000001),NA())</f>
        <v>#N/A</v>
      </c>
      <c r="CK155" s="12" t="e">
        <f>IF(AND(Y155&lt;&gt;"",Статистика!$F$6="Вкл",Статистика!$E$6&gt;0),(Статистика!$E$6-Статистика!$C$10)/MAX(Статистика!$G$10-Статистика!$C$10,0.000001),NA())</f>
        <v>#N/A</v>
      </c>
      <c r="CL155" s="12" t="e">
        <f>IF(AND(Y155&lt;&gt;"",Статистика!$I$6="Вкл",Статистика!$H$6&gt;0),(Статистика!$H$6-Статистика!$C$10)/MAX(Статистика!$G$10-Статистика!$C$10,0.000001),NA())</f>
        <v>#N/A</v>
      </c>
      <c r="CM155" s="12" t="e">
        <f>IF(AND(Y155&lt;&gt;"",Статистика!$L$6="Вкл",Статистика!$K$6&gt;0),(Статистика!$K$6-Статистика!$C$10)/MAX(Статистика!$G$10-Статистика!$C$10,0.000001),NA())</f>
        <v>#N/A</v>
      </c>
      <c r="CN155" s="12" t="e">
        <f>IF(AND(Y155&lt;&gt;"",Статистика!$M$6="Вкл",Статистика!$O$6&gt;0),(Статистика!$O$6-Статистика!$C$10)/MAX(Статистика!$G$10-Статистика!$C$10,0.000001),NA())</f>
        <v>#N/A</v>
      </c>
      <c r="CO155" s="12">
        <f t="shared" si="5"/>
        <v>1</v>
      </c>
    </row>
    <row r="156" spans="1:93" ht="15" customHeight="1">
      <c r="A156" s="12" t="s">
        <v>678</v>
      </c>
      <c r="B156" s="12">
        <v>3147.3862205</v>
      </c>
      <c r="C156" s="12">
        <v>6122.7492358333338</v>
      </c>
      <c r="D156" s="12">
        <v>7570.83392</v>
      </c>
      <c r="E156" s="12">
        <v>7775.5326166666673</v>
      </c>
      <c r="F156" s="12">
        <v>7962.9924166666669</v>
      </c>
      <c r="G156" s="12">
        <v>8129.6586750000006</v>
      </c>
      <c r="H156" s="12">
        <v>8386.4890050000013</v>
      </c>
      <c r="I156" s="12">
        <v>8542.9300608333342</v>
      </c>
      <c r="J156" s="12">
        <v>8688.2355855000005</v>
      </c>
      <c r="K156" s="12">
        <v>8857.7000000000007</v>
      </c>
      <c r="L156" s="12" t="s">
        <v>679</v>
      </c>
      <c r="M156" s="12">
        <v>3813.9181776666665</v>
      </c>
      <c r="N156" s="12">
        <v>6988.4080883333336</v>
      </c>
      <c r="O156" s="12">
        <v>8517.5033316666668</v>
      </c>
      <c r="P156" s="12">
        <v>8714.3043916666666</v>
      </c>
      <c r="Q156" s="12">
        <v>8963.727616666667</v>
      </c>
      <c r="R156" s="12">
        <v>9158.6528833333323</v>
      </c>
      <c r="S156" s="12">
        <v>9340.2733499999995</v>
      </c>
      <c r="T156" s="12">
        <v>9505.0067249999993</v>
      </c>
      <c r="U156" s="12">
        <v>9689.392785</v>
      </c>
      <c r="V156" s="12">
        <v>9862.4599999999991</v>
      </c>
      <c r="W156" s="12" t="s">
        <v>680</v>
      </c>
      <c r="Y156" s="12" t="s">
        <v>678</v>
      </c>
      <c r="Z156" s="12">
        <v>7546.5225176666663</v>
      </c>
      <c r="AA156" s="12">
        <v>7579.6123216666665</v>
      </c>
      <c r="AB156" s="12">
        <v>7620.9745766666656</v>
      </c>
      <c r="AC156" s="12">
        <v>7850.2105583333341</v>
      </c>
      <c r="AD156" s="12">
        <v>7987.4320666666663</v>
      </c>
      <c r="AE156" s="12">
        <v>8173.7000750000007</v>
      </c>
      <c r="AF156" s="12">
        <v>8536.2849983333344</v>
      </c>
      <c r="AG156" s="12">
        <v>8551.5730824999991</v>
      </c>
      <c r="AH156" s="12">
        <v>8563.803549833332</v>
      </c>
      <c r="AI156" s="12">
        <v>8704.26</v>
      </c>
      <c r="AJ156" s="12" t="s">
        <v>681</v>
      </c>
      <c r="AK156" s="12">
        <v>8571.5055943333336</v>
      </c>
      <c r="AL156" s="12">
        <v>8596.7330383333338</v>
      </c>
      <c r="AM156" s="12">
        <v>8628.267343333333</v>
      </c>
      <c r="AN156" s="12">
        <v>8851.9948249999998</v>
      </c>
      <c r="AO156" s="12">
        <v>9000.6181500000002</v>
      </c>
      <c r="AP156" s="12">
        <v>9244.5876083333333</v>
      </c>
      <c r="AQ156" s="12">
        <v>9510.8962883333334</v>
      </c>
      <c r="AR156" s="12">
        <v>9537.5023274999985</v>
      </c>
      <c r="AS156" s="12">
        <v>9558.7871588333328</v>
      </c>
      <c r="AT156" s="12">
        <v>9690.1299999999992</v>
      </c>
      <c r="AU156" s="12" t="s">
        <v>681</v>
      </c>
      <c r="AW156" s="12">
        <f>IF(A156="","",MAX(0,MIN(1,(((IF(Статистика!$C$4="Параллельный режим (активная мощность)",B156,M156)+Статистика!$J$4))-Статистика!$C$10)/MAX(Статистика!$G$10-Статистика!$C$10,0.000001))))</f>
        <v>0</v>
      </c>
      <c r="AX156" s="12">
        <f>IF(A156="","",MAX(0,MAX(0,MIN(1,(((IF(Статистика!$C$4="Параллельный режим (активная мощность)",D156,O156)+Статистика!$J$4))-Статистика!$C$10)/MAX(Статистика!$G$10-Статистика!$C$10,0.000001)))-MAX(0,MIN(1,(((IF(Статистика!$C$4="Параллельный режим (активная мощность)",B156,M156)+Статистика!$J$4))-Статистика!$C$10)/MAX(Статистика!$G$10-Статистика!$C$10,0.000001)))))</f>
        <v>0.52361130666666666</v>
      </c>
      <c r="AY156" s="12">
        <f>IF(A156="","",MAX(0,MAX(0,MIN(1,(((IF(Статистика!$C$4="Параллельный режим (активная мощность)",E156,P156)+Статистика!$J$4))-Статистика!$C$10)/MAX(Статистика!$G$10-Статистика!$C$10,0.000001)))-MAX(0,MIN(1,(((IF(Статистика!$C$4="Параллельный режим (активная мощность)",D156,O156)+Статистика!$J$4))-Статистика!$C$10)/MAX(Статистика!$G$10-Статистика!$C$10,0.000001)))))</f>
        <v>6.823289888888906E-2</v>
      </c>
      <c r="AZ156" s="12">
        <f>IF(A156="","",MAX(0,MAX(0,MIN(1,(((IF(Статистика!$C$4="Параллельный режим (активная мощность)",F156,Q156)+Статистика!$J$4))-Статистика!$C$10)/MAX(Статистика!$G$10-Статистика!$C$10,0.000001)))-MAX(0,MIN(1,(((IF(Статистика!$C$4="Параллельный режим (активная мощность)",E156,P156)+Статистика!$J$4))-Статистика!$C$10)/MAX(Статистика!$G$10-Статистика!$C$10,0.000001)))))</f>
        <v>6.2486599999999948E-2</v>
      </c>
      <c r="BA156" s="12">
        <f>IF(A156="","",MAX(0,MAX(0,MIN(1,(((IF(Статистика!$C$4="Параллельный режим (активная мощность)",G156,R156)+Статистика!$J$4))-Статистика!$C$10)/MAX(Статистика!$G$10-Статистика!$C$10,0.000001)))-MAX(0,MIN(1,(((IF(Статистика!$C$4="Параллельный режим (активная мощность)",F156,Q156)+Статистика!$J$4))-Статистика!$C$10)/MAX(Статистика!$G$10-Статистика!$C$10,0.000001)))))</f>
        <v>5.5555419444444532E-2</v>
      </c>
      <c r="BB156" s="12">
        <f>IF(A156="","",MAX(0,MAX(0,MIN(1,(((IF(Статистика!$C$4="Параллельный режим (активная мощность)",H156,S156)+Статистика!$J$4))-Статистика!$C$10)/MAX(Статистика!$G$10-Статистика!$C$10,0.000001)))-MAX(0,MIN(1,(((IF(Статистика!$C$4="Параллельный режим (активная мощность)",G156,R156)+Статистика!$J$4))-Статистика!$C$10)/MAX(Статистика!$G$10-Статистика!$C$10,0.000001)))))</f>
        <v>8.5610110000000184E-2</v>
      </c>
      <c r="BC156" s="12">
        <f>IF(A156="","",MAX(0,MAX(0,MIN(1,(((IF(Статистика!$C$4="Параллельный режим (активная мощность)",J156,U156)+Статистика!$J$4))-Статистика!$C$10)/MAX(Статистика!$G$10-Статистика!$C$10,0.000001)))-MAX(0,MIN(1,(((IF(Статистика!$C$4="Параллельный режим (активная мощность)",H156,S156)+Статистика!$J$4))-Статистика!$C$10)/MAX(Статистика!$G$10-Статистика!$C$10,0.000001)))))</f>
        <v>0.10058219349999975</v>
      </c>
      <c r="BD156" s="12">
        <f>IF(A156="","",MAX(0,1-MAX(0,MIN(1,(((IF(Статистика!$C$4="Параллельный режим (активная мощность)",J156,U156)+Статистика!$J$4))-Статистика!$C$10)/MAX(Статистика!$G$10-Статистика!$C$10,0.000001)))))</f>
        <v>0.10392147149999986</v>
      </c>
      <c r="BE156" s="12">
        <f>IF(A156="",NA(),IF(Статистика!$B$8="Вкл",(((IF(Статистика!$C$4="Параллельный режим (активная мощность)",F156,Q156)+Статистика!$J$4))-Статистика!$C$10)/MAX(Статистика!$G$10-Статистика!$C$10,0.000001),NA()))</f>
        <v>0.65433080555555567</v>
      </c>
      <c r="BF156" s="12">
        <f>IF(A156="",NA(),IF(Статистика!$D$8="Вкл",(((IF(Статистика!$C$4="Параллельный режим (активная мощность)",E156,P156)+Статистика!$J$4))-Статистика!$C$10)/MAX(Статистика!$G$10-Статистика!$C$10,0.000001),NA()))</f>
        <v>0.59184420555555572</v>
      </c>
      <c r="BG156" s="12">
        <f>IF(A156="",NA(),IF(Статистика!$D$8="Вкл",(((IF(Статистика!$C$4="Параллельный режим (активная мощность)",G156,R156)+Статистика!$J$4))-Статистика!$C$10)/MAX(Статистика!$G$10-Статистика!$C$10,0.000001),NA()))</f>
        <v>0.7098862250000002</v>
      </c>
      <c r="BH156" s="12">
        <f>IF(A156="",NA(),IF(Статистика!$F$8="Вкл",(((IF(Статистика!$C$4="Параллельный режим (активная мощность)",D156,O156)+Статистика!$J$4))-Статистика!$C$10)/MAX(Статистика!$G$10-Статистика!$C$10,0.000001),NA()))</f>
        <v>0.52361130666666666</v>
      </c>
      <c r="BI156" s="12">
        <f>IF(A156="",NA(),IF(Статистика!$F$8="Вкл",(((IF(Статистика!$C$4="Параллельный режим (активная мощность)",H156,S156)+Статистика!$J$4))-Статистика!$C$10)/MAX(Статистика!$G$10-Статистика!$C$10,0.000001),NA()))</f>
        <v>0.79549633500000039</v>
      </c>
      <c r="BJ156" s="12">
        <f>IF(A156="",NA(),IF(Статистика!$H$8="Вкл",(((IF(Статистика!$C$4="Параллельный режим (активная мощность)",B156,M156)+Статистика!$J$4))-Статистика!$C$10)/MAX(Статистика!$G$10-Статистика!$C$10,0.000001),NA()))</f>
        <v>-0.95087125983333332</v>
      </c>
      <c r="BK156" s="12">
        <f>IF(A156="",NA(),IF(Статистика!$H$8="Вкл",(((IF(Статистика!$C$4="Параллельный режим (активная мощность)",J156,U156)+Статистика!$J$4))-Статистика!$C$10)/MAX(Статистика!$G$10-Статистика!$C$10,0.000001),NA()))</f>
        <v>0.89607852850000014</v>
      </c>
      <c r="BL156" s="12" t="e">
        <f>IF(A156="",NA(),IF(Статистика!$J$8="Вкл",(((IF(Статистика!$C$4="Параллельный режим (активная мощность)",K156,V156)+Статистика!$J$4))-Статистика!$C$10)/MAX(Статистика!$G$10-Статистика!$C$10,0.000001),NA()))</f>
        <v>#N/A</v>
      </c>
      <c r="BM156" s="12" t="e">
        <f>IF(AND(A156&lt;&gt;"",Статистика!$C$6="Вкл",Статистика!$B$6&gt;0),(Статистика!$B$6-Статистика!$C$10)/MAX(Статистика!$G$10-Статистика!$C$10,0.000001),NA())</f>
        <v>#N/A</v>
      </c>
      <c r="BN156" s="12" t="e">
        <f>IF(AND(A156&lt;&gt;"",Статистика!$F$6="Вкл",Статистика!$E$6&gt;0),(Статистика!$E$6-Статистика!$C$10)/MAX(Статистика!$G$10-Статистика!$C$10,0.000001),NA())</f>
        <v>#N/A</v>
      </c>
      <c r="BO156" s="12" t="e">
        <f>IF(AND(A156&lt;&gt;"",Статистика!$I$6="Вкл",Статистика!$H$6&gt;0),(Статистика!$H$6-Статистика!$C$10)/MAX(Статистика!$G$10-Статистика!$C$10,0.000001),NA())</f>
        <v>#N/A</v>
      </c>
      <c r="BP156" s="12" t="e">
        <f>IF(AND(A156&lt;&gt;"",Статистика!$L$6="Вкл",Статистика!$K$6&gt;0),(Статистика!$K$6-Статистика!$C$10)/MAX(Статистика!$G$10-Статистика!$C$10,0.000001),NA())</f>
        <v>#N/A</v>
      </c>
      <c r="BQ156" s="12" t="e">
        <f>IF(AND(A156&lt;&gt;"",Статистика!$M$6="Вкл",Статистика!$O$6&gt;0),(Статистика!$O$6-Статистика!$C$10)/MAX(Статистика!$G$10-Статистика!$C$10,0.000001),NA())</f>
        <v>#N/A</v>
      </c>
      <c r="BR156" s="12">
        <f t="shared" si="4"/>
        <v>1</v>
      </c>
      <c r="BT156" s="12">
        <f>IF(Y156="","",MAX(0,MIN(1,(((IF(Статистика!$C$4="Параллельный режим (активная мощность)",Z156,AK156)+Статистика!$J$4))-Статистика!$C$10)/MAX(Статистика!$G$10-Статистика!$C$10,0.000001))))</f>
        <v>0.51550750588888872</v>
      </c>
      <c r="BU156" s="12">
        <f>IF(Y156="","",MAX(0,MAX(0,MIN(1,(((IF(Статистика!$C$4="Параллельный режим (активная мощность)",AB156,AM156)+Статистика!$J$4))-Статистика!$C$10)/MAX(Статистика!$G$10-Статистика!$C$10,0.000001)))-MAX(0,MIN(1,(((IF(Статистика!$C$4="Параллельный режим (активная мощность)",Z156,AK156)+Статистика!$J$4))-Статистика!$C$10)/MAX(Статистика!$G$10-Статистика!$C$10,0.000001)))))</f>
        <v>2.4817352999999764E-2</v>
      </c>
      <c r="BV156" s="12">
        <f>IF(Y156="","",MAX(0,MAX(0,MIN(1,(((IF(Статистика!$C$4="Параллельный режим (активная мощность)",AC156,AN156)+Статистика!$J$4))-Статистика!$C$10)/MAX(Статистика!$G$10-Статистика!$C$10,0.000001)))-MAX(0,MIN(1,(((IF(Статистика!$C$4="Параллельный режим (активная мощность)",AB156,AM156)+Статистика!$J$4))-Статистика!$C$10)/MAX(Статистика!$G$10-Статистика!$C$10,0.000001)))))</f>
        <v>7.6411993888889529E-2</v>
      </c>
      <c r="BW156" s="12">
        <f>IF(Y156="","",MAX(0,MAX(0,MIN(1,(((IF(Статистика!$C$4="Параллельный режим (активная мощность)",AD156,AO156)+Статистика!$J$4))-Статистика!$C$10)/MAX(Статистика!$G$10-Статистика!$C$10,0.000001)))-MAX(0,MIN(1,(((IF(Статистика!$C$4="Параллельный режим (активная мощность)",AC156,AN156)+Статистика!$J$4))-Статистика!$C$10)/MAX(Статистика!$G$10-Статистика!$C$10,0.000001)))))</f>
        <v>4.5740502777777414E-2</v>
      </c>
      <c r="BX156" s="12">
        <f>IF(Y156="","",MAX(0,MAX(0,MIN(1,(((IF(Статистика!$C$4="Параллельный режим (активная мощность)",AE156,AP156)+Статистика!$J$4))-Статистика!$C$10)/MAX(Статистика!$G$10-Статистика!$C$10,0.000001)))-MAX(0,MIN(1,(((IF(Статистика!$C$4="Параллельный режим (активная мощность)",AD156,AO156)+Статистика!$J$4))-Статистика!$C$10)/MAX(Статистика!$G$10-Статистика!$C$10,0.000001)))))</f>
        <v>6.2089336111111448E-2</v>
      </c>
      <c r="BY156" s="12">
        <f>IF(Y156="","",MAX(0,MAX(0,MIN(1,(((IF(Статистика!$C$4="Параллельный режим (активная мощность)",AF156,AQ156)+Статистика!$J$4))-Статистика!$C$10)/MAX(Статистика!$G$10-Статистика!$C$10,0.000001)))-MAX(0,MIN(1,(((IF(Статистика!$C$4="Параллельный режим (активная мощность)",AE156,AP156)+Статистика!$J$4))-Статистика!$C$10)/MAX(Статистика!$G$10-Статистика!$C$10,0.000001)))))</f>
        <v>0.12086164111111131</v>
      </c>
      <c r="BZ156" s="12">
        <f>IF(Y156="","",MAX(0,MAX(0,MIN(1,(((IF(Статистика!$C$4="Параллельный режим (активная мощность)",AH156,AS156)+Статистика!$J$4))-Статистика!$C$10)/MAX(Статистика!$G$10-Статистика!$C$10,0.000001)))-MAX(0,MIN(1,(((IF(Статистика!$C$4="Параллельный режим (активная мощность)",AF156,AQ156)+Статистика!$J$4))-Статистика!$C$10)/MAX(Статистика!$G$10-Статистика!$C$10,0.000001)))))</f>
        <v>9.1728504999991634E-3</v>
      </c>
      <c r="CA156" s="12">
        <f>IF(Y156="","",MAX(0,1-MAX(0,MIN(1,(((IF(Статистика!$C$4="Параллельный режим (активная мощность)",AH156,AS156)+Статистика!$J$4))-Статистика!$C$10)/MAX(Статистика!$G$10-Статистика!$C$10,0.000001)))))</f>
        <v>0.14539881672222266</v>
      </c>
      <c r="CB156" s="12">
        <f>IF(Y156="",NA(),IF(Статистика!$B$8="Вкл",(((IF(Статистика!$C$4="Параллельный режим (активная мощность)",AD156,AO156)+Статистика!$J$4))-Статистика!$C$10)/MAX(Статистика!$G$10-Статистика!$C$10,0.000001),NA()))</f>
        <v>0.66247735555555542</v>
      </c>
      <c r="CC156" s="12">
        <f>IF(Y156="",NA(),IF(Статистика!$D$8="Вкл",(((IF(Статистика!$C$4="Параллельный режим (активная мощность)",AC156,AN156)+Статистика!$J$4))-Статистика!$C$10)/MAX(Статистика!$G$10-Статистика!$C$10,0.000001),NA()))</f>
        <v>0.61673685277777801</v>
      </c>
      <c r="CD156" s="12">
        <f>IF(Y156="",NA(),IF(Статистика!$D$8="Вкл",(((IF(Статистика!$C$4="Параллельный режим (активная мощность)",AE156,AP156)+Статистика!$J$4))-Статистика!$C$10)/MAX(Статистика!$G$10-Статистика!$C$10,0.000001),NA()))</f>
        <v>0.72456669166666687</v>
      </c>
      <c r="CE156" s="12">
        <f>IF(Y156="",NA(),IF(Статистика!$F$8="Вкл",(((IF(Статистика!$C$4="Параллельный режим (активная мощность)",AB156,AM156)+Статистика!$J$4))-Статистика!$C$10)/MAX(Статистика!$G$10-Статистика!$C$10,0.000001),NA()))</f>
        <v>0.54032485888888848</v>
      </c>
      <c r="CF156" s="12">
        <f>IF(Y156="",NA(),IF(Статистика!$F$8="Вкл",(((IF(Статистика!$C$4="Параллельный режим (активная мощность)",AF156,AQ156)+Статистика!$J$4))-Статистика!$C$10)/MAX(Статистика!$G$10-Статистика!$C$10,0.000001),NA()))</f>
        <v>0.84542833277777818</v>
      </c>
      <c r="CG156" s="12">
        <f>IF(Y156="",NA(),IF(Статистика!$H$8="Вкл",(((IF(Статистика!$C$4="Параллельный режим (активная мощность)",Z156,AK156)+Статистика!$J$4))-Статистика!$C$10)/MAX(Статистика!$G$10-Статистика!$C$10,0.000001),NA()))</f>
        <v>0.51550750588888872</v>
      </c>
      <c r="CH156" s="12">
        <f>IF(Y156="",NA(),IF(Статистика!$H$8="Вкл",(((IF(Статистика!$C$4="Параллельный режим (активная мощность)",AH156,AS156)+Статистика!$J$4))-Статистика!$C$10)/MAX(Статистика!$G$10-Статистика!$C$10,0.000001),NA()))</f>
        <v>0.85460118327777734</v>
      </c>
      <c r="CI156" s="12" t="e">
        <f>IF(Y156="",NA(),IF(Статистика!$J$8="Вкл",(((IF(Статистика!$C$4="Параллельный режим (активная мощность)",AI156,AT156)+Статистика!$J$4))-Статистика!$C$10)/MAX(Статистика!$G$10-Статистика!$C$10,0.000001),NA()))</f>
        <v>#N/A</v>
      </c>
      <c r="CJ156" s="12" t="e">
        <f>IF(AND(Y156&lt;&gt;"",Статистика!$C$6="Вкл",Статистика!$B$6&gt;0),(Статистика!$B$6-Статистика!$C$10)/MAX(Статистика!$G$10-Статистика!$C$10,0.000001),NA())</f>
        <v>#N/A</v>
      </c>
      <c r="CK156" s="12" t="e">
        <f>IF(AND(Y156&lt;&gt;"",Статистика!$F$6="Вкл",Статистика!$E$6&gt;0),(Статистика!$E$6-Статистика!$C$10)/MAX(Статистика!$G$10-Статистика!$C$10,0.000001),NA())</f>
        <v>#N/A</v>
      </c>
      <c r="CL156" s="12" t="e">
        <f>IF(AND(Y156&lt;&gt;"",Статистика!$I$6="Вкл",Статистика!$H$6&gt;0),(Статистика!$H$6-Статистика!$C$10)/MAX(Статистика!$G$10-Статистика!$C$10,0.000001),NA())</f>
        <v>#N/A</v>
      </c>
      <c r="CM156" s="12" t="e">
        <f>IF(AND(Y156&lt;&gt;"",Статистика!$L$6="Вкл",Статистика!$K$6&gt;0),(Статистика!$K$6-Статистика!$C$10)/MAX(Статистика!$G$10-Статистика!$C$10,0.000001),NA())</f>
        <v>#N/A</v>
      </c>
      <c r="CN156" s="12" t="e">
        <f>IF(AND(Y156&lt;&gt;"",Статистика!$M$6="Вкл",Статистика!$O$6&gt;0),(Статистика!$O$6-Статистика!$C$10)/MAX(Статистика!$G$10-Статистика!$C$10,0.000001),NA())</f>
        <v>#N/A</v>
      </c>
      <c r="CO156" s="12">
        <f t="shared" si="5"/>
        <v>1</v>
      </c>
    </row>
    <row r="157" spans="1:93" ht="15" customHeight="1">
      <c r="A157" s="12" t="s">
        <v>682</v>
      </c>
      <c r="B157" s="12">
        <v>3117.009423333333</v>
      </c>
      <c r="C157" s="12">
        <v>6079.2987166666662</v>
      </c>
      <c r="D157" s="12">
        <v>7541.1469833333322</v>
      </c>
      <c r="E157" s="12">
        <v>7742.5699750000003</v>
      </c>
      <c r="F157" s="12">
        <v>7934.328966666666</v>
      </c>
      <c r="G157" s="12">
        <v>8110.2085333333325</v>
      </c>
      <c r="H157" s="12">
        <v>8398.8319983333331</v>
      </c>
      <c r="I157" s="12">
        <v>8543.3007799999996</v>
      </c>
      <c r="J157" s="12">
        <v>8654.0370093333331</v>
      </c>
      <c r="K157" s="12">
        <v>8884.57</v>
      </c>
      <c r="L157" s="12" t="s">
        <v>683</v>
      </c>
      <c r="M157" s="12">
        <v>3765.4435639999997</v>
      </c>
      <c r="N157" s="12">
        <v>6902.742753333333</v>
      </c>
      <c r="O157" s="12">
        <v>8440.1885149999998</v>
      </c>
      <c r="P157" s="12">
        <v>8708.8033833333338</v>
      </c>
      <c r="Q157" s="12">
        <v>8956.5368000000017</v>
      </c>
      <c r="R157" s="12">
        <v>9105.201325</v>
      </c>
      <c r="S157" s="12">
        <v>9360.2480699999996</v>
      </c>
      <c r="T157" s="12">
        <v>9509.2523058333336</v>
      </c>
      <c r="U157" s="12">
        <v>9648.3679544999995</v>
      </c>
      <c r="V157" s="12">
        <v>9907.85</v>
      </c>
      <c r="W157" s="12" t="s">
        <v>683</v>
      </c>
      <c r="Y157" s="12" t="s">
        <v>682</v>
      </c>
      <c r="Z157" s="12">
        <v>7518.1217365000002</v>
      </c>
      <c r="AA157" s="12">
        <v>7540.8296158333333</v>
      </c>
      <c r="AB157" s="12">
        <v>7569.214465</v>
      </c>
      <c r="AC157" s="12">
        <v>7820.8973499999993</v>
      </c>
      <c r="AD157" s="12">
        <v>7940.2416333333331</v>
      </c>
      <c r="AE157" s="12">
        <v>8108.7929166666663</v>
      </c>
      <c r="AF157" s="12">
        <v>8502.1793699999998</v>
      </c>
      <c r="AG157" s="12">
        <v>8510.2892850000007</v>
      </c>
      <c r="AH157" s="12">
        <v>8516.7772170000007</v>
      </c>
      <c r="AI157" s="12">
        <v>8656.56</v>
      </c>
      <c r="AJ157" s="12" t="s">
        <v>684</v>
      </c>
      <c r="AK157" s="12">
        <v>8522.7353093333331</v>
      </c>
      <c r="AL157" s="12">
        <v>8542.1326800000006</v>
      </c>
      <c r="AM157" s="12">
        <v>8566.3793933333345</v>
      </c>
      <c r="AN157" s="12">
        <v>8769.9291750000011</v>
      </c>
      <c r="AO157" s="12">
        <v>8966.3891833333328</v>
      </c>
      <c r="AP157" s="12">
        <v>9166.6825499999995</v>
      </c>
      <c r="AQ157" s="12">
        <v>9481.7546383333338</v>
      </c>
      <c r="AR157" s="12">
        <v>9499.2309525000001</v>
      </c>
      <c r="AS157" s="12">
        <v>9513.2120038333323</v>
      </c>
      <c r="AT157" s="12">
        <v>9657.06</v>
      </c>
      <c r="AU157" s="12" t="s">
        <v>684</v>
      </c>
      <c r="AW157" s="12">
        <f>IF(A157="","",MAX(0,MIN(1,(((IF(Статистика!$C$4="Параллельный режим (активная мощность)",B157,M157)+Статистика!$J$4))-Статистика!$C$10)/MAX(Статистика!$G$10-Статистика!$C$10,0.000001))))</f>
        <v>0</v>
      </c>
      <c r="AX157" s="12">
        <f>IF(A157="","",MAX(0,MAX(0,MIN(1,(((IF(Статистика!$C$4="Параллельный режим (активная мощность)",D157,O157)+Статистика!$J$4))-Статистика!$C$10)/MAX(Статистика!$G$10-Статистика!$C$10,0.000001)))-MAX(0,MIN(1,(((IF(Статистика!$C$4="Параллельный режим (активная мощность)",B157,M157)+Статистика!$J$4))-Статистика!$C$10)/MAX(Статистика!$G$10-Статистика!$C$10,0.000001)))))</f>
        <v>0.51371566111111078</v>
      </c>
      <c r="AY157" s="12">
        <f>IF(A157="","",MAX(0,MAX(0,MIN(1,(((IF(Статистика!$C$4="Параллельный режим (активная мощность)",E157,P157)+Статистика!$J$4))-Статистика!$C$10)/MAX(Статистика!$G$10-Статистика!$C$10,0.000001)))-MAX(0,MIN(1,(((IF(Статистика!$C$4="Параллельный режим (активная мощность)",D157,O157)+Статистика!$J$4))-Статистика!$C$10)/MAX(Статистика!$G$10-Статистика!$C$10,0.000001)))))</f>
        <v>6.7140997222222665E-2</v>
      </c>
      <c r="AZ157" s="12">
        <f>IF(A157="","",MAX(0,MAX(0,MIN(1,(((IF(Статистика!$C$4="Параллельный режим (активная мощность)",F157,Q157)+Статистика!$J$4))-Статистика!$C$10)/MAX(Статистика!$G$10-Статистика!$C$10,0.000001)))-MAX(0,MIN(1,(((IF(Статистика!$C$4="Параллельный режим (активная мощность)",E157,P157)+Статистика!$J$4))-Статистика!$C$10)/MAX(Статистика!$G$10-Статистика!$C$10,0.000001)))))</f>
        <v>6.3919663888888589E-2</v>
      </c>
      <c r="BA157" s="12">
        <f>IF(A157="","",MAX(0,MAX(0,MIN(1,(((IF(Статистика!$C$4="Параллельный режим (активная мощность)",G157,R157)+Статистика!$J$4))-Статистика!$C$10)/MAX(Статистика!$G$10-Статистика!$C$10,0.000001)))-MAX(0,MIN(1,(((IF(Статистика!$C$4="Параллельный режим (активная мощность)",F157,Q157)+Статистика!$J$4))-Статистика!$C$10)/MAX(Статистика!$G$10-Статистика!$C$10,0.000001)))))</f>
        <v>5.8626522222222088E-2</v>
      </c>
      <c r="BB157" s="12">
        <f>IF(A157="","",MAX(0,MAX(0,MIN(1,(((IF(Статистика!$C$4="Параллельный режим (активная мощность)",H157,S157)+Статистика!$J$4))-Статистика!$C$10)/MAX(Статистика!$G$10-Статистика!$C$10,0.000001)))-MAX(0,MIN(1,(((IF(Статистика!$C$4="Параллельный режим (активная мощность)",G157,R157)+Статистика!$J$4))-Статистика!$C$10)/MAX(Статистика!$G$10-Статистика!$C$10,0.000001)))))</f>
        <v>9.620782166666686E-2</v>
      </c>
      <c r="BC157" s="12">
        <f>IF(A157="","",MAX(0,MAX(0,MIN(1,(((IF(Статистика!$C$4="Параллельный режим (активная мощность)",J157,U157)+Статистика!$J$4))-Статистика!$C$10)/MAX(Статистика!$G$10-Статистика!$C$10,0.000001)))-MAX(0,MIN(1,(((IF(Статистика!$C$4="Параллельный режим (активная мощность)",H157,S157)+Статистика!$J$4))-Статистика!$C$10)/MAX(Статистика!$G$10-Статистика!$C$10,0.000001)))))</f>
        <v>8.5068337000000049E-2</v>
      </c>
      <c r="BD157" s="12">
        <f>IF(A157="","",MAX(0,1-MAX(0,MIN(1,(((IF(Статистика!$C$4="Параллельный режим (активная мощность)",J157,U157)+Статистика!$J$4))-Статистика!$C$10)/MAX(Статистика!$G$10-Статистика!$C$10,0.000001)))))</f>
        <v>0.11532099688888897</v>
      </c>
      <c r="BE157" s="12">
        <f>IF(A157="",NA(),IF(Статистика!$B$8="Вкл",(((IF(Статистика!$C$4="Параллельный режим (активная мощность)",F157,Q157)+Статистика!$J$4))-Статистика!$C$10)/MAX(Статистика!$G$10-Статистика!$C$10,0.000001),NA()))</f>
        <v>0.64477632222222203</v>
      </c>
      <c r="BF157" s="12">
        <f>IF(A157="",NA(),IF(Статистика!$D$8="Вкл",(((IF(Статистика!$C$4="Параллельный режим (активная мощность)",E157,P157)+Статистика!$J$4))-Статистика!$C$10)/MAX(Статистика!$G$10-Статистика!$C$10,0.000001),NA()))</f>
        <v>0.58085665833333344</v>
      </c>
      <c r="BG157" s="12">
        <f>IF(A157="",NA(),IF(Статистика!$D$8="Вкл",(((IF(Статистика!$C$4="Параллельный режим (активная мощность)",G157,R157)+Статистика!$J$4))-Статистика!$C$10)/MAX(Статистика!$G$10-Статистика!$C$10,0.000001),NA()))</f>
        <v>0.70340284444444412</v>
      </c>
      <c r="BH157" s="12">
        <f>IF(A157="",NA(),IF(Статистика!$F$8="Вкл",(((IF(Статистика!$C$4="Параллельный режим (активная мощность)",D157,O157)+Статистика!$J$4))-Статистика!$C$10)/MAX(Статистика!$G$10-Статистика!$C$10,0.000001),NA()))</f>
        <v>0.51371566111111078</v>
      </c>
      <c r="BI157" s="12">
        <f>IF(A157="",NA(),IF(Статистика!$F$8="Вкл",(((IF(Статистика!$C$4="Параллельный режим (активная мощность)",H157,S157)+Статистика!$J$4))-Статистика!$C$10)/MAX(Статистика!$G$10-Статистика!$C$10,0.000001),NA()))</f>
        <v>0.79961066611111098</v>
      </c>
      <c r="BJ157" s="12">
        <f>IF(A157="",NA(),IF(Статистика!$H$8="Вкл",(((IF(Статистика!$C$4="Параллельный режим (активная мощность)",B157,M157)+Статистика!$J$4))-Статистика!$C$10)/MAX(Статистика!$G$10-Статистика!$C$10,0.000001),NA()))</f>
        <v>-0.96099685888888897</v>
      </c>
      <c r="BK157" s="12">
        <f>IF(A157="",NA(),IF(Статистика!$H$8="Вкл",(((IF(Статистика!$C$4="Параллельный режим (активная мощность)",J157,U157)+Статистика!$J$4))-Статистика!$C$10)/MAX(Статистика!$G$10-Статистика!$C$10,0.000001),NA()))</f>
        <v>0.88467900311111103</v>
      </c>
      <c r="BL157" s="12" t="e">
        <f>IF(A157="",NA(),IF(Статистика!$J$8="Вкл",(((IF(Статистика!$C$4="Параллельный режим (активная мощность)",K157,V157)+Статистика!$J$4))-Статистика!$C$10)/MAX(Статистика!$G$10-Статистика!$C$10,0.000001),NA()))</f>
        <v>#N/A</v>
      </c>
      <c r="BM157" s="12" t="e">
        <f>IF(AND(A157&lt;&gt;"",Статистика!$C$6="Вкл",Статистика!$B$6&gt;0),(Статистика!$B$6-Статистика!$C$10)/MAX(Статистика!$G$10-Статистика!$C$10,0.000001),NA())</f>
        <v>#N/A</v>
      </c>
      <c r="BN157" s="12" t="e">
        <f>IF(AND(A157&lt;&gt;"",Статистика!$F$6="Вкл",Статистика!$E$6&gt;0),(Статистика!$E$6-Статистика!$C$10)/MAX(Статистика!$G$10-Статистика!$C$10,0.000001),NA())</f>
        <v>#N/A</v>
      </c>
      <c r="BO157" s="12" t="e">
        <f>IF(AND(A157&lt;&gt;"",Статистика!$I$6="Вкл",Статистика!$H$6&gt;0),(Статистика!$H$6-Статистика!$C$10)/MAX(Статистика!$G$10-Статистика!$C$10,0.000001),NA())</f>
        <v>#N/A</v>
      </c>
      <c r="BP157" s="12" t="e">
        <f>IF(AND(A157&lt;&gt;"",Статистика!$L$6="Вкл",Статистика!$K$6&gt;0),(Статистика!$K$6-Статистика!$C$10)/MAX(Статистика!$G$10-Статистика!$C$10,0.000001),NA())</f>
        <v>#N/A</v>
      </c>
      <c r="BQ157" s="12" t="e">
        <f>IF(AND(A157&lt;&gt;"",Статистика!$M$6="Вкл",Статистика!$O$6&gt;0),(Статистика!$O$6-Статистика!$C$10)/MAX(Статистика!$G$10-Статистика!$C$10,0.000001),NA())</f>
        <v>#N/A</v>
      </c>
      <c r="BR157" s="12">
        <f t="shared" si="4"/>
        <v>1</v>
      </c>
      <c r="BT157" s="12">
        <f>IF(Y157="","",MAX(0,MIN(1,(((IF(Статистика!$C$4="Параллельный режим (активная мощность)",Z157,AK157)+Статистика!$J$4))-Статистика!$C$10)/MAX(Статистика!$G$10-Статистика!$C$10,0.000001))))</f>
        <v>0.50604057883333342</v>
      </c>
      <c r="BU157" s="12">
        <f>IF(Y157="","",MAX(0,MAX(0,MIN(1,(((IF(Статистика!$C$4="Параллельный режим (активная мощность)",AB157,AM157)+Статистика!$J$4))-Статистика!$C$10)/MAX(Статистика!$G$10-Статистика!$C$10,0.000001)))-MAX(0,MIN(1,(((IF(Статистика!$C$4="Параллельный режим (активная мощность)",Z157,AK157)+Статистика!$J$4))-Статистика!$C$10)/MAX(Статистика!$G$10-Статистика!$C$10,0.000001)))))</f>
        <v>1.7030909499999969E-2</v>
      </c>
      <c r="BV157" s="12">
        <f>IF(Y157="","",MAX(0,MAX(0,MIN(1,(((IF(Статистика!$C$4="Параллельный режим (активная мощность)",AC157,AN157)+Статистика!$J$4))-Статистика!$C$10)/MAX(Статистика!$G$10-Статистика!$C$10,0.000001)))-MAX(0,MIN(1,(((IF(Статистика!$C$4="Параллельный режим (активная мощность)",AB157,AM157)+Статистика!$J$4))-Статистика!$C$10)/MAX(Статистика!$G$10-Статистика!$C$10,0.000001)))))</f>
        <v>8.3894294999999675E-2</v>
      </c>
      <c r="BW157" s="12">
        <f>IF(Y157="","",MAX(0,MAX(0,MIN(1,(((IF(Статистика!$C$4="Параллельный режим (активная мощность)",AD157,AO157)+Статистика!$J$4))-Статистика!$C$10)/MAX(Статистика!$G$10-Статистика!$C$10,0.000001)))-MAX(0,MIN(1,(((IF(Статистика!$C$4="Параллельный режим (активная мощность)",AC157,AN157)+Статистика!$J$4))-Статистика!$C$10)/MAX(Статистика!$G$10-Статистика!$C$10,0.000001)))))</f>
        <v>3.9781427777777933E-2</v>
      </c>
      <c r="BX157" s="12">
        <f>IF(Y157="","",MAX(0,MAX(0,MIN(1,(((IF(Статистика!$C$4="Параллельный режим (активная мощность)",AE157,AP157)+Статистика!$J$4))-Статистика!$C$10)/MAX(Статистика!$G$10-Статистика!$C$10,0.000001)))-MAX(0,MIN(1,(((IF(Статистика!$C$4="Параллельный режим (активная мощность)",AD157,AO157)+Статистика!$J$4))-Статистика!$C$10)/MAX(Статистика!$G$10-Статистика!$C$10,0.000001)))))</f>
        <v>5.6183761111111119E-2</v>
      </c>
      <c r="BY157" s="12">
        <f>IF(Y157="","",MAX(0,MAX(0,MIN(1,(((IF(Статистика!$C$4="Параллельный режим (активная мощность)",AF157,AQ157)+Статистика!$J$4))-Статистика!$C$10)/MAX(Статистика!$G$10-Статистика!$C$10,0.000001)))-MAX(0,MIN(1,(((IF(Статистика!$C$4="Параллельный режим (активная мощность)",AE157,AP157)+Статистика!$J$4))-Статистика!$C$10)/MAX(Статистика!$G$10-Статистика!$C$10,0.000001)))))</f>
        <v>0.13112881777777785</v>
      </c>
      <c r="BZ157" s="12">
        <f>IF(Y157="","",MAX(0,MAX(0,MIN(1,(((IF(Статистика!$C$4="Параллельный режим (активная мощность)",AH157,AS157)+Статистика!$J$4))-Статистика!$C$10)/MAX(Статистика!$G$10-Статистика!$C$10,0.000001)))-MAX(0,MIN(1,(((IF(Статистика!$C$4="Параллельный режим (активная мощность)",AF157,AQ157)+Статистика!$J$4))-Статистика!$C$10)/MAX(Статистика!$G$10-Статистика!$C$10,0.000001)))))</f>
        <v>4.8659490000002581E-3</v>
      </c>
      <c r="CA157" s="12">
        <f>IF(Y157="","",MAX(0,1-MAX(0,MIN(1,(((IF(Статистика!$C$4="Параллельный режим (активная мощность)",AH157,AS157)+Статистика!$J$4))-Статистика!$C$10)/MAX(Статистика!$G$10-Статистика!$C$10,0.000001)))))</f>
        <v>0.16107426099999977</v>
      </c>
      <c r="CB157" s="12">
        <f>IF(Y157="",NA(),IF(Статистика!$B$8="Вкл",(((IF(Статистика!$C$4="Параллельный режим (активная мощность)",AD157,AO157)+Статистика!$J$4))-Статистика!$C$10)/MAX(Статистика!$G$10-Статистика!$C$10,0.000001),NA()))</f>
        <v>0.646747211111111</v>
      </c>
      <c r="CC157" s="12">
        <f>IF(Y157="",NA(),IF(Статистика!$D$8="Вкл",(((IF(Статистика!$C$4="Параллельный режим (активная мощность)",AC157,AN157)+Статистика!$J$4))-Статистика!$C$10)/MAX(Статистика!$G$10-Статистика!$C$10,0.000001),NA()))</f>
        <v>0.60696578333333306</v>
      </c>
      <c r="CD157" s="12">
        <f>IF(Y157="",NA(),IF(Статистика!$D$8="Вкл",(((IF(Статистика!$C$4="Параллельный режим (активная мощность)",AE157,AP157)+Статистика!$J$4))-Статистика!$C$10)/MAX(Статистика!$G$10-Статистика!$C$10,0.000001),NA()))</f>
        <v>0.70293097222222212</v>
      </c>
      <c r="CE157" s="12">
        <f>IF(Y157="",NA(),IF(Статистика!$F$8="Вкл",(((IF(Статистика!$C$4="Параллельный режим (активная мощность)",AB157,AM157)+Статистика!$J$4))-Статистика!$C$10)/MAX(Статистика!$G$10-Статистика!$C$10,0.000001),NA()))</f>
        <v>0.52307148833333339</v>
      </c>
      <c r="CF157" s="12">
        <f>IF(Y157="",NA(),IF(Статистика!$F$8="Вкл",(((IF(Статистика!$C$4="Параллельный режим (активная мощность)",AF157,AQ157)+Статистика!$J$4))-Статистика!$C$10)/MAX(Статистика!$G$10-Статистика!$C$10,0.000001),NA()))</f>
        <v>0.83405978999999997</v>
      </c>
      <c r="CG157" s="12">
        <f>IF(Y157="",NA(),IF(Статистика!$H$8="Вкл",(((IF(Статистика!$C$4="Параллельный режим (активная мощность)",Z157,AK157)+Статистика!$J$4))-Статистика!$C$10)/MAX(Статистика!$G$10-Статистика!$C$10,0.000001),NA()))</f>
        <v>0.50604057883333342</v>
      </c>
      <c r="CH157" s="12">
        <f>IF(Y157="",NA(),IF(Статистика!$H$8="Вкл",(((IF(Статистика!$C$4="Параллельный режим (активная мощность)",AH157,AS157)+Статистика!$J$4))-Статистика!$C$10)/MAX(Статистика!$G$10-Статистика!$C$10,0.000001),NA()))</f>
        <v>0.83892573900000023</v>
      </c>
      <c r="CI157" s="12" t="e">
        <f>IF(Y157="",NA(),IF(Статистика!$J$8="Вкл",(((IF(Статистика!$C$4="Параллельный режим (активная мощность)",AI157,AT157)+Статистика!$J$4))-Статистика!$C$10)/MAX(Статистика!$G$10-Статистика!$C$10,0.000001),NA()))</f>
        <v>#N/A</v>
      </c>
      <c r="CJ157" s="12" t="e">
        <f>IF(AND(Y157&lt;&gt;"",Статистика!$C$6="Вкл",Статистика!$B$6&gt;0),(Статистика!$B$6-Статистика!$C$10)/MAX(Статистика!$G$10-Статистика!$C$10,0.000001),NA())</f>
        <v>#N/A</v>
      </c>
      <c r="CK157" s="12" t="e">
        <f>IF(AND(Y157&lt;&gt;"",Статистика!$F$6="Вкл",Статистика!$E$6&gt;0),(Статистика!$E$6-Статистика!$C$10)/MAX(Статистика!$G$10-Статистика!$C$10,0.000001),NA())</f>
        <v>#N/A</v>
      </c>
      <c r="CL157" s="12" t="e">
        <f>IF(AND(Y157&lt;&gt;"",Статистика!$I$6="Вкл",Статистика!$H$6&gt;0),(Статистика!$H$6-Статистика!$C$10)/MAX(Статистика!$G$10-Статистика!$C$10,0.000001),NA())</f>
        <v>#N/A</v>
      </c>
      <c r="CM157" s="12" t="e">
        <f>IF(AND(Y157&lt;&gt;"",Статистика!$L$6="Вкл",Статистика!$K$6&gt;0),(Статистика!$K$6-Статистика!$C$10)/MAX(Статистика!$G$10-Статистика!$C$10,0.000001),NA())</f>
        <v>#N/A</v>
      </c>
      <c r="CN157" s="12" t="e">
        <f>IF(AND(Y157&lt;&gt;"",Статистика!$M$6="Вкл",Статистика!$O$6&gt;0),(Статистика!$O$6-Статистика!$C$10)/MAX(Статистика!$G$10-Статистика!$C$10,0.000001),NA())</f>
        <v>#N/A</v>
      </c>
      <c r="CO157" s="12">
        <f t="shared" si="5"/>
        <v>1</v>
      </c>
    </row>
    <row r="158" spans="1:93" ht="15" customHeight="1">
      <c r="A158" s="12" t="s">
        <v>685</v>
      </c>
      <c r="B158" s="12">
        <v>3113.8226209999993</v>
      </c>
      <c r="C158" s="12">
        <v>6046.4243049999995</v>
      </c>
      <c r="D158" s="12">
        <v>7500.7621099999997</v>
      </c>
      <c r="E158" s="12">
        <v>7738.9726666666666</v>
      </c>
      <c r="F158" s="12">
        <v>7970.3946500000011</v>
      </c>
      <c r="G158" s="12">
        <v>8115.7536666666656</v>
      </c>
      <c r="H158" s="12">
        <v>8402.0754783333323</v>
      </c>
      <c r="I158" s="12">
        <v>8550.5341166666676</v>
      </c>
      <c r="J158" s="12">
        <v>8681.3639433333337</v>
      </c>
      <c r="K158" s="12">
        <v>8920.81</v>
      </c>
      <c r="L158" s="12" t="s">
        <v>686</v>
      </c>
      <c r="M158" s="12">
        <v>3760.9394646666665</v>
      </c>
      <c r="N158" s="12">
        <v>6860.3699900000011</v>
      </c>
      <c r="O158" s="12">
        <v>8391.8236866666666</v>
      </c>
      <c r="P158" s="12">
        <v>8685.0745416666668</v>
      </c>
      <c r="Q158" s="12">
        <v>8960.1971000000012</v>
      </c>
      <c r="R158" s="12">
        <v>9084.4210333333322</v>
      </c>
      <c r="S158" s="12">
        <v>9369.0533216666663</v>
      </c>
      <c r="T158" s="12">
        <v>9525.0778733333336</v>
      </c>
      <c r="U158" s="12">
        <v>9690.282134666666</v>
      </c>
      <c r="V158" s="12">
        <v>9929.85</v>
      </c>
      <c r="W158" s="12" t="s">
        <v>686</v>
      </c>
      <c r="Y158" s="12" t="s">
        <v>685</v>
      </c>
      <c r="Z158" s="12">
        <v>7563.0911551666677</v>
      </c>
      <c r="AA158" s="12">
        <v>7572.1472425000002</v>
      </c>
      <c r="AB158" s="12">
        <v>7583.4673516666662</v>
      </c>
      <c r="AC158" s="12">
        <v>7803.6152833333326</v>
      </c>
      <c r="AD158" s="12">
        <v>7871.78485</v>
      </c>
      <c r="AE158" s="12">
        <v>8137.5302416666655</v>
      </c>
      <c r="AF158" s="12">
        <v>8498.6525633333331</v>
      </c>
      <c r="AG158" s="12">
        <v>8505.3840316666665</v>
      </c>
      <c r="AH158" s="12">
        <v>8510.7692063333343</v>
      </c>
      <c r="AI158" s="12">
        <v>8636.1299999999992</v>
      </c>
      <c r="AJ158" s="12" t="s">
        <v>687</v>
      </c>
      <c r="AK158" s="12">
        <v>8564.482452833332</v>
      </c>
      <c r="AL158" s="12">
        <v>8571.8615974999993</v>
      </c>
      <c r="AM158" s="12">
        <v>8581.0855283333331</v>
      </c>
      <c r="AN158" s="12">
        <v>8773.240041666666</v>
      </c>
      <c r="AO158" s="12">
        <v>8933.8591833333339</v>
      </c>
      <c r="AP158" s="12">
        <v>9146.8442833333338</v>
      </c>
      <c r="AQ158" s="12">
        <v>9480.739705</v>
      </c>
      <c r="AR158" s="12">
        <v>9495.3618858333321</v>
      </c>
      <c r="AS158" s="12">
        <v>9507.0596304999999</v>
      </c>
      <c r="AT158" s="12">
        <v>9630.66</v>
      </c>
      <c r="AU158" s="12" t="s">
        <v>688</v>
      </c>
      <c r="AW158" s="12">
        <f>IF(A158="","",MAX(0,MIN(1,(((IF(Статистика!$C$4="Параллельный режим (активная мощность)",B158,M158)+Статистика!$J$4))-Статистика!$C$10)/MAX(Статистика!$G$10-Статистика!$C$10,0.000001))))</f>
        <v>0</v>
      </c>
      <c r="AX158" s="12">
        <f>IF(A158="","",MAX(0,MAX(0,MIN(1,(((IF(Статистика!$C$4="Параллельный режим (активная мощность)",D158,O158)+Статистика!$J$4))-Статистика!$C$10)/MAX(Статистика!$G$10-Статистика!$C$10,0.000001)))-MAX(0,MIN(1,(((IF(Статистика!$C$4="Параллельный режим (активная мощность)",B158,M158)+Статистика!$J$4))-Статистика!$C$10)/MAX(Статистика!$G$10-Статистика!$C$10,0.000001)))))</f>
        <v>0.50025403666666657</v>
      </c>
      <c r="AY158" s="12">
        <f>IF(A158="","",MAX(0,MAX(0,MIN(1,(((IF(Статистика!$C$4="Параллельный режим (активная мощность)",E158,P158)+Статистика!$J$4))-Статистика!$C$10)/MAX(Статистика!$G$10-Статистика!$C$10,0.000001)))-MAX(0,MIN(1,(((IF(Статистика!$C$4="Параллельный режим (активная мощность)",D158,O158)+Статистика!$J$4))-Статистика!$C$10)/MAX(Статистика!$G$10-Статистика!$C$10,0.000001)))))</f>
        <v>7.9403518888888969E-2</v>
      </c>
      <c r="AZ158" s="12">
        <f>IF(A158="","",MAX(0,MAX(0,MIN(1,(((IF(Статистика!$C$4="Параллельный режим (активная мощность)",F158,Q158)+Статистика!$J$4))-Статистика!$C$10)/MAX(Статистика!$G$10-Статистика!$C$10,0.000001)))-MAX(0,MIN(1,(((IF(Статистика!$C$4="Параллельный режим (активная мощность)",E158,P158)+Статистика!$J$4))-Статистика!$C$10)/MAX(Статистика!$G$10-Статистика!$C$10,0.000001)))))</f>
        <v>7.7140661111111508E-2</v>
      </c>
      <c r="BA158" s="12">
        <f>IF(A158="","",MAX(0,MAX(0,MIN(1,(((IF(Статистика!$C$4="Параллельный режим (активная мощность)",G158,R158)+Статистика!$J$4))-Статистика!$C$10)/MAX(Статистика!$G$10-Статистика!$C$10,0.000001)))-MAX(0,MIN(1,(((IF(Статистика!$C$4="Параллельный режим (активная мощность)",F158,Q158)+Статистика!$J$4))-Статистика!$C$10)/MAX(Статистика!$G$10-Статистика!$C$10,0.000001)))))</f>
        <v>4.8453005555554873E-2</v>
      </c>
      <c r="BB158" s="12">
        <f>IF(A158="","",MAX(0,MAX(0,MIN(1,(((IF(Статистика!$C$4="Параллельный режим (активная мощность)",H158,S158)+Статистика!$J$4))-Статистика!$C$10)/MAX(Статистика!$G$10-Статистика!$C$10,0.000001)))-MAX(0,MIN(1,(((IF(Статистика!$C$4="Параллельный режим (активная мощность)",G158,R158)+Статистика!$J$4))-Статистика!$C$10)/MAX(Статистика!$G$10-Статистика!$C$10,0.000001)))))</f>
        <v>9.5440603888888864E-2</v>
      </c>
      <c r="BC158" s="12">
        <f>IF(A158="","",MAX(0,MAX(0,MIN(1,(((IF(Статистика!$C$4="Параллельный режим (активная мощность)",J158,U158)+Статистика!$J$4))-Статистика!$C$10)/MAX(Статистика!$G$10-Статистика!$C$10,0.000001)))-MAX(0,MIN(1,(((IF(Статистика!$C$4="Параллельный режим (активная мощность)",H158,S158)+Статистика!$J$4))-Статистика!$C$10)/MAX(Статистика!$G$10-Статистика!$C$10,0.000001)))))</f>
        <v>9.3096155000000458E-2</v>
      </c>
      <c r="BD158" s="12">
        <f>IF(A158="","",MAX(0,1-MAX(0,MIN(1,(((IF(Статистика!$C$4="Параллельный режим (активная мощность)",J158,U158)+Статистика!$J$4))-Статистика!$C$10)/MAX(Статистика!$G$10-Статистика!$C$10,0.000001)))))</f>
        <v>0.10621201888888876</v>
      </c>
      <c r="BE158" s="12">
        <f>IF(A158="",NA(),IF(Статистика!$B$8="Вкл",(((IF(Статистика!$C$4="Параллельный режим (активная мощность)",F158,Q158)+Статистика!$J$4))-Статистика!$C$10)/MAX(Статистика!$G$10-Статистика!$C$10,0.000001),NA()))</f>
        <v>0.65679821666666705</v>
      </c>
      <c r="BF158" s="12">
        <f>IF(A158="",NA(),IF(Статистика!$D$8="Вкл",(((IF(Статистика!$C$4="Параллельный режим (активная мощность)",E158,P158)+Статистика!$J$4))-Статистика!$C$10)/MAX(Статистика!$G$10-Статистика!$C$10,0.000001),NA()))</f>
        <v>0.57965755555555554</v>
      </c>
      <c r="BG158" s="12">
        <f>IF(A158="",NA(),IF(Статистика!$D$8="Вкл",(((IF(Статистика!$C$4="Параллельный режим (активная мощность)",G158,R158)+Статистика!$J$4))-Статистика!$C$10)/MAX(Статистика!$G$10-Статистика!$C$10,0.000001),NA()))</f>
        <v>0.70525122222222192</v>
      </c>
      <c r="BH158" s="12">
        <f>IF(A158="",NA(),IF(Статистика!$F$8="Вкл",(((IF(Статистика!$C$4="Параллельный режим (активная мощность)",D158,O158)+Статистика!$J$4))-Статистика!$C$10)/MAX(Статистика!$G$10-Статистика!$C$10,0.000001),NA()))</f>
        <v>0.50025403666666657</v>
      </c>
      <c r="BI158" s="12">
        <f>IF(A158="",NA(),IF(Статистика!$F$8="Вкл",(((IF(Статистика!$C$4="Параллельный режим (активная мощность)",H158,S158)+Статистика!$J$4))-Статистика!$C$10)/MAX(Статистика!$G$10-Статистика!$C$10,0.000001),NA()))</f>
        <v>0.80069182611111078</v>
      </c>
      <c r="BJ158" s="12">
        <f>IF(A158="",NA(),IF(Статистика!$H$8="Вкл",(((IF(Статистика!$C$4="Параллельный режим (активная мощность)",B158,M158)+Статистика!$J$4))-Статистика!$C$10)/MAX(Статистика!$G$10-Статистика!$C$10,0.000001),NA()))</f>
        <v>-0.96205912633333357</v>
      </c>
      <c r="BK158" s="12">
        <f>IF(A158="",NA(),IF(Статистика!$H$8="Вкл",(((IF(Статистика!$C$4="Параллельный режим (активная мощность)",J158,U158)+Статистика!$J$4))-Статистика!$C$10)/MAX(Статистика!$G$10-Статистика!$C$10,0.000001),NA()))</f>
        <v>0.89378798111111124</v>
      </c>
      <c r="BL158" s="12" t="e">
        <f>IF(A158="",NA(),IF(Статистика!$J$8="Вкл",(((IF(Статистика!$C$4="Параллельный режим (активная мощность)",K158,V158)+Статистика!$J$4))-Статистика!$C$10)/MAX(Статистика!$G$10-Статистика!$C$10,0.000001),NA()))</f>
        <v>#N/A</v>
      </c>
      <c r="BM158" s="12" t="e">
        <f>IF(AND(A158&lt;&gt;"",Статистика!$C$6="Вкл",Статистика!$B$6&gt;0),(Статистика!$B$6-Статистика!$C$10)/MAX(Статистика!$G$10-Статистика!$C$10,0.000001),NA())</f>
        <v>#N/A</v>
      </c>
      <c r="BN158" s="12" t="e">
        <f>IF(AND(A158&lt;&gt;"",Статистика!$F$6="Вкл",Статистика!$E$6&gt;0),(Статистика!$E$6-Статистика!$C$10)/MAX(Статистика!$G$10-Статистика!$C$10,0.000001),NA())</f>
        <v>#N/A</v>
      </c>
      <c r="BO158" s="12" t="e">
        <f>IF(AND(A158&lt;&gt;"",Статистика!$I$6="Вкл",Статистика!$H$6&gt;0),(Статистика!$H$6-Статистика!$C$10)/MAX(Статистика!$G$10-Статистика!$C$10,0.000001),NA())</f>
        <v>#N/A</v>
      </c>
      <c r="BP158" s="12" t="e">
        <f>IF(AND(A158&lt;&gt;"",Статистика!$L$6="Вкл",Статистика!$K$6&gt;0),(Статистика!$K$6-Статистика!$C$10)/MAX(Статистика!$G$10-Статистика!$C$10,0.000001),NA())</f>
        <v>#N/A</v>
      </c>
      <c r="BQ158" s="12" t="e">
        <f>IF(AND(A158&lt;&gt;"",Статистика!$M$6="Вкл",Статистика!$O$6&gt;0),(Статистика!$O$6-Статистика!$C$10)/MAX(Статистика!$G$10-Статистика!$C$10,0.000001),NA())</f>
        <v>#N/A</v>
      </c>
      <c r="BR158" s="12">
        <f t="shared" si="4"/>
        <v>1</v>
      </c>
      <c r="BT158" s="12">
        <f>IF(Y158="","",MAX(0,MIN(1,(((IF(Статистика!$C$4="Параллельный режим (активная мощность)",Z158,AK158)+Статистика!$J$4))-Статистика!$C$10)/MAX(Статистика!$G$10-Статистика!$C$10,0.000001))))</f>
        <v>0.52103038505555588</v>
      </c>
      <c r="BU158" s="12">
        <f>IF(Y158="","",MAX(0,MAX(0,MIN(1,(((IF(Статистика!$C$4="Параллельный режим (активная мощность)",AB158,AM158)+Статистика!$J$4))-Статистика!$C$10)/MAX(Статистика!$G$10-Статистика!$C$10,0.000001)))-MAX(0,MIN(1,(((IF(Статистика!$C$4="Параллельный режим (активная мощность)",Z158,AK158)+Статистика!$J$4))-Статистика!$C$10)/MAX(Статистика!$G$10-Статистика!$C$10,0.000001)))))</f>
        <v>6.7920654999995556E-3</v>
      </c>
      <c r="BV158" s="12">
        <f>IF(Y158="","",MAX(0,MAX(0,MIN(1,(((IF(Статистика!$C$4="Параллельный режим (активная мощность)",AC158,AN158)+Статистика!$J$4))-Статистика!$C$10)/MAX(Статистика!$G$10-Статистика!$C$10,0.000001)))-MAX(0,MIN(1,(((IF(Статистика!$C$4="Параллельный режим (активная мощность)",AB158,AM158)+Статистика!$J$4))-Статистика!$C$10)/MAX(Статистика!$G$10-Статистика!$C$10,0.000001)))))</f>
        <v>7.3382643888888821E-2</v>
      </c>
      <c r="BW158" s="12">
        <f>IF(Y158="","",MAX(0,MAX(0,MIN(1,(((IF(Статистика!$C$4="Параллельный режим (активная мощность)",AD158,AO158)+Статистика!$J$4))-Статистика!$C$10)/MAX(Статистика!$G$10-Статистика!$C$10,0.000001)))-MAX(0,MIN(1,(((IF(Статистика!$C$4="Параллельный режим (активная мощность)",AC158,AN158)+Статистика!$J$4))-Статистика!$C$10)/MAX(Статистика!$G$10-Статистика!$C$10,0.000001)))))</f>
        <v>2.2723188888889134E-2</v>
      </c>
      <c r="BX158" s="12">
        <f>IF(Y158="","",MAX(0,MAX(0,MIN(1,(((IF(Статистика!$C$4="Параллельный режим (активная мощность)",AE158,AP158)+Статистика!$J$4))-Статистика!$C$10)/MAX(Статистика!$G$10-Статистика!$C$10,0.000001)))-MAX(0,MIN(1,(((IF(Статистика!$C$4="Параллельный режим (активная мощность)",AD158,AO158)+Статистика!$J$4))-Статистика!$C$10)/MAX(Статистика!$G$10-Статистика!$C$10,0.000001)))))</f>
        <v>8.8581797222221814E-2</v>
      </c>
      <c r="BY158" s="12">
        <f>IF(Y158="","",MAX(0,MAX(0,MIN(1,(((IF(Статистика!$C$4="Параллельный режим (активная мощность)",AF158,AQ158)+Статистика!$J$4))-Статистика!$C$10)/MAX(Статистика!$G$10-Статистика!$C$10,0.000001)))-MAX(0,MIN(1,(((IF(Статистика!$C$4="Параллельный режим (активная мощность)",AE158,AP158)+Статистика!$J$4))-Статистика!$C$10)/MAX(Статистика!$G$10-Статистика!$C$10,0.000001)))))</f>
        <v>0.12037410722222253</v>
      </c>
      <c r="BZ158" s="12">
        <f>IF(Y158="","",MAX(0,MAX(0,MIN(1,(((IF(Статистика!$C$4="Параллельный режим (активная мощность)",AH158,AS158)+Статистика!$J$4))-Статистика!$C$10)/MAX(Статистика!$G$10-Статистика!$C$10,0.000001)))-MAX(0,MIN(1,(((IF(Статистика!$C$4="Параллельный режим (активная мощность)",AF158,AQ158)+Статистика!$J$4))-Статистика!$C$10)/MAX(Статистика!$G$10-Статистика!$C$10,0.000001)))))</f>
        <v>4.0388810000003827E-3</v>
      </c>
      <c r="CA158" s="12">
        <f>IF(Y158="","",MAX(0,1-MAX(0,MIN(1,(((IF(Статистика!$C$4="Параллельный режим (активная мощность)",AH158,AS158)+Статистика!$J$4))-Статистика!$C$10)/MAX(Статистика!$G$10-Статистика!$C$10,0.000001)))))</f>
        <v>0.16307693122222189</v>
      </c>
      <c r="CB158" s="12">
        <f>IF(Y158="",NA(),IF(Статистика!$B$8="Вкл",(((IF(Статистика!$C$4="Параллельный режим (активная мощность)",AD158,AO158)+Статистика!$J$4))-Статистика!$C$10)/MAX(Статистика!$G$10-Статистика!$C$10,0.000001),NA()))</f>
        <v>0.62392828333333339</v>
      </c>
      <c r="CC158" s="12">
        <f>IF(Y158="",NA(),IF(Статистика!$D$8="Вкл",(((IF(Статистика!$C$4="Параллельный режим (активная мощность)",AC158,AN158)+Статистика!$J$4))-Статистика!$C$10)/MAX(Статистика!$G$10-Статистика!$C$10,0.000001),NA()))</f>
        <v>0.60120509444444425</v>
      </c>
      <c r="CD158" s="12">
        <f>IF(Y158="",NA(),IF(Статистика!$D$8="Вкл",(((IF(Статистика!$C$4="Параллельный режим (активная мощность)",AE158,AP158)+Статистика!$J$4))-Статистика!$C$10)/MAX(Статистика!$G$10-Статистика!$C$10,0.000001),NA()))</f>
        <v>0.7125100805555552</v>
      </c>
      <c r="CE158" s="12">
        <f>IF(Y158="",NA(),IF(Статистика!$F$8="Вкл",(((IF(Статистика!$C$4="Параллельный режим (активная мощность)",AB158,AM158)+Статистика!$J$4))-Статистика!$C$10)/MAX(Статистика!$G$10-Статистика!$C$10,0.000001),NA()))</f>
        <v>0.52782245055555543</v>
      </c>
      <c r="CF158" s="12">
        <f>IF(Y158="",NA(),IF(Статистика!$F$8="Вкл",(((IF(Статистика!$C$4="Параллельный режим (активная мощность)",AF158,AQ158)+Статистика!$J$4))-Статистика!$C$10)/MAX(Статистика!$G$10-Статистика!$C$10,0.000001),NA()))</f>
        <v>0.83288418777777773</v>
      </c>
      <c r="CG158" s="12">
        <f>IF(Y158="",NA(),IF(Статистика!$H$8="Вкл",(((IF(Статистика!$C$4="Параллельный режим (активная мощность)",Z158,AK158)+Статистика!$J$4))-Статистика!$C$10)/MAX(Статистика!$G$10-Статистика!$C$10,0.000001),NA()))</f>
        <v>0.52103038505555588</v>
      </c>
      <c r="CH158" s="12">
        <f>IF(Y158="",NA(),IF(Статистика!$H$8="Вкл",(((IF(Статистика!$C$4="Параллельный режим (активная мощность)",AH158,AS158)+Статистика!$J$4))-Статистика!$C$10)/MAX(Статистика!$G$10-Статистика!$C$10,0.000001),NA()))</f>
        <v>0.83692306877777811</v>
      </c>
      <c r="CI158" s="12" t="e">
        <f>IF(Y158="",NA(),IF(Статистика!$J$8="Вкл",(((IF(Статистика!$C$4="Параллельный режим (активная мощность)",AI158,AT158)+Статистика!$J$4))-Статистика!$C$10)/MAX(Статистика!$G$10-Статистика!$C$10,0.000001),NA()))</f>
        <v>#N/A</v>
      </c>
      <c r="CJ158" s="12" t="e">
        <f>IF(AND(Y158&lt;&gt;"",Статистика!$C$6="Вкл",Статистика!$B$6&gt;0),(Статистика!$B$6-Статистика!$C$10)/MAX(Статистика!$G$10-Статистика!$C$10,0.000001),NA())</f>
        <v>#N/A</v>
      </c>
      <c r="CK158" s="12" t="e">
        <f>IF(AND(Y158&lt;&gt;"",Статистика!$F$6="Вкл",Статистика!$E$6&gt;0),(Статистика!$E$6-Статистика!$C$10)/MAX(Статистика!$G$10-Статистика!$C$10,0.000001),NA())</f>
        <v>#N/A</v>
      </c>
      <c r="CL158" s="12" t="e">
        <f>IF(AND(Y158&lt;&gt;"",Статистика!$I$6="Вкл",Статистика!$H$6&gt;0),(Статистика!$H$6-Статистика!$C$10)/MAX(Статистика!$G$10-Статистика!$C$10,0.000001),NA())</f>
        <v>#N/A</v>
      </c>
      <c r="CM158" s="12" t="e">
        <f>IF(AND(Y158&lt;&gt;"",Статистика!$L$6="Вкл",Статистика!$K$6&gt;0),(Статистика!$K$6-Статистика!$C$10)/MAX(Статистика!$G$10-Статистика!$C$10,0.000001),NA())</f>
        <v>#N/A</v>
      </c>
      <c r="CN158" s="12" t="e">
        <f>IF(AND(Y158&lt;&gt;"",Статистика!$M$6="Вкл",Статистика!$O$6&gt;0),(Статистика!$O$6-Статистика!$C$10)/MAX(Статистика!$G$10-Статистика!$C$10,0.000001),NA())</f>
        <v>#N/A</v>
      </c>
      <c r="CO158" s="12">
        <f t="shared" si="5"/>
        <v>1</v>
      </c>
    </row>
    <row r="159" spans="1:93" ht="15" customHeight="1">
      <c r="A159" s="12" t="s">
        <v>689</v>
      </c>
      <c r="B159" s="12">
        <v>3120.9284846666669</v>
      </c>
      <c r="C159" s="12">
        <v>6077.4137566666686</v>
      </c>
      <c r="D159" s="12">
        <v>7526.551526666668</v>
      </c>
      <c r="E159" s="12">
        <v>7771.3053666666674</v>
      </c>
      <c r="F159" s="12">
        <v>7976.5623333333333</v>
      </c>
      <c r="G159" s="12">
        <v>8102.956608333332</v>
      </c>
      <c r="H159" s="12">
        <v>8361.3891066666656</v>
      </c>
      <c r="I159" s="12">
        <v>8454.4262366666662</v>
      </c>
      <c r="J159" s="12">
        <v>8534.2312206666666</v>
      </c>
      <c r="K159" s="12">
        <v>8886.43</v>
      </c>
      <c r="L159" s="12" t="s">
        <v>690</v>
      </c>
      <c r="M159" s="12">
        <v>3763.7710786666667</v>
      </c>
      <c r="N159" s="12">
        <v>6886.3009933333342</v>
      </c>
      <c r="O159" s="12">
        <v>8422.2793066666673</v>
      </c>
      <c r="P159" s="12">
        <v>8698.7751916666657</v>
      </c>
      <c r="Q159" s="12">
        <v>8939.1255333333338</v>
      </c>
      <c r="R159" s="12">
        <v>9093.9706000000006</v>
      </c>
      <c r="S159" s="12">
        <v>9330.3562849999998</v>
      </c>
      <c r="T159" s="12">
        <v>9431.3071475000015</v>
      </c>
      <c r="U159" s="12">
        <v>9504.6451895000009</v>
      </c>
      <c r="V159" s="12">
        <v>9947.1</v>
      </c>
      <c r="W159" s="12" t="s">
        <v>690</v>
      </c>
      <c r="Y159" s="12" t="s">
        <v>689</v>
      </c>
      <c r="Z159" s="12">
        <v>7624.5329600000005</v>
      </c>
      <c r="AA159" s="12">
        <v>7624.6309333333338</v>
      </c>
      <c r="AB159" s="12">
        <v>7624.7534000000005</v>
      </c>
      <c r="AC159" s="12">
        <v>7801.2182916666661</v>
      </c>
      <c r="AD159" s="12">
        <v>7892.1479999999992</v>
      </c>
      <c r="AE159" s="12">
        <v>8191.865925000001</v>
      </c>
      <c r="AF159" s="12">
        <v>8562.381985</v>
      </c>
      <c r="AG159" s="12">
        <v>8650.8901758333341</v>
      </c>
      <c r="AH159" s="12">
        <v>8721.696728500001</v>
      </c>
      <c r="AI159" s="12">
        <v>9001.6</v>
      </c>
      <c r="AJ159" s="12" t="s">
        <v>691</v>
      </c>
      <c r="AK159" s="12">
        <v>8607.3019288333326</v>
      </c>
      <c r="AL159" s="12">
        <v>8615.5647108333324</v>
      </c>
      <c r="AM159" s="12">
        <v>8625.8931883333335</v>
      </c>
      <c r="AN159" s="12">
        <v>8764.9299166666679</v>
      </c>
      <c r="AO159" s="12">
        <v>8938.2122500000005</v>
      </c>
      <c r="AP159" s="12">
        <v>9196.3844833333333</v>
      </c>
      <c r="AQ159" s="12">
        <v>9526.1032483333329</v>
      </c>
      <c r="AR159" s="12">
        <v>9614.0510075000002</v>
      </c>
      <c r="AS159" s="12">
        <v>9684.409214833333</v>
      </c>
      <c r="AT159" s="12">
        <v>9958.44</v>
      </c>
      <c r="AU159" s="12" t="s">
        <v>692</v>
      </c>
      <c r="AW159" s="12">
        <f>IF(A159="","",MAX(0,MIN(1,(((IF(Статистика!$C$4="Параллельный режим (активная мощность)",B159,M159)+Статистика!$J$4))-Статистика!$C$10)/MAX(Статистика!$G$10-Статистика!$C$10,0.000001))))</f>
        <v>0</v>
      </c>
      <c r="AX159" s="12">
        <f>IF(A159="","",MAX(0,MAX(0,MIN(1,(((IF(Статистика!$C$4="Параллельный режим (активная мощность)",D159,O159)+Статистика!$J$4))-Статистика!$C$10)/MAX(Статистика!$G$10-Статистика!$C$10,0.000001)))-MAX(0,MIN(1,(((IF(Статистика!$C$4="Параллельный режим (активная мощность)",B159,M159)+Статистика!$J$4))-Статистика!$C$10)/MAX(Статистика!$G$10-Статистика!$C$10,0.000001)))))</f>
        <v>0.50885050888888939</v>
      </c>
      <c r="AY159" s="12">
        <f>IF(A159="","",MAX(0,MAX(0,MIN(1,(((IF(Статистика!$C$4="Параллельный режим (активная мощность)",E159,P159)+Статистика!$J$4))-Статистика!$C$10)/MAX(Статистика!$G$10-Статистика!$C$10,0.000001)))-MAX(0,MIN(1,(((IF(Статистика!$C$4="Параллельный режим (активная мощность)",D159,O159)+Статистика!$J$4))-Статистика!$C$10)/MAX(Статистика!$G$10-Статистика!$C$10,0.000001)))))</f>
        <v>8.1584613333333111E-2</v>
      </c>
      <c r="AZ159" s="12">
        <f>IF(A159="","",MAX(0,MAX(0,MIN(1,(((IF(Статистика!$C$4="Параллельный режим (активная мощность)",F159,Q159)+Статистика!$J$4))-Статистика!$C$10)/MAX(Статистика!$G$10-Статистика!$C$10,0.000001)))-MAX(0,MIN(1,(((IF(Статистика!$C$4="Параллельный режим (активная мощность)",E159,P159)+Статистика!$J$4))-Статистика!$C$10)/MAX(Статистика!$G$10-Статистика!$C$10,0.000001)))))</f>
        <v>6.8418988888888643E-2</v>
      </c>
      <c r="BA159" s="12">
        <f>IF(A159="","",MAX(0,MAX(0,MIN(1,(((IF(Статистика!$C$4="Параллельный режим (активная мощность)",G159,R159)+Статистика!$J$4))-Статистика!$C$10)/MAX(Статистика!$G$10-Статистика!$C$10,0.000001)))-MAX(0,MIN(1,(((IF(Статистика!$C$4="Параллельный режим (активная мощность)",F159,Q159)+Статистика!$J$4))-Статистика!$C$10)/MAX(Статистика!$G$10-Статистика!$C$10,0.000001)))))</f>
        <v>4.2131424999999556E-2</v>
      </c>
      <c r="BB159" s="12">
        <f>IF(A159="","",MAX(0,MAX(0,MIN(1,(((IF(Статистика!$C$4="Параллельный режим (активная мощность)",H159,S159)+Статистика!$J$4))-Статистика!$C$10)/MAX(Статистика!$G$10-Статистика!$C$10,0.000001)))-MAX(0,MIN(1,(((IF(Статистика!$C$4="Параллельный режим (активная мощность)",G159,R159)+Статистика!$J$4))-Статистика!$C$10)/MAX(Статистика!$G$10-Статистика!$C$10,0.000001)))))</f>
        <v>8.6144166111111198E-2</v>
      </c>
      <c r="BC159" s="12">
        <f>IF(A159="","",MAX(0,MAX(0,MIN(1,(((IF(Статистика!$C$4="Параллельный режим (активная мощность)",J159,U159)+Статистика!$J$4))-Статистика!$C$10)/MAX(Статистика!$G$10-Статистика!$C$10,0.000001)))-MAX(0,MIN(1,(((IF(Статистика!$C$4="Параллельный режим (активная мощность)",H159,S159)+Статистика!$J$4))-Статистика!$C$10)/MAX(Статистика!$G$10-Статистика!$C$10,0.000001)))))</f>
        <v>5.7614038000000312E-2</v>
      </c>
      <c r="BD159" s="12">
        <f>IF(A159="","",MAX(0,1-MAX(0,MIN(1,(((IF(Статистика!$C$4="Параллельный режим (активная мощность)",J159,U159)+Статистика!$J$4))-Статистика!$C$10)/MAX(Статистика!$G$10-Статистика!$C$10,0.000001)))))</f>
        <v>0.15525625977777779</v>
      </c>
      <c r="BE159" s="12">
        <f>IF(A159="",NA(),IF(Статистика!$B$8="Вкл",(((IF(Статистика!$C$4="Параллельный режим (активная мощность)",F159,Q159)+Статистика!$J$4))-Статистика!$C$10)/MAX(Статистика!$G$10-Статистика!$C$10,0.000001),NA()))</f>
        <v>0.65885411111111114</v>
      </c>
      <c r="BF159" s="12">
        <f>IF(A159="",NA(),IF(Статистика!$D$8="Вкл",(((IF(Статистика!$C$4="Параллельный режим (активная мощность)",E159,P159)+Статистика!$J$4))-Статистика!$C$10)/MAX(Статистика!$G$10-Статистика!$C$10,0.000001),NA()))</f>
        <v>0.5904351222222225</v>
      </c>
      <c r="BG159" s="12">
        <f>IF(A159="",NA(),IF(Статистика!$D$8="Вкл",(((IF(Статистика!$C$4="Параллельный режим (активная мощность)",G159,R159)+Статистика!$J$4))-Статистика!$C$10)/MAX(Статистика!$G$10-Статистика!$C$10,0.000001),NA()))</f>
        <v>0.7009855361111107</v>
      </c>
      <c r="BH159" s="12">
        <f>IF(A159="",NA(),IF(Статистика!$F$8="Вкл",(((IF(Статистика!$C$4="Параллельный режим (активная мощность)",D159,O159)+Статистика!$J$4))-Статистика!$C$10)/MAX(Статистика!$G$10-Статистика!$C$10,0.000001),NA()))</f>
        <v>0.50885050888888939</v>
      </c>
      <c r="BI159" s="12">
        <f>IF(A159="",NA(),IF(Статистика!$F$8="Вкл",(((IF(Статистика!$C$4="Параллельный режим (активная мощность)",H159,S159)+Статистика!$J$4))-Статистика!$C$10)/MAX(Статистика!$G$10-Статистика!$C$10,0.000001),NA()))</f>
        <v>0.78712970222222189</v>
      </c>
      <c r="BJ159" s="12">
        <f>IF(A159="",NA(),IF(Статистика!$H$8="Вкл",(((IF(Статистика!$C$4="Параллельный режим (активная мощность)",B159,M159)+Статистика!$J$4))-Статистика!$C$10)/MAX(Статистика!$G$10-Статистика!$C$10,0.000001),NA()))</f>
        <v>-0.95969050511111098</v>
      </c>
      <c r="BK159" s="12">
        <f>IF(A159="",NA(),IF(Статистика!$H$8="Вкл",(((IF(Статистика!$C$4="Параллельный режим (активная мощность)",J159,U159)+Статистика!$J$4))-Статистика!$C$10)/MAX(Статистика!$G$10-Статистика!$C$10,0.000001),NA()))</f>
        <v>0.84474374022222221</v>
      </c>
      <c r="BL159" s="12" t="e">
        <f>IF(A159="",NA(),IF(Статистика!$J$8="Вкл",(((IF(Статистика!$C$4="Параллельный режим (активная мощность)",K159,V159)+Статистика!$J$4))-Статистика!$C$10)/MAX(Статистика!$G$10-Статистика!$C$10,0.000001),NA()))</f>
        <v>#N/A</v>
      </c>
      <c r="BM159" s="12" t="e">
        <f>IF(AND(A159&lt;&gt;"",Статистика!$C$6="Вкл",Статистика!$B$6&gt;0),(Статистика!$B$6-Статистика!$C$10)/MAX(Статистика!$G$10-Статистика!$C$10,0.000001),NA())</f>
        <v>#N/A</v>
      </c>
      <c r="BN159" s="12" t="e">
        <f>IF(AND(A159&lt;&gt;"",Статистика!$F$6="Вкл",Статистика!$E$6&gt;0),(Статистика!$E$6-Статистика!$C$10)/MAX(Статистика!$G$10-Статистика!$C$10,0.000001),NA())</f>
        <v>#N/A</v>
      </c>
      <c r="BO159" s="12" t="e">
        <f>IF(AND(A159&lt;&gt;"",Статистика!$I$6="Вкл",Статистика!$H$6&gt;0),(Статистика!$H$6-Статистика!$C$10)/MAX(Статистика!$G$10-Статистика!$C$10,0.000001),NA())</f>
        <v>#N/A</v>
      </c>
      <c r="BP159" s="12" t="e">
        <f>IF(AND(A159&lt;&gt;"",Статистика!$L$6="Вкл",Статистика!$K$6&gt;0),(Статистика!$K$6-Статистика!$C$10)/MAX(Статистика!$G$10-Статистика!$C$10,0.000001),NA())</f>
        <v>#N/A</v>
      </c>
      <c r="BQ159" s="12" t="e">
        <f>IF(AND(A159&lt;&gt;"",Статистика!$M$6="Вкл",Статистика!$O$6&gt;0),(Статистика!$O$6-Статистика!$C$10)/MAX(Статистика!$G$10-Статистика!$C$10,0.000001),NA())</f>
        <v>#N/A</v>
      </c>
      <c r="BR159" s="12">
        <f t="shared" si="4"/>
        <v>1</v>
      </c>
      <c r="BT159" s="12">
        <f>IF(Y159="","",MAX(0,MIN(1,(((IF(Статистика!$C$4="Параллельный режим (активная мощность)",Z159,AK159)+Статистика!$J$4))-Статистика!$C$10)/MAX(Статистика!$G$10-Статистика!$C$10,0.000001))))</f>
        <v>0.54151098666666686</v>
      </c>
      <c r="BU159" s="12">
        <f>IF(Y159="","",MAX(0,MAX(0,MIN(1,(((IF(Статистика!$C$4="Параллельный режим (активная мощность)",AB159,AM159)+Статистика!$J$4))-Статистика!$C$10)/MAX(Статистика!$G$10-Статистика!$C$10,0.000001)))-MAX(0,MIN(1,(((IF(Статистика!$C$4="Параллельный режим (активная мощность)",Z159,AK159)+Статистика!$J$4))-Статистика!$C$10)/MAX(Статистика!$G$10-Статистика!$C$10,0.000001)))))</f>
        <v>7.3479999999959134E-5</v>
      </c>
      <c r="BV159" s="12">
        <f>IF(Y159="","",MAX(0,MAX(0,MIN(1,(((IF(Статистика!$C$4="Параллельный режим (активная мощность)",AC159,AN159)+Статистика!$J$4))-Статистика!$C$10)/MAX(Статистика!$G$10-Статистика!$C$10,0.000001)))-MAX(0,MIN(1,(((IF(Статистика!$C$4="Параллельный режим (активная мощность)",AB159,AM159)+Статистика!$J$4))-Статистика!$C$10)/MAX(Статистика!$G$10-Статистика!$C$10,0.000001)))))</f>
        <v>5.8821630555555227E-2</v>
      </c>
      <c r="BW159" s="12">
        <f>IF(Y159="","",MAX(0,MAX(0,MIN(1,(((IF(Статистика!$C$4="Параллельный режим (активная мощность)",AD159,AO159)+Статистика!$J$4))-Статистика!$C$10)/MAX(Статистика!$G$10-Статистика!$C$10,0.000001)))-MAX(0,MIN(1,(((IF(Статистика!$C$4="Параллельный режим (активная мощность)",AC159,AN159)+Статистика!$J$4))-Статистика!$C$10)/MAX(Статистика!$G$10-Статистика!$C$10,0.000001)))))</f>
        <v>3.0309902777777675E-2</v>
      </c>
      <c r="BX159" s="12">
        <f>IF(Y159="","",MAX(0,MAX(0,MIN(1,(((IF(Статистика!$C$4="Параллельный режим (активная мощность)",AE159,AP159)+Статистика!$J$4))-Статистика!$C$10)/MAX(Статистика!$G$10-Статистика!$C$10,0.000001)))-MAX(0,MIN(1,(((IF(Статистика!$C$4="Параллельный режим (активная мощность)",AD159,AO159)+Статистика!$J$4))-Статистика!$C$10)/MAX(Статистика!$G$10-Статистика!$C$10,0.000001)))))</f>
        <v>9.9905975000000646E-2</v>
      </c>
      <c r="BY159" s="12">
        <f>IF(Y159="","",MAX(0,MAX(0,MIN(1,(((IF(Статистика!$C$4="Параллельный режим (активная мощность)",AF159,AQ159)+Статистика!$J$4))-Статистика!$C$10)/MAX(Статистика!$G$10-Статистика!$C$10,0.000001)))-MAX(0,MIN(1,(((IF(Статистика!$C$4="Параллельный режим (активная мощность)",AE159,AP159)+Статистика!$J$4))-Статистика!$C$10)/MAX(Статистика!$G$10-Статистика!$C$10,0.000001)))))</f>
        <v>0.12350535333333301</v>
      </c>
      <c r="BZ159" s="12">
        <f>IF(Y159="","",MAX(0,MAX(0,MIN(1,(((IF(Статистика!$C$4="Параллельный режим (активная мощность)",AH159,AS159)+Статистика!$J$4))-Статистика!$C$10)/MAX(Статистика!$G$10-Статистика!$C$10,0.000001)))-MAX(0,MIN(1,(((IF(Статистика!$C$4="Параллельный режим (активная мощность)",AF159,AQ159)+Статистика!$J$4))-Статистика!$C$10)/MAX(Статистика!$G$10-Статистика!$C$10,0.000001)))))</f>
        <v>5.3104914500000322E-2</v>
      </c>
      <c r="CA159" s="12">
        <f>IF(Y159="","",MAX(0,1-MAX(0,MIN(1,(((IF(Статистика!$C$4="Параллельный режим (активная мощность)",AH159,AS159)+Статистика!$J$4))-Статистика!$C$10)/MAX(Статистика!$G$10-Статистика!$C$10,0.000001)))))</f>
        <v>9.2767757166666298E-2</v>
      </c>
      <c r="CB159" s="12">
        <f>IF(Y159="",NA(),IF(Статистика!$B$8="Вкл",(((IF(Статистика!$C$4="Параллельный режим (активная мощность)",AD159,AO159)+Статистика!$J$4))-Статистика!$C$10)/MAX(Статистика!$G$10-Статистика!$C$10,0.000001),NA()))</f>
        <v>0.63071599999999972</v>
      </c>
      <c r="CC159" s="12">
        <f>IF(Y159="",NA(),IF(Статистика!$D$8="Вкл",(((IF(Статистика!$C$4="Параллельный режим (активная мощность)",AC159,AN159)+Статистика!$J$4))-Статистика!$C$10)/MAX(Статистика!$G$10-Статистика!$C$10,0.000001),NA()))</f>
        <v>0.60040609722222205</v>
      </c>
      <c r="CD159" s="12">
        <f>IF(Y159="",NA(),IF(Статистика!$D$8="Вкл",(((IF(Статистика!$C$4="Параллельный режим (активная мощность)",AE159,AP159)+Статистика!$J$4))-Статистика!$C$10)/MAX(Статистика!$G$10-Статистика!$C$10,0.000001),NA()))</f>
        <v>0.73062197500000037</v>
      </c>
      <c r="CE159" s="12">
        <f>IF(Y159="",NA(),IF(Статистика!$F$8="Вкл",(((IF(Статистика!$C$4="Параллельный режим (активная мощность)",AB159,AM159)+Статистика!$J$4))-Статистика!$C$10)/MAX(Статистика!$G$10-Статистика!$C$10,0.000001),NA()))</f>
        <v>0.54158446666666682</v>
      </c>
      <c r="CF159" s="12">
        <f>IF(Y159="",NA(),IF(Статистика!$F$8="Вкл",(((IF(Статистика!$C$4="Параллельный режим (активная мощность)",AF159,AQ159)+Статистика!$J$4))-Статистика!$C$10)/MAX(Статистика!$G$10-Статистика!$C$10,0.000001),NA()))</f>
        <v>0.85412732833333338</v>
      </c>
      <c r="CG159" s="12">
        <f>IF(Y159="",NA(),IF(Статистика!$H$8="Вкл",(((IF(Статистика!$C$4="Параллельный режим (активная мощность)",Z159,AK159)+Статистика!$J$4))-Статистика!$C$10)/MAX(Статистика!$G$10-Статистика!$C$10,0.000001),NA()))</f>
        <v>0.54151098666666686</v>
      </c>
      <c r="CH159" s="12">
        <f>IF(Y159="",NA(),IF(Статистика!$H$8="Вкл",(((IF(Статистика!$C$4="Параллельный режим (активная мощность)",AH159,AS159)+Статистика!$J$4))-Статистика!$C$10)/MAX(Статистика!$G$10-Статистика!$C$10,0.000001),NA()))</f>
        <v>0.9072322428333337</v>
      </c>
      <c r="CI159" s="12" t="e">
        <f>IF(Y159="",NA(),IF(Статистика!$J$8="Вкл",(((IF(Статистика!$C$4="Параллельный режим (активная мощность)",AI159,AT159)+Статистика!$J$4))-Статистика!$C$10)/MAX(Статистика!$G$10-Статистика!$C$10,0.000001),NA()))</f>
        <v>#N/A</v>
      </c>
      <c r="CJ159" s="12" t="e">
        <f>IF(AND(Y159&lt;&gt;"",Статистика!$C$6="Вкл",Статистика!$B$6&gt;0),(Статистика!$B$6-Статистика!$C$10)/MAX(Статистика!$G$10-Статистика!$C$10,0.000001),NA())</f>
        <v>#N/A</v>
      </c>
      <c r="CK159" s="12" t="e">
        <f>IF(AND(Y159&lt;&gt;"",Статистика!$F$6="Вкл",Статистика!$E$6&gt;0),(Статистика!$E$6-Статистика!$C$10)/MAX(Статистика!$G$10-Статистика!$C$10,0.000001),NA())</f>
        <v>#N/A</v>
      </c>
      <c r="CL159" s="12" t="e">
        <f>IF(AND(Y159&lt;&gt;"",Статистика!$I$6="Вкл",Статистика!$H$6&gt;0),(Статистика!$H$6-Статистика!$C$10)/MAX(Статистика!$G$10-Статистика!$C$10,0.000001),NA())</f>
        <v>#N/A</v>
      </c>
      <c r="CM159" s="12" t="e">
        <f>IF(AND(Y159&lt;&gt;"",Статистика!$L$6="Вкл",Статистика!$K$6&gt;0),(Статистика!$K$6-Статистика!$C$10)/MAX(Статистика!$G$10-Статистика!$C$10,0.000001),NA())</f>
        <v>#N/A</v>
      </c>
      <c r="CN159" s="12" t="e">
        <f>IF(AND(Y159&lt;&gt;"",Статистика!$M$6="Вкл",Статистика!$O$6&gt;0),(Статистика!$O$6-Статистика!$C$10)/MAX(Статистика!$G$10-Статистика!$C$10,0.000001),NA())</f>
        <v>#N/A</v>
      </c>
      <c r="CO159" s="12">
        <f t="shared" si="5"/>
        <v>1</v>
      </c>
    </row>
    <row r="160" spans="1:93" ht="15" customHeight="1">
      <c r="A160" s="12" t="s">
        <v>693</v>
      </c>
      <c r="B160" s="12">
        <v>3090.2651823333331</v>
      </c>
      <c r="C160" s="12">
        <v>6032.9393783333344</v>
      </c>
      <c r="D160" s="12">
        <v>7503.5575683333336</v>
      </c>
      <c r="E160" s="12">
        <v>7786.8883500000002</v>
      </c>
      <c r="F160" s="12">
        <v>7988.7979500000001</v>
      </c>
      <c r="G160" s="12">
        <v>8124.7617500000006</v>
      </c>
      <c r="H160" s="12">
        <v>8338.8558716666666</v>
      </c>
      <c r="I160" s="12">
        <v>8416.1751016666658</v>
      </c>
      <c r="J160" s="12">
        <v>8565.0027536666657</v>
      </c>
      <c r="K160" s="12">
        <v>8735.33</v>
      </c>
      <c r="L160" s="12" t="s">
        <v>694</v>
      </c>
      <c r="M160" s="12">
        <v>3730.2486423333335</v>
      </c>
      <c r="N160" s="12">
        <v>6838.6798783333334</v>
      </c>
      <c r="O160" s="12">
        <v>8396.805288333333</v>
      </c>
      <c r="P160" s="12">
        <v>8743.7609333333348</v>
      </c>
      <c r="Q160" s="12">
        <v>8935.3539833333343</v>
      </c>
      <c r="R160" s="12">
        <v>9086.9504583333346</v>
      </c>
      <c r="S160" s="12">
        <v>9326.8714199999995</v>
      </c>
      <c r="T160" s="12">
        <v>9408.2290625000005</v>
      </c>
      <c r="U160" s="12">
        <v>9555.7946925000015</v>
      </c>
      <c r="V160" s="12">
        <v>9726.89</v>
      </c>
      <c r="W160" s="12" t="s">
        <v>694</v>
      </c>
      <c r="Y160" s="12" t="s">
        <v>693</v>
      </c>
      <c r="Z160" s="12">
        <v>7577.0432524999997</v>
      </c>
      <c r="AA160" s="12">
        <v>7590.5810624999995</v>
      </c>
      <c r="AB160" s="12">
        <v>7607.5033249999997</v>
      </c>
      <c r="AC160" s="12">
        <v>7791.4297166666656</v>
      </c>
      <c r="AD160" s="12">
        <v>7885.6433666666671</v>
      </c>
      <c r="AE160" s="12">
        <v>8190.4333499999984</v>
      </c>
      <c r="AF160" s="12">
        <v>8583.6336366666674</v>
      </c>
      <c r="AG160" s="12">
        <v>8685.397918333334</v>
      </c>
      <c r="AH160" s="12">
        <v>8766.8093436666677</v>
      </c>
      <c r="AI160" s="12">
        <v>8952.42</v>
      </c>
      <c r="AJ160" s="12" t="s">
        <v>695</v>
      </c>
      <c r="AK160" s="12">
        <v>8588.4560954999997</v>
      </c>
      <c r="AL160" s="12">
        <v>8593.6124774999989</v>
      </c>
      <c r="AM160" s="12">
        <v>8600.0579550000002</v>
      </c>
      <c r="AN160" s="12">
        <v>8766.0166833333333</v>
      </c>
      <c r="AO160" s="12">
        <v>8977.2730833333335</v>
      </c>
      <c r="AP160" s="12">
        <v>9184.6837166666664</v>
      </c>
      <c r="AQ160" s="12">
        <v>9536.7901149999998</v>
      </c>
      <c r="AR160" s="12">
        <v>9637.0633741666679</v>
      </c>
      <c r="AS160" s="12">
        <v>9717.2819815000003</v>
      </c>
      <c r="AT160" s="12">
        <v>9932.42</v>
      </c>
      <c r="AU160" s="12" t="s">
        <v>695</v>
      </c>
      <c r="AW160" s="12">
        <f>IF(A160="","",MAX(0,MIN(1,(((IF(Статистика!$C$4="Параллельный режим (активная мощность)",B160,M160)+Статистика!$J$4))-Статистика!$C$10)/MAX(Статистика!$G$10-Статистика!$C$10,0.000001))))</f>
        <v>0</v>
      </c>
      <c r="AX160" s="12">
        <f>IF(A160="","",MAX(0,MAX(0,MIN(1,(((IF(Статистика!$C$4="Параллельный режим (активная мощность)",D160,O160)+Статистика!$J$4))-Статистика!$C$10)/MAX(Статистика!$G$10-Статистика!$C$10,0.000001)))-MAX(0,MIN(1,(((IF(Статистика!$C$4="Параллельный режим (активная мощность)",B160,M160)+Статистика!$J$4))-Статистика!$C$10)/MAX(Статистика!$G$10-Статистика!$C$10,0.000001)))))</f>
        <v>0.50118585611111122</v>
      </c>
      <c r="AY160" s="12">
        <f>IF(A160="","",MAX(0,MAX(0,MIN(1,(((IF(Статистика!$C$4="Параллельный режим (активная мощность)",E160,P160)+Статистика!$J$4))-Статистика!$C$10)/MAX(Статистика!$G$10-Статистика!$C$10,0.000001)))-MAX(0,MIN(1,(((IF(Статистика!$C$4="Параллельный режим (активная мощность)",D160,O160)+Статистика!$J$4))-Статистика!$C$10)/MAX(Статистика!$G$10-Статистика!$C$10,0.000001)))))</f>
        <v>9.4443593888888788E-2</v>
      </c>
      <c r="AZ160" s="12">
        <f>IF(A160="","",MAX(0,MAX(0,MIN(1,(((IF(Статистика!$C$4="Параллельный режим (активная мощность)",F160,Q160)+Статистика!$J$4))-Статистика!$C$10)/MAX(Статистика!$G$10-Статистика!$C$10,0.000001)))-MAX(0,MIN(1,(((IF(Статистика!$C$4="Параллельный режим (активная мощность)",E160,P160)+Статистика!$J$4))-Статистика!$C$10)/MAX(Статистика!$G$10-Статистика!$C$10,0.000001)))))</f>
        <v>6.7303200000000007E-2</v>
      </c>
      <c r="BA160" s="12">
        <f>IF(A160="","",MAX(0,MAX(0,MIN(1,(((IF(Статистика!$C$4="Параллельный режим (активная мощность)",G160,R160)+Статистика!$J$4))-Статистика!$C$10)/MAX(Статистика!$G$10-Статистика!$C$10,0.000001)))-MAX(0,MIN(1,(((IF(Статистика!$C$4="Параллельный режим (активная мощность)",F160,Q160)+Статистика!$J$4))-Статистика!$C$10)/MAX(Статистика!$G$10-Статистика!$C$10,0.000001)))))</f>
        <v>4.5321266666666804E-2</v>
      </c>
      <c r="BB160" s="12">
        <f>IF(A160="","",MAX(0,MAX(0,MIN(1,(((IF(Статистика!$C$4="Параллельный режим (активная мощность)",H160,S160)+Статистика!$J$4))-Статистика!$C$10)/MAX(Статистика!$G$10-Статистика!$C$10,0.000001)))-MAX(0,MIN(1,(((IF(Статистика!$C$4="Параллельный режим (активная мощность)",G160,R160)+Статистика!$J$4))-Статистика!$C$10)/MAX(Статистика!$G$10-Статистика!$C$10,0.000001)))))</f>
        <v>7.1364707222222101E-2</v>
      </c>
      <c r="BC160" s="12">
        <f>IF(A160="","",MAX(0,MAX(0,MIN(1,(((IF(Статистика!$C$4="Параллельный режим (активная мощность)",J160,U160)+Статистика!$J$4))-Статистика!$C$10)/MAX(Статистика!$G$10-Статистика!$C$10,0.000001)))-MAX(0,MIN(1,(((IF(Статистика!$C$4="Параллельный режим (активная мощность)",H160,S160)+Статистика!$J$4))-Статистика!$C$10)/MAX(Статистика!$G$10-Статистика!$C$10,0.000001)))))</f>
        <v>7.5382293999999628E-2</v>
      </c>
      <c r="BD160" s="12">
        <f>IF(A160="","",MAX(0,1-MAX(0,MIN(1,(((IF(Статистика!$C$4="Параллельный режим (активная мощность)",J160,U160)+Статистика!$J$4))-Статистика!$C$10)/MAX(Статистика!$G$10-Статистика!$C$10,0.000001)))))</f>
        <v>0.14499908211111145</v>
      </c>
      <c r="BE160" s="12">
        <f>IF(A160="",NA(),IF(Статистика!$B$8="Вкл",(((IF(Статистика!$C$4="Параллельный режим (активная мощность)",F160,Q160)+Статистика!$J$4))-Статистика!$C$10)/MAX(Статистика!$G$10-Статистика!$C$10,0.000001),NA()))</f>
        <v>0.66293265000000001</v>
      </c>
      <c r="BF160" s="12">
        <f>IF(A160="",NA(),IF(Статистика!$D$8="Вкл",(((IF(Статистика!$C$4="Параллельный режим (активная мощность)",E160,P160)+Статистика!$J$4))-Статистика!$C$10)/MAX(Статистика!$G$10-Статистика!$C$10,0.000001),NA()))</f>
        <v>0.59562945</v>
      </c>
      <c r="BG160" s="12">
        <f>IF(A160="",NA(),IF(Статистика!$D$8="Вкл",(((IF(Статистика!$C$4="Параллельный режим (активная мощность)",G160,R160)+Статистика!$J$4))-Статистика!$C$10)/MAX(Статистика!$G$10-Статистика!$C$10,0.000001),NA()))</f>
        <v>0.70825391666666682</v>
      </c>
      <c r="BH160" s="12">
        <f>IF(A160="",NA(),IF(Статистика!$F$8="Вкл",(((IF(Статистика!$C$4="Параллельный режим (активная мощность)",D160,O160)+Статистика!$J$4))-Статистика!$C$10)/MAX(Статистика!$G$10-Статистика!$C$10,0.000001),NA()))</f>
        <v>0.50118585611111122</v>
      </c>
      <c r="BI160" s="12">
        <f>IF(A160="",NA(),IF(Статистика!$F$8="Вкл",(((IF(Статистика!$C$4="Параллельный режим (активная мощность)",H160,S160)+Статистика!$J$4))-Статистика!$C$10)/MAX(Статистика!$G$10-Статистика!$C$10,0.000001),NA()))</f>
        <v>0.77961862388888892</v>
      </c>
      <c r="BJ160" s="12">
        <f>IF(A160="",NA(),IF(Статистика!$H$8="Вкл",(((IF(Статистика!$C$4="Параллельный режим (активная мощность)",B160,M160)+Статистика!$J$4))-Статистика!$C$10)/MAX(Статистика!$G$10-Статистика!$C$10,0.000001),NA()))</f>
        <v>-0.96991160588888892</v>
      </c>
      <c r="BK160" s="12">
        <f>IF(A160="",NA(),IF(Статистика!$H$8="Вкл",(((IF(Статистика!$C$4="Параллельный режим (активная мощность)",J160,U160)+Статистика!$J$4))-Статистика!$C$10)/MAX(Статистика!$G$10-Статистика!$C$10,0.000001),NA()))</f>
        <v>0.85500091788888855</v>
      </c>
      <c r="BL160" s="12" t="e">
        <f>IF(A160="",NA(),IF(Статистика!$J$8="Вкл",(((IF(Статистика!$C$4="Параллельный режим (активная мощность)",K160,V160)+Статистика!$J$4))-Статистика!$C$10)/MAX(Статистика!$G$10-Статистика!$C$10,0.000001),NA()))</f>
        <v>#N/A</v>
      </c>
      <c r="BM160" s="12" t="e">
        <f>IF(AND(A160&lt;&gt;"",Статистика!$C$6="Вкл",Статистика!$B$6&gt;0),(Статистика!$B$6-Статистика!$C$10)/MAX(Статистика!$G$10-Статистика!$C$10,0.000001),NA())</f>
        <v>#N/A</v>
      </c>
      <c r="BN160" s="12" t="e">
        <f>IF(AND(A160&lt;&gt;"",Статистика!$F$6="Вкл",Статистика!$E$6&gt;0),(Статистика!$E$6-Статистика!$C$10)/MAX(Статистика!$G$10-Статистика!$C$10,0.000001),NA())</f>
        <v>#N/A</v>
      </c>
      <c r="BO160" s="12" t="e">
        <f>IF(AND(A160&lt;&gt;"",Статистика!$I$6="Вкл",Статистика!$H$6&gt;0),(Статистика!$H$6-Статистика!$C$10)/MAX(Статистика!$G$10-Статистика!$C$10,0.000001),NA())</f>
        <v>#N/A</v>
      </c>
      <c r="BP160" s="12" t="e">
        <f>IF(AND(A160&lt;&gt;"",Статистика!$L$6="Вкл",Статистика!$K$6&gt;0),(Статистика!$K$6-Статистика!$C$10)/MAX(Статистика!$G$10-Статистика!$C$10,0.000001),NA())</f>
        <v>#N/A</v>
      </c>
      <c r="BQ160" s="12" t="e">
        <f>IF(AND(A160&lt;&gt;"",Статистика!$M$6="Вкл",Статистика!$O$6&gt;0),(Статистика!$O$6-Статистика!$C$10)/MAX(Статистика!$G$10-Статистика!$C$10,0.000001),NA())</f>
        <v>#N/A</v>
      </c>
      <c r="BR160" s="12">
        <f t="shared" si="4"/>
        <v>1</v>
      </c>
      <c r="BT160" s="12">
        <f>IF(Y160="","",MAX(0,MIN(1,(((IF(Статистика!$C$4="Параллельный режим (активная мощность)",Z160,AK160)+Статистика!$J$4))-Статистика!$C$10)/MAX(Статистика!$G$10-Статистика!$C$10,0.000001))))</f>
        <v>0.52568108416666659</v>
      </c>
      <c r="BU160" s="12">
        <f>IF(Y160="","",MAX(0,MAX(0,MIN(1,(((IF(Статистика!$C$4="Параллельный режим (активная мощность)",AB160,AM160)+Статистика!$J$4))-Статистика!$C$10)/MAX(Статистика!$G$10-Статистика!$C$10,0.000001)))-MAX(0,MIN(1,(((IF(Статистика!$C$4="Параллельный режим (активная мощность)",Z160,AK160)+Статистика!$J$4))-Статистика!$C$10)/MAX(Статистика!$G$10-Статистика!$C$10,0.000001)))))</f>
        <v>1.0153357500000015E-2</v>
      </c>
      <c r="BV160" s="12">
        <f>IF(Y160="","",MAX(0,MAX(0,MIN(1,(((IF(Статистика!$C$4="Параллельный режим (активная мощность)",AC160,AN160)+Статистика!$J$4))-Статистика!$C$10)/MAX(Статистика!$G$10-Статистика!$C$10,0.000001)))-MAX(0,MIN(1,(((IF(Статистика!$C$4="Параллельный режим (активная мощность)",AB160,AM160)+Статистика!$J$4))-Статистика!$C$10)/MAX(Статистика!$G$10-Статистика!$C$10,0.000001)))))</f>
        <v>6.1308797222221934E-2</v>
      </c>
      <c r="BW160" s="12">
        <f>IF(Y160="","",MAX(0,MAX(0,MIN(1,(((IF(Статистика!$C$4="Параллельный режим (активная мощность)",AD160,AO160)+Статистика!$J$4))-Статистика!$C$10)/MAX(Статистика!$G$10-Статистика!$C$10,0.000001)))-MAX(0,MIN(1,(((IF(Статистика!$C$4="Параллельный режим (активная мощность)",AC160,AN160)+Статистика!$J$4))-Статистика!$C$10)/MAX(Статистика!$G$10-Статистика!$C$10,0.000001)))))</f>
        <v>3.1404550000000531E-2</v>
      </c>
      <c r="BX160" s="12">
        <f>IF(Y160="","",MAX(0,MAX(0,MIN(1,(((IF(Статистика!$C$4="Параллельный режим (активная мощность)",AE160,AP160)+Статистика!$J$4))-Статистика!$C$10)/MAX(Статистика!$G$10-Статистика!$C$10,0.000001)))-MAX(0,MIN(1,(((IF(Статистика!$C$4="Параллельный режим (активная мощность)",AD160,AO160)+Статистика!$J$4))-Статистика!$C$10)/MAX(Статистика!$G$10-Статистика!$C$10,0.000001)))))</f>
        <v>0.10159666111111043</v>
      </c>
      <c r="BY160" s="12">
        <f>IF(Y160="","",MAX(0,MAX(0,MIN(1,(((IF(Статистика!$C$4="Параллельный режим (активная мощность)",AF160,AQ160)+Статистика!$J$4))-Статистика!$C$10)/MAX(Статистика!$G$10-Статистика!$C$10,0.000001)))-MAX(0,MIN(1,(((IF(Статистика!$C$4="Параллельный режим (активная мощность)",AE160,AP160)+Статистика!$J$4))-Статистика!$C$10)/MAX(Статистика!$G$10-Статистика!$C$10,0.000001)))))</f>
        <v>0.13106676222222291</v>
      </c>
      <c r="BZ160" s="12">
        <f>IF(Y160="","",MAX(0,MAX(0,MIN(1,(((IF(Статистика!$C$4="Параллельный режим (активная мощность)",AH160,AS160)+Статистика!$J$4))-Статистика!$C$10)/MAX(Статистика!$G$10-Статистика!$C$10,0.000001)))-MAX(0,MIN(1,(((IF(Статистика!$C$4="Параллельный режим (активная мощность)",AF160,AQ160)+Статистика!$J$4))-Статистика!$C$10)/MAX(Статистика!$G$10-Статистика!$C$10,0.000001)))))</f>
        <v>6.1058569000000174E-2</v>
      </c>
      <c r="CA160" s="12">
        <f>IF(Y160="","",MAX(0,1-MAX(0,MIN(1,(((IF(Статистика!$C$4="Параллельный режим (активная мощность)",AH160,AS160)+Статистика!$J$4))-Статистика!$C$10)/MAX(Статистика!$G$10-Статистика!$C$10,0.000001)))))</f>
        <v>7.7730218777777416E-2</v>
      </c>
      <c r="CB160" s="12">
        <f>IF(Y160="",NA(),IF(Статистика!$B$8="Вкл",(((IF(Статистика!$C$4="Параллельный режим (активная мощность)",AD160,AO160)+Статистика!$J$4))-Статистика!$C$10)/MAX(Статистика!$G$10-Статистика!$C$10,0.000001),NA()))</f>
        <v>0.62854778888888907</v>
      </c>
      <c r="CC160" s="12">
        <f>IF(Y160="",NA(),IF(Статистика!$D$8="Вкл",(((IF(Статистика!$C$4="Параллельный режим (активная мощность)",AC160,AN160)+Статистика!$J$4))-Статистика!$C$10)/MAX(Статистика!$G$10-Статистика!$C$10,0.000001),NA()))</f>
        <v>0.59714323888888854</v>
      </c>
      <c r="CD160" s="12">
        <f>IF(Y160="",NA(),IF(Статистика!$D$8="Вкл",(((IF(Статистика!$C$4="Параллельный режим (активная мощность)",AE160,AP160)+Статистика!$J$4))-Статистика!$C$10)/MAX(Статистика!$G$10-Статистика!$C$10,0.000001),NA()))</f>
        <v>0.7301444499999995</v>
      </c>
      <c r="CE160" s="12">
        <f>IF(Y160="",NA(),IF(Статистика!$F$8="Вкл",(((IF(Статистика!$C$4="Параллельный режим (активная мощность)",AB160,AM160)+Статистика!$J$4))-Статистика!$C$10)/MAX(Статистика!$G$10-Статистика!$C$10,0.000001),NA()))</f>
        <v>0.53583444166666661</v>
      </c>
      <c r="CF160" s="12">
        <f>IF(Y160="",NA(),IF(Статистика!$F$8="Вкл",(((IF(Статистика!$C$4="Параллельный режим (активная мощность)",AF160,AQ160)+Статистика!$J$4))-Статистика!$C$10)/MAX(Статистика!$G$10-Статистика!$C$10,0.000001),NA()))</f>
        <v>0.86121121222222241</v>
      </c>
      <c r="CG160" s="12">
        <f>IF(Y160="",NA(),IF(Статистика!$H$8="Вкл",(((IF(Статистика!$C$4="Параллельный режим (активная мощность)",Z160,AK160)+Статистика!$J$4))-Статистика!$C$10)/MAX(Статистика!$G$10-Статистика!$C$10,0.000001),NA()))</f>
        <v>0.52568108416666659</v>
      </c>
      <c r="CH160" s="12">
        <f>IF(Y160="",NA(),IF(Статистика!$H$8="Вкл",(((IF(Статистика!$C$4="Параллельный режим (активная мощность)",AH160,AS160)+Статистика!$J$4))-Статистика!$C$10)/MAX(Статистика!$G$10-Статистика!$C$10,0.000001),NA()))</f>
        <v>0.92226978122222258</v>
      </c>
      <c r="CI160" s="12" t="e">
        <f>IF(Y160="",NA(),IF(Статистика!$J$8="Вкл",(((IF(Статистика!$C$4="Параллельный режим (активная мощность)",AI160,AT160)+Статистика!$J$4))-Статистика!$C$10)/MAX(Статистика!$G$10-Статистика!$C$10,0.000001),NA()))</f>
        <v>#N/A</v>
      </c>
      <c r="CJ160" s="12" t="e">
        <f>IF(AND(Y160&lt;&gt;"",Статистика!$C$6="Вкл",Статистика!$B$6&gt;0),(Статистика!$B$6-Статистика!$C$10)/MAX(Статистика!$G$10-Статистика!$C$10,0.000001),NA())</f>
        <v>#N/A</v>
      </c>
      <c r="CK160" s="12" t="e">
        <f>IF(AND(Y160&lt;&gt;"",Статистика!$F$6="Вкл",Статистика!$E$6&gt;0),(Статистика!$E$6-Статистика!$C$10)/MAX(Статистика!$G$10-Статистика!$C$10,0.000001),NA())</f>
        <v>#N/A</v>
      </c>
      <c r="CL160" s="12" t="e">
        <f>IF(AND(Y160&lt;&gt;"",Статистика!$I$6="Вкл",Статистика!$H$6&gt;0),(Статистика!$H$6-Статистика!$C$10)/MAX(Статистика!$G$10-Статистика!$C$10,0.000001),NA())</f>
        <v>#N/A</v>
      </c>
      <c r="CM160" s="12" t="e">
        <f>IF(AND(Y160&lt;&gt;"",Статистика!$L$6="Вкл",Статистика!$K$6&gt;0),(Статистика!$K$6-Статистика!$C$10)/MAX(Статистика!$G$10-Статистика!$C$10,0.000001),NA())</f>
        <v>#N/A</v>
      </c>
      <c r="CN160" s="12" t="e">
        <f>IF(AND(Y160&lt;&gt;"",Статистика!$M$6="Вкл",Статистика!$O$6&gt;0),(Статистика!$O$6-Статистика!$C$10)/MAX(Статистика!$G$10-Статистика!$C$10,0.000001),NA())</f>
        <v>#N/A</v>
      </c>
      <c r="CO160" s="12">
        <f t="shared" si="5"/>
        <v>1</v>
      </c>
    </row>
    <row r="161" spans="1:93" ht="15" customHeight="1">
      <c r="A161" s="12" t="s">
        <v>696</v>
      </c>
      <c r="B161" s="12">
        <v>3106.2872944999999</v>
      </c>
      <c r="C161" s="12">
        <v>6071.2612724999999</v>
      </c>
      <c r="D161" s="12">
        <v>7543.5709699999998</v>
      </c>
      <c r="E161" s="12">
        <v>7763.5874000000003</v>
      </c>
      <c r="F161" s="12">
        <v>7975.8449999999993</v>
      </c>
      <c r="G161" s="12">
        <v>8089.662166666667</v>
      </c>
      <c r="H161" s="12">
        <v>8310.3901500000029</v>
      </c>
      <c r="I161" s="12">
        <v>8401.0677933333354</v>
      </c>
      <c r="J161" s="12">
        <v>8536.5703319999993</v>
      </c>
      <c r="K161" s="12">
        <v>8742.17</v>
      </c>
      <c r="L161" s="12" t="s">
        <v>697</v>
      </c>
      <c r="M161" s="12">
        <v>3752.4302575000002</v>
      </c>
      <c r="N161" s="12">
        <v>6887.6358208333331</v>
      </c>
      <c r="O161" s="12">
        <v>8443.2111249999998</v>
      </c>
      <c r="P161" s="12">
        <v>8713.7622333333329</v>
      </c>
      <c r="Q161" s="12">
        <v>8961.4219499999999</v>
      </c>
      <c r="R161" s="12">
        <v>9073.5961083333314</v>
      </c>
      <c r="S161" s="12">
        <v>9296.3600166666656</v>
      </c>
      <c r="T161" s="12">
        <v>9393.5008099999995</v>
      </c>
      <c r="U161" s="12">
        <v>9528.9836286666668</v>
      </c>
      <c r="V161" s="12">
        <v>9718.6</v>
      </c>
      <c r="W161" s="12" t="s">
        <v>697</v>
      </c>
      <c r="Y161" s="12" t="s">
        <v>696</v>
      </c>
      <c r="Z161" s="12">
        <v>7588.567857500002</v>
      </c>
      <c r="AA161" s="12">
        <v>7598.5323541666676</v>
      </c>
      <c r="AB161" s="12">
        <v>7610.987975</v>
      </c>
      <c r="AC161" s="12">
        <v>7767.0346499999996</v>
      </c>
      <c r="AD161" s="12">
        <v>7906.5817999999999</v>
      </c>
      <c r="AE161" s="12">
        <v>8167.1473999999989</v>
      </c>
      <c r="AF161" s="12">
        <v>8527.8427766666664</v>
      </c>
      <c r="AG161" s="12">
        <v>8625.6824050000014</v>
      </c>
      <c r="AH161" s="12">
        <v>8703.9541076666683</v>
      </c>
      <c r="AI161" s="12">
        <v>8894.34</v>
      </c>
      <c r="AJ161" s="12" t="s">
        <v>698</v>
      </c>
      <c r="AK161" s="12">
        <v>8592.4069468333328</v>
      </c>
      <c r="AL161" s="12">
        <v>8597.6060675000008</v>
      </c>
      <c r="AM161" s="12">
        <v>8604.1049683333349</v>
      </c>
      <c r="AN161" s="12">
        <v>8805.9103833333356</v>
      </c>
      <c r="AO161" s="12">
        <v>8957.8085166666679</v>
      </c>
      <c r="AP161" s="12">
        <v>9156.0875166666665</v>
      </c>
      <c r="AQ161" s="12">
        <v>9482.4983816666663</v>
      </c>
      <c r="AR161" s="12">
        <v>9584.2142908333317</v>
      </c>
      <c r="AS161" s="12">
        <v>9665.5870181666651</v>
      </c>
      <c r="AT161" s="12">
        <v>9847.23</v>
      </c>
      <c r="AU161" s="12" t="s">
        <v>698</v>
      </c>
      <c r="AW161" s="12">
        <f>IF(A161="","",MAX(0,MIN(1,(((IF(Статистика!$C$4="Параллельный режим (активная мощность)",B161,M161)+Статистика!$J$4))-Статистика!$C$10)/MAX(Статистика!$G$10-Статистика!$C$10,0.000001))))</f>
        <v>0</v>
      </c>
      <c r="AX161" s="12">
        <f>IF(A161="","",MAX(0,MAX(0,MIN(1,(((IF(Статистика!$C$4="Параллельный режим (активная мощность)",D161,O161)+Статистика!$J$4))-Статистика!$C$10)/MAX(Статистика!$G$10-Статистика!$C$10,0.000001)))-MAX(0,MIN(1,(((IF(Статистика!$C$4="Параллельный режим (активная мощность)",B161,M161)+Статистика!$J$4))-Статистика!$C$10)/MAX(Статистика!$G$10-Статистика!$C$10,0.000001)))))</f>
        <v>0.51452365666666655</v>
      </c>
      <c r="AY161" s="12">
        <f>IF(A161="","",MAX(0,MAX(0,MIN(1,(((IF(Статистика!$C$4="Параллельный режим (активная мощность)",E161,P161)+Статистика!$J$4))-Статистика!$C$10)/MAX(Статистика!$G$10-Статистика!$C$10,0.000001)))-MAX(0,MIN(1,(((IF(Статистика!$C$4="Параллельный режим (активная мощность)",D161,O161)+Статистика!$J$4))-Статистика!$C$10)/MAX(Статистика!$G$10-Статистика!$C$10,0.000001)))))</f>
        <v>7.3338810000000199E-2</v>
      </c>
      <c r="AZ161" s="12">
        <f>IF(A161="","",MAX(0,MAX(0,MIN(1,(((IF(Статистика!$C$4="Параллельный режим (активная мощность)",F161,Q161)+Статистика!$J$4))-Статистика!$C$10)/MAX(Статистика!$G$10-Статистика!$C$10,0.000001)))-MAX(0,MIN(1,(((IF(Статистика!$C$4="Параллельный режим (активная мощность)",E161,P161)+Статистика!$J$4))-Статистика!$C$10)/MAX(Статистика!$G$10-Статистика!$C$10,0.000001)))))</f>
        <v>7.0752533333332979E-2</v>
      </c>
      <c r="BA161" s="12">
        <f>IF(A161="","",MAX(0,MAX(0,MIN(1,(((IF(Статистика!$C$4="Параллельный режим (активная мощность)",G161,R161)+Статистика!$J$4))-Статистика!$C$10)/MAX(Статистика!$G$10-Статистика!$C$10,0.000001)))-MAX(0,MIN(1,(((IF(Статистика!$C$4="Параллельный режим (активная мощность)",F161,Q161)+Статистика!$J$4))-Статистика!$C$10)/MAX(Статистика!$G$10-Статистика!$C$10,0.000001)))))</f>
        <v>3.7939055555555878E-2</v>
      </c>
      <c r="BB161" s="12">
        <f>IF(A161="","",MAX(0,MAX(0,MIN(1,(((IF(Статистика!$C$4="Параллельный режим (активная мощность)",H161,S161)+Статистика!$J$4))-Статистика!$C$10)/MAX(Статистика!$G$10-Статистика!$C$10,0.000001)))-MAX(0,MIN(1,(((IF(Статистика!$C$4="Параллельный режим (активная мощность)",G161,R161)+Статистика!$J$4))-Статистика!$C$10)/MAX(Статистика!$G$10-Статистика!$C$10,0.000001)))))</f>
        <v>7.3575994444445403E-2</v>
      </c>
      <c r="BC161" s="12">
        <f>IF(A161="","",MAX(0,MAX(0,MIN(1,(((IF(Статистика!$C$4="Параллельный режим (активная мощность)",J161,U161)+Статистика!$J$4))-Статистика!$C$10)/MAX(Статистика!$G$10-Статистика!$C$10,0.000001)))-MAX(0,MIN(1,(((IF(Статистика!$C$4="Параллельный режим (активная мощность)",H161,S161)+Статистика!$J$4))-Статистика!$C$10)/MAX(Статистика!$G$10-Статистика!$C$10,0.000001)))))</f>
        <v>7.5393393999998781E-2</v>
      </c>
      <c r="BD161" s="12">
        <f>IF(A161="","",MAX(0,1-MAX(0,MIN(1,(((IF(Статистика!$C$4="Параллельный режим (активная мощность)",J161,U161)+Статистика!$J$4))-Статистика!$C$10)/MAX(Статистика!$G$10-Статистика!$C$10,0.000001)))))</f>
        <v>0.15447655600000021</v>
      </c>
      <c r="BE161" s="12">
        <f>IF(A161="",NA(),IF(Статистика!$B$8="Вкл",(((IF(Статистика!$C$4="Параллельный режим (активная мощность)",F161,Q161)+Статистика!$J$4))-Статистика!$C$10)/MAX(Статистика!$G$10-Статистика!$C$10,0.000001),NA()))</f>
        <v>0.65861499999999973</v>
      </c>
      <c r="BF161" s="12">
        <f>IF(A161="",NA(),IF(Статистика!$D$8="Вкл",(((IF(Статистика!$C$4="Параллельный режим (активная мощность)",E161,P161)+Статистика!$J$4))-Статистика!$C$10)/MAX(Статистика!$G$10-Статистика!$C$10,0.000001),NA()))</f>
        <v>0.58786246666666675</v>
      </c>
      <c r="BG161" s="12">
        <f>IF(A161="",NA(),IF(Статистика!$D$8="Вкл",(((IF(Статистика!$C$4="Параллельный режим (активная мощность)",G161,R161)+Статистика!$J$4))-Статистика!$C$10)/MAX(Статистика!$G$10-Статистика!$C$10,0.000001),NA()))</f>
        <v>0.69655405555555561</v>
      </c>
      <c r="BH161" s="12">
        <f>IF(A161="",NA(),IF(Статистика!$F$8="Вкл",(((IF(Статистика!$C$4="Параллельный режим (активная мощность)",D161,O161)+Статистика!$J$4))-Статистика!$C$10)/MAX(Статистика!$G$10-Статистика!$C$10,0.000001),NA()))</f>
        <v>0.51452365666666655</v>
      </c>
      <c r="BI161" s="12">
        <f>IF(A161="",NA(),IF(Статистика!$F$8="Вкл",(((IF(Статистика!$C$4="Параллельный режим (активная мощность)",H161,S161)+Статистика!$J$4))-Статистика!$C$10)/MAX(Статистика!$G$10-Статистика!$C$10,0.000001),NA()))</f>
        <v>0.77013005000000101</v>
      </c>
      <c r="BJ161" s="12">
        <f>IF(A161="",NA(),IF(Статистика!$H$8="Вкл",(((IF(Статистика!$C$4="Параллельный режим (активная мощность)",B161,M161)+Статистика!$J$4))-Статистика!$C$10)/MAX(Статистика!$G$10-Статистика!$C$10,0.000001),NA()))</f>
        <v>-0.96457090183333338</v>
      </c>
      <c r="BK161" s="12">
        <f>IF(A161="",NA(),IF(Статистика!$H$8="Вкл",(((IF(Статистика!$C$4="Параллельный режим (активная мощность)",J161,U161)+Статистика!$J$4))-Статистика!$C$10)/MAX(Статистика!$G$10-Статистика!$C$10,0.000001),NA()))</f>
        <v>0.84552344399999979</v>
      </c>
      <c r="BL161" s="12" t="e">
        <f>IF(A161="",NA(),IF(Статистика!$J$8="Вкл",(((IF(Статистика!$C$4="Параллельный режим (активная мощность)",K161,V161)+Статистика!$J$4))-Статистика!$C$10)/MAX(Статистика!$G$10-Статистика!$C$10,0.000001),NA()))</f>
        <v>#N/A</v>
      </c>
      <c r="BM161" s="12" t="e">
        <f>IF(AND(A161&lt;&gt;"",Статистика!$C$6="Вкл",Статистика!$B$6&gt;0),(Статистика!$B$6-Статистика!$C$10)/MAX(Статистика!$G$10-Статистика!$C$10,0.000001),NA())</f>
        <v>#N/A</v>
      </c>
      <c r="BN161" s="12" t="e">
        <f>IF(AND(A161&lt;&gt;"",Статистика!$F$6="Вкл",Статистика!$E$6&gt;0),(Статистика!$E$6-Статистика!$C$10)/MAX(Статистика!$G$10-Статистика!$C$10,0.000001),NA())</f>
        <v>#N/A</v>
      </c>
      <c r="BO161" s="12" t="e">
        <f>IF(AND(A161&lt;&gt;"",Статистика!$I$6="Вкл",Статистика!$H$6&gt;0),(Статистика!$H$6-Статистика!$C$10)/MAX(Статистика!$G$10-Статистика!$C$10,0.000001),NA())</f>
        <v>#N/A</v>
      </c>
      <c r="BP161" s="12" t="e">
        <f>IF(AND(A161&lt;&gt;"",Статистика!$L$6="Вкл",Статистика!$K$6&gt;0),(Статистика!$K$6-Статистика!$C$10)/MAX(Статистика!$G$10-Статистика!$C$10,0.000001),NA())</f>
        <v>#N/A</v>
      </c>
      <c r="BQ161" s="12" t="e">
        <f>IF(AND(A161&lt;&gt;"",Статистика!$M$6="Вкл",Статистика!$O$6&gt;0),(Статистика!$O$6-Статистика!$C$10)/MAX(Статистика!$G$10-Статистика!$C$10,0.000001),NA())</f>
        <v>#N/A</v>
      </c>
      <c r="BR161" s="12">
        <f t="shared" si="4"/>
        <v>1</v>
      </c>
      <c r="BT161" s="12">
        <f>IF(Y161="","",MAX(0,MIN(1,(((IF(Статистика!$C$4="Параллельный режим (активная мощность)",Z161,AK161)+Статистика!$J$4))-Статистика!$C$10)/MAX(Статистика!$G$10-Статистика!$C$10,0.000001))))</f>
        <v>0.52952261916666732</v>
      </c>
      <c r="BU161" s="12">
        <f>IF(Y161="","",MAX(0,MAX(0,MIN(1,(((IF(Статистика!$C$4="Параллельный режим (активная мощность)",AB161,AM161)+Статистика!$J$4))-Статистика!$C$10)/MAX(Статистика!$G$10-Статистика!$C$10,0.000001)))-MAX(0,MIN(1,(((IF(Статистика!$C$4="Параллельный режим (активная мощность)",Z161,AK161)+Статистика!$J$4))-Статистика!$C$10)/MAX(Статистика!$G$10-Статистика!$C$10,0.000001)))))</f>
        <v>7.4733724999993534E-3</v>
      </c>
      <c r="BV161" s="12">
        <f>IF(Y161="","",MAX(0,MAX(0,MIN(1,(((IF(Статистика!$C$4="Параллельный режим (активная мощность)",AC161,AN161)+Статистика!$J$4))-Статистика!$C$10)/MAX(Статистика!$G$10-Статистика!$C$10,0.000001)))-MAX(0,MIN(1,(((IF(Статистика!$C$4="Параллельный режим (активная мощность)",AB161,AM161)+Статистика!$J$4))-Статистика!$C$10)/MAX(Статистика!$G$10-Статистика!$C$10,0.000001)))))</f>
        <v>5.2015558333333156E-2</v>
      </c>
      <c r="BW161" s="12">
        <f>IF(Y161="","",MAX(0,MAX(0,MIN(1,(((IF(Статистика!$C$4="Параллельный режим (активная мощность)",AD161,AO161)+Статистика!$J$4))-Статистика!$C$10)/MAX(Статистика!$G$10-Статистика!$C$10,0.000001)))-MAX(0,MIN(1,(((IF(Статистика!$C$4="Параллельный режим (активная мощность)",AC161,AN161)+Статистика!$J$4))-Статистика!$C$10)/MAX(Статистика!$G$10-Статистика!$C$10,0.000001)))))</f>
        <v>4.6515716666666762E-2</v>
      </c>
      <c r="BX161" s="12">
        <f>IF(Y161="","",MAX(0,MAX(0,MIN(1,(((IF(Статистика!$C$4="Параллельный режим (активная мощность)",AE161,AP161)+Статистика!$J$4))-Статистика!$C$10)/MAX(Статистика!$G$10-Статистика!$C$10,0.000001)))-MAX(0,MIN(1,(((IF(Статистика!$C$4="Параллельный режим (активная мощность)",AD161,AO161)+Статистика!$J$4))-Статистика!$C$10)/MAX(Статистика!$G$10-Статистика!$C$10,0.000001)))))</f>
        <v>8.6855199999999688E-2</v>
      </c>
      <c r="BY161" s="12">
        <f>IF(Y161="","",MAX(0,MAX(0,MIN(1,(((IF(Статистика!$C$4="Параллельный режим (активная мощность)",AF161,AQ161)+Статистика!$J$4))-Статистика!$C$10)/MAX(Статистика!$G$10-Статистика!$C$10,0.000001)))-MAX(0,MIN(1,(((IF(Статистика!$C$4="Параллельный режим (активная мощность)",AE161,AP161)+Статистика!$J$4))-Статистика!$C$10)/MAX(Статистика!$G$10-Статистика!$C$10,0.000001)))))</f>
        <v>0.12023179222222247</v>
      </c>
      <c r="BZ161" s="12">
        <f>IF(Y161="","",MAX(0,MAX(0,MIN(1,(((IF(Статистика!$C$4="Параллельный режим (активная мощность)",AH161,AS161)+Статистика!$J$4))-Статистика!$C$10)/MAX(Статистика!$G$10-Статистика!$C$10,0.000001)))-MAX(0,MIN(1,(((IF(Статистика!$C$4="Параллельный режим (активная мощность)",AF161,AQ161)+Статистика!$J$4))-Статистика!$C$10)/MAX(Статистика!$G$10-Статистика!$C$10,0.000001)))))</f>
        <v>5.8703777000000734E-2</v>
      </c>
      <c r="CA161" s="12">
        <f>IF(Y161="","",MAX(0,1-MAX(0,MIN(1,(((IF(Статистика!$C$4="Параллельный режим (активная мощность)",AH161,AS161)+Статистика!$J$4))-Статистика!$C$10)/MAX(Статистика!$G$10-Статистика!$C$10,0.000001)))))</f>
        <v>9.8681964111110521E-2</v>
      </c>
      <c r="CB161" s="12">
        <f>IF(Y161="",NA(),IF(Статистика!$B$8="Вкл",(((IF(Статистика!$C$4="Параллельный режим (активная мощность)",AD161,AO161)+Статистика!$J$4))-Статистика!$C$10)/MAX(Статистика!$G$10-Статистика!$C$10,0.000001),NA()))</f>
        <v>0.63552726666666659</v>
      </c>
      <c r="CC161" s="12">
        <f>IF(Y161="",NA(),IF(Статистика!$D$8="Вкл",(((IF(Статистика!$C$4="Параллельный режим (активная мощность)",AC161,AN161)+Статистика!$J$4))-Статистика!$C$10)/MAX(Статистика!$G$10-Статистика!$C$10,0.000001),NA()))</f>
        <v>0.58901154999999983</v>
      </c>
      <c r="CD161" s="12">
        <f>IF(Y161="",NA(),IF(Статистика!$D$8="Вкл",(((IF(Статистика!$C$4="Параллельный режим (активная мощность)",AE161,AP161)+Статистика!$J$4))-Статистика!$C$10)/MAX(Статистика!$G$10-Статистика!$C$10,0.000001),NA()))</f>
        <v>0.72238246666666628</v>
      </c>
      <c r="CE161" s="12">
        <f>IF(Y161="",NA(),IF(Статистика!$F$8="Вкл",(((IF(Статистика!$C$4="Параллельный режим (активная мощность)",AB161,AM161)+Статистика!$J$4))-Статистика!$C$10)/MAX(Статистика!$G$10-Статистика!$C$10,0.000001),NA()))</f>
        <v>0.53699599166666667</v>
      </c>
      <c r="CF161" s="12">
        <f>IF(Y161="",NA(),IF(Статистика!$F$8="Вкл",(((IF(Статистика!$C$4="Параллельный режим (активная мощность)",AF161,AQ161)+Статистика!$J$4))-Статистика!$C$10)/MAX(Статистика!$G$10-Статистика!$C$10,0.000001),NA()))</f>
        <v>0.84261425888888875</v>
      </c>
      <c r="CG161" s="12">
        <f>IF(Y161="",NA(),IF(Статистика!$H$8="Вкл",(((IF(Статистика!$C$4="Параллельный режим (активная мощность)",Z161,AK161)+Статистика!$J$4))-Статистика!$C$10)/MAX(Статистика!$G$10-Статистика!$C$10,0.000001),NA()))</f>
        <v>0.52952261916666732</v>
      </c>
      <c r="CH161" s="12">
        <f>IF(Y161="",NA(),IF(Статистика!$H$8="Вкл",(((IF(Статистика!$C$4="Параллельный режим (активная мощность)",AH161,AS161)+Статистика!$J$4))-Статистика!$C$10)/MAX(Статистика!$G$10-Статистика!$C$10,0.000001),NA()))</f>
        <v>0.90131803588888948</v>
      </c>
      <c r="CI161" s="12" t="e">
        <f>IF(Y161="",NA(),IF(Статистика!$J$8="Вкл",(((IF(Статистика!$C$4="Параллельный режим (активная мощность)",AI161,AT161)+Статистика!$J$4))-Статистика!$C$10)/MAX(Статистика!$G$10-Статистика!$C$10,0.000001),NA()))</f>
        <v>#N/A</v>
      </c>
      <c r="CJ161" s="12" t="e">
        <f>IF(AND(Y161&lt;&gt;"",Статистика!$C$6="Вкл",Статистика!$B$6&gt;0),(Статистика!$B$6-Статистика!$C$10)/MAX(Статистика!$G$10-Статистика!$C$10,0.000001),NA())</f>
        <v>#N/A</v>
      </c>
      <c r="CK161" s="12" t="e">
        <f>IF(AND(Y161&lt;&gt;"",Статистика!$F$6="Вкл",Статистика!$E$6&gt;0),(Статистика!$E$6-Статистика!$C$10)/MAX(Статистика!$G$10-Статистика!$C$10,0.000001),NA())</f>
        <v>#N/A</v>
      </c>
      <c r="CL161" s="12" t="e">
        <f>IF(AND(Y161&lt;&gt;"",Статистика!$I$6="Вкл",Статистика!$H$6&gt;0),(Статистика!$H$6-Статистика!$C$10)/MAX(Статистика!$G$10-Статистика!$C$10,0.000001),NA())</f>
        <v>#N/A</v>
      </c>
      <c r="CM161" s="12" t="e">
        <f>IF(AND(Y161&lt;&gt;"",Статистика!$L$6="Вкл",Статистика!$K$6&gt;0),(Статистика!$K$6-Статистика!$C$10)/MAX(Статистика!$G$10-Статистика!$C$10,0.000001),NA())</f>
        <v>#N/A</v>
      </c>
      <c r="CN161" s="12" t="e">
        <f>IF(AND(Y161&lt;&gt;"",Статистика!$M$6="Вкл",Статистика!$O$6&gt;0),(Статистика!$O$6-Статистика!$C$10)/MAX(Статистика!$G$10-Статистика!$C$10,0.000001),NA())</f>
        <v>#N/A</v>
      </c>
      <c r="CO161" s="12">
        <f t="shared" si="5"/>
        <v>1</v>
      </c>
    </row>
    <row r="162" spans="1:93" ht="15" customHeight="1">
      <c r="A162" s="12" t="s">
        <v>699</v>
      </c>
      <c r="B162" s="12">
        <v>3138.4076103333332</v>
      </c>
      <c r="C162" s="12">
        <v>6084.557785</v>
      </c>
      <c r="D162" s="12">
        <v>7529.2548783333332</v>
      </c>
      <c r="E162" s="12">
        <v>7741.5367166666665</v>
      </c>
      <c r="F162" s="12">
        <v>7978.6275999999998</v>
      </c>
      <c r="G162" s="12">
        <v>8082.9482583333338</v>
      </c>
      <c r="H162" s="12">
        <v>8288.9214583333323</v>
      </c>
      <c r="I162" s="12">
        <v>8373.5205249999999</v>
      </c>
      <c r="J162" s="12">
        <v>8430.7643983333346</v>
      </c>
      <c r="K162" s="12">
        <v>8629.7099999999991</v>
      </c>
      <c r="L162" s="12" t="s">
        <v>700</v>
      </c>
      <c r="M162" s="12">
        <v>3772.7812931666667</v>
      </c>
      <c r="N162" s="12">
        <v>6897.2600658333331</v>
      </c>
      <c r="O162" s="12">
        <v>8410.6841366666667</v>
      </c>
      <c r="P162" s="12">
        <v>8668.5209333333332</v>
      </c>
      <c r="Q162" s="12">
        <v>8954.8731999999982</v>
      </c>
      <c r="R162" s="12">
        <v>9093.320658333334</v>
      </c>
      <c r="S162" s="12">
        <v>9296.7084366666659</v>
      </c>
      <c r="T162" s="12">
        <v>9374.1167541666655</v>
      </c>
      <c r="U162" s="12">
        <v>9441.6348441666669</v>
      </c>
      <c r="V162" s="12">
        <v>9636.86</v>
      </c>
      <c r="W162" s="12" t="s">
        <v>700</v>
      </c>
      <c r="Y162" s="12" t="s">
        <v>699</v>
      </c>
      <c r="Z162" s="12">
        <v>7572.5964711666657</v>
      </c>
      <c r="AA162" s="12">
        <v>7590.4403558333324</v>
      </c>
      <c r="AB162" s="12">
        <v>7612.7452116666664</v>
      </c>
      <c r="AC162" s="12">
        <v>7737.8574916666676</v>
      </c>
      <c r="AD162" s="12">
        <v>7962.0508</v>
      </c>
      <c r="AE162" s="12">
        <v>8164.7102833333329</v>
      </c>
      <c r="AF162" s="12">
        <v>8478.9154633333346</v>
      </c>
      <c r="AG162" s="12">
        <v>8573.2738483333342</v>
      </c>
      <c r="AH162" s="12">
        <v>8648.7605563333364</v>
      </c>
      <c r="AI162" s="12">
        <v>8813.36</v>
      </c>
      <c r="AJ162" s="12" t="s">
        <v>701</v>
      </c>
      <c r="AK162" s="12">
        <v>8561.2037420000015</v>
      </c>
      <c r="AL162" s="12">
        <v>8577.7604433333345</v>
      </c>
      <c r="AM162" s="12">
        <v>8598.4563200000011</v>
      </c>
      <c r="AN162" s="12">
        <v>8759.9004333333323</v>
      </c>
      <c r="AO162" s="12">
        <v>9001.1126999999979</v>
      </c>
      <c r="AP162" s="12">
        <v>9170.6939833333327</v>
      </c>
      <c r="AQ162" s="12">
        <v>9432.7284616666657</v>
      </c>
      <c r="AR162" s="12">
        <v>9535.6297308333324</v>
      </c>
      <c r="AS162" s="12">
        <v>9617.9507461666653</v>
      </c>
      <c r="AT162" s="12">
        <v>9764.4599999999991</v>
      </c>
      <c r="AU162" s="12" t="s">
        <v>702</v>
      </c>
      <c r="AW162" s="12">
        <f>IF(A162="","",MAX(0,MIN(1,(((IF(Статистика!$C$4="Параллельный режим (активная мощность)",B162,M162)+Статистика!$J$4))-Статистика!$C$10)/MAX(Статистика!$G$10-Статистика!$C$10,0.000001))))</f>
        <v>0</v>
      </c>
      <c r="AX162" s="12">
        <f>IF(A162="","",MAX(0,MAX(0,MIN(1,(((IF(Статистика!$C$4="Параллельный режим (активная мощность)",D162,O162)+Статистика!$J$4))-Статистика!$C$10)/MAX(Статистика!$G$10-Статистика!$C$10,0.000001)))-MAX(0,MIN(1,(((IF(Статистика!$C$4="Параллельный режим (активная мощность)",B162,M162)+Статистика!$J$4))-Статистика!$C$10)/MAX(Статистика!$G$10-Статистика!$C$10,0.000001)))))</f>
        <v>0.50975162611111102</v>
      </c>
      <c r="AY162" s="12">
        <f>IF(A162="","",MAX(0,MAX(0,MIN(1,(((IF(Статистика!$C$4="Параллельный режим (активная мощность)",E162,P162)+Статистика!$J$4))-Статистика!$C$10)/MAX(Статистика!$G$10-Статистика!$C$10,0.000001)))-MAX(0,MIN(1,(((IF(Статистика!$C$4="Параллельный режим (активная мощность)",D162,O162)+Статистика!$J$4))-Статистика!$C$10)/MAX(Статистика!$G$10-Статистика!$C$10,0.000001)))))</f>
        <v>7.0760612777777787E-2</v>
      </c>
      <c r="AZ162" s="12">
        <f>IF(A162="","",MAX(0,MAX(0,MIN(1,(((IF(Статистика!$C$4="Параллельный режим (активная мощность)",F162,Q162)+Статистика!$J$4))-Статистика!$C$10)/MAX(Статистика!$G$10-Статистика!$C$10,0.000001)))-MAX(0,MIN(1,(((IF(Статистика!$C$4="Параллельный режим (активная мощность)",E162,P162)+Статистика!$J$4))-Статистика!$C$10)/MAX(Статистика!$G$10-Статистика!$C$10,0.000001)))))</f>
        <v>7.9030294444444427E-2</v>
      </c>
      <c r="BA162" s="12">
        <f>IF(A162="","",MAX(0,MAX(0,MIN(1,(((IF(Статистика!$C$4="Параллельный режим (активная мощность)",G162,R162)+Статистика!$J$4))-Статистика!$C$10)/MAX(Статистика!$G$10-Статистика!$C$10,0.000001)))-MAX(0,MIN(1,(((IF(Статистика!$C$4="Параллельный режим (активная мощность)",F162,Q162)+Статистика!$J$4))-Статистика!$C$10)/MAX(Статистика!$G$10-Статистика!$C$10,0.000001)))))</f>
        <v>3.477355277777805E-2</v>
      </c>
      <c r="BB162" s="12">
        <f>IF(A162="","",MAX(0,MAX(0,MIN(1,(((IF(Статистика!$C$4="Параллельный режим (активная мощность)",H162,S162)+Статистика!$J$4))-Статистика!$C$10)/MAX(Статистика!$G$10-Статистика!$C$10,0.000001)))-MAX(0,MIN(1,(((IF(Статистика!$C$4="Параллельный режим (активная мощность)",G162,R162)+Статистика!$J$4))-Статистика!$C$10)/MAX(Статистика!$G$10-Статистика!$C$10,0.000001)))))</f>
        <v>6.8657733333332804E-2</v>
      </c>
      <c r="BC162" s="12">
        <f>IF(A162="","",MAX(0,MAX(0,MIN(1,(((IF(Статистика!$C$4="Параллельный режим (активная мощность)",J162,U162)+Статистика!$J$4))-Статистика!$C$10)/MAX(Статистика!$G$10-Статистика!$C$10,0.000001)))-MAX(0,MIN(1,(((IF(Статистика!$C$4="Параллельный режим (активная мощность)",H162,S162)+Статистика!$J$4))-Статистика!$C$10)/MAX(Статистика!$G$10-Статистика!$C$10,0.000001)))))</f>
        <v>4.7280980000000805E-2</v>
      </c>
      <c r="BD162" s="12">
        <f>IF(A162="","",MAX(0,1-MAX(0,MIN(1,(((IF(Статистика!$C$4="Параллельный режим (активная мощность)",J162,U162)+Статистика!$J$4))-Статистика!$C$10)/MAX(Статистика!$G$10-Статистика!$C$10,0.000001)))))</f>
        <v>0.1897452005555551</v>
      </c>
      <c r="BE162" s="12">
        <f>IF(A162="",NA(),IF(Статистика!$B$8="Вкл",(((IF(Статистика!$C$4="Параллельный режим (активная мощность)",F162,Q162)+Статистика!$J$4))-Статистика!$C$10)/MAX(Статистика!$G$10-Статистика!$C$10,0.000001),NA()))</f>
        <v>0.65954253333333324</v>
      </c>
      <c r="BF162" s="12">
        <f>IF(A162="",NA(),IF(Статистика!$D$8="Вкл",(((IF(Статистика!$C$4="Параллельный режим (активная мощность)",E162,P162)+Статистика!$J$4))-Статистика!$C$10)/MAX(Статистика!$G$10-Статистика!$C$10,0.000001),NA()))</f>
        <v>0.58051223888888881</v>
      </c>
      <c r="BG162" s="12">
        <f>IF(A162="",NA(),IF(Статистика!$D$8="Вкл",(((IF(Статистика!$C$4="Параллельный режим (активная мощность)",G162,R162)+Статистика!$J$4))-Статистика!$C$10)/MAX(Статистика!$G$10-Статистика!$C$10,0.000001),NA()))</f>
        <v>0.69431608611111129</v>
      </c>
      <c r="BH162" s="12">
        <f>IF(A162="",NA(),IF(Статистика!$F$8="Вкл",(((IF(Статистика!$C$4="Параллельный режим (активная мощность)",D162,O162)+Статистика!$J$4))-Статистика!$C$10)/MAX(Статистика!$G$10-Статистика!$C$10,0.000001),NA()))</f>
        <v>0.50975162611111102</v>
      </c>
      <c r="BI162" s="12">
        <f>IF(A162="",NA(),IF(Статистика!$F$8="Вкл",(((IF(Статистика!$C$4="Параллельный режим (активная мощность)",H162,S162)+Статистика!$J$4))-Статистика!$C$10)/MAX(Статистика!$G$10-Статистика!$C$10,0.000001),NA()))</f>
        <v>0.76297381944444409</v>
      </c>
      <c r="BJ162" s="12">
        <f>IF(A162="",NA(),IF(Статистика!$H$8="Вкл",(((IF(Статистика!$C$4="Параллельный режим (активная мощность)",B162,M162)+Статистика!$J$4))-Статистика!$C$10)/MAX(Статистика!$G$10-Статистика!$C$10,0.000001),NA()))</f>
        <v>-0.95386412988888891</v>
      </c>
      <c r="BK162" s="12">
        <f>IF(A162="",NA(),IF(Статистика!$H$8="Вкл",(((IF(Статистика!$C$4="Параллельный режим (активная мощность)",J162,U162)+Статистика!$J$4))-Статистика!$C$10)/MAX(Статистика!$G$10-Статистика!$C$10,0.000001),NA()))</f>
        <v>0.8102547994444449</v>
      </c>
      <c r="BL162" s="12" t="e">
        <f>IF(A162="",NA(),IF(Статистика!$J$8="Вкл",(((IF(Статистика!$C$4="Параллельный режим (активная мощность)",K162,V162)+Статистика!$J$4))-Статистика!$C$10)/MAX(Статистика!$G$10-Статистика!$C$10,0.000001),NA()))</f>
        <v>#N/A</v>
      </c>
      <c r="BM162" s="12" t="e">
        <f>IF(AND(A162&lt;&gt;"",Статистика!$C$6="Вкл",Статистика!$B$6&gt;0),(Статистика!$B$6-Статистика!$C$10)/MAX(Статистика!$G$10-Статистика!$C$10,0.000001),NA())</f>
        <v>#N/A</v>
      </c>
      <c r="BN162" s="12" t="e">
        <f>IF(AND(A162&lt;&gt;"",Статистика!$F$6="Вкл",Статистика!$E$6&gt;0),(Статистика!$E$6-Статистика!$C$10)/MAX(Статистика!$G$10-Статистика!$C$10,0.000001),NA())</f>
        <v>#N/A</v>
      </c>
      <c r="BO162" s="12" t="e">
        <f>IF(AND(A162&lt;&gt;"",Статистика!$I$6="Вкл",Статистика!$H$6&gt;0),(Статистика!$H$6-Статистика!$C$10)/MAX(Статистика!$G$10-Статистика!$C$10,0.000001),NA())</f>
        <v>#N/A</v>
      </c>
      <c r="BP162" s="12" t="e">
        <f>IF(AND(A162&lt;&gt;"",Статистика!$L$6="Вкл",Статистика!$K$6&gt;0),(Статистика!$K$6-Статистика!$C$10)/MAX(Статистика!$G$10-Статистика!$C$10,0.000001),NA())</f>
        <v>#N/A</v>
      </c>
      <c r="BQ162" s="12" t="e">
        <f>IF(AND(A162&lt;&gt;"",Статистика!$M$6="Вкл",Статистика!$O$6&gt;0),(Статистика!$O$6-Статистика!$C$10)/MAX(Статистика!$G$10-Статистика!$C$10,0.000001),NA())</f>
        <v>#N/A</v>
      </c>
      <c r="BR162" s="12">
        <f t="shared" si="4"/>
        <v>1</v>
      </c>
      <c r="BT162" s="12">
        <f>IF(Y162="","",MAX(0,MIN(1,(((IF(Статистика!$C$4="Параллельный режим (активная мощность)",Z162,AK162)+Статистика!$J$4))-Статистика!$C$10)/MAX(Статистика!$G$10-Статистика!$C$10,0.000001))))</f>
        <v>0.52419882372222193</v>
      </c>
      <c r="BU162" s="12">
        <f>IF(Y162="","",MAX(0,MAX(0,MIN(1,(((IF(Статистика!$C$4="Параллельный режим (активная мощность)",AB162,AM162)+Статистика!$J$4))-Статистика!$C$10)/MAX(Статистика!$G$10-Статистика!$C$10,0.000001)))-MAX(0,MIN(1,(((IF(Статистика!$C$4="Параллельный режим (активная мощность)",Z162,AK162)+Статистика!$J$4))-Статистика!$C$10)/MAX(Статистика!$G$10-Статистика!$C$10,0.000001)))))</f>
        <v>1.3382913500000204E-2</v>
      </c>
      <c r="BV162" s="12">
        <f>IF(Y162="","",MAX(0,MAX(0,MIN(1,(((IF(Статистика!$C$4="Параллельный режим (активная мощность)",AC162,AN162)+Статистика!$J$4))-Статистика!$C$10)/MAX(Статистика!$G$10-Статистика!$C$10,0.000001)))-MAX(0,MIN(1,(((IF(Статистика!$C$4="Параллельный режим (активная мощность)",AB162,AM162)+Статистика!$J$4))-Статистика!$C$10)/MAX(Статистика!$G$10-Статистика!$C$10,0.000001)))))</f>
        <v>4.1704093333333692E-2</v>
      </c>
      <c r="BW162" s="12">
        <f>IF(Y162="","",MAX(0,MAX(0,MIN(1,(((IF(Статистика!$C$4="Параллельный режим (активная мощность)",AD162,AO162)+Статистика!$J$4))-Статистика!$C$10)/MAX(Статистика!$G$10-Статистика!$C$10,0.000001)))-MAX(0,MIN(1,(((IF(Статистика!$C$4="Параллельный режим (активная мощность)",AC162,AN162)+Статистика!$J$4))-Статистика!$C$10)/MAX(Статистика!$G$10-Статистика!$C$10,0.000001)))))</f>
        <v>7.4731102777777503E-2</v>
      </c>
      <c r="BX162" s="12">
        <f>IF(Y162="","",MAX(0,MAX(0,MIN(1,(((IF(Статистика!$C$4="Параллельный режим (активная мощность)",AE162,AP162)+Статистика!$J$4))-Статистика!$C$10)/MAX(Статистика!$G$10-Статистика!$C$10,0.000001)))-MAX(0,MIN(1,(((IF(Статистика!$C$4="Параллельный режим (активная мощность)",AD162,AO162)+Статистика!$J$4))-Статистика!$C$10)/MAX(Статистика!$G$10-Статистика!$C$10,0.000001)))))</f>
        <v>6.7553161111110982E-2</v>
      </c>
      <c r="BY162" s="12">
        <f>IF(Y162="","",MAX(0,MAX(0,MIN(1,(((IF(Статистика!$C$4="Параллельный режим (активная мощность)",AF162,AQ162)+Статистика!$J$4))-Статистика!$C$10)/MAX(Статистика!$G$10-Статистика!$C$10,0.000001)))-MAX(0,MIN(1,(((IF(Статистика!$C$4="Параллельный режим (активная мощность)",AE162,AP162)+Статистика!$J$4))-Статистика!$C$10)/MAX(Статистика!$G$10-Статистика!$C$10,0.000001)))))</f>
        <v>0.10473506000000055</v>
      </c>
      <c r="BZ162" s="12">
        <f>IF(Y162="","",MAX(0,MAX(0,MIN(1,(((IF(Статистика!$C$4="Параллельный режим (активная мощность)",AH162,AS162)+Статистика!$J$4))-Статистика!$C$10)/MAX(Статистика!$G$10-Статистика!$C$10,0.000001)))-MAX(0,MIN(1,(((IF(Статистика!$C$4="Параллельный режим (активная мощность)",AF162,AQ162)+Статистика!$J$4))-Статистика!$C$10)/MAX(Статистика!$G$10-Статистика!$C$10,0.000001)))))</f>
        <v>5.6615031000000648E-2</v>
      </c>
      <c r="CA162" s="12">
        <f>IF(Y162="","",MAX(0,1-MAX(0,MIN(1,(((IF(Статистика!$C$4="Параллельный режим (активная мощность)",AH162,AS162)+Статистика!$J$4))-Статистика!$C$10)/MAX(Статистика!$G$10-Статистика!$C$10,0.000001)))))</f>
        <v>0.1170798145555545</v>
      </c>
      <c r="CB162" s="12">
        <f>IF(Y162="",NA(),IF(Статистика!$B$8="Вкл",(((IF(Статистика!$C$4="Параллельный режим (активная мощность)",AD162,AO162)+Статистика!$J$4))-Статистика!$C$10)/MAX(Статистика!$G$10-Статистика!$C$10,0.000001),NA()))</f>
        <v>0.65401693333333333</v>
      </c>
      <c r="CC162" s="12">
        <f>IF(Y162="",NA(),IF(Статистика!$D$8="Вкл",(((IF(Статистика!$C$4="Параллельный режим (активная мощность)",AC162,AN162)+Статистика!$J$4))-Статистика!$C$10)/MAX(Статистика!$G$10-Статистика!$C$10,0.000001),NA()))</f>
        <v>0.57928583055555583</v>
      </c>
      <c r="CD162" s="12">
        <f>IF(Y162="",NA(),IF(Статистика!$D$8="Вкл",(((IF(Статистика!$C$4="Параллельный режим (активная мощность)",AE162,AP162)+Статистика!$J$4))-Статистика!$C$10)/MAX(Статистика!$G$10-Статистика!$C$10,0.000001),NA()))</f>
        <v>0.72157009444444431</v>
      </c>
      <c r="CE162" s="12">
        <f>IF(Y162="",NA(),IF(Статистика!$F$8="Вкл",(((IF(Статистика!$C$4="Параллельный режим (активная мощность)",AB162,AM162)+Статистика!$J$4))-Статистика!$C$10)/MAX(Статистика!$G$10-Статистика!$C$10,0.000001),NA()))</f>
        <v>0.53758173722222213</v>
      </c>
      <c r="CF162" s="12">
        <f>IF(Y162="",NA(),IF(Статистика!$F$8="Вкл",(((IF(Статистика!$C$4="Параллельный режим (активная мощность)",AF162,AQ162)+Статистика!$J$4))-Статистика!$C$10)/MAX(Статистика!$G$10-Статистика!$C$10,0.000001),NA()))</f>
        <v>0.82630515444444486</v>
      </c>
      <c r="CG162" s="12">
        <f>IF(Y162="",NA(),IF(Статистика!$H$8="Вкл",(((IF(Статистика!$C$4="Параллельный режим (активная мощность)",Z162,AK162)+Статистика!$J$4))-Статистика!$C$10)/MAX(Статистика!$G$10-Статистика!$C$10,0.000001),NA()))</f>
        <v>0.52419882372222193</v>
      </c>
      <c r="CH162" s="12">
        <f>IF(Y162="",NA(),IF(Статистика!$H$8="Вкл",(((IF(Статистика!$C$4="Параллельный режим (активная мощность)",AH162,AS162)+Статистика!$J$4))-Статистика!$C$10)/MAX(Статистика!$G$10-Статистика!$C$10,0.000001),NA()))</f>
        <v>0.8829201854444455</v>
      </c>
      <c r="CI162" s="12" t="e">
        <f>IF(Y162="",NA(),IF(Статистика!$J$8="Вкл",(((IF(Статистика!$C$4="Параллельный режим (активная мощность)",AI162,AT162)+Статистика!$J$4))-Статистика!$C$10)/MAX(Статистика!$G$10-Статистика!$C$10,0.000001),NA()))</f>
        <v>#N/A</v>
      </c>
      <c r="CJ162" s="12" t="e">
        <f>IF(AND(Y162&lt;&gt;"",Статистика!$C$6="Вкл",Статистика!$B$6&gt;0),(Статистика!$B$6-Статистика!$C$10)/MAX(Статистика!$G$10-Статистика!$C$10,0.000001),NA())</f>
        <v>#N/A</v>
      </c>
      <c r="CK162" s="12" t="e">
        <f>IF(AND(Y162&lt;&gt;"",Статистика!$F$6="Вкл",Статистика!$E$6&gt;0),(Статистика!$E$6-Статистика!$C$10)/MAX(Статистика!$G$10-Статистика!$C$10,0.000001),NA())</f>
        <v>#N/A</v>
      </c>
      <c r="CL162" s="12" t="e">
        <f>IF(AND(Y162&lt;&gt;"",Статистика!$I$6="Вкл",Статистика!$H$6&gt;0),(Статистика!$H$6-Статистика!$C$10)/MAX(Статистика!$G$10-Статистика!$C$10,0.000001),NA())</f>
        <v>#N/A</v>
      </c>
      <c r="CM162" s="12" t="e">
        <f>IF(AND(Y162&lt;&gt;"",Статистика!$L$6="Вкл",Статистика!$K$6&gt;0),(Статистика!$K$6-Статистика!$C$10)/MAX(Статистика!$G$10-Статистика!$C$10,0.000001),NA())</f>
        <v>#N/A</v>
      </c>
      <c r="CN162" s="12" t="e">
        <f>IF(AND(Y162&lt;&gt;"",Статистика!$M$6="Вкл",Статистика!$O$6&gt;0),(Статистика!$O$6-Статистика!$C$10)/MAX(Статистика!$G$10-Статистика!$C$10,0.000001),NA())</f>
        <v>#N/A</v>
      </c>
      <c r="CO162" s="12">
        <f t="shared" si="5"/>
        <v>1</v>
      </c>
    </row>
    <row r="163" spans="1:93" ht="15" customHeight="1">
      <c r="A163" s="12" t="s">
        <v>703</v>
      </c>
      <c r="B163" s="12">
        <v>3088.4556218333332</v>
      </c>
      <c r="C163" s="12">
        <v>6066.8801091666674</v>
      </c>
      <c r="D163" s="12">
        <v>7522.6854383333339</v>
      </c>
      <c r="E163" s="12">
        <v>7736.9750416666675</v>
      </c>
      <c r="F163" s="12">
        <v>7975.7664166666673</v>
      </c>
      <c r="G163" s="12">
        <v>8086.385341666667</v>
      </c>
      <c r="H163" s="12">
        <v>8309.2873799999998</v>
      </c>
      <c r="I163" s="12">
        <v>8354.7311900000004</v>
      </c>
      <c r="J163" s="12">
        <v>8361.8556779999999</v>
      </c>
      <c r="K163" s="12">
        <v>8578.67</v>
      </c>
      <c r="L163" s="12" t="s">
        <v>704</v>
      </c>
      <c r="M163" s="12">
        <v>3692.5780818333333</v>
      </c>
      <c r="N163" s="12">
        <v>6872.7892091666672</v>
      </c>
      <c r="O163" s="12">
        <v>8396.1841833333328</v>
      </c>
      <c r="P163" s="12">
        <v>8659.8198916666661</v>
      </c>
      <c r="Q163" s="12">
        <v>8934.0910833333328</v>
      </c>
      <c r="R163" s="12">
        <v>9120.9951083333344</v>
      </c>
      <c r="S163" s="12">
        <v>9298.2806249999994</v>
      </c>
      <c r="T163" s="12">
        <v>9348.7302316666646</v>
      </c>
      <c r="U163" s="12">
        <v>9364.6395929999999</v>
      </c>
      <c r="V163" s="12">
        <v>9559.7999999999993</v>
      </c>
      <c r="W163" s="12" t="s">
        <v>705</v>
      </c>
      <c r="Y163" s="12" t="s">
        <v>703</v>
      </c>
      <c r="Z163" s="12">
        <v>7579.1703254999993</v>
      </c>
      <c r="AA163" s="12">
        <v>7591.5132274999996</v>
      </c>
      <c r="AB163" s="12">
        <v>7606.9418550000009</v>
      </c>
      <c r="AC163" s="12">
        <v>7739.6335000000017</v>
      </c>
      <c r="AD163" s="12">
        <v>7987.6902</v>
      </c>
      <c r="AE163" s="12">
        <v>8235.4900666666654</v>
      </c>
      <c r="AF163" s="12">
        <v>8542.3701483333334</v>
      </c>
      <c r="AG163" s="12">
        <v>8626.3722075000005</v>
      </c>
      <c r="AH163" s="12">
        <v>8693.5738548333338</v>
      </c>
      <c r="AI163" s="12">
        <v>8848.1200000000008</v>
      </c>
      <c r="AJ163" s="12" t="s">
        <v>706</v>
      </c>
      <c r="AK163" s="12">
        <v>8576.298845833333</v>
      </c>
      <c r="AL163" s="12">
        <v>8583.3052958333319</v>
      </c>
      <c r="AM163" s="12">
        <v>8592.0633583333329</v>
      </c>
      <c r="AN163" s="12">
        <v>8730.0292250000002</v>
      </c>
      <c r="AO163" s="12">
        <v>9029.1465499999995</v>
      </c>
      <c r="AP163" s="12">
        <v>9240.8501166666665</v>
      </c>
      <c r="AQ163" s="12">
        <v>9539.9198533333329</v>
      </c>
      <c r="AR163" s="12">
        <v>9608.9550099999997</v>
      </c>
      <c r="AS163" s="12">
        <v>9664.1831353333328</v>
      </c>
      <c r="AT163" s="12">
        <v>9805.08</v>
      </c>
      <c r="AU163" s="12" t="s">
        <v>707</v>
      </c>
      <c r="AW163" s="12">
        <f>IF(A163="","",MAX(0,MIN(1,(((IF(Статистика!$C$4="Параллельный режим (активная мощность)",B163,M163)+Статистика!$J$4))-Статистика!$C$10)/MAX(Статистика!$G$10-Статистика!$C$10,0.000001))))</f>
        <v>0</v>
      </c>
      <c r="AX163" s="12">
        <f>IF(A163="","",MAX(0,MAX(0,MIN(1,(((IF(Статистика!$C$4="Параллельный режим (активная мощность)",D163,O163)+Статистика!$J$4))-Статистика!$C$10)/MAX(Статистика!$G$10-Статистика!$C$10,0.000001)))-MAX(0,MIN(1,(((IF(Статистика!$C$4="Параллельный режим (активная мощность)",B163,M163)+Статистика!$J$4))-Статистика!$C$10)/MAX(Статистика!$G$10-Статистика!$C$10,0.000001)))))</f>
        <v>0.50756181277777801</v>
      </c>
      <c r="AY163" s="12">
        <f>IF(A163="","",MAX(0,MAX(0,MIN(1,(((IF(Статистика!$C$4="Параллельный режим (активная мощность)",E163,P163)+Статистика!$J$4))-Статистика!$C$10)/MAX(Статистика!$G$10-Статистика!$C$10,0.000001)))-MAX(0,MIN(1,(((IF(Статистика!$C$4="Параллельный режим (активная мощность)",D163,O163)+Статистика!$J$4))-Статистика!$C$10)/MAX(Статистика!$G$10-Статистика!$C$10,0.000001)))))</f>
        <v>7.1429867777777822E-2</v>
      </c>
      <c r="AZ163" s="12">
        <f>IF(A163="","",MAX(0,MAX(0,MIN(1,(((IF(Статистика!$C$4="Параллельный режим (активная мощность)",F163,Q163)+Статистика!$J$4))-Статистика!$C$10)/MAX(Статистика!$G$10-Статистика!$C$10,0.000001)))-MAX(0,MIN(1,(((IF(Статистика!$C$4="Параллельный режим (активная мощность)",E163,P163)+Статистика!$J$4))-Статистика!$C$10)/MAX(Статистика!$G$10-Статистика!$C$10,0.000001)))))</f>
        <v>7.9597124999999935E-2</v>
      </c>
      <c r="BA163" s="12">
        <f>IF(A163="","",MAX(0,MAX(0,MIN(1,(((IF(Статистика!$C$4="Параллельный режим (активная мощность)",G163,R163)+Статистика!$J$4))-Статистика!$C$10)/MAX(Статистика!$G$10-Статистика!$C$10,0.000001)))-MAX(0,MIN(1,(((IF(Статистика!$C$4="Параллельный режим (активная мощность)",F163,Q163)+Статистика!$J$4))-Статистика!$C$10)/MAX(Статистика!$G$10-Статистика!$C$10,0.000001)))))</f>
        <v>3.6872974999999863E-2</v>
      </c>
      <c r="BB163" s="12">
        <f>IF(A163="","",MAX(0,MAX(0,MIN(1,(((IF(Статистика!$C$4="Параллельный режим (активная мощность)",H163,S163)+Статистика!$J$4))-Статистика!$C$10)/MAX(Статистика!$G$10-Статистика!$C$10,0.000001)))-MAX(0,MIN(1,(((IF(Статистика!$C$4="Параллельный режим (активная мощность)",G163,R163)+Статистика!$J$4))-Статистика!$C$10)/MAX(Статистика!$G$10-Статистика!$C$10,0.000001)))))</f>
        <v>7.4300679444444295E-2</v>
      </c>
      <c r="BC163" s="12">
        <f>IF(A163="","",MAX(0,MAX(0,MIN(1,(((IF(Статистика!$C$4="Параллельный режим (активная мощность)",J163,U163)+Статистика!$J$4))-Статистика!$C$10)/MAX(Статистика!$G$10-Статистика!$C$10,0.000001)))-MAX(0,MIN(1,(((IF(Статистика!$C$4="Параллельный режим (активная мощность)",H163,S163)+Статистика!$J$4))-Статистика!$C$10)/MAX(Статистика!$G$10-Статистика!$C$10,0.000001)))))</f>
        <v>1.7522766000000023E-2</v>
      </c>
      <c r="BD163" s="12">
        <f>IF(A163="","",MAX(0,1-MAX(0,MIN(1,(((IF(Статистика!$C$4="Параллельный режим (активная мощность)",J163,U163)+Статистика!$J$4))-Статистика!$C$10)/MAX(Статистика!$G$10-Статистика!$C$10,0.000001)))))</f>
        <v>0.21271477400000005</v>
      </c>
      <c r="BE163" s="12">
        <f>IF(A163="",NA(),IF(Статистика!$B$8="Вкл",(((IF(Статистика!$C$4="Параллельный режим (активная мощность)",F163,Q163)+Статистика!$J$4))-Статистика!$C$10)/MAX(Статистика!$G$10-Статистика!$C$10,0.000001),NA()))</f>
        <v>0.65858880555555577</v>
      </c>
      <c r="BF163" s="12">
        <f>IF(A163="",NA(),IF(Статистика!$D$8="Вкл",(((IF(Статистика!$C$4="Параллельный режим (активная мощность)",E163,P163)+Статистика!$J$4))-Статистика!$C$10)/MAX(Статистика!$G$10-Статистика!$C$10,0.000001),NA()))</f>
        <v>0.57899168055555583</v>
      </c>
      <c r="BG163" s="12">
        <f>IF(A163="",NA(),IF(Статистика!$D$8="Вкл",(((IF(Статистика!$C$4="Параллельный режим (активная мощность)",G163,R163)+Статистика!$J$4))-Статистика!$C$10)/MAX(Статистика!$G$10-Статистика!$C$10,0.000001),NA()))</f>
        <v>0.69546178055555563</v>
      </c>
      <c r="BH163" s="12">
        <f>IF(A163="",NA(),IF(Статистика!$F$8="Вкл",(((IF(Статистика!$C$4="Параллельный режим (активная мощность)",D163,O163)+Статистика!$J$4))-Статистика!$C$10)/MAX(Статистика!$G$10-Статистика!$C$10,0.000001),NA()))</f>
        <v>0.50756181277777801</v>
      </c>
      <c r="BI163" s="12">
        <f>IF(A163="",NA(),IF(Статистика!$F$8="Вкл",(((IF(Статистика!$C$4="Параллельный режим (активная мощность)",H163,S163)+Статистика!$J$4))-Статистика!$C$10)/MAX(Статистика!$G$10-Статистика!$C$10,0.000001),NA()))</f>
        <v>0.76976245999999993</v>
      </c>
      <c r="BJ163" s="12">
        <f>IF(A163="",NA(),IF(Статистика!$H$8="Вкл",(((IF(Статистика!$C$4="Параллельный режим (активная мощность)",B163,M163)+Статистика!$J$4))-Статистика!$C$10)/MAX(Статистика!$G$10-Статистика!$C$10,0.000001),NA()))</f>
        <v>-0.9705147927222223</v>
      </c>
      <c r="BK163" s="12">
        <f>IF(A163="",NA(),IF(Статистика!$H$8="Вкл",(((IF(Статистика!$C$4="Параллельный режим (активная мощность)",J163,U163)+Статистика!$J$4))-Статистика!$C$10)/MAX(Статистика!$G$10-Статистика!$C$10,0.000001),NA()))</f>
        <v>0.78728522599999995</v>
      </c>
      <c r="BL163" s="12" t="e">
        <f>IF(A163="",NA(),IF(Статистика!$J$8="Вкл",(((IF(Статистика!$C$4="Параллельный режим (активная мощность)",K163,V163)+Статистика!$J$4))-Статистика!$C$10)/MAX(Статистика!$G$10-Статистика!$C$10,0.000001),NA()))</f>
        <v>#N/A</v>
      </c>
      <c r="BM163" s="12" t="e">
        <f>IF(AND(A163&lt;&gt;"",Статистика!$C$6="Вкл",Статистика!$B$6&gt;0),(Статистика!$B$6-Статистика!$C$10)/MAX(Статистика!$G$10-Статистика!$C$10,0.000001),NA())</f>
        <v>#N/A</v>
      </c>
      <c r="BN163" s="12" t="e">
        <f>IF(AND(A163&lt;&gt;"",Статистика!$F$6="Вкл",Статистика!$E$6&gt;0),(Статистика!$E$6-Статистика!$C$10)/MAX(Статистика!$G$10-Статистика!$C$10,0.000001),NA())</f>
        <v>#N/A</v>
      </c>
      <c r="BO163" s="12" t="e">
        <f>IF(AND(A163&lt;&gt;"",Статистика!$I$6="Вкл",Статистика!$H$6&gt;0),(Статистика!$H$6-Статистика!$C$10)/MAX(Статистика!$G$10-Статистика!$C$10,0.000001),NA())</f>
        <v>#N/A</v>
      </c>
      <c r="BP163" s="12" t="e">
        <f>IF(AND(A163&lt;&gt;"",Статистика!$L$6="Вкл",Статистика!$K$6&gt;0),(Статистика!$K$6-Статистика!$C$10)/MAX(Статистика!$G$10-Статистика!$C$10,0.000001),NA())</f>
        <v>#N/A</v>
      </c>
      <c r="BQ163" s="12" t="e">
        <f>IF(AND(A163&lt;&gt;"",Статистика!$M$6="Вкл",Статистика!$O$6&gt;0),(Статистика!$O$6-Статистика!$C$10)/MAX(Статистика!$G$10-Статистика!$C$10,0.000001),NA())</f>
        <v>#N/A</v>
      </c>
      <c r="BR163" s="12">
        <f t="shared" si="4"/>
        <v>1</v>
      </c>
      <c r="BT163" s="12">
        <f>IF(Y163="","",MAX(0,MIN(1,(((IF(Статистика!$C$4="Параллельный режим (активная мощность)",Z163,AK163)+Статистика!$J$4))-Статистика!$C$10)/MAX(Статистика!$G$10-Статистика!$C$10,0.000001))))</f>
        <v>0.52639010849999979</v>
      </c>
      <c r="BU163" s="12">
        <f>IF(Y163="","",MAX(0,MAX(0,MIN(1,(((IF(Статистика!$C$4="Параллельный режим (активная мощность)",AB163,AM163)+Статистика!$J$4))-Статистика!$C$10)/MAX(Статистика!$G$10-Статистика!$C$10,0.000001)))-MAX(0,MIN(1,(((IF(Статистика!$C$4="Параллельный режим (активная мощность)",Z163,AK163)+Статистика!$J$4))-Статистика!$C$10)/MAX(Статистика!$G$10-Статистика!$C$10,0.000001)))))</f>
        <v>9.2571765000005746E-3</v>
      </c>
      <c r="BV163" s="12">
        <f>IF(Y163="","",MAX(0,MAX(0,MIN(1,(((IF(Статистика!$C$4="Параллельный режим (активная мощность)",AC163,AN163)+Статистика!$J$4))-Статистика!$C$10)/MAX(Статистика!$G$10-Статистика!$C$10,0.000001)))-MAX(0,MIN(1,(((IF(Статистика!$C$4="Параллельный режим (активная мощность)",AB163,AM163)+Статистика!$J$4))-Статистика!$C$10)/MAX(Статистика!$G$10-Статистика!$C$10,0.000001)))))</f>
        <v>4.4230548333333508E-2</v>
      </c>
      <c r="BW163" s="12">
        <f>IF(Y163="","",MAX(0,MAX(0,MIN(1,(((IF(Статистика!$C$4="Параллельный режим (активная мощность)",AD163,AO163)+Статистика!$J$4))-Статистика!$C$10)/MAX(Статистика!$G$10-Статистика!$C$10,0.000001)))-MAX(0,MIN(1,(((IF(Статистика!$C$4="Параллельный режим (активная мощность)",AC163,AN163)+Статистика!$J$4))-Статистика!$C$10)/MAX(Статистика!$G$10-Статистика!$C$10,0.000001)))))</f>
        <v>8.2685566666666155E-2</v>
      </c>
      <c r="BX163" s="12">
        <f>IF(Y163="","",MAX(0,MAX(0,MIN(1,(((IF(Статистика!$C$4="Параллельный режим (активная мощность)",AE163,AP163)+Статистика!$J$4))-Статистика!$C$10)/MAX(Статистика!$G$10-Статистика!$C$10,0.000001)))-MAX(0,MIN(1,(((IF(Статистика!$C$4="Параллельный режим (активная мощность)",AD163,AO163)+Статистика!$J$4))-Статистика!$C$10)/MAX(Статистика!$G$10-Статистика!$C$10,0.000001)))))</f>
        <v>8.2599955555555105E-2</v>
      </c>
      <c r="BY163" s="12">
        <f>IF(Y163="","",MAX(0,MAX(0,MIN(1,(((IF(Статистика!$C$4="Параллельный режим (активная мощность)",AF163,AQ163)+Статистика!$J$4))-Статистика!$C$10)/MAX(Статистика!$G$10-Статистика!$C$10,0.000001)))-MAX(0,MIN(1,(((IF(Статистика!$C$4="Параллельный режим (активная мощность)",AE163,AP163)+Статистика!$J$4))-Статистика!$C$10)/MAX(Статистика!$G$10-Статистика!$C$10,0.000001)))))</f>
        <v>0.10229336055555605</v>
      </c>
      <c r="BZ163" s="12">
        <f>IF(Y163="","",MAX(0,MAX(0,MIN(1,(((IF(Статистика!$C$4="Параллельный режим (активная мощность)",AH163,AS163)+Статистика!$J$4))-Статистика!$C$10)/MAX(Статистика!$G$10-Статистика!$C$10,0.000001)))-MAX(0,MIN(1,(((IF(Статистика!$C$4="Параллельный режим (активная мощность)",AF163,AQ163)+Статистика!$J$4))-Статистика!$C$10)/MAX(Статистика!$G$10-Статистика!$C$10,0.000001)))))</f>
        <v>5.0401235500000086E-2</v>
      </c>
      <c r="CA163" s="12">
        <f>IF(Y163="","",MAX(0,1-MAX(0,MIN(1,(((IF(Статистика!$C$4="Параллельный режим (активная мощность)",AH163,AS163)+Статистика!$J$4))-Статистика!$C$10)/MAX(Статистика!$G$10-Статистика!$C$10,0.000001)))))</f>
        <v>0.10214204838888874</v>
      </c>
      <c r="CB163" s="12">
        <f>IF(Y163="",NA(),IF(Статистика!$B$8="Вкл",(((IF(Статистика!$C$4="Параллельный режим (активная мощность)",AD163,AO163)+Статистика!$J$4))-Статистика!$C$10)/MAX(Статистика!$G$10-Статистика!$C$10,0.000001),NA()))</f>
        <v>0.66256340000000002</v>
      </c>
      <c r="CC163" s="12">
        <f>IF(Y163="",NA(),IF(Статистика!$D$8="Вкл",(((IF(Статистика!$C$4="Параллельный режим (активная мощность)",AC163,AN163)+Статистика!$J$4))-Статистика!$C$10)/MAX(Статистика!$G$10-Статистика!$C$10,0.000001),NA()))</f>
        <v>0.57987783333333387</v>
      </c>
      <c r="CD163" s="12">
        <f>IF(Y163="",NA(),IF(Статистика!$D$8="Вкл",(((IF(Статистика!$C$4="Параллельный режим (активная мощность)",AE163,AP163)+Статистика!$J$4))-Статистика!$C$10)/MAX(Статистика!$G$10-Статистика!$C$10,0.000001),NA()))</f>
        <v>0.74516335555555513</v>
      </c>
      <c r="CE163" s="12">
        <f>IF(Y163="",NA(),IF(Статистика!$F$8="Вкл",(((IF(Статистика!$C$4="Параллельный режим (активная мощность)",AB163,AM163)+Статистика!$J$4))-Статистика!$C$10)/MAX(Статистика!$G$10-Статистика!$C$10,0.000001),NA()))</f>
        <v>0.53564728500000036</v>
      </c>
      <c r="CF163" s="12">
        <f>IF(Y163="",NA(),IF(Статистика!$F$8="Вкл",(((IF(Статистика!$C$4="Параллельный режим (активная мощность)",AF163,AQ163)+Статистика!$J$4))-Статистика!$C$10)/MAX(Статистика!$G$10-Статистика!$C$10,0.000001),NA()))</f>
        <v>0.84745671611111117</v>
      </c>
      <c r="CG163" s="12">
        <f>IF(Y163="",NA(),IF(Статистика!$H$8="Вкл",(((IF(Статистика!$C$4="Параллельный режим (активная мощность)",Z163,AK163)+Статистика!$J$4))-Статистика!$C$10)/MAX(Статистика!$G$10-Статистика!$C$10,0.000001),NA()))</f>
        <v>0.52639010849999979</v>
      </c>
      <c r="CH163" s="12">
        <f>IF(Y163="",NA(),IF(Статистика!$H$8="Вкл",(((IF(Статистика!$C$4="Параллельный режим (активная мощность)",AH163,AS163)+Статистика!$J$4))-Статистика!$C$10)/MAX(Статистика!$G$10-Статистика!$C$10,0.000001),NA()))</f>
        <v>0.89785795161111126</v>
      </c>
      <c r="CI163" s="12" t="e">
        <f>IF(Y163="",NA(),IF(Статистика!$J$8="Вкл",(((IF(Статистика!$C$4="Параллельный режим (активная мощность)",AI163,AT163)+Статистика!$J$4))-Статистика!$C$10)/MAX(Статистика!$G$10-Статистика!$C$10,0.000001),NA()))</f>
        <v>#N/A</v>
      </c>
      <c r="CJ163" s="12" t="e">
        <f>IF(AND(Y163&lt;&gt;"",Статистика!$C$6="Вкл",Статистика!$B$6&gt;0),(Статистика!$B$6-Статистика!$C$10)/MAX(Статистика!$G$10-Статистика!$C$10,0.000001),NA())</f>
        <v>#N/A</v>
      </c>
      <c r="CK163" s="12" t="e">
        <f>IF(AND(Y163&lt;&gt;"",Статистика!$F$6="Вкл",Статистика!$E$6&gt;0),(Статистика!$E$6-Статистика!$C$10)/MAX(Статистика!$G$10-Статистика!$C$10,0.000001),NA())</f>
        <v>#N/A</v>
      </c>
      <c r="CL163" s="12" t="e">
        <f>IF(AND(Y163&lt;&gt;"",Статистика!$I$6="Вкл",Статистика!$H$6&gt;0),(Статистика!$H$6-Статистика!$C$10)/MAX(Статистика!$G$10-Статистика!$C$10,0.000001),NA())</f>
        <v>#N/A</v>
      </c>
      <c r="CM163" s="12" t="e">
        <f>IF(AND(Y163&lt;&gt;"",Статистика!$L$6="Вкл",Статистика!$K$6&gt;0),(Статистика!$K$6-Статистика!$C$10)/MAX(Статистика!$G$10-Статистика!$C$10,0.000001),NA())</f>
        <v>#N/A</v>
      </c>
      <c r="CN163" s="12" t="e">
        <f>IF(AND(Y163&lt;&gt;"",Статистика!$M$6="Вкл",Статистика!$O$6&gt;0),(Статистика!$O$6-Статистика!$C$10)/MAX(Статистика!$G$10-Статистика!$C$10,0.000001),NA())</f>
        <v>#N/A</v>
      </c>
      <c r="CO163" s="12">
        <f t="shared" si="5"/>
        <v>1</v>
      </c>
    </row>
    <row r="164" spans="1:93" ht="15" customHeight="1">
      <c r="A164" s="12" t="s">
        <v>708</v>
      </c>
      <c r="B164" s="12">
        <v>3065.2107329999994</v>
      </c>
      <c r="C164" s="12">
        <v>6054.323131666667</v>
      </c>
      <c r="D164" s="12">
        <v>7519.2169949999998</v>
      </c>
      <c r="E164" s="12">
        <v>7767.3747083333337</v>
      </c>
      <c r="F164" s="12">
        <v>7978.9141666666665</v>
      </c>
      <c r="G164" s="12">
        <v>8129.6681583333338</v>
      </c>
      <c r="H164" s="12">
        <v>8307.9481100000012</v>
      </c>
      <c r="I164" s="12">
        <v>8399.9832966666672</v>
      </c>
      <c r="J164" s="12">
        <v>8480.4539660000009</v>
      </c>
      <c r="K164" s="12">
        <v>8601.66</v>
      </c>
      <c r="L164" s="12" t="s">
        <v>709</v>
      </c>
      <c r="M164" s="12">
        <v>3646.2152243333335</v>
      </c>
      <c r="N164" s="12">
        <v>6850.8674550000005</v>
      </c>
      <c r="O164" s="12">
        <v>8395.9149233333337</v>
      </c>
      <c r="P164" s="12">
        <v>8682.9061666666676</v>
      </c>
      <c r="Q164" s="12">
        <v>8966.4002333333337</v>
      </c>
      <c r="R164" s="12">
        <v>9107.5495916666659</v>
      </c>
      <c r="S164" s="12">
        <v>9302.3759766666662</v>
      </c>
      <c r="T164" s="12">
        <v>9400.7923774999999</v>
      </c>
      <c r="U164" s="12">
        <v>9483.0553821666654</v>
      </c>
      <c r="V164" s="12">
        <v>9600.67</v>
      </c>
      <c r="W164" s="12" t="s">
        <v>710</v>
      </c>
      <c r="Y164" s="12" t="s">
        <v>708</v>
      </c>
      <c r="Z164" s="12">
        <v>7565.0548800000006</v>
      </c>
      <c r="AA164" s="12">
        <v>7566.2317333333331</v>
      </c>
      <c r="AB164" s="12">
        <v>7567.7028</v>
      </c>
      <c r="AC164" s="12">
        <v>7737.7471583333327</v>
      </c>
      <c r="AD164" s="12">
        <v>7984.9559833333333</v>
      </c>
      <c r="AE164" s="12">
        <v>8241.7592999999997</v>
      </c>
      <c r="AF164" s="12">
        <v>8545.8524666666672</v>
      </c>
      <c r="AG164" s="12">
        <v>8633.4621499999994</v>
      </c>
      <c r="AH164" s="12">
        <v>8703.5498966666673</v>
      </c>
      <c r="AI164" s="12">
        <v>8869.0300000000007</v>
      </c>
      <c r="AJ164" s="12" t="s">
        <v>711</v>
      </c>
      <c r="AK164" s="12">
        <v>8511.1198751666689</v>
      </c>
      <c r="AL164" s="12">
        <v>8527.5556425000013</v>
      </c>
      <c r="AM164" s="12">
        <v>8548.1003516666678</v>
      </c>
      <c r="AN164" s="12">
        <v>8723.9984083333329</v>
      </c>
      <c r="AO164" s="12">
        <v>8991.8237666666682</v>
      </c>
      <c r="AP164" s="12">
        <v>9240.997891666666</v>
      </c>
      <c r="AQ164" s="12">
        <v>9543.8336383333335</v>
      </c>
      <c r="AR164" s="12">
        <v>9613.9293691666662</v>
      </c>
      <c r="AS164" s="12">
        <v>9670.0059538333335</v>
      </c>
      <c r="AT164" s="12">
        <v>9826.3799999999992</v>
      </c>
      <c r="AU164" s="12" t="s">
        <v>712</v>
      </c>
      <c r="AW164" s="12">
        <f>IF(A164="","",MAX(0,MIN(1,(((IF(Статистика!$C$4="Параллельный режим (активная мощность)",B164,M164)+Статистика!$J$4))-Статистика!$C$10)/MAX(Статистика!$G$10-Статистика!$C$10,0.000001))))</f>
        <v>0</v>
      </c>
      <c r="AX164" s="12">
        <f>IF(A164="","",MAX(0,MAX(0,MIN(1,(((IF(Статистика!$C$4="Параллельный режим (активная мощность)",D164,O164)+Статистика!$J$4))-Статистика!$C$10)/MAX(Статистика!$G$10-Статистика!$C$10,0.000001)))-MAX(0,MIN(1,(((IF(Статистика!$C$4="Параллельный режим (активная мощность)",B164,M164)+Статистика!$J$4))-Статистика!$C$10)/MAX(Статистика!$G$10-Статистика!$C$10,0.000001)))))</f>
        <v>0.50640566499999995</v>
      </c>
      <c r="AY164" s="12">
        <f>IF(A164="","",MAX(0,MAX(0,MIN(1,(((IF(Статистика!$C$4="Параллельный режим (активная мощность)",E164,P164)+Статистика!$J$4))-Статистика!$C$10)/MAX(Статистика!$G$10-Статистика!$C$10,0.000001)))-MAX(0,MIN(1,(((IF(Статистика!$C$4="Параллельный режим (активная мощность)",D164,O164)+Статистика!$J$4))-Статистика!$C$10)/MAX(Статистика!$G$10-Статистика!$C$10,0.000001)))))</f>
        <v>8.271923777777801E-2</v>
      </c>
      <c r="AZ164" s="12">
        <f>IF(A164="","",MAX(0,MAX(0,MIN(1,(((IF(Статистика!$C$4="Параллельный режим (активная мощность)",F164,Q164)+Статистика!$J$4))-Статистика!$C$10)/MAX(Статистика!$G$10-Статистика!$C$10,0.000001)))-MAX(0,MIN(1,(((IF(Статистика!$C$4="Параллельный режим (активная мощность)",E164,P164)+Статистика!$J$4))-Статистика!$C$10)/MAX(Статистика!$G$10-Статистика!$C$10,0.000001)))))</f>
        <v>7.0513152777777477E-2</v>
      </c>
      <c r="BA164" s="12">
        <f>IF(A164="","",MAX(0,MAX(0,MIN(1,(((IF(Статистика!$C$4="Параллельный режим (активная мощность)",G164,R164)+Статистика!$J$4))-Статистика!$C$10)/MAX(Статистика!$G$10-Статистика!$C$10,0.000001)))-MAX(0,MIN(1,(((IF(Статистика!$C$4="Параллельный режим (активная мощность)",F164,Q164)+Статистика!$J$4))-Статистика!$C$10)/MAX(Статистика!$G$10-Статистика!$C$10,0.000001)))))</f>
        <v>5.0251330555555862E-2</v>
      </c>
      <c r="BB164" s="12">
        <f>IF(A164="","",MAX(0,MAX(0,MIN(1,(((IF(Статистика!$C$4="Параллельный режим (активная мощность)",H164,S164)+Статистика!$J$4))-Статистика!$C$10)/MAX(Статистика!$G$10-Статистика!$C$10,0.000001)))-MAX(0,MIN(1,(((IF(Статистика!$C$4="Параллельный режим (активная мощность)",G164,R164)+Статистика!$J$4))-Статистика!$C$10)/MAX(Статистика!$G$10-Статистика!$C$10,0.000001)))))</f>
        <v>5.9426650555555738E-2</v>
      </c>
      <c r="BC164" s="12">
        <f>IF(A164="","",MAX(0,MAX(0,MIN(1,(((IF(Статистика!$C$4="Параллельный режим (активная мощность)",J164,U164)+Статистика!$J$4))-Статистика!$C$10)/MAX(Статистика!$G$10-Статистика!$C$10,0.000001)))-MAX(0,MIN(1,(((IF(Статистика!$C$4="Параллельный режим (активная мощность)",H164,S164)+Статистика!$J$4))-Статистика!$C$10)/MAX(Статистика!$G$10-Статистика!$C$10,0.000001)))))</f>
        <v>5.7501951999999967E-2</v>
      </c>
      <c r="BD164" s="12">
        <f>IF(A164="","",MAX(0,1-MAX(0,MIN(1,(((IF(Статистика!$C$4="Параллельный режим (активная мощность)",J164,U164)+Статистика!$J$4))-Статистика!$C$10)/MAX(Статистика!$G$10-Статистика!$C$10,0.000001)))))</f>
        <v>0.173182011333333</v>
      </c>
      <c r="BE164" s="12">
        <f>IF(A164="",NA(),IF(Статистика!$B$8="Вкл",(((IF(Статистика!$C$4="Параллельный режим (активная мощность)",F164,Q164)+Статистика!$J$4))-Статистика!$C$10)/MAX(Статистика!$G$10-Статистика!$C$10,0.000001),NA()))</f>
        <v>0.65963805555555544</v>
      </c>
      <c r="BF164" s="12">
        <f>IF(A164="",NA(),IF(Статистика!$D$8="Вкл",(((IF(Статистика!$C$4="Параллельный режим (активная мощность)",E164,P164)+Статистика!$J$4))-Статистика!$C$10)/MAX(Статистика!$G$10-Статистика!$C$10,0.000001),NA()))</f>
        <v>0.58912490277777796</v>
      </c>
      <c r="BG164" s="12">
        <f>IF(A164="",NA(),IF(Статистика!$D$8="Вкл",(((IF(Статистика!$C$4="Параллельный режим (активная мощность)",G164,R164)+Статистика!$J$4))-Статистика!$C$10)/MAX(Статистика!$G$10-Статистика!$C$10,0.000001),NA()))</f>
        <v>0.7098893861111113</v>
      </c>
      <c r="BH164" s="12">
        <f>IF(A164="",NA(),IF(Статистика!$F$8="Вкл",(((IF(Статистика!$C$4="Параллельный режим (активная мощность)",D164,O164)+Статистика!$J$4))-Статистика!$C$10)/MAX(Статистика!$G$10-Статистика!$C$10,0.000001),NA()))</f>
        <v>0.50640566499999995</v>
      </c>
      <c r="BI164" s="12">
        <f>IF(A164="",NA(),IF(Статистика!$F$8="Вкл",(((IF(Статистика!$C$4="Параллельный режим (активная мощность)",H164,S164)+Статистика!$J$4))-Статистика!$C$10)/MAX(Статистика!$G$10-Статистика!$C$10,0.000001),NA()))</f>
        <v>0.76931603666666704</v>
      </c>
      <c r="BJ164" s="12">
        <f>IF(A164="",NA(),IF(Статистика!$H$8="Вкл",(((IF(Статистика!$C$4="Параллельный режим (активная мощность)",B164,M164)+Статистика!$J$4))-Статистика!$C$10)/MAX(Статистика!$G$10-Статистика!$C$10,0.000001),NA()))</f>
        <v>-0.97826308900000014</v>
      </c>
      <c r="BK164" s="12">
        <f>IF(A164="",NA(),IF(Статистика!$H$8="Вкл",(((IF(Статистика!$C$4="Параллельный режим (активная мощность)",J164,U164)+Статистика!$J$4))-Статистика!$C$10)/MAX(Статистика!$G$10-Статистика!$C$10,0.000001),NA()))</f>
        <v>0.826817988666667</v>
      </c>
      <c r="BL164" s="12" t="e">
        <f>IF(A164="",NA(),IF(Статистика!$J$8="Вкл",(((IF(Статистика!$C$4="Параллельный режим (активная мощность)",K164,V164)+Статистика!$J$4))-Статистика!$C$10)/MAX(Статистика!$G$10-Статистика!$C$10,0.000001),NA()))</f>
        <v>#N/A</v>
      </c>
      <c r="BM164" s="12" t="e">
        <f>IF(AND(A164&lt;&gt;"",Статистика!$C$6="Вкл",Статистика!$B$6&gt;0),(Статистика!$B$6-Статистика!$C$10)/MAX(Статистика!$G$10-Статистика!$C$10,0.000001),NA())</f>
        <v>#N/A</v>
      </c>
      <c r="BN164" s="12" t="e">
        <f>IF(AND(A164&lt;&gt;"",Статистика!$F$6="Вкл",Статистика!$E$6&gt;0),(Статистика!$E$6-Статистика!$C$10)/MAX(Статистика!$G$10-Статистика!$C$10,0.000001),NA())</f>
        <v>#N/A</v>
      </c>
      <c r="BO164" s="12" t="e">
        <f>IF(AND(A164&lt;&gt;"",Статистика!$I$6="Вкл",Статистика!$H$6&gt;0),(Статистика!$H$6-Статистика!$C$10)/MAX(Статистика!$G$10-Статистика!$C$10,0.000001),NA())</f>
        <v>#N/A</v>
      </c>
      <c r="BP164" s="12" t="e">
        <f>IF(AND(A164&lt;&gt;"",Статистика!$L$6="Вкл",Статистика!$K$6&gt;0),(Статистика!$K$6-Статистика!$C$10)/MAX(Статистика!$G$10-Статистика!$C$10,0.000001),NA())</f>
        <v>#N/A</v>
      </c>
      <c r="BQ164" s="12" t="e">
        <f>IF(AND(A164&lt;&gt;"",Статистика!$M$6="Вкл",Статистика!$O$6&gt;0),(Статистика!$O$6-Статистика!$C$10)/MAX(Статистика!$G$10-Статистика!$C$10,0.000001),NA())</f>
        <v>#N/A</v>
      </c>
      <c r="BR164" s="12">
        <f t="shared" si="4"/>
        <v>1</v>
      </c>
      <c r="BT164" s="12">
        <f>IF(Y164="","",MAX(0,MIN(1,(((IF(Статистика!$C$4="Параллельный режим (активная мощность)",Z164,AK164)+Статистика!$J$4))-Статистика!$C$10)/MAX(Статистика!$G$10-Статистика!$C$10,0.000001))))</f>
        <v>0.5216849600000002</v>
      </c>
      <c r="BU164" s="12">
        <f>IF(Y164="","",MAX(0,MAX(0,MIN(1,(((IF(Статистика!$C$4="Параллельный режим (активная мощность)",AB164,AM164)+Статистика!$J$4))-Статистика!$C$10)/MAX(Статистика!$G$10-Статистика!$C$10,0.000001)))-MAX(0,MIN(1,(((IF(Статистика!$C$4="Параллельный режим (активная мощность)",Z164,AK164)+Статистика!$J$4))-Статистика!$C$10)/MAX(Статистика!$G$10-Статистика!$C$10,0.000001)))))</f>
        <v>8.8263999999982357E-4</v>
      </c>
      <c r="BV164" s="12">
        <f>IF(Y164="","",MAX(0,MAX(0,MIN(1,(((IF(Статистика!$C$4="Параллельный режим (активная мощность)",AC164,AN164)+Статистика!$J$4))-Статистика!$C$10)/MAX(Статистика!$G$10-Статистика!$C$10,0.000001)))-MAX(0,MIN(1,(((IF(Статистика!$C$4="Параллельный режим (активная мощность)",AB164,AM164)+Статистика!$J$4))-Статистика!$C$10)/MAX(Статистика!$G$10-Статистика!$C$10,0.000001)))))</f>
        <v>5.6681452777777586E-2</v>
      </c>
      <c r="BW164" s="12">
        <f>IF(Y164="","",MAX(0,MAX(0,MIN(1,(((IF(Статистика!$C$4="Параллельный режим (активная мощность)",AD164,AO164)+Статистика!$J$4))-Статистика!$C$10)/MAX(Статистика!$G$10-Статистика!$C$10,0.000001)))-MAX(0,MIN(1,(((IF(Статистика!$C$4="Параллельный режим (активная мощность)",AC164,AN164)+Статистика!$J$4))-Статистика!$C$10)/MAX(Статистика!$G$10-Статистика!$C$10,0.000001)))))</f>
        <v>8.240294166666684E-2</v>
      </c>
      <c r="BX164" s="12">
        <f>IF(Y164="","",MAX(0,MAX(0,MIN(1,(((IF(Статистика!$C$4="Параллельный режим (активная мощность)",AE164,AP164)+Статистика!$J$4))-Статистика!$C$10)/MAX(Статистика!$G$10-Статистика!$C$10,0.000001)))-MAX(0,MIN(1,(((IF(Статистика!$C$4="Параллельный режим (активная мощность)",AD164,AO164)+Статистика!$J$4))-Статистика!$C$10)/MAX(Статистика!$G$10-Статистика!$C$10,0.000001)))))</f>
        <v>8.5601105555555446E-2</v>
      </c>
      <c r="BY164" s="12">
        <f>IF(Y164="","",MAX(0,MAX(0,MIN(1,(((IF(Статистика!$C$4="Параллельный режим (активная мощность)",AF164,AQ164)+Статистика!$J$4))-Статистика!$C$10)/MAX(Статистика!$G$10-Статистика!$C$10,0.000001)))-MAX(0,MIN(1,(((IF(Статистика!$C$4="Параллельный режим (активная мощность)",AE164,AP164)+Статистика!$J$4))-Статистика!$C$10)/MAX(Статистика!$G$10-Статистика!$C$10,0.000001)))))</f>
        <v>0.10136438888888921</v>
      </c>
      <c r="BZ164" s="12">
        <f>IF(Y164="","",MAX(0,MAX(0,MIN(1,(((IF(Статистика!$C$4="Параллельный режим (активная мощность)",AH164,AS164)+Статистика!$J$4))-Статистика!$C$10)/MAX(Статистика!$G$10-Статистика!$C$10,0.000001)))-MAX(0,MIN(1,(((IF(Статистика!$C$4="Параллельный режим (активная мощность)",AF164,AQ164)+Статистика!$J$4))-Статистика!$C$10)/MAX(Статистика!$G$10-Статистика!$C$10,0.000001)))))</f>
        <v>5.2565810000000046E-2</v>
      </c>
      <c r="CA164" s="12">
        <f>IF(Y164="","",MAX(0,1-MAX(0,MIN(1,(((IF(Статистика!$C$4="Параллельный режим (активная мощность)",AH164,AS164)+Статистика!$J$4))-Статистика!$C$10)/MAX(Статистика!$G$10-Статистика!$C$10,0.000001)))))</f>
        <v>9.881670111111085E-2</v>
      </c>
      <c r="CB164" s="12">
        <f>IF(Y164="",NA(),IF(Статистика!$B$8="Вкл",(((IF(Статистика!$C$4="Параллельный режим (активная мощность)",AD164,AO164)+Статистика!$J$4))-Статистика!$C$10)/MAX(Статистика!$G$10-Статистика!$C$10,0.000001),NA()))</f>
        <v>0.66165199444444445</v>
      </c>
      <c r="CC164" s="12">
        <f>IF(Y164="",NA(),IF(Статистика!$D$8="Вкл",(((IF(Статистика!$C$4="Параллельный режим (активная мощность)",AC164,AN164)+Статистика!$J$4))-Статистика!$C$10)/MAX(Статистика!$G$10-Статистика!$C$10,0.000001),NA()))</f>
        <v>0.57924905277777761</v>
      </c>
      <c r="CD164" s="12">
        <f>IF(Y164="",NA(),IF(Статистика!$D$8="Вкл",(((IF(Статистика!$C$4="Параллельный режим (активная мощность)",AE164,AP164)+Статистика!$J$4))-Статистика!$C$10)/MAX(Статистика!$G$10-Статистика!$C$10,0.000001),NA()))</f>
        <v>0.74725309999999989</v>
      </c>
      <c r="CE164" s="12">
        <f>IF(Y164="",NA(),IF(Статистика!$F$8="Вкл",(((IF(Статистика!$C$4="Параллельный режим (активная мощность)",AB164,AM164)+Статистика!$J$4))-Статистика!$C$10)/MAX(Статистика!$G$10-Статистика!$C$10,0.000001),NA()))</f>
        <v>0.52256760000000002</v>
      </c>
      <c r="CF164" s="12">
        <f>IF(Y164="",NA(),IF(Статистика!$F$8="Вкл",(((IF(Статистика!$C$4="Параллельный режим (активная мощность)",AF164,AQ164)+Статистика!$J$4))-Статистика!$C$10)/MAX(Статистика!$G$10-Статистика!$C$10,0.000001),NA()))</f>
        <v>0.8486174888888891</v>
      </c>
      <c r="CG164" s="12">
        <f>IF(Y164="",NA(),IF(Статистика!$H$8="Вкл",(((IF(Статистика!$C$4="Параллельный режим (активная мощность)",Z164,AK164)+Статистика!$J$4))-Статистика!$C$10)/MAX(Статистика!$G$10-Статистика!$C$10,0.000001),NA()))</f>
        <v>0.5216849600000002</v>
      </c>
      <c r="CH164" s="12">
        <f>IF(Y164="",NA(),IF(Статистика!$H$8="Вкл",(((IF(Статистика!$C$4="Параллельный режим (активная мощность)",AH164,AS164)+Статистика!$J$4))-Статистика!$C$10)/MAX(Статистика!$G$10-Статистика!$C$10,0.000001),NA()))</f>
        <v>0.90118329888888915</v>
      </c>
      <c r="CI164" s="12" t="e">
        <f>IF(Y164="",NA(),IF(Статистика!$J$8="Вкл",(((IF(Статистика!$C$4="Параллельный режим (активная мощность)",AI164,AT164)+Статистика!$J$4))-Статистика!$C$10)/MAX(Статистика!$G$10-Статистика!$C$10,0.000001),NA()))</f>
        <v>#N/A</v>
      </c>
      <c r="CJ164" s="12" t="e">
        <f>IF(AND(Y164&lt;&gt;"",Статистика!$C$6="Вкл",Статистика!$B$6&gt;0),(Статистика!$B$6-Статистика!$C$10)/MAX(Статистика!$G$10-Статистика!$C$10,0.000001),NA())</f>
        <v>#N/A</v>
      </c>
      <c r="CK164" s="12" t="e">
        <f>IF(AND(Y164&lt;&gt;"",Статистика!$F$6="Вкл",Статистика!$E$6&gt;0),(Статистика!$E$6-Статистика!$C$10)/MAX(Статистика!$G$10-Статистика!$C$10,0.000001),NA())</f>
        <v>#N/A</v>
      </c>
      <c r="CL164" s="12" t="e">
        <f>IF(AND(Y164&lt;&gt;"",Статистика!$I$6="Вкл",Статистика!$H$6&gt;0),(Статистика!$H$6-Статистика!$C$10)/MAX(Статистика!$G$10-Статистика!$C$10,0.000001),NA())</f>
        <v>#N/A</v>
      </c>
      <c r="CM164" s="12" t="e">
        <f>IF(AND(Y164&lt;&gt;"",Статистика!$L$6="Вкл",Статистика!$K$6&gt;0),(Статистика!$K$6-Статистика!$C$10)/MAX(Статистика!$G$10-Статистика!$C$10,0.000001),NA())</f>
        <v>#N/A</v>
      </c>
      <c r="CN164" s="12" t="e">
        <f>IF(AND(Y164&lt;&gt;"",Статистика!$M$6="Вкл",Статистика!$O$6&gt;0),(Статистика!$O$6-Статистика!$C$10)/MAX(Статистика!$G$10-Статистика!$C$10,0.000001),NA())</f>
        <v>#N/A</v>
      </c>
      <c r="CO164" s="12">
        <f t="shared" si="5"/>
        <v>1</v>
      </c>
    </row>
    <row r="165" spans="1:93" ht="15" customHeight="1">
      <c r="A165" s="12" t="s">
        <v>713</v>
      </c>
      <c r="B165" s="12">
        <v>3067.0837620000002</v>
      </c>
      <c r="C165" s="12">
        <v>6115.9092100000007</v>
      </c>
      <c r="D165" s="12">
        <v>7575.7287900000001</v>
      </c>
      <c r="E165" s="12">
        <v>7768.8618500000002</v>
      </c>
      <c r="F165" s="12">
        <v>7993.7914333333329</v>
      </c>
      <c r="G165" s="12">
        <v>8114.5278999999991</v>
      </c>
      <c r="H165" s="12">
        <v>8268.938435</v>
      </c>
      <c r="I165" s="12">
        <v>8335.1769874999991</v>
      </c>
      <c r="J165" s="12">
        <v>8470.9448375000011</v>
      </c>
      <c r="K165" s="12">
        <v>8646.2000000000007</v>
      </c>
      <c r="L165" s="12" t="s">
        <v>714</v>
      </c>
      <c r="M165" s="12">
        <v>3651.1504833333333</v>
      </c>
      <c r="N165" s="12">
        <v>6904.8364166666679</v>
      </c>
      <c r="O165" s="12">
        <v>8463.5632833333329</v>
      </c>
      <c r="P165" s="12">
        <v>8679.1829333333335</v>
      </c>
      <c r="Q165" s="12">
        <v>8976.2262333333347</v>
      </c>
      <c r="R165" s="12">
        <v>9094.725966666665</v>
      </c>
      <c r="S165" s="12">
        <v>9245.0318183333329</v>
      </c>
      <c r="T165" s="12">
        <v>9321.3972350000004</v>
      </c>
      <c r="U165" s="12">
        <v>9458.5746203333329</v>
      </c>
      <c r="V165" s="12">
        <v>9629.5499999999993</v>
      </c>
      <c r="W165" s="12" t="s">
        <v>714</v>
      </c>
      <c r="Y165" s="12" t="s">
        <v>713</v>
      </c>
      <c r="Z165" s="12">
        <v>7580.0742936666675</v>
      </c>
      <c r="AA165" s="12">
        <v>7582.8693350000003</v>
      </c>
      <c r="AB165" s="12">
        <v>7586.3631366666668</v>
      </c>
      <c r="AC165" s="12">
        <v>7747.1492666666672</v>
      </c>
      <c r="AD165" s="12">
        <v>7891.3463833333335</v>
      </c>
      <c r="AE165" s="12">
        <v>8250.9660583333334</v>
      </c>
      <c r="AF165" s="12">
        <v>8515.0753183333327</v>
      </c>
      <c r="AG165" s="12">
        <v>8590.1290425000007</v>
      </c>
      <c r="AH165" s="12">
        <v>8650.1720218333339</v>
      </c>
      <c r="AI165" s="12">
        <v>8888.86</v>
      </c>
      <c r="AJ165" s="12" t="s">
        <v>715</v>
      </c>
      <c r="AK165" s="12">
        <v>8537.0142090000008</v>
      </c>
      <c r="AL165" s="12">
        <v>8549.5682450000004</v>
      </c>
      <c r="AM165" s="12">
        <v>8565.2607900000003</v>
      </c>
      <c r="AN165" s="12">
        <v>8739.3463499999998</v>
      </c>
      <c r="AO165" s="12">
        <v>8956.3579166666677</v>
      </c>
      <c r="AP165" s="12">
        <v>9261.298525000002</v>
      </c>
      <c r="AQ165" s="12">
        <v>9518.7927516666678</v>
      </c>
      <c r="AR165" s="12">
        <v>9577.6843591666675</v>
      </c>
      <c r="AS165" s="12">
        <v>9624.7976451666673</v>
      </c>
      <c r="AT165" s="12">
        <v>9892.6200000000008</v>
      </c>
      <c r="AU165" s="12" t="s">
        <v>715</v>
      </c>
      <c r="AW165" s="12">
        <f>IF(A165="","",MAX(0,MIN(1,(((IF(Статистика!$C$4="Параллельный режим (активная мощность)",B165,M165)+Статистика!$J$4))-Статистика!$C$10)/MAX(Статистика!$G$10-Статистика!$C$10,0.000001))))</f>
        <v>0</v>
      </c>
      <c r="AX165" s="12">
        <f>IF(A165="","",MAX(0,MAX(0,MIN(1,(((IF(Статистика!$C$4="Параллельный режим (активная мощность)",D165,O165)+Статистика!$J$4))-Статистика!$C$10)/MAX(Статистика!$G$10-Статистика!$C$10,0.000001)))-MAX(0,MIN(1,(((IF(Статистика!$C$4="Параллельный режим (активная мощность)",B165,M165)+Статистика!$J$4))-Статистика!$C$10)/MAX(Статистика!$G$10-Статистика!$C$10,0.000001)))))</f>
        <v>0.52524293</v>
      </c>
      <c r="AY165" s="12">
        <f>IF(A165="","",MAX(0,MAX(0,MIN(1,(((IF(Статистика!$C$4="Параллельный режим (активная мощность)",E165,P165)+Статистика!$J$4))-Статистика!$C$10)/MAX(Статистика!$G$10-Статистика!$C$10,0.000001)))-MAX(0,MIN(1,(((IF(Статистика!$C$4="Параллельный режим (активная мощность)",D165,O165)+Статистика!$J$4))-Статистика!$C$10)/MAX(Статистика!$G$10-Статистика!$C$10,0.000001)))))</f>
        <v>6.4377686666666767E-2</v>
      </c>
      <c r="AZ165" s="12">
        <f>IF(A165="","",MAX(0,MAX(0,MIN(1,(((IF(Статистика!$C$4="Параллельный режим (активная мощность)",F165,Q165)+Статистика!$J$4))-Статистика!$C$10)/MAX(Статистика!$G$10-Статистика!$C$10,0.000001)))-MAX(0,MIN(1,(((IF(Статистика!$C$4="Параллельный режим (активная мощность)",E165,P165)+Статистика!$J$4))-Статистика!$C$10)/MAX(Статистика!$G$10-Статистика!$C$10,0.000001)))))</f>
        <v>7.4976527777777524E-2</v>
      </c>
      <c r="BA165" s="12">
        <f>IF(A165="","",MAX(0,MAX(0,MIN(1,(((IF(Статистика!$C$4="Параллельный режим (активная мощность)",G165,R165)+Статистика!$J$4))-Статистика!$C$10)/MAX(Статистика!$G$10-Статистика!$C$10,0.000001)))-MAX(0,MIN(1,(((IF(Статистика!$C$4="Параллельный режим (активная мощность)",F165,Q165)+Статистика!$J$4))-Статистика!$C$10)/MAX(Статистика!$G$10-Статистика!$C$10,0.000001)))))</f>
        <v>4.0245488888888792E-2</v>
      </c>
      <c r="BB165" s="12">
        <f>IF(A165="","",MAX(0,MAX(0,MIN(1,(((IF(Статистика!$C$4="Параллельный режим (активная мощность)",H165,S165)+Статистика!$J$4))-Статистика!$C$10)/MAX(Статистика!$G$10-Статистика!$C$10,0.000001)))-MAX(0,MIN(1,(((IF(Статистика!$C$4="Параллельный режим (активная мощность)",G165,R165)+Статистика!$J$4))-Статистика!$C$10)/MAX(Статистика!$G$10-Статистика!$C$10,0.000001)))))</f>
        <v>5.1470178333333561E-2</v>
      </c>
      <c r="BC165" s="12">
        <f>IF(A165="","",MAX(0,MAX(0,MIN(1,(((IF(Статистика!$C$4="Параллельный режим (активная мощность)",J165,U165)+Статистика!$J$4))-Статистика!$C$10)/MAX(Статистика!$G$10-Статистика!$C$10,0.000001)))-MAX(0,MIN(1,(((IF(Статистика!$C$4="Параллельный режим (активная мощность)",H165,S165)+Статистика!$J$4))-Статистика!$C$10)/MAX(Статистика!$G$10-Статистика!$C$10,0.000001)))))</f>
        <v>6.7335467500000412E-2</v>
      </c>
      <c r="BD165" s="12">
        <f>IF(A165="","",MAX(0,1-MAX(0,MIN(1,(((IF(Статистика!$C$4="Параллельный режим (активная мощность)",J165,U165)+Статистика!$J$4))-Статистика!$C$10)/MAX(Статистика!$G$10-Статистика!$C$10,0.000001)))))</f>
        <v>0.17635172083333295</v>
      </c>
      <c r="BE165" s="12">
        <f>IF(A165="",NA(),IF(Статистика!$B$8="Вкл",(((IF(Статистика!$C$4="Параллельный режим (активная мощность)",F165,Q165)+Статистика!$J$4))-Статистика!$C$10)/MAX(Статистика!$G$10-Статистика!$C$10,0.000001),NA()))</f>
        <v>0.66459714444444429</v>
      </c>
      <c r="BF165" s="12">
        <f>IF(A165="",NA(),IF(Статистика!$D$8="Вкл",(((IF(Статистика!$C$4="Параллельный режим (активная мощность)",E165,P165)+Статистика!$J$4))-Статистика!$C$10)/MAX(Статистика!$G$10-Статистика!$C$10,0.000001),NA()))</f>
        <v>0.58962061666666676</v>
      </c>
      <c r="BG165" s="12">
        <f>IF(A165="",NA(),IF(Статистика!$D$8="Вкл",(((IF(Статистика!$C$4="Параллельный режим (активная мощность)",G165,R165)+Статистика!$J$4))-Статистика!$C$10)/MAX(Статистика!$G$10-Статистика!$C$10,0.000001),NA()))</f>
        <v>0.70484263333333308</v>
      </c>
      <c r="BH165" s="12">
        <f>IF(A165="",NA(),IF(Статистика!$F$8="Вкл",(((IF(Статистика!$C$4="Параллельный режим (активная мощность)",D165,O165)+Статистика!$J$4))-Статистика!$C$10)/MAX(Статистика!$G$10-Статистика!$C$10,0.000001),NA()))</f>
        <v>0.52524293</v>
      </c>
      <c r="BI165" s="12">
        <f>IF(A165="",NA(),IF(Статистика!$F$8="Вкл",(((IF(Статистика!$C$4="Параллельный режим (активная мощность)",H165,S165)+Статистика!$J$4))-Статистика!$C$10)/MAX(Статистика!$G$10-Статистика!$C$10,0.000001),NA()))</f>
        <v>0.75631281166666664</v>
      </c>
      <c r="BJ165" s="12">
        <f>IF(A165="",NA(),IF(Статистика!$H$8="Вкл",(((IF(Статистика!$C$4="Параллельный режим (активная мощность)",B165,M165)+Статистика!$J$4))-Статистика!$C$10)/MAX(Статистика!$G$10-Статистика!$C$10,0.000001),NA()))</f>
        <v>-0.97763874599999989</v>
      </c>
      <c r="BK165" s="12">
        <f>IF(A165="",NA(),IF(Статистика!$H$8="Вкл",(((IF(Статистика!$C$4="Параллельный режим (активная мощность)",J165,U165)+Статистика!$J$4))-Статистика!$C$10)/MAX(Статистика!$G$10-Статистика!$C$10,0.000001),NA()))</f>
        <v>0.82364827916666705</v>
      </c>
      <c r="BL165" s="12" t="e">
        <f>IF(A165="",NA(),IF(Статистика!$J$8="Вкл",(((IF(Статистика!$C$4="Параллельный режим (активная мощность)",K165,V165)+Статистика!$J$4))-Статистика!$C$10)/MAX(Статистика!$G$10-Статистика!$C$10,0.000001),NA()))</f>
        <v>#N/A</v>
      </c>
      <c r="BM165" s="12" t="e">
        <f>IF(AND(A165&lt;&gt;"",Статистика!$C$6="Вкл",Статистика!$B$6&gt;0),(Статистика!$B$6-Статистика!$C$10)/MAX(Статистика!$G$10-Статистика!$C$10,0.000001),NA())</f>
        <v>#N/A</v>
      </c>
      <c r="BN165" s="12" t="e">
        <f>IF(AND(A165&lt;&gt;"",Статистика!$F$6="Вкл",Статистика!$E$6&gt;0),(Статистика!$E$6-Статистика!$C$10)/MAX(Статистика!$G$10-Статистика!$C$10,0.000001),NA())</f>
        <v>#N/A</v>
      </c>
      <c r="BO165" s="12" t="e">
        <f>IF(AND(A165&lt;&gt;"",Статистика!$I$6="Вкл",Статистика!$H$6&gt;0),(Статистика!$H$6-Статистика!$C$10)/MAX(Статистика!$G$10-Статистика!$C$10,0.000001),NA())</f>
        <v>#N/A</v>
      </c>
      <c r="BP165" s="12" t="e">
        <f>IF(AND(A165&lt;&gt;"",Статистика!$L$6="Вкл",Статистика!$K$6&gt;0),(Статистика!$K$6-Статистика!$C$10)/MAX(Статистика!$G$10-Статистика!$C$10,0.000001),NA())</f>
        <v>#N/A</v>
      </c>
      <c r="BQ165" s="12" t="e">
        <f>IF(AND(A165&lt;&gt;"",Статистика!$M$6="Вкл",Статистика!$O$6&gt;0),(Статистика!$O$6-Статистика!$C$10)/MAX(Статистика!$G$10-Статистика!$C$10,0.000001),NA())</f>
        <v>#N/A</v>
      </c>
      <c r="BR165" s="12">
        <f t="shared" si="4"/>
        <v>1</v>
      </c>
      <c r="BT165" s="12">
        <f>IF(Y165="","",MAX(0,MIN(1,(((IF(Статистика!$C$4="Параллельный режим (активная мощность)",Z165,AK165)+Статистика!$J$4))-Статистика!$C$10)/MAX(Статистика!$G$10-Статистика!$C$10,0.000001))))</f>
        <v>0.52669143122222251</v>
      </c>
      <c r="BU165" s="12">
        <f>IF(Y165="","",MAX(0,MAX(0,MIN(1,(((IF(Статистика!$C$4="Параллельный режим (активная мощность)",AB165,AM165)+Статистика!$J$4))-Статистика!$C$10)/MAX(Статистика!$G$10-Статистика!$C$10,0.000001)))-MAX(0,MIN(1,(((IF(Статистика!$C$4="Параллельный режим (активная мощность)",Z165,AK165)+Статистика!$J$4))-Статистика!$C$10)/MAX(Статистика!$G$10-Статистика!$C$10,0.000001)))))</f>
        <v>2.0962809999998111E-3</v>
      </c>
      <c r="BV165" s="12">
        <f>IF(Y165="","",MAX(0,MAX(0,MIN(1,(((IF(Статистика!$C$4="Параллельный режим (активная мощность)",AC165,AN165)+Статистика!$J$4))-Статистика!$C$10)/MAX(Статистика!$G$10-Статистика!$C$10,0.000001)))-MAX(0,MIN(1,(((IF(Статистика!$C$4="Параллельный режим (активная мощность)",AB165,AM165)+Статистика!$J$4))-Статистика!$C$10)/MAX(Статистика!$G$10-Статистика!$C$10,0.000001)))))</f>
        <v>5.3595376666666805E-2</v>
      </c>
      <c r="BW165" s="12">
        <f>IF(Y165="","",MAX(0,MAX(0,MIN(1,(((IF(Статистика!$C$4="Параллельный режим (активная мощность)",AD165,AO165)+Статистика!$J$4))-Статистика!$C$10)/MAX(Статистика!$G$10-Статистика!$C$10,0.000001)))-MAX(0,MIN(1,(((IF(Статистика!$C$4="Параллельный режим (активная мощность)",AC165,AN165)+Статистика!$J$4))-Статистика!$C$10)/MAX(Статистика!$G$10-Статистика!$C$10,0.000001)))))</f>
        <v>4.8065705555555338E-2</v>
      </c>
      <c r="BX165" s="12">
        <f>IF(Y165="","",MAX(0,MAX(0,MIN(1,(((IF(Статистика!$C$4="Параллельный режим (активная мощность)",AE165,AP165)+Статистика!$J$4))-Статистика!$C$10)/MAX(Статистика!$G$10-Статистика!$C$10,0.000001)))-MAX(0,MIN(1,(((IF(Статистика!$C$4="Параллельный режим (активная мощность)",AD165,AO165)+Статистика!$J$4))-Статистика!$C$10)/MAX(Статистика!$G$10-Статистика!$C$10,0.000001)))))</f>
        <v>0.11987322499999997</v>
      </c>
      <c r="BY165" s="12">
        <f>IF(Y165="","",MAX(0,MAX(0,MIN(1,(((IF(Статистика!$C$4="Параллельный режим (активная мощность)",AF165,AQ165)+Статистика!$J$4))-Статистика!$C$10)/MAX(Статистика!$G$10-Статистика!$C$10,0.000001)))-MAX(0,MIN(1,(((IF(Статистика!$C$4="Параллельный режим (активная мощность)",AE165,AP165)+Статистика!$J$4))-Статистика!$C$10)/MAX(Статистика!$G$10-Статистика!$C$10,0.000001)))))</f>
        <v>8.8036419999999782E-2</v>
      </c>
      <c r="BZ165" s="12">
        <f>IF(Y165="","",MAX(0,MAX(0,MIN(1,(((IF(Статистика!$C$4="Параллельный режим (активная мощность)",AH165,AS165)+Статистика!$J$4))-Статистика!$C$10)/MAX(Статистика!$G$10-Статистика!$C$10,0.000001)))-MAX(0,MIN(1,(((IF(Статистика!$C$4="Параллельный режим (активная мощность)",AF165,AQ165)+Статистика!$J$4))-Статистика!$C$10)/MAX(Статистика!$G$10-Статистика!$C$10,0.000001)))))</f>
        <v>4.5032234500000379E-2</v>
      </c>
      <c r="CA165" s="12">
        <f>IF(Y165="","",MAX(0,1-MAX(0,MIN(1,(((IF(Статистика!$C$4="Параллельный режим (активная мощность)",AH165,AS165)+Статистика!$J$4))-Статистика!$C$10)/MAX(Статистика!$G$10-Статистика!$C$10,0.000001)))))</f>
        <v>0.11660932605555541</v>
      </c>
      <c r="CB165" s="12">
        <f>IF(Y165="",NA(),IF(Статистика!$B$8="Вкл",(((IF(Статистика!$C$4="Параллельный режим (активная мощность)",AD165,AO165)+Статистика!$J$4))-Статистика!$C$10)/MAX(Статистика!$G$10-Статистика!$C$10,0.000001),NA()))</f>
        <v>0.63044879444444446</v>
      </c>
      <c r="CC165" s="12">
        <f>IF(Y165="",NA(),IF(Статистика!$D$8="Вкл",(((IF(Статистика!$C$4="Параллельный режим (активная мощность)",AC165,AN165)+Статистика!$J$4))-Статистика!$C$10)/MAX(Статистика!$G$10-Статистика!$C$10,0.000001),NA()))</f>
        <v>0.58238308888888912</v>
      </c>
      <c r="CD165" s="12">
        <f>IF(Y165="",NA(),IF(Статистика!$D$8="Вкл",(((IF(Статистика!$C$4="Параллельный режим (активная мощность)",AE165,AP165)+Статистика!$J$4))-Статистика!$C$10)/MAX(Статистика!$G$10-Статистика!$C$10,0.000001),NA()))</f>
        <v>0.75032201944444443</v>
      </c>
      <c r="CE165" s="12">
        <f>IF(Y165="",NA(),IF(Статистика!$F$8="Вкл",(((IF(Статистика!$C$4="Параллельный режим (активная мощность)",AB165,AM165)+Статистика!$J$4))-Статистика!$C$10)/MAX(Статистика!$G$10-Статистика!$C$10,0.000001),NA()))</f>
        <v>0.52878771222222232</v>
      </c>
      <c r="CF165" s="12">
        <f>IF(Y165="",NA(),IF(Статистика!$F$8="Вкл",(((IF(Статистика!$C$4="Параллельный режим (активная мощность)",AF165,AQ165)+Статистика!$J$4))-Статистика!$C$10)/MAX(Статистика!$G$10-Статистика!$C$10,0.000001),NA()))</f>
        <v>0.83835843944444421</v>
      </c>
      <c r="CG165" s="12">
        <f>IF(Y165="",NA(),IF(Статистика!$H$8="Вкл",(((IF(Статистика!$C$4="Параллельный режим (активная мощность)",Z165,AK165)+Статистика!$J$4))-Статистика!$C$10)/MAX(Статистика!$G$10-Статистика!$C$10,0.000001),NA()))</f>
        <v>0.52669143122222251</v>
      </c>
      <c r="CH165" s="12">
        <f>IF(Y165="",NA(),IF(Статистика!$H$8="Вкл",(((IF(Статистика!$C$4="Параллельный режим (активная мощность)",AH165,AS165)+Статистика!$J$4))-Статистика!$C$10)/MAX(Статистика!$G$10-Статистика!$C$10,0.000001),NA()))</f>
        <v>0.88339067394444459</v>
      </c>
      <c r="CI165" s="12" t="e">
        <f>IF(Y165="",NA(),IF(Статистика!$J$8="Вкл",(((IF(Статистика!$C$4="Параллельный режим (активная мощность)",AI165,AT165)+Статистика!$J$4))-Статистика!$C$10)/MAX(Статистика!$G$10-Статистика!$C$10,0.000001),NA()))</f>
        <v>#N/A</v>
      </c>
      <c r="CJ165" s="12" t="e">
        <f>IF(AND(Y165&lt;&gt;"",Статистика!$C$6="Вкл",Статистика!$B$6&gt;0),(Статистика!$B$6-Статистика!$C$10)/MAX(Статистика!$G$10-Статистика!$C$10,0.000001),NA())</f>
        <v>#N/A</v>
      </c>
      <c r="CK165" s="12" t="e">
        <f>IF(AND(Y165&lt;&gt;"",Статистика!$F$6="Вкл",Статистика!$E$6&gt;0),(Статистика!$E$6-Статистика!$C$10)/MAX(Статистика!$G$10-Статистика!$C$10,0.000001),NA())</f>
        <v>#N/A</v>
      </c>
      <c r="CL165" s="12" t="e">
        <f>IF(AND(Y165&lt;&gt;"",Статистика!$I$6="Вкл",Статистика!$H$6&gt;0),(Статистика!$H$6-Статистика!$C$10)/MAX(Статистика!$G$10-Статистика!$C$10,0.000001),NA())</f>
        <v>#N/A</v>
      </c>
      <c r="CM165" s="12" t="e">
        <f>IF(AND(Y165&lt;&gt;"",Статистика!$L$6="Вкл",Статистика!$K$6&gt;0),(Статистика!$K$6-Статистика!$C$10)/MAX(Статистика!$G$10-Статистика!$C$10,0.000001),NA())</f>
        <v>#N/A</v>
      </c>
      <c r="CN165" s="12" t="e">
        <f>IF(AND(Y165&lt;&gt;"",Статистика!$M$6="Вкл",Статистика!$O$6&gt;0),(Статистика!$O$6-Статистика!$C$10)/MAX(Статистика!$G$10-Статистика!$C$10,0.000001),NA())</f>
        <v>#N/A</v>
      </c>
      <c r="CO165" s="12">
        <f t="shared" si="5"/>
        <v>1</v>
      </c>
    </row>
    <row r="166" spans="1:93" ht="15" customHeight="1">
      <c r="A166" s="12" t="s">
        <v>716</v>
      </c>
      <c r="B166" s="12">
        <v>3002.1598876666667</v>
      </c>
      <c r="C166" s="12">
        <v>6062.3267716666669</v>
      </c>
      <c r="D166" s="12">
        <v>7545.6054316666659</v>
      </c>
      <c r="E166" s="12">
        <v>7723.9868833333321</v>
      </c>
      <c r="F166" s="12">
        <v>7971.6585333333333</v>
      </c>
      <c r="G166" s="12">
        <v>8177.3985750000011</v>
      </c>
      <c r="H166" s="12">
        <v>8310.5893333333333</v>
      </c>
      <c r="I166" s="12">
        <v>8367.0406133333327</v>
      </c>
      <c r="J166" s="12">
        <v>8452.7270293333331</v>
      </c>
      <c r="K166" s="12">
        <v>8660.81</v>
      </c>
      <c r="L166" s="12" t="s">
        <v>717</v>
      </c>
      <c r="M166" s="12">
        <v>3603.8234354999995</v>
      </c>
      <c r="N166" s="12">
        <v>6873.0339775000011</v>
      </c>
      <c r="O166" s="12">
        <v>8448.3240750000004</v>
      </c>
      <c r="P166" s="12">
        <v>8662.1226166666675</v>
      </c>
      <c r="Q166" s="12">
        <v>8940.9242833333337</v>
      </c>
      <c r="R166" s="12">
        <v>9157.0882083333345</v>
      </c>
      <c r="S166" s="12">
        <v>9267.3427083333336</v>
      </c>
      <c r="T166" s="12">
        <v>9329.5544099999988</v>
      </c>
      <c r="U166" s="12">
        <v>9440.3377353333326</v>
      </c>
      <c r="V166" s="12">
        <v>9616.3799999999992</v>
      </c>
      <c r="W166" s="12" t="s">
        <v>718</v>
      </c>
      <c r="Y166" s="12" t="s">
        <v>716</v>
      </c>
      <c r="Z166" s="12">
        <v>7559.7530780000006</v>
      </c>
      <c r="AA166" s="12">
        <v>7570.11499</v>
      </c>
      <c r="AB166" s="12">
        <v>7583.0673799999995</v>
      </c>
      <c r="AC166" s="12">
        <v>7766.9746166666664</v>
      </c>
      <c r="AD166" s="12">
        <v>7934.4203499999985</v>
      </c>
      <c r="AE166" s="12">
        <v>8289.9099249999999</v>
      </c>
      <c r="AF166" s="12">
        <v>8444.6182583333339</v>
      </c>
      <c r="AG166" s="12">
        <v>8487.0967291666657</v>
      </c>
      <c r="AH166" s="12">
        <v>8521.0795058333333</v>
      </c>
      <c r="AI166" s="12">
        <v>8684.69</v>
      </c>
      <c r="AJ166" s="12" t="s">
        <v>719</v>
      </c>
      <c r="AK166" s="12">
        <v>8547.0216983333321</v>
      </c>
      <c r="AL166" s="12">
        <v>8548.3174249999993</v>
      </c>
      <c r="AM166" s="12">
        <v>8549.9370833333342</v>
      </c>
      <c r="AN166" s="12">
        <v>8769.8912499999988</v>
      </c>
      <c r="AO166" s="12">
        <v>9008.6333333333332</v>
      </c>
      <c r="AP166" s="12">
        <v>9311.3773499999988</v>
      </c>
      <c r="AQ166" s="12">
        <v>9447.7193816666659</v>
      </c>
      <c r="AR166" s="12">
        <v>9475.1004075000001</v>
      </c>
      <c r="AS166" s="12">
        <v>9497.0052281666667</v>
      </c>
      <c r="AT166" s="12">
        <v>9657.16</v>
      </c>
      <c r="AU166" s="12" t="s">
        <v>720</v>
      </c>
      <c r="AW166" s="12">
        <f>IF(A166="","",MAX(0,MIN(1,(((IF(Статистика!$C$4="Параллельный режим (активная мощность)",B166,M166)+Статистика!$J$4))-Статистика!$C$10)/MAX(Статистика!$G$10-Статистика!$C$10,0.000001))))</f>
        <v>0</v>
      </c>
      <c r="AX166" s="12">
        <f>IF(A166="","",MAX(0,MAX(0,MIN(1,(((IF(Статистика!$C$4="Параллельный режим (активная мощность)",D166,O166)+Статистика!$J$4))-Статистика!$C$10)/MAX(Статистика!$G$10-Статистика!$C$10,0.000001)))-MAX(0,MIN(1,(((IF(Статистика!$C$4="Параллельный режим (активная мощность)",B166,M166)+Статистика!$J$4))-Статистика!$C$10)/MAX(Статистика!$G$10-Статистика!$C$10,0.000001)))))</f>
        <v>0.51520181055555536</v>
      </c>
      <c r="AY166" s="12">
        <f>IF(A166="","",MAX(0,MAX(0,MIN(1,(((IF(Статистика!$C$4="Параллельный режим (активная мощность)",E166,P166)+Статистика!$J$4))-Статистика!$C$10)/MAX(Статистика!$G$10-Статистика!$C$10,0.000001)))-MAX(0,MIN(1,(((IF(Статистика!$C$4="Параллельный режим (активная мощность)",D166,O166)+Статистика!$J$4))-Статистика!$C$10)/MAX(Статистика!$G$10-Статистика!$C$10,0.000001)))))</f>
        <v>5.9460483888888693E-2</v>
      </c>
      <c r="AZ166" s="12">
        <f>IF(A166="","",MAX(0,MAX(0,MIN(1,(((IF(Статистика!$C$4="Параллельный режим (активная мощность)",F166,Q166)+Статистика!$J$4))-Статистика!$C$10)/MAX(Статистика!$G$10-Статистика!$C$10,0.000001)))-MAX(0,MIN(1,(((IF(Статистика!$C$4="Параллельный режим (активная мощность)",E166,P166)+Статистика!$J$4))-Статистика!$C$10)/MAX(Статистика!$G$10-Статистика!$C$10,0.000001)))))</f>
        <v>8.2557216666667044E-2</v>
      </c>
      <c r="BA166" s="12">
        <f>IF(A166="","",MAX(0,MAX(0,MIN(1,(((IF(Статистика!$C$4="Параллельный режим (активная мощность)",G166,R166)+Статистика!$J$4))-Статистика!$C$10)/MAX(Статистика!$G$10-Статистика!$C$10,0.000001)))-MAX(0,MIN(1,(((IF(Статистика!$C$4="Параллельный режим (активная мощность)",F166,Q166)+Статистика!$J$4))-Статистика!$C$10)/MAX(Статистика!$G$10-Статистика!$C$10,0.000001)))))</f>
        <v>6.8580013888889235E-2</v>
      </c>
      <c r="BB166" s="12">
        <f>IF(A166="","",MAX(0,MAX(0,MIN(1,(((IF(Статистика!$C$4="Параллельный режим (активная мощность)",H166,S166)+Статистика!$J$4))-Статистика!$C$10)/MAX(Статистика!$G$10-Статистика!$C$10,0.000001)))-MAX(0,MIN(1,(((IF(Статистика!$C$4="Параллельный режим (активная мощность)",G166,R166)+Статистика!$J$4))-Статистика!$C$10)/MAX(Статистика!$G$10-Статистика!$C$10,0.000001)))))</f>
        <v>4.4396919444444127E-2</v>
      </c>
      <c r="BC166" s="12">
        <f>IF(A166="","",MAX(0,MAX(0,MIN(1,(((IF(Статистика!$C$4="Параллельный режим (активная мощность)",J166,U166)+Статистика!$J$4))-Статистика!$C$10)/MAX(Статистика!$G$10-Статистика!$C$10,0.000001)))-MAX(0,MIN(1,(((IF(Статистика!$C$4="Параллельный режим (активная мощность)",H166,S166)+Статистика!$J$4))-Статистика!$C$10)/MAX(Статистика!$G$10-Статистика!$C$10,0.000001)))))</f>
        <v>4.7379231999999938E-2</v>
      </c>
      <c r="BD166" s="12">
        <f>IF(A166="","",MAX(0,1-MAX(0,MIN(1,(((IF(Статистика!$C$4="Параллельный режим (активная мощность)",J166,U166)+Статистика!$J$4))-Статистика!$C$10)/MAX(Статистика!$G$10-Статистика!$C$10,0.000001)))))</f>
        <v>0.1824243235555556</v>
      </c>
      <c r="BE166" s="12">
        <f>IF(A166="",NA(),IF(Статистика!$B$8="Вкл",(((IF(Статистика!$C$4="Параллельный режим (активная мощность)",F166,Q166)+Статистика!$J$4))-Статистика!$C$10)/MAX(Статистика!$G$10-Статистика!$C$10,0.000001),NA()))</f>
        <v>0.6572195111111111</v>
      </c>
      <c r="BF166" s="12">
        <f>IF(A166="",NA(),IF(Статистика!$D$8="Вкл",(((IF(Статистика!$C$4="Параллельный режим (активная мощность)",E166,P166)+Статистика!$J$4))-Статистика!$C$10)/MAX(Статистика!$G$10-Статистика!$C$10,0.000001),NA()))</f>
        <v>0.57466229444444406</v>
      </c>
      <c r="BG166" s="12">
        <f>IF(A166="",NA(),IF(Статистика!$D$8="Вкл",(((IF(Статистика!$C$4="Параллельный режим (активная мощность)",G166,R166)+Статистика!$J$4))-Статистика!$C$10)/MAX(Статистика!$G$10-Статистика!$C$10,0.000001),NA()))</f>
        <v>0.72579952500000033</v>
      </c>
      <c r="BH166" s="12">
        <f>IF(A166="",NA(),IF(Статистика!$F$8="Вкл",(((IF(Статистика!$C$4="Параллельный режим (активная мощность)",D166,O166)+Статистика!$J$4))-Статистика!$C$10)/MAX(Статистика!$G$10-Статистика!$C$10,0.000001),NA()))</f>
        <v>0.51520181055555536</v>
      </c>
      <c r="BI166" s="12">
        <f>IF(A166="",NA(),IF(Статистика!$F$8="Вкл",(((IF(Статистика!$C$4="Параллельный режим (активная мощность)",H166,S166)+Статистика!$J$4))-Статистика!$C$10)/MAX(Статистика!$G$10-Статистика!$C$10,0.000001),NA()))</f>
        <v>0.77019644444444446</v>
      </c>
      <c r="BJ166" s="12">
        <f>IF(A166="",NA(),IF(Статистика!$H$8="Вкл",(((IF(Статистика!$C$4="Параллельный режим (активная мощность)",B166,M166)+Статистика!$J$4))-Статистика!$C$10)/MAX(Статистика!$G$10-Статистика!$C$10,0.000001),NA()))</f>
        <v>-0.99928003744444449</v>
      </c>
      <c r="BK166" s="12">
        <f>IF(A166="",NA(),IF(Статистика!$H$8="Вкл",(((IF(Статистика!$C$4="Параллельный режим (активная мощность)",J166,U166)+Статистика!$J$4))-Статистика!$C$10)/MAX(Статистика!$G$10-Статистика!$C$10,0.000001),NA()))</f>
        <v>0.8175756764444444</v>
      </c>
      <c r="BL166" s="12" t="e">
        <f>IF(A166="",NA(),IF(Статистика!$J$8="Вкл",(((IF(Статистика!$C$4="Параллельный режим (активная мощность)",K166,V166)+Статистика!$J$4))-Статистика!$C$10)/MAX(Статистика!$G$10-Статистика!$C$10,0.000001),NA()))</f>
        <v>#N/A</v>
      </c>
      <c r="BM166" s="12" t="e">
        <f>IF(AND(A166&lt;&gt;"",Статистика!$C$6="Вкл",Статистика!$B$6&gt;0),(Статистика!$B$6-Статистика!$C$10)/MAX(Статистика!$G$10-Статистика!$C$10,0.000001),NA())</f>
        <v>#N/A</v>
      </c>
      <c r="BN166" s="12" t="e">
        <f>IF(AND(A166&lt;&gt;"",Статистика!$F$6="Вкл",Статистика!$E$6&gt;0),(Статистика!$E$6-Статистика!$C$10)/MAX(Статистика!$G$10-Статистика!$C$10,0.000001),NA())</f>
        <v>#N/A</v>
      </c>
      <c r="BO166" s="12" t="e">
        <f>IF(AND(A166&lt;&gt;"",Статистика!$I$6="Вкл",Статистика!$H$6&gt;0),(Статистика!$H$6-Статистика!$C$10)/MAX(Статистика!$G$10-Статистика!$C$10,0.000001),NA())</f>
        <v>#N/A</v>
      </c>
      <c r="BP166" s="12" t="e">
        <f>IF(AND(A166&lt;&gt;"",Статистика!$L$6="Вкл",Статистика!$K$6&gt;0),(Статистика!$K$6-Статистика!$C$10)/MAX(Статистика!$G$10-Статистика!$C$10,0.000001),NA())</f>
        <v>#N/A</v>
      </c>
      <c r="BQ166" s="12" t="e">
        <f>IF(AND(A166&lt;&gt;"",Статистика!$M$6="Вкл",Статистика!$O$6&gt;0),(Статистика!$O$6-Статистика!$C$10)/MAX(Статистика!$G$10-Статистика!$C$10,0.000001),NA())</f>
        <v>#N/A</v>
      </c>
      <c r="BR166" s="12">
        <f t="shared" si="4"/>
        <v>1</v>
      </c>
      <c r="BT166" s="12">
        <f>IF(Y166="","",MAX(0,MIN(1,(((IF(Статистика!$C$4="Параллельный режим (активная мощность)",Z166,AK166)+Статистика!$J$4))-Статистика!$C$10)/MAX(Статистика!$G$10-Статистика!$C$10,0.000001))))</f>
        <v>0.51991769266666688</v>
      </c>
      <c r="BU166" s="12">
        <f>IF(Y166="","",MAX(0,MAX(0,MIN(1,(((IF(Статистика!$C$4="Параллельный режим (активная мощность)",AB166,AM166)+Статистика!$J$4))-Статистика!$C$10)/MAX(Статистика!$G$10-Статистика!$C$10,0.000001)))-MAX(0,MIN(1,(((IF(Статистика!$C$4="Параллельный режим (активная мощность)",Z166,AK166)+Статистика!$J$4))-Статистика!$C$10)/MAX(Статистика!$G$10-Статистика!$C$10,0.000001)))))</f>
        <v>7.7714339999995774E-3</v>
      </c>
      <c r="BV166" s="12">
        <f>IF(Y166="","",MAX(0,MAX(0,MIN(1,(((IF(Статистика!$C$4="Параллельный режим (активная мощность)",AC166,AN166)+Статистика!$J$4))-Статистика!$C$10)/MAX(Статистика!$G$10-Статистика!$C$10,0.000001)))-MAX(0,MIN(1,(((IF(Статистика!$C$4="Параллельный режим (активная мощность)",AB166,AM166)+Статистика!$J$4))-Статистика!$C$10)/MAX(Статистика!$G$10-Статистика!$C$10,0.000001)))))</f>
        <v>6.1302412222222324E-2</v>
      </c>
      <c r="BW166" s="12">
        <f>IF(Y166="","",MAX(0,MAX(0,MIN(1,(((IF(Статистика!$C$4="Параллельный режим (активная мощность)",AD166,AO166)+Статистика!$J$4))-Статистика!$C$10)/MAX(Статистика!$G$10-Статистика!$C$10,0.000001)))-MAX(0,MIN(1,(((IF(Статистика!$C$4="Параллельный режим (активная мощность)",AC166,AN166)+Статистика!$J$4))-Статистика!$C$10)/MAX(Статистика!$G$10-Статистика!$C$10,0.000001)))))</f>
        <v>5.5815244444444079E-2</v>
      </c>
      <c r="BX166" s="12">
        <f>IF(Y166="","",MAX(0,MAX(0,MIN(1,(((IF(Статистика!$C$4="Параллельный режим (активная мощность)",AE166,AP166)+Статистика!$J$4))-Статистика!$C$10)/MAX(Статистика!$G$10-Статистика!$C$10,0.000001)))-MAX(0,MIN(1,(((IF(Статистика!$C$4="Параллельный режим (активная мощность)",AD166,AO166)+Статистика!$J$4))-Статистика!$C$10)/MAX(Статистика!$G$10-Статистика!$C$10,0.000001)))))</f>
        <v>0.11849652500000041</v>
      </c>
      <c r="BY166" s="12">
        <f>IF(Y166="","",MAX(0,MAX(0,MIN(1,(((IF(Статистика!$C$4="Параллельный режим (активная мощность)",AF166,AQ166)+Статистика!$J$4))-Статистика!$C$10)/MAX(Статистика!$G$10-Статистика!$C$10,0.000001)))-MAX(0,MIN(1,(((IF(Статистика!$C$4="Параллельный режим (активная мощность)",AE166,AP166)+Статистика!$J$4))-Статистика!$C$10)/MAX(Статистика!$G$10-Статистика!$C$10,0.000001)))))</f>
        <v>5.1569444444444668E-2</v>
      </c>
      <c r="BZ166" s="12">
        <f>IF(Y166="","",MAX(0,MAX(0,MIN(1,(((IF(Статистика!$C$4="Параллельный режим (активная мощность)",AH166,AS166)+Статистика!$J$4))-Статистика!$C$10)/MAX(Статистика!$G$10-Статистика!$C$10,0.000001)))-MAX(0,MIN(1,(((IF(Статистика!$C$4="Параллельный режим (активная мощность)",AF166,AQ166)+Статистика!$J$4))-Статистика!$C$10)/MAX(Статистика!$G$10-Статистика!$C$10,0.000001)))))</f>
        <v>2.5487082499999869E-2</v>
      </c>
      <c r="CA166" s="12">
        <f>IF(Y166="","",MAX(0,1-MAX(0,MIN(1,(((IF(Статистика!$C$4="Параллельный режим (активная мощность)",AH166,AS166)+Статистика!$J$4))-Статистика!$C$10)/MAX(Статистика!$G$10-Статистика!$C$10,0.000001)))))</f>
        <v>0.1596401647222222</v>
      </c>
      <c r="CB166" s="12">
        <f>IF(Y166="",NA(),IF(Статистика!$B$8="Вкл",(((IF(Статистика!$C$4="Параллельный режим (активная мощность)",AD166,AO166)+Статистика!$J$4))-Статистика!$C$10)/MAX(Статистика!$G$10-Статистика!$C$10,0.000001),NA()))</f>
        <v>0.64480678333333286</v>
      </c>
      <c r="CC166" s="12">
        <f>IF(Y166="",NA(),IF(Статистика!$D$8="Вкл",(((IF(Статистика!$C$4="Параллельный режим (активная мощность)",AC166,AN166)+Статистика!$J$4))-Статистика!$C$10)/MAX(Статистика!$G$10-Статистика!$C$10,0.000001),NA()))</f>
        <v>0.58899153888888878</v>
      </c>
      <c r="CD166" s="12">
        <f>IF(Y166="",NA(),IF(Статистика!$D$8="Вкл",(((IF(Статистика!$C$4="Параллельный режим (активная мощность)",AE166,AP166)+Статистика!$J$4))-Статистика!$C$10)/MAX(Статистика!$G$10-Статистика!$C$10,0.000001),NA()))</f>
        <v>0.76330330833333326</v>
      </c>
      <c r="CE166" s="12">
        <f>IF(Y166="",NA(),IF(Статистика!$F$8="Вкл",(((IF(Статистика!$C$4="Параллельный режим (активная мощность)",AB166,AM166)+Статистика!$J$4))-Статистика!$C$10)/MAX(Статистика!$G$10-Статистика!$C$10,0.000001),NA()))</f>
        <v>0.52768912666666645</v>
      </c>
      <c r="CF166" s="12">
        <f>IF(Y166="",NA(),IF(Статистика!$F$8="Вкл",(((IF(Статистика!$C$4="Параллельный режим (активная мощность)",AF166,AQ166)+Статистика!$J$4))-Статистика!$C$10)/MAX(Статистика!$G$10-Статистика!$C$10,0.000001),NA()))</f>
        <v>0.81487275277777793</v>
      </c>
      <c r="CG166" s="12">
        <f>IF(Y166="",NA(),IF(Статистика!$H$8="Вкл",(((IF(Статистика!$C$4="Параллельный режим (активная мощность)",Z166,AK166)+Статистика!$J$4))-Статистика!$C$10)/MAX(Статистика!$G$10-Статистика!$C$10,0.000001),NA()))</f>
        <v>0.51991769266666688</v>
      </c>
      <c r="CH166" s="12">
        <f>IF(Y166="",NA(),IF(Статистика!$H$8="Вкл",(((IF(Статистика!$C$4="Параллельный режим (активная мощность)",AH166,AS166)+Статистика!$J$4))-Статистика!$C$10)/MAX(Статистика!$G$10-Статистика!$C$10,0.000001),NA()))</f>
        <v>0.8403598352777778</v>
      </c>
      <c r="CI166" s="12" t="e">
        <f>IF(Y166="",NA(),IF(Статистика!$J$8="Вкл",(((IF(Статистика!$C$4="Параллельный режим (активная мощность)",AI166,AT166)+Статистика!$J$4))-Статистика!$C$10)/MAX(Статистика!$G$10-Статистика!$C$10,0.000001),NA()))</f>
        <v>#N/A</v>
      </c>
      <c r="CJ166" s="12" t="e">
        <f>IF(AND(Y166&lt;&gt;"",Статистика!$C$6="Вкл",Статистика!$B$6&gt;0),(Статистика!$B$6-Статистика!$C$10)/MAX(Статистика!$G$10-Статистика!$C$10,0.000001),NA())</f>
        <v>#N/A</v>
      </c>
      <c r="CK166" s="12" t="e">
        <f>IF(AND(Y166&lt;&gt;"",Статистика!$F$6="Вкл",Статистика!$E$6&gt;0),(Статистика!$E$6-Статистика!$C$10)/MAX(Статистика!$G$10-Статистика!$C$10,0.000001),NA())</f>
        <v>#N/A</v>
      </c>
      <c r="CL166" s="12" t="e">
        <f>IF(AND(Y166&lt;&gt;"",Статистика!$I$6="Вкл",Статистика!$H$6&gt;0),(Статистика!$H$6-Статистика!$C$10)/MAX(Статистика!$G$10-Статистика!$C$10,0.000001),NA())</f>
        <v>#N/A</v>
      </c>
      <c r="CM166" s="12" t="e">
        <f>IF(AND(Y166&lt;&gt;"",Статистика!$L$6="Вкл",Статистика!$K$6&gt;0),(Статистика!$K$6-Статистика!$C$10)/MAX(Статистика!$G$10-Статистика!$C$10,0.000001),NA())</f>
        <v>#N/A</v>
      </c>
      <c r="CN166" s="12" t="e">
        <f>IF(AND(Y166&lt;&gt;"",Статистика!$M$6="Вкл",Статистика!$O$6&gt;0),(Статистика!$O$6-Статистика!$C$10)/MAX(Статистика!$G$10-Статистика!$C$10,0.000001),NA())</f>
        <v>#N/A</v>
      </c>
      <c r="CO166" s="12">
        <f t="shared" si="5"/>
        <v>1</v>
      </c>
    </row>
    <row r="167" spans="1:93" ht="15" customHeight="1">
      <c r="A167" s="12" t="s">
        <v>721</v>
      </c>
      <c r="B167" s="12">
        <v>3021.4958253333334</v>
      </c>
      <c r="C167" s="12">
        <v>6073.4265933333345</v>
      </c>
      <c r="D167" s="12">
        <v>7533.579513333334</v>
      </c>
      <c r="E167" s="12">
        <v>7747.9602333333332</v>
      </c>
      <c r="F167" s="12">
        <v>7942.6448166666669</v>
      </c>
      <c r="G167" s="12">
        <v>8182.248599999999</v>
      </c>
      <c r="H167" s="12">
        <v>8345.8358216666657</v>
      </c>
      <c r="I167" s="12">
        <v>8404.4794299999994</v>
      </c>
      <c r="J167" s="12">
        <v>8440.346552666666</v>
      </c>
      <c r="K167" s="12">
        <v>8631.48</v>
      </c>
      <c r="L167" s="12" t="s">
        <v>722</v>
      </c>
      <c r="M167" s="12">
        <v>3628.1920420000001</v>
      </c>
      <c r="N167" s="12">
        <v>6879.884476666668</v>
      </c>
      <c r="O167" s="12">
        <v>8448.3941500000001</v>
      </c>
      <c r="P167" s="12">
        <v>8675.0994249999985</v>
      </c>
      <c r="Q167" s="12">
        <v>8907.5331000000006</v>
      </c>
      <c r="R167" s="12">
        <v>9132.3059083333337</v>
      </c>
      <c r="S167" s="12">
        <v>9342.7508000000016</v>
      </c>
      <c r="T167" s="12">
        <v>9377.2146958333342</v>
      </c>
      <c r="U167" s="12">
        <v>9378.3249125000002</v>
      </c>
      <c r="V167" s="12">
        <v>9556.06</v>
      </c>
      <c r="W167" s="12" t="s">
        <v>723</v>
      </c>
      <c r="Y167" s="12" t="s">
        <v>721</v>
      </c>
      <c r="Z167" s="12">
        <v>7568.8333219999995</v>
      </c>
      <c r="AA167" s="12">
        <v>7591.9920766666664</v>
      </c>
      <c r="AB167" s="12">
        <v>7620.9405200000001</v>
      </c>
      <c r="AC167" s="12">
        <v>7791.8565999999992</v>
      </c>
      <c r="AD167" s="12">
        <v>8038.7817833333338</v>
      </c>
      <c r="AE167" s="12">
        <v>8182.2748833333317</v>
      </c>
      <c r="AF167" s="12">
        <v>8379.4780733333337</v>
      </c>
      <c r="AG167" s="12">
        <v>8383.3771699999998</v>
      </c>
      <c r="AH167" s="12">
        <v>8386.496447333333</v>
      </c>
      <c r="AI167" s="12">
        <v>8552.6</v>
      </c>
      <c r="AJ167" s="12" t="s">
        <v>724</v>
      </c>
      <c r="AK167" s="12">
        <v>8545.5512341666672</v>
      </c>
      <c r="AL167" s="12">
        <v>8578.6455041666668</v>
      </c>
      <c r="AM167" s="12">
        <v>8620.0133416666649</v>
      </c>
      <c r="AN167" s="12">
        <v>8842.5785333333333</v>
      </c>
      <c r="AO167" s="12">
        <v>9023.9460166666686</v>
      </c>
      <c r="AP167" s="12">
        <v>9243.2571250000001</v>
      </c>
      <c r="AQ167" s="12">
        <v>9328.3433050000003</v>
      </c>
      <c r="AR167" s="12">
        <v>9337.3749191666666</v>
      </c>
      <c r="AS167" s="12">
        <v>9344.6002104999989</v>
      </c>
      <c r="AT167" s="12">
        <v>9510.59</v>
      </c>
      <c r="AU167" s="12" t="s">
        <v>724</v>
      </c>
      <c r="AW167" s="12">
        <f>IF(A167="","",MAX(0,MIN(1,(((IF(Статистика!$C$4="Параллельный режим (активная мощность)",B167,M167)+Статистика!$J$4))-Статистика!$C$10)/MAX(Статистика!$G$10-Статистика!$C$10,0.000001))))</f>
        <v>0</v>
      </c>
      <c r="AX167" s="12">
        <f>IF(A167="","",MAX(0,MAX(0,MIN(1,(((IF(Статистика!$C$4="Параллельный режим (активная мощность)",D167,O167)+Статистика!$J$4))-Статистика!$C$10)/MAX(Статистика!$G$10-Статистика!$C$10,0.000001)))-MAX(0,MIN(1,(((IF(Статистика!$C$4="Параллельный режим (активная мощность)",B167,M167)+Статистика!$J$4))-Статистика!$C$10)/MAX(Статистика!$G$10-Статистика!$C$10,0.000001)))))</f>
        <v>0.5111931711111114</v>
      </c>
      <c r="AY167" s="12">
        <f>IF(A167="","",MAX(0,MAX(0,MIN(1,(((IF(Статистика!$C$4="Параллельный режим (активная мощность)",E167,P167)+Статистика!$J$4))-Статистика!$C$10)/MAX(Статистика!$G$10-Статистика!$C$10,0.000001)))-MAX(0,MIN(1,(((IF(Статистика!$C$4="Параллельный режим (активная мощность)",D167,O167)+Статистика!$J$4))-Статистика!$C$10)/MAX(Статистика!$G$10-Статистика!$C$10,0.000001)))))</f>
        <v>7.1460239999999731E-2</v>
      </c>
      <c r="AZ167" s="12">
        <f>IF(A167="","",MAX(0,MAX(0,MIN(1,(((IF(Статистика!$C$4="Параллельный режим (активная мощность)",F167,Q167)+Статистика!$J$4))-Статистика!$C$10)/MAX(Статистика!$G$10-Статистика!$C$10,0.000001)))-MAX(0,MIN(1,(((IF(Статистика!$C$4="Параллельный режим (активная мощность)",E167,P167)+Статистика!$J$4))-Статистика!$C$10)/MAX(Статистика!$G$10-Статистика!$C$10,0.000001)))))</f>
        <v>6.4894861111111202E-2</v>
      </c>
      <c r="BA167" s="12">
        <f>IF(A167="","",MAX(0,MAX(0,MIN(1,(((IF(Статистика!$C$4="Параллельный режим (активная мощность)",G167,R167)+Статистика!$J$4))-Статистика!$C$10)/MAX(Статистика!$G$10-Статистика!$C$10,0.000001)))-MAX(0,MIN(1,(((IF(Статистика!$C$4="Параллельный режим (активная мощность)",F167,Q167)+Статистика!$J$4))-Статистика!$C$10)/MAX(Статистика!$G$10-Статистика!$C$10,0.000001)))))</f>
        <v>7.9867927777777292E-2</v>
      </c>
      <c r="BB167" s="12">
        <f>IF(A167="","",MAX(0,MAX(0,MIN(1,(((IF(Статистика!$C$4="Параллельный режим (активная мощность)",H167,S167)+Статистика!$J$4))-Статистика!$C$10)/MAX(Статистика!$G$10-Статистика!$C$10,0.000001)))-MAX(0,MIN(1,(((IF(Статистика!$C$4="Параллельный режим (активная мощность)",G167,R167)+Статистика!$J$4))-Статистика!$C$10)/MAX(Статистика!$G$10-Статистика!$C$10,0.000001)))))</f>
        <v>5.4529073888888946E-2</v>
      </c>
      <c r="BC167" s="12">
        <f>IF(A167="","",MAX(0,MAX(0,MIN(1,(((IF(Статистика!$C$4="Параллельный режим (активная мощность)",J167,U167)+Статистика!$J$4))-Статистика!$C$10)/MAX(Статистика!$G$10-Статистика!$C$10,0.000001)))-MAX(0,MIN(1,(((IF(Статистика!$C$4="Параллельный режим (активная мощность)",H167,S167)+Статистика!$J$4))-Статистика!$C$10)/MAX(Статистика!$G$10-Статистика!$C$10,0.000001)))))</f>
        <v>3.150357700000006E-2</v>
      </c>
      <c r="BD167" s="12">
        <f>IF(A167="","",MAX(0,1-MAX(0,MIN(1,(((IF(Статистика!$C$4="Параллельный режим (активная мощность)",J167,U167)+Статистика!$J$4))-Статистика!$C$10)/MAX(Статистика!$G$10-Статистика!$C$10,0.000001)))))</f>
        <v>0.18655114911111137</v>
      </c>
      <c r="BE167" s="12">
        <f>IF(A167="",NA(),IF(Статистика!$B$8="Вкл",(((IF(Статистика!$C$4="Параллельный режим (активная мощность)",F167,Q167)+Статистика!$J$4))-Статистика!$C$10)/MAX(Статистика!$G$10-Статистика!$C$10,0.000001),NA()))</f>
        <v>0.64754827222222233</v>
      </c>
      <c r="BF167" s="12">
        <f>IF(A167="",NA(),IF(Статистика!$D$8="Вкл",(((IF(Статистика!$C$4="Параллельный режим (активная мощность)",E167,P167)+Статистика!$J$4))-Статистика!$C$10)/MAX(Статистика!$G$10-Статистика!$C$10,0.000001),NA()))</f>
        <v>0.58265341111111113</v>
      </c>
      <c r="BG167" s="12">
        <f>IF(A167="",NA(),IF(Статистика!$D$8="Вкл",(((IF(Статистика!$C$4="Параллельный режим (активная мощность)",G167,R167)+Статистика!$J$4))-Статистика!$C$10)/MAX(Статистика!$G$10-Статистика!$C$10,0.000001),NA()))</f>
        <v>0.72741619999999962</v>
      </c>
      <c r="BH167" s="12">
        <f>IF(A167="",NA(),IF(Статистика!$F$8="Вкл",(((IF(Статистика!$C$4="Параллельный режим (активная мощность)",D167,O167)+Статистика!$J$4))-Статистика!$C$10)/MAX(Статистика!$G$10-Статистика!$C$10,0.000001),NA()))</f>
        <v>0.5111931711111114</v>
      </c>
      <c r="BI167" s="12">
        <f>IF(A167="",NA(),IF(Статистика!$F$8="Вкл",(((IF(Статистика!$C$4="Параллельный режим (активная мощность)",H167,S167)+Статистика!$J$4))-Статистика!$C$10)/MAX(Статистика!$G$10-Статистика!$C$10,0.000001),NA()))</f>
        <v>0.78194527388888857</v>
      </c>
      <c r="BJ167" s="12">
        <f>IF(A167="",NA(),IF(Статистика!$H$8="Вкл",(((IF(Статистика!$C$4="Параллельный режим (активная мощность)",B167,M167)+Статистика!$J$4))-Статистика!$C$10)/MAX(Статистика!$G$10-Статистика!$C$10,0.000001),NA()))</f>
        <v>-0.99283472488888891</v>
      </c>
      <c r="BK167" s="12">
        <f>IF(A167="",NA(),IF(Статистика!$H$8="Вкл",(((IF(Статистика!$C$4="Параллельный режим (активная мощность)",J167,U167)+Статистика!$J$4))-Статистика!$C$10)/MAX(Статистика!$G$10-Статистика!$C$10,0.000001),NA()))</f>
        <v>0.81344885088888863</v>
      </c>
      <c r="BL167" s="12" t="e">
        <f>IF(A167="",NA(),IF(Статистика!$J$8="Вкл",(((IF(Статистика!$C$4="Параллельный режим (активная мощность)",K167,V167)+Статистика!$J$4))-Статистика!$C$10)/MAX(Статистика!$G$10-Статистика!$C$10,0.000001),NA()))</f>
        <v>#N/A</v>
      </c>
      <c r="BM167" s="12" t="e">
        <f>IF(AND(A167&lt;&gt;"",Статистика!$C$6="Вкл",Статистика!$B$6&gt;0),(Статистика!$B$6-Статистика!$C$10)/MAX(Статистика!$G$10-Статистика!$C$10,0.000001),NA())</f>
        <v>#N/A</v>
      </c>
      <c r="BN167" s="12" t="e">
        <f>IF(AND(A167&lt;&gt;"",Статистика!$F$6="Вкл",Статистика!$E$6&gt;0),(Статистика!$E$6-Статистика!$C$10)/MAX(Статистика!$G$10-Статистика!$C$10,0.000001),NA())</f>
        <v>#N/A</v>
      </c>
      <c r="BO167" s="12" t="e">
        <f>IF(AND(A167&lt;&gt;"",Статистика!$I$6="Вкл",Статистика!$H$6&gt;0),(Статистика!$H$6-Статистика!$C$10)/MAX(Статистика!$G$10-Статистика!$C$10,0.000001),NA())</f>
        <v>#N/A</v>
      </c>
      <c r="BP167" s="12" t="e">
        <f>IF(AND(A167&lt;&gt;"",Статистика!$L$6="Вкл",Статистика!$K$6&gt;0),(Статистика!$K$6-Статистика!$C$10)/MAX(Статистика!$G$10-Статистика!$C$10,0.000001),NA())</f>
        <v>#N/A</v>
      </c>
      <c r="BQ167" s="12" t="e">
        <f>IF(AND(A167&lt;&gt;"",Статистика!$M$6="Вкл",Статистика!$O$6&gt;0),(Статистика!$O$6-Статистика!$C$10)/MAX(Статистика!$G$10-Статистика!$C$10,0.000001),NA())</f>
        <v>#N/A</v>
      </c>
      <c r="BR167" s="12">
        <f t="shared" si="4"/>
        <v>1</v>
      </c>
      <c r="BT167" s="12">
        <f>IF(Y167="","",MAX(0,MIN(1,(((IF(Статистика!$C$4="Параллельный режим (активная мощность)",Z167,AK167)+Статистика!$J$4))-Статистика!$C$10)/MAX(Статистика!$G$10-Статистика!$C$10,0.000001))))</f>
        <v>0.52294444066666645</v>
      </c>
      <c r="BU167" s="12">
        <f>IF(Y167="","",MAX(0,MAX(0,MIN(1,(((IF(Статистика!$C$4="Параллельный режим (активная мощность)",AB167,AM167)+Статистика!$J$4))-Статистика!$C$10)/MAX(Статистика!$G$10-Статистика!$C$10,0.000001)))-MAX(0,MIN(1,(((IF(Статистика!$C$4="Параллельный режим (активная мощность)",Z167,AK167)+Статистика!$J$4))-Статистика!$C$10)/MAX(Статистика!$G$10-Статистика!$C$10,0.000001)))))</f>
        <v>1.7369066000000211E-2</v>
      </c>
      <c r="BV167" s="12">
        <f>IF(Y167="","",MAX(0,MAX(0,MIN(1,(((IF(Статистика!$C$4="Параллельный режим (активная мощность)",AC167,AN167)+Статистика!$J$4))-Статистика!$C$10)/MAX(Статистика!$G$10-Статистика!$C$10,0.000001)))-MAX(0,MIN(1,(((IF(Статистика!$C$4="Параллельный режим (активная мощность)",AB167,AM167)+Статистика!$J$4))-Статистика!$C$10)/MAX(Статистика!$G$10-Статистика!$C$10,0.000001)))))</f>
        <v>5.6972026666666342E-2</v>
      </c>
      <c r="BW167" s="12">
        <f>IF(Y167="","",MAX(0,MAX(0,MIN(1,(((IF(Статистика!$C$4="Параллельный режим (активная мощность)",AD167,AO167)+Статистика!$J$4))-Статистика!$C$10)/MAX(Статистика!$G$10-Статистика!$C$10,0.000001)))-MAX(0,MIN(1,(((IF(Статистика!$C$4="Параллельный режим (активная мощность)",AC167,AN167)+Статистика!$J$4))-Статистика!$C$10)/MAX(Статистика!$G$10-Статистика!$C$10,0.000001)))))</f>
        <v>8.2308394444444932E-2</v>
      </c>
      <c r="BX167" s="12">
        <f>IF(Y167="","",MAX(0,MAX(0,MIN(1,(((IF(Статистика!$C$4="Параллельный режим (активная мощность)",AE167,AP167)+Статистика!$J$4))-Статистика!$C$10)/MAX(Статистика!$G$10-Статистика!$C$10,0.000001)))-MAX(0,MIN(1,(((IF(Статистика!$C$4="Параллельный режим (активная мощность)",AD167,AO167)+Статистика!$J$4))-Статистика!$C$10)/MAX(Статистика!$G$10-Статистика!$C$10,0.000001)))))</f>
        <v>4.7831033333332607E-2</v>
      </c>
      <c r="BY167" s="12">
        <f>IF(Y167="","",MAX(0,MAX(0,MIN(1,(((IF(Статистика!$C$4="Параллельный режим (активная мощность)",AF167,AQ167)+Статистика!$J$4))-Статистика!$C$10)/MAX(Статистика!$G$10-Статистика!$C$10,0.000001)))-MAX(0,MIN(1,(((IF(Статистика!$C$4="Параллельный режим (активная мощность)",AE167,AP167)+Статистика!$J$4))-Статистика!$C$10)/MAX(Статистика!$G$10-Статистика!$C$10,0.000001)))))</f>
        <v>6.5734396666667361E-2</v>
      </c>
      <c r="BZ167" s="12">
        <f>IF(Y167="","",MAX(0,MAX(0,MIN(1,(((IF(Статистика!$C$4="Параллельный режим (активная мощность)",AH167,AS167)+Статистика!$J$4))-Статистика!$C$10)/MAX(Статистика!$G$10-Статистика!$C$10,0.000001)))-MAX(0,MIN(1,(((IF(Статистика!$C$4="Параллельный режим (активная мощность)",AF167,AQ167)+Статистика!$J$4))-Статистика!$C$10)/MAX(Статистика!$G$10-Статистика!$C$10,0.000001)))))</f>
        <v>2.3394579999997944E-3</v>
      </c>
      <c r="CA167" s="12">
        <f>IF(Y167="","",MAX(0,1-MAX(0,MIN(1,(((IF(Статистика!$C$4="Параллельный режим (активная мощность)",AH167,AS167)+Статистика!$J$4))-Статистика!$C$10)/MAX(Статистика!$G$10-Статистика!$C$10,0.000001)))))</f>
        <v>0.2045011842222223</v>
      </c>
      <c r="CB167" s="12">
        <f>IF(Y167="",NA(),IF(Статистика!$B$8="Вкл",(((IF(Статистика!$C$4="Параллельный режим (активная мощность)",AD167,AO167)+Статистика!$J$4))-Статистика!$C$10)/MAX(Статистика!$G$10-Статистика!$C$10,0.000001),NA()))</f>
        <v>0.67959392777777794</v>
      </c>
      <c r="CC167" s="12">
        <f>IF(Y167="",NA(),IF(Статистика!$D$8="Вкл",(((IF(Статистика!$C$4="Параллельный режим (активная мощность)",AC167,AN167)+Статистика!$J$4))-Статистика!$C$10)/MAX(Статистика!$G$10-Статистика!$C$10,0.000001),NA()))</f>
        <v>0.59728553333333301</v>
      </c>
      <c r="CD167" s="12">
        <f>IF(Y167="",NA(),IF(Статистика!$D$8="Вкл",(((IF(Статистика!$C$4="Параллельный режим (активная мощность)",AE167,AP167)+Статистика!$J$4))-Статистика!$C$10)/MAX(Статистика!$G$10-Статистика!$C$10,0.000001),NA()))</f>
        <v>0.72742496111111055</v>
      </c>
      <c r="CE167" s="12">
        <f>IF(Y167="",NA(),IF(Статистика!$F$8="Вкл",(((IF(Статистика!$C$4="Параллельный режим (активная мощность)",AB167,AM167)+Статистика!$J$4))-Статистика!$C$10)/MAX(Статистика!$G$10-Статистика!$C$10,0.000001),NA()))</f>
        <v>0.54031350666666667</v>
      </c>
      <c r="CF167" s="12">
        <f>IF(Y167="",NA(),IF(Статистика!$F$8="Вкл",(((IF(Статистика!$C$4="Параллельный режим (активная мощность)",AF167,AQ167)+Статистика!$J$4))-Статистика!$C$10)/MAX(Статистика!$G$10-Статистика!$C$10,0.000001),NA()))</f>
        <v>0.79315935777777791</v>
      </c>
      <c r="CG167" s="12">
        <f>IF(Y167="",NA(),IF(Статистика!$H$8="Вкл",(((IF(Статистика!$C$4="Параллельный режим (активная мощность)",Z167,AK167)+Статистика!$J$4))-Статистика!$C$10)/MAX(Статистика!$G$10-Статистика!$C$10,0.000001),NA()))</f>
        <v>0.52294444066666645</v>
      </c>
      <c r="CH167" s="12">
        <f>IF(Y167="",NA(),IF(Статистика!$H$8="Вкл",(((IF(Статистика!$C$4="Параллельный режим (активная мощность)",AH167,AS167)+Статистика!$J$4))-Статистика!$C$10)/MAX(Статистика!$G$10-Статистика!$C$10,0.000001),NA()))</f>
        <v>0.7954988157777777</v>
      </c>
      <c r="CI167" s="12" t="e">
        <f>IF(Y167="",NA(),IF(Статистика!$J$8="Вкл",(((IF(Статистика!$C$4="Параллельный режим (активная мощность)",AI167,AT167)+Статистика!$J$4))-Статистика!$C$10)/MAX(Статистика!$G$10-Статистика!$C$10,0.000001),NA()))</f>
        <v>#N/A</v>
      </c>
      <c r="CJ167" s="12" t="e">
        <f>IF(AND(Y167&lt;&gt;"",Статистика!$C$6="Вкл",Статистика!$B$6&gt;0),(Статистика!$B$6-Статистика!$C$10)/MAX(Статистика!$G$10-Статистика!$C$10,0.000001),NA())</f>
        <v>#N/A</v>
      </c>
      <c r="CK167" s="12" t="e">
        <f>IF(AND(Y167&lt;&gt;"",Статистика!$F$6="Вкл",Статистика!$E$6&gt;0),(Статистика!$E$6-Статистика!$C$10)/MAX(Статистика!$G$10-Статистика!$C$10,0.000001),NA())</f>
        <v>#N/A</v>
      </c>
      <c r="CL167" s="12" t="e">
        <f>IF(AND(Y167&lt;&gt;"",Статистика!$I$6="Вкл",Статистика!$H$6&gt;0),(Статистика!$H$6-Статистика!$C$10)/MAX(Статистика!$G$10-Статистика!$C$10,0.000001),NA())</f>
        <v>#N/A</v>
      </c>
      <c r="CM167" s="12" t="e">
        <f>IF(AND(Y167&lt;&gt;"",Статистика!$L$6="Вкл",Статистика!$K$6&gt;0),(Статистика!$K$6-Статистика!$C$10)/MAX(Статистика!$G$10-Статистика!$C$10,0.000001),NA())</f>
        <v>#N/A</v>
      </c>
      <c r="CN167" s="12" t="e">
        <f>IF(AND(Y167&lt;&gt;"",Статистика!$M$6="Вкл",Статистика!$O$6&gt;0),(Статистика!$O$6-Статистика!$C$10)/MAX(Статистика!$G$10-Статистика!$C$10,0.000001),NA())</f>
        <v>#N/A</v>
      </c>
      <c r="CO167" s="12">
        <f t="shared" si="5"/>
        <v>1</v>
      </c>
    </row>
    <row r="168" spans="1:93" ht="15" customHeight="1">
      <c r="A168" s="12" t="s">
        <v>725</v>
      </c>
      <c r="B168" s="12">
        <v>3013.847178</v>
      </c>
      <c r="C168" s="12">
        <v>6060.9601566666679</v>
      </c>
      <c r="D168" s="12">
        <v>7517.2586099999999</v>
      </c>
      <c r="E168" s="12">
        <v>7742.556333333333</v>
      </c>
      <c r="F168" s="12">
        <v>7913.9318999999996</v>
      </c>
      <c r="G168" s="12">
        <v>8179.6426666666666</v>
      </c>
      <c r="H168" s="12">
        <v>8339.2477433333333</v>
      </c>
      <c r="I168" s="12">
        <v>8371.3158191666662</v>
      </c>
      <c r="J168" s="12">
        <v>8392.8742838333328</v>
      </c>
      <c r="K168" s="12">
        <v>8552.17</v>
      </c>
      <c r="L168" s="12" t="s">
        <v>726</v>
      </c>
      <c r="M168" s="12">
        <v>3617.5097324999997</v>
      </c>
      <c r="N168" s="12">
        <v>6869.2653291666675</v>
      </c>
      <c r="O168" s="12">
        <v>8436.9931799999995</v>
      </c>
      <c r="P168" s="12">
        <v>8703.5727333333343</v>
      </c>
      <c r="Q168" s="12">
        <v>8894.613949999999</v>
      </c>
      <c r="R168" s="12">
        <v>9161.9613000000008</v>
      </c>
      <c r="S168" s="12">
        <v>9330.3055700000004</v>
      </c>
      <c r="T168" s="12">
        <v>9339.0112541666676</v>
      </c>
      <c r="U168" s="12">
        <v>9347.6972375000005</v>
      </c>
      <c r="V168" s="12">
        <v>9526.5499999999993</v>
      </c>
      <c r="W168" s="12" t="s">
        <v>727</v>
      </c>
      <c r="Y168" s="12" t="s">
        <v>725</v>
      </c>
      <c r="Z168" s="12">
        <v>7536.7431788333342</v>
      </c>
      <c r="AA168" s="12">
        <v>7562.0816275000006</v>
      </c>
      <c r="AB168" s="12">
        <v>7593.7546883333334</v>
      </c>
      <c r="AC168" s="12">
        <v>7875.8678583333331</v>
      </c>
      <c r="AD168" s="12">
        <v>8054.3583166666667</v>
      </c>
      <c r="AE168" s="12">
        <v>8186.6873749999986</v>
      </c>
      <c r="AF168" s="12">
        <v>8385.4024683333337</v>
      </c>
      <c r="AG168" s="12">
        <v>8410.0357674999996</v>
      </c>
      <c r="AH168" s="12">
        <v>8429.7424068333348</v>
      </c>
      <c r="AI168" s="12">
        <v>8793.39</v>
      </c>
      <c r="AJ168" s="12" t="s">
        <v>728</v>
      </c>
      <c r="AK168" s="12">
        <v>8518.8834183333311</v>
      </c>
      <c r="AL168" s="12">
        <v>8568.8718916666658</v>
      </c>
      <c r="AM168" s="12">
        <v>8631.3574833333332</v>
      </c>
      <c r="AN168" s="12">
        <v>8857.8295500000004</v>
      </c>
      <c r="AO168" s="12">
        <v>9057.6911333333337</v>
      </c>
      <c r="AP168" s="12">
        <v>9233.6709333333347</v>
      </c>
      <c r="AQ168" s="12">
        <v>9336.6452449999997</v>
      </c>
      <c r="AR168" s="12">
        <v>9369.720255833332</v>
      </c>
      <c r="AS168" s="12">
        <v>9396.1802644999989</v>
      </c>
      <c r="AT168" s="12">
        <v>9774.73</v>
      </c>
      <c r="AU168" s="12" t="s">
        <v>728</v>
      </c>
      <c r="AW168" s="12">
        <f>IF(A168="","",MAX(0,MIN(1,(((IF(Статистика!$C$4="Параллельный режим (активная мощность)",B168,M168)+Статистика!$J$4))-Статистика!$C$10)/MAX(Статистика!$G$10-Статистика!$C$10,0.000001))))</f>
        <v>0</v>
      </c>
      <c r="AX168" s="12">
        <f>IF(A168="","",MAX(0,MAX(0,MIN(1,(((IF(Статистика!$C$4="Параллельный режим (активная мощность)",D168,O168)+Статистика!$J$4))-Статистика!$C$10)/MAX(Статистика!$G$10-Статистика!$C$10,0.000001)))-MAX(0,MIN(1,(((IF(Статистика!$C$4="Параллельный режим (активная мощность)",B168,M168)+Статистика!$J$4))-Статистика!$C$10)/MAX(Статистика!$G$10-Статистика!$C$10,0.000001)))))</f>
        <v>0.50575286999999991</v>
      </c>
      <c r="AY168" s="12">
        <f>IF(A168="","",MAX(0,MAX(0,MIN(1,(((IF(Статистика!$C$4="Параллельный режим (активная мощность)",E168,P168)+Статистика!$J$4))-Статистика!$C$10)/MAX(Статистика!$G$10-Статистика!$C$10,0.000001)))-MAX(0,MIN(1,(((IF(Статистика!$C$4="Параллельный режим (активная мощность)",D168,O168)+Статистика!$J$4))-Статистика!$C$10)/MAX(Статистика!$G$10-Статистика!$C$10,0.000001)))))</f>
        <v>7.5099241111111104E-2</v>
      </c>
      <c r="AZ168" s="12">
        <f>IF(A168="","",MAX(0,MAX(0,MIN(1,(((IF(Статистика!$C$4="Параллельный режим (активная мощность)",F168,Q168)+Статистика!$J$4))-Статистика!$C$10)/MAX(Статистика!$G$10-Статистика!$C$10,0.000001)))-MAX(0,MIN(1,(((IF(Статистика!$C$4="Параллельный режим (активная мощность)",E168,P168)+Статистика!$J$4))-Статистика!$C$10)/MAX(Статистика!$G$10-Статистика!$C$10,0.000001)))))</f>
        <v>5.7125188888888845E-2</v>
      </c>
      <c r="BA168" s="12">
        <f>IF(A168="","",MAX(0,MAX(0,MIN(1,(((IF(Статистика!$C$4="Параллельный режим (активная мощность)",G168,R168)+Статистика!$J$4))-Статистика!$C$10)/MAX(Статистика!$G$10-Статистика!$C$10,0.000001)))-MAX(0,MIN(1,(((IF(Статистика!$C$4="Параллельный режим (активная мощность)",F168,Q168)+Статистика!$J$4))-Статистика!$C$10)/MAX(Статистика!$G$10-Статистика!$C$10,0.000001)))))</f>
        <v>8.8570255555555644E-2</v>
      </c>
      <c r="BB168" s="12">
        <f>IF(A168="","",MAX(0,MAX(0,MIN(1,(((IF(Статистика!$C$4="Параллельный режим (активная мощность)",H168,S168)+Статистика!$J$4))-Статистика!$C$10)/MAX(Статистика!$G$10-Статистика!$C$10,0.000001)))-MAX(0,MIN(1,(((IF(Статистика!$C$4="Параллельный режим (активная мощность)",G168,R168)+Статистика!$J$4))-Статистика!$C$10)/MAX(Статистика!$G$10-Статистика!$C$10,0.000001)))))</f>
        <v>5.3201692222222263E-2</v>
      </c>
      <c r="BC168" s="12">
        <f>IF(A168="","",MAX(0,MAX(0,MIN(1,(((IF(Статистика!$C$4="Параллельный режим (активная мощность)",J168,U168)+Статистика!$J$4))-Статистика!$C$10)/MAX(Статистика!$G$10-Статистика!$C$10,0.000001)))-MAX(0,MIN(1,(((IF(Статистика!$C$4="Параллельный режим (активная мощность)",H168,S168)+Статистика!$J$4))-Статистика!$C$10)/MAX(Статистика!$G$10-Статистика!$C$10,0.000001)))))</f>
        <v>1.7875513499999829E-2</v>
      </c>
      <c r="BD168" s="12">
        <f>IF(A168="","",MAX(0,1-MAX(0,MIN(1,(((IF(Статистика!$C$4="Параллельный режим (активная мощность)",J168,U168)+Статистика!$J$4))-Статистика!$C$10)/MAX(Статистика!$G$10-Статистика!$C$10,0.000001)))))</f>
        <v>0.20237523872222241</v>
      </c>
      <c r="BE168" s="12">
        <f>IF(A168="",NA(),IF(Статистика!$B$8="Вкл",(((IF(Статистика!$C$4="Параллельный режим (активная мощность)",F168,Q168)+Статистика!$J$4))-Статистика!$C$10)/MAX(Статистика!$G$10-Статистика!$C$10,0.000001),NA()))</f>
        <v>0.63797729999999986</v>
      </c>
      <c r="BF168" s="12">
        <f>IF(A168="",NA(),IF(Статистика!$D$8="Вкл",(((IF(Статистика!$C$4="Параллельный режим (активная мощность)",E168,P168)+Статистика!$J$4))-Статистика!$C$10)/MAX(Статистика!$G$10-Статистика!$C$10,0.000001),NA()))</f>
        <v>0.58085211111111101</v>
      </c>
      <c r="BG168" s="12">
        <f>IF(A168="",NA(),IF(Статистика!$D$8="Вкл",(((IF(Статистика!$C$4="Параллельный режим (активная мощность)",G168,R168)+Статистика!$J$4))-Статистика!$C$10)/MAX(Статистика!$G$10-Статистика!$C$10,0.000001),NA()))</f>
        <v>0.7265475555555555</v>
      </c>
      <c r="BH168" s="12">
        <f>IF(A168="",NA(),IF(Статистика!$F$8="Вкл",(((IF(Статистика!$C$4="Параллельный режим (активная мощность)",D168,O168)+Статистика!$J$4))-Статистика!$C$10)/MAX(Статистика!$G$10-Статистика!$C$10,0.000001),NA()))</f>
        <v>0.50575286999999991</v>
      </c>
      <c r="BI168" s="12">
        <f>IF(A168="",NA(),IF(Статистика!$F$8="Вкл",(((IF(Статистика!$C$4="Параллельный режим (активная мощность)",H168,S168)+Статистика!$J$4))-Статистика!$C$10)/MAX(Статистика!$G$10-Статистика!$C$10,0.000001),NA()))</f>
        <v>0.77974924777777777</v>
      </c>
      <c r="BJ168" s="12">
        <f>IF(A168="",NA(),IF(Статистика!$H$8="Вкл",(((IF(Статистика!$C$4="Параллельный режим (активная мощность)",B168,M168)+Статистика!$J$4))-Статистика!$C$10)/MAX(Статистика!$G$10-Статистика!$C$10,0.000001),NA()))</f>
        <v>-0.99538427399999996</v>
      </c>
      <c r="BK168" s="12">
        <f>IF(A168="",NA(),IF(Статистика!$H$8="Вкл",(((IF(Статистика!$C$4="Параллельный режим (активная мощность)",J168,U168)+Статистика!$J$4))-Статистика!$C$10)/MAX(Статистика!$G$10-Статистика!$C$10,0.000001),NA()))</f>
        <v>0.79762476127777759</v>
      </c>
      <c r="BL168" s="12" t="e">
        <f>IF(A168="",NA(),IF(Статистика!$J$8="Вкл",(((IF(Статистика!$C$4="Параллельный режим (активная мощность)",K168,V168)+Статистика!$J$4))-Статистика!$C$10)/MAX(Статистика!$G$10-Статистика!$C$10,0.000001),NA()))</f>
        <v>#N/A</v>
      </c>
      <c r="BM168" s="12" t="e">
        <f>IF(AND(A168&lt;&gt;"",Статистика!$C$6="Вкл",Статистика!$B$6&gt;0),(Статистика!$B$6-Статистика!$C$10)/MAX(Статистика!$G$10-Статистика!$C$10,0.000001),NA())</f>
        <v>#N/A</v>
      </c>
      <c r="BN168" s="12" t="e">
        <f>IF(AND(A168&lt;&gt;"",Статистика!$F$6="Вкл",Статистика!$E$6&gt;0),(Статистика!$E$6-Статистика!$C$10)/MAX(Статистика!$G$10-Статистика!$C$10,0.000001),NA())</f>
        <v>#N/A</v>
      </c>
      <c r="BO168" s="12" t="e">
        <f>IF(AND(A168&lt;&gt;"",Статистика!$I$6="Вкл",Статистика!$H$6&gt;0),(Статистика!$H$6-Статистика!$C$10)/MAX(Статистика!$G$10-Статистика!$C$10,0.000001),NA())</f>
        <v>#N/A</v>
      </c>
      <c r="BP168" s="12" t="e">
        <f>IF(AND(A168&lt;&gt;"",Статистика!$L$6="Вкл",Статистика!$K$6&gt;0),(Статистика!$K$6-Статистика!$C$10)/MAX(Статистика!$G$10-Статистика!$C$10,0.000001),NA())</f>
        <v>#N/A</v>
      </c>
      <c r="BQ168" s="12" t="e">
        <f>IF(AND(A168&lt;&gt;"",Статистика!$M$6="Вкл",Статистика!$O$6&gt;0),(Статистика!$O$6-Статистика!$C$10)/MAX(Статистика!$G$10-Статистика!$C$10,0.000001),NA())</f>
        <v>#N/A</v>
      </c>
      <c r="BR168" s="12">
        <f t="shared" si="4"/>
        <v>1</v>
      </c>
      <c r="BT168" s="12">
        <f>IF(Y168="","",MAX(0,MIN(1,(((IF(Статистика!$C$4="Параллельный режим (активная мощность)",Z168,AK168)+Статистика!$J$4))-Статистика!$C$10)/MAX(Статистика!$G$10-Статистика!$C$10,0.000001))))</f>
        <v>0.51224772627777804</v>
      </c>
      <c r="BU168" s="12">
        <f>IF(Y168="","",MAX(0,MAX(0,MIN(1,(((IF(Статистика!$C$4="Параллельный режим (активная мощность)",AB168,AM168)+Статистика!$J$4))-Статистика!$C$10)/MAX(Статистика!$G$10-Статистика!$C$10,0.000001)))-MAX(0,MIN(1,(((IF(Статистика!$C$4="Параллельный режим (активная мощность)",Z168,AK168)+Статистика!$J$4))-Статистика!$C$10)/MAX(Статистика!$G$10-Статистика!$C$10,0.000001)))))</f>
        <v>1.9003836499999816E-2</v>
      </c>
      <c r="BV168" s="12">
        <f>IF(Y168="","",MAX(0,MAX(0,MIN(1,(((IF(Статистика!$C$4="Параллельный режим (активная мощность)",AC168,AN168)+Статистика!$J$4))-Статистика!$C$10)/MAX(Статистика!$G$10-Статистика!$C$10,0.000001)))-MAX(0,MIN(1,(((IF(Статистика!$C$4="Параллельный режим (активная мощность)",AB168,AM168)+Статистика!$J$4))-Статистика!$C$10)/MAX(Статистика!$G$10-Статистика!$C$10,0.000001)))))</f>
        <v>9.4037723333333156E-2</v>
      </c>
      <c r="BW168" s="12">
        <f>IF(Y168="","",MAX(0,MAX(0,MIN(1,(((IF(Статистика!$C$4="Параллельный режим (активная мощность)",AD168,AO168)+Статистика!$J$4))-Статистика!$C$10)/MAX(Статистика!$G$10-Статистика!$C$10,0.000001)))-MAX(0,MIN(1,(((IF(Статистика!$C$4="Параллельный режим (активная мощность)",AC168,AN168)+Статистика!$J$4))-Статистика!$C$10)/MAX(Статистика!$G$10-Статистика!$C$10,0.000001)))))</f>
        <v>5.9496819444444515E-2</v>
      </c>
      <c r="BX168" s="12">
        <f>IF(Y168="","",MAX(0,MAX(0,MIN(1,(((IF(Статистика!$C$4="Параллельный режим (активная мощность)",AE168,AP168)+Статистика!$J$4))-Статистика!$C$10)/MAX(Статистика!$G$10-Статистика!$C$10,0.000001)))-MAX(0,MIN(1,(((IF(Статистика!$C$4="Параллельный режим (активная мощность)",AD168,AO168)+Статистика!$J$4))-Статистика!$C$10)/MAX(Статистика!$G$10-Статистика!$C$10,0.000001)))))</f>
        <v>4.4109686111110658E-2</v>
      </c>
      <c r="BY168" s="12">
        <f>IF(Y168="","",MAX(0,MAX(0,MIN(1,(((IF(Статистика!$C$4="Параллельный режим (активная мощность)",AF168,AQ168)+Статистика!$J$4))-Статистика!$C$10)/MAX(Статистика!$G$10-Статистика!$C$10,0.000001)))-MAX(0,MIN(1,(((IF(Статистика!$C$4="Параллельный режим (активная мощность)",AE168,AP168)+Статистика!$J$4))-Статистика!$C$10)/MAX(Статистика!$G$10-Статистика!$C$10,0.000001)))))</f>
        <v>6.6238364444445086E-2</v>
      </c>
      <c r="BZ168" s="12">
        <f>IF(Y168="","",MAX(0,MAX(0,MIN(1,(((IF(Статистика!$C$4="Параллельный режим (активная мощность)",AH168,AS168)+Статистика!$J$4))-Статистика!$C$10)/MAX(Статистика!$G$10-Статистика!$C$10,0.000001)))-MAX(0,MIN(1,(((IF(Статистика!$C$4="Параллельный режим (активная мощность)",AF168,AQ168)+Статистика!$J$4))-Статистика!$C$10)/MAX(Статистика!$G$10-Статистика!$C$10,0.000001)))))</f>
        <v>1.4779979500000318E-2</v>
      </c>
      <c r="CA168" s="12">
        <f>IF(Y168="","",MAX(0,1-MAX(0,MIN(1,(((IF(Статистика!$C$4="Параллельный режим (активная мощность)",AH168,AS168)+Статистика!$J$4))-Статистика!$C$10)/MAX(Статистика!$G$10-Статистика!$C$10,0.000001)))))</f>
        <v>0.19008586438888841</v>
      </c>
      <c r="CB168" s="12">
        <f>IF(Y168="",NA(),IF(Статистика!$B$8="Вкл",(((IF(Статистика!$C$4="Параллельный режим (активная мощность)",AD168,AO168)+Статистика!$J$4))-Статистика!$C$10)/MAX(Статистика!$G$10-Статистика!$C$10,0.000001),NA()))</f>
        <v>0.68478610555555552</v>
      </c>
      <c r="CC168" s="12">
        <f>IF(Y168="",NA(),IF(Статистика!$D$8="Вкл",(((IF(Статистика!$C$4="Параллельный режим (активная мощность)",AC168,AN168)+Статистика!$J$4))-Статистика!$C$10)/MAX(Статистика!$G$10-Статистика!$C$10,0.000001),NA()))</f>
        <v>0.62528928611111101</v>
      </c>
      <c r="CD168" s="12">
        <f>IF(Y168="",NA(),IF(Статистика!$D$8="Вкл",(((IF(Статистика!$C$4="Параллельный режим (активная мощность)",AE168,AP168)+Статистика!$J$4))-Статистика!$C$10)/MAX(Статистика!$G$10-Статистика!$C$10,0.000001),NA()))</f>
        <v>0.72889579166666618</v>
      </c>
      <c r="CE168" s="12">
        <f>IF(Y168="",NA(),IF(Статистика!$F$8="Вкл",(((IF(Статистика!$C$4="Параллельный режим (активная мощность)",AB168,AM168)+Статистика!$J$4))-Статистика!$C$10)/MAX(Статистика!$G$10-Статистика!$C$10,0.000001),NA()))</f>
        <v>0.53125156277777785</v>
      </c>
      <c r="CF168" s="12">
        <f>IF(Y168="",NA(),IF(Статистика!$F$8="Вкл",(((IF(Статистика!$C$4="Параллельный режим (активная мощность)",AF168,AQ168)+Статистика!$J$4))-Статистика!$C$10)/MAX(Статистика!$G$10-Статистика!$C$10,0.000001),NA()))</f>
        <v>0.79513415611111127</v>
      </c>
      <c r="CG168" s="12">
        <f>IF(Y168="",NA(),IF(Статистика!$H$8="Вкл",(((IF(Статистика!$C$4="Параллельный режим (активная мощность)",Z168,AK168)+Статистика!$J$4))-Статистика!$C$10)/MAX(Статистика!$G$10-Статистика!$C$10,0.000001),NA()))</f>
        <v>0.51224772627777804</v>
      </c>
      <c r="CH168" s="12">
        <f>IF(Y168="",NA(),IF(Статистика!$H$8="Вкл",(((IF(Статистика!$C$4="Параллельный режим (активная мощность)",AH168,AS168)+Статистика!$J$4))-Статистика!$C$10)/MAX(Статистика!$G$10-Статистика!$C$10,0.000001),NA()))</f>
        <v>0.80991413561111159</v>
      </c>
      <c r="CI168" s="12" t="e">
        <f>IF(Y168="",NA(),IF(Статистика!$J$8="Вкл",(((IF(Статистика!$C$4="Параллельный режим (активная мощность)",AI168,AT168)+Статистика!$J$4))-Статистика!$C$10)/MAX(Статистика!$G$10-Статистика!$C$10,0.000001),NA()))</f>
        <v>#N/A</v>
      </c>
      <c r="CJ168" s="12" t="e">
        <f>IF(AND(Y168&lt;&gt;"",Статистика!$C$6="Вкл",Статистика!$B$6&gt;0),(Статистика!$B$6-Статистика!$C$10)/MAX(Статистика!$G$10-Статистика!$C$10,0.000001),NA())</f>
        <v>#N/A</v>
      </c>
      <c r="CK168" s="12" t="e">
        <f>IF(AND(Y168&lt;&gt;"",Статистика!$F$6="Вкл",Статистика!$E$6&gt;0),(Статистика!$E$6-Статистика!$C$10)/MAX(Статистика!$G$10-Статистика!$C$10,0.000001),NA())</f>
        <v>#N/A</v>
      </c>
      <c r="CL168" s="12" t="e">
        <f>IF(AND(Y168&lt;&gt;"",Статистика!$I$6="Вкл",Статистика!$H$6&gt;0),(Статистика!$H$6-Статистика!$C$10)/MAX(Статистика!$G$10-Статистика!$C$10,0.000001),NA())</f>
        <v>#N/A</v>
      </c>
      <c r="CM168" s="12" t="e">
        <f>IF(AND(Y168&lt;&gt;"",Статистика!$L$6="Вкл",Статистика!$K$6&gt;0),(Статистика!$K$6-Статистика!$C$10)/MAX(Статистика!$G$10-Статистика!$C$10,0.000001),NA())</f>
        <v>#N/A</v>
      </c>
      <c r="CN168" s="12" t="e">
        <f>IF(AND(Y168&lt;&gt;"",Статистика!$M$6="Вкл",Статистика!$O$6&gt;0),(Статистика!$O$6-Статистика!$C$10)/MAX(Статистика!$G$10-Статистика!$C$10,0.000001),NA())</f>
        <v>#N/A</v>
      </c>
      <c r="CO168" s="12">
        <f t="shared" si="5"/>
        <v>1</v>
      </c>
    </row>
    <row r="169" spans="1:93" ht="15" customHeight="1">
      <c r="A169" s="12" t="s">
        <v>729</v>
      </c>
      <c r="B169" s="12">
        <v>3099.3480895000002</v>
      </c>
      <c r="C169" s="12">
        <v>6066.7064475000006</v>
      </c>
      <c r="D169" s="12">
        <v>7481.1545050000004</v>
      </c>
      <c r="E169" s="12">
        <v>7691.0885333333345</v>
      </c>
      <c r="F169" s="12">
        <v>7913.9100000000008</v>
      </c>
      <c r="G169" s="12">
        <v>8156.8363416666662</v>
      </c>
      <c r="H169" s="12">
        <v>8353.9505749999989</v>
      </c>
      <c r="I169" s="12">
        <v>8410.2090958333338</v>
      </c>
      <c r="J169" s="12">
        <v>8435.9855525000021</v>
      </c>
      <c r="K169" s="12">
        <v>8734.6</v>
      </c>
      <c r="L169" s="12" t="s">
        <v>730</v>
      </c>
      <c r="M169" s="12">
        <v>3723.0066058333337</v>
      </c>
      <c r="N169" s="12">
        <v>6896.2719625000009</v>
      </c>
      <c r="O169" s="12">
        <v>8409.0723283333336</v>
      </c>
      <c r="P169" s="12">
        <v>8619.9468750000015</v>
      </c>
      <c r="Q169" s="12">
        <v>8888.3951166666666</v>
      </c>
      <c r="R169" s="12">
        <v>9108.1477999999988</v>
      </c>
      <c r="S169" s="12">
        <v>9325.6489583333332</v>
      </c>
      <c r="T169" s="12">
        <v>9359.1509416666668</v>
      </c>
      <c r="U169" s="12">
        <v>9425.8043483333349</v>
      </c>
      <c r="V169" s="12">
        <v>9776.74</v>
      </c>
      <c r="W169" s="12" t="s">
        <v>730</v>
      </c>
      <c r="Y169" s="12" t="s">
        <v>729</v>
      </c>
      <c r="Z169" s="12">
        <v>7547.1585816666666</v>
      </c>
      <c r="AA169" s="12">
        <v>7569.4401083333332</v>
      </c>
      <c r="AB169" s="12">
        <v>7597.2920166666663</v>
      </c>
      <c r="AC169" s="12">
        <v>7823.5970666666672</v>
      </c>
      <c r="AD169" s="12">
        <v>8063.713099999999</v>
      </c>
      <c r="AE169" s="12">
        <v>8183.3348999999998</v>
      </c>
      <c r="AF169" s="12">
        <v>8362.5468700000001</v>
      </c>
      <c r="AG169" s="12">
        <v>8401.8144683333339</v>
      </c>
      <c r="AH169" s="12">
        <v>8433.2285470000006</v>
      </c>
      <c r="AI169" s="12">
        <v>8585.27</v>
      </c>
      <c r="AJ169" s="12" t="s">
        <v>731</v>
      </c>
      <c r="AK169" s="12">
        <v>8532.0827855000007</v>
      </c>
      <c r="AL169" s="12">
        <v>8580.0551274999998</v>
      </c>
      <c r="AM169" s="12">
        <v>8640.020555000001</v>
      </c>
      <c r="AN169" s="12">
        <v>8801.358416666666</v>
      </c>
      <c r="AO169" s="12">
        <v>9085.6404666666676</v>
      </c>
      <c r="AP169" s="12">
        <v>9226.5066166666656</v>
      </c>
      <c r="AQ169" s="12">
        <v>9316.2034116666655</v>
      </c>
      <c r="AR169" s="12">
        <v>9365.2388725000001</v>
      </c>
      <c r="AS169" s="12">
        <v>9404.467241166667</v>
      </c>
      <c r="AT169" s="12">
        <v>9592.07</v>
      </c>
      <c r="AU169" s="12" t="s">
        <v>732</v>
      </c>
      <c r="AW169" s="12">
        <f>IF(A169="","",MAX(0,MIN(1,(((IF(Статистика!$C$4="Параллельный режим (активная мощность)",B169,M169)+Статистика!$J$4))-Статистика!$C$10)/MAX(Статистика!$G$10-Статистика!$C$10,0.000001))))</f>
        <v>0</v>
      </c>
      <c r="AX169" s="12">
        <f>IF(A169="","",MAX(0,MAX(0,MIN(1,(((IF(Статистика!$C$4="Параллельный режим (активная мощность)",D169,O169)+Статистика!$J$4))-Статистика!$C$10)/MAX(Статистика!$G$10-Статистика!$C$10,0.000001)))-MAX(0,MIN(1,(((IF(Статистика!$C$4="Параллельный режим (активная мощность)",B169,M169)+Статистика!$J$4))-Статистика!$C$10)/MAX(Статистика!$G$10-Статистика!$C$10,0.000001)))))</f>
        <v>0.49371816833333348</v>
      </c>
      <c r="AY169" s="12">
        <f>IF(A169="","",MAX(0,MAX(0,MIN(1,(((IF(Статистика!$C$4="Параллельный режим (активная мощность)",E169,P169)+Статистика!$J$4))-Статистика!$C$10)/MAX(Статистика!$G$10-Статистика!$C$10,0.000001)))-MAX(0,MIN(1,(((IF(Статистика!$C$4="Параллельный режим (активная мощность)",D169,O169)+Статистика!$J$4))-Статистика!$C$10)/MAX(Статистика!$G$10-Статистика!$C$10,0.000001)))))</f>
        <v>6.9978009444444655E-2</v>
      </c>
      <c r="AZ169" s="12">
        <f>IF(A169="","",MAX(0,MAX(0,MIN(1,(((IF(Статистика!$C$4="Параллельный режим (активная мощность)",F169,Q169)+Статистика!$J$4))-Статистика!$C$10)/MAX(Статистика!$G$10-Статистика!$C$10,0.000001)))-MAX(0,MIN(1,(((IF(Статистика!$C$4="Параллельный режим (активная мощность)",E169,P169)+Статистика!$J$4))-Статистика!$C$10)/MAX(Статистика!$G$10-Статистика!$C$10,0.000001)))))</f>
        <v>7.4273822222222119E-2</v>
      </c>
      <c r="BA169" s="12">
        <f>IF(A169="","",MAX(0,MAX(0,MIN(1,(((IF(Статистика!$C$4="Параллельный режим (активная мощность)",G169,R169)+Статистика!$J$4))-Статистика!$C$10)/MAX(Статистика!$G$10-Статистика!$C$10,0.000001)))-MAX(0,MIN(1,(((IF(Статистика!$C$4="Параллельный режим (активная мощность)",F169,Q169)+Статистика!$J$4))-Статистика!$C$10)/MAX(Статистика!$G$10-Статистика!$C$10,0.000001)))))</f>
        <v>8.097544722222183E-2</v>
      </c>
      <c r="BB169" s="12">
        <f>IF(A169="","",MAX(0,MAX(0,MIN(1,(((IF(Статистика!$C$4="Параллельный режим (активная мощность)",H169,S169)+Статистика!$J$4))-Статистика!$C$10)/MAX(Статистика!$G$10-Статистика!$C$10,0.000001)))-MAX(0,MIN(1,(((IF(Статистика!$C$4="Параллельный режим (активная мощность)",G169,R169)+Статистика!$J$4))-Статистика!$C$10)/MAX(Статистика!$G$10-Статистика!$C$10,0.000001)))))</f>
        <v>6.5704744444444185E-2</v>
      </c>
      <c r="BC169" s="12">
        <f>IF(A169="","",MAX(0,MAX(0,MIN(1,(((IF(Статистика!$C$4="Параллельный режим (активная мощность)",J169,U169)+Статистика!$J$4))-Статистика!$C$10)/MAX(Статистика!$G$10-Статистика!$C$10,0.000001)))-MAX(0,MIN(1,(((IF(Статистика!$C$4="Параллельный режим (активная мощность)",H169,S169)+Статистика!$J$4))-Статистика!$C$10)/MAX(Статистика!$G$10-Статистика!$C$10,0.000001)))))</f>
        <v>2.7344992500001108E-2</v>
      </c>
      <c r="BD169" s="12">
        <f>IF(A169="","",MAX(0,1-MAX(0,MIN(1,(((IF(Статистика!$C$4="Параллельный режим (активная мощность)",J169,U169)+Статистика!$J$4))-Статистика!$C$10)/MAX(Статистика!$G$10-Статистика!$C$10,0.000001)))))</f>
        <v>0.18800481583333262</v>
      </c>
      <c r="BE169" s="12">
        <f>IF(A169="",NA(),IF(Статистика!$B$8="Вкл",(((IF(Статистика!$C$4="Параллельный режим (активная мощность)",F169,Q169)+Статистика!$J$4))-Статистика!$C$10)/MAX(Статистика!$G$10-Статистика!$C$10,0.000001),NA()))</f>
        <v>0.63797000000000026</v>
      </c>
      <c r="BF169" s="12">
        <f>IF(A169="",NA(),IF(Статистика!$D$8="Вкл",(((IF(Статистика!$C$4="Параллельный режим (активная мощность)",E169,P169)+Статистика!$J$4))-Статистика!$C$10)/MAX(Статистика!$G$10-Статистика!$C$10,0.000001),NA()))</f>
        <v>0.56369617777777814</v>
      </c>
      <c r="BG169" s="12">
        <f>IF(A169="",NA(),IF(Статистика!$D$8="Вкл",(((IF(Статистика!$C$4="Параллельный режим (активная мощность)",G169,R169)+Статистика!$J$4))-Статистика!$C$10)/MAX(Статистика!$G$10-Статистика!$C$10,0.000001),NA()))</f>
        <v>0.71894544722222209</v>
      </c>
      <c r="BH169" s="12">
        <f>IF(A169="",NA(),IF(Статистика!$F$8="Вкл",(((IF(Статистика!$C$4="Параллельный режим (активная мощность)",D169,O169)+Статистика!$J$4))-Статистика!$C$10)/MAX(Статистика!$G$10-Статистика!$C$10,0.000001),NA()))</f>
        <v>0.49371816833333348</v>
      </c>
      <c r="BI169" s="12">
        <f>IF(A169="",NA(),IF(Статистика!$F$8="Вкл",(((IF(Статистика!$C$4="Параллельный режим (активная мощность)",H169,S169)+Статистика!$J$4))-Статистика!$C$10)/MAX(Статистика!$G$10-Статистика!$C$10,0.000001),NA()))</f>
        <v>0.78465019166666627</v>
      </c>
      <c r="BJ169" s="12">
        <f>IF(A169="",NA(),IF(Статистика!$H$8="Вкл",(((IF(Статистика!$C$4="Параллельный режим (активная мощность)",B169,M169)+Статистика!$J$4))-Статистика!$C$10)/MAX(Статистика!$G$10-Статистика!$C$10,0.000001),NA()))</f>
        <v>-0.96688397016666661</v>
      </c>
      <c r="BK169" s="12">
        <f>IF(A169="",NA(),IF(Статистика!$H$8="Вкл",(((IF(Статистика!$C$4="Параллельный режим (активная мощность)",J169,U169)+Статистика!$J$4))-Статистика!$C$10)/MAX(Статистика!$G$10-Статистика!$C$10,0.000001),NA()))</f>
        <v>0.81199518416666738</v>
      </c>
      <c r="BL169" s="12" t="e">
        <f>IF(A169="",NA(),IF(Статистика!$J$8="Вкл",(((IF(Статистика!$C$4="Параллельный режим (активная мощность)",K169,V169)+Статистика!$J$4))-Статистика!$C$10)/MAX(Статистика!$G$10-Статистика!$C$10,0.000001),NA()))</f>
        <v>#N/A</v>
      </c>
      <c r="BM169" s="12" t="e">
        <f>IF(AND(A169&lt;&gt;"",Статистика!$C$6="Вкл",Статистика!$B$6&gt;0),(Статистика!$B$6-Статистика!$C$10)/MAX(Статистика!$G$10-Статистика!$C$10,0.000001),NA())</f>
        <v>#N/A</v>
      </c>
      <c r="BN169" s="12" t="e">
        <f>IF(AND(A169&lt;&gt;"",Статистика!$F$6="Вкл",Статистика!$E$6&gt;0),(Статистика!$E$6-Статистика!$C$10)/MAX(Статистика!$G$10-Статистика!$C$10,0.000001),NA())</f>
        <v>#N/A</v>
      </c>
      <c r="BO169" s="12" t="e">
        <f>IF(AND(A169&lt;&gt;"",Статистика!$I$6="Вкл",Статистика!$H$6&gt;0),(Статистика!$H$6-Статистика!$C$10)/MAX(Статистика!$G$10-Статистика!$C$10,0.000001),NA())</f>
        <v>#N/A</v>
      </c>
      <c r="BP169" s="12" t="e">
        <f>IF(AND(A169&lt;&gt;"",Статистика!$L$6="Вкл",Статистика!$K$6&gt;0),(Статистика!$K$6-Статистика!$C$10)/MAX(Статистика!$G$10-Статистика!$C$10,0.000001),NA())</f>
        <v>#N/A</v>
      </c>
      <c r="BQ169" s="12" t="e">
        <f>IF(AND(A169&lt;&gt;"",Статистика!$M$6="Вкл",Статистика!$O$6&gt;0),(Статистика!$O$6-Статистика!$C$10)/MAX(Статистика!$G$10-Статистика!$C$10,0.000001),NA())</f>
        <v>#N/A</v>
      </c>
      <c r="BR169" s="12">
        <f t="shared" si="4"/>
        <v>1</v>
      </c>
      <c r="BT169" s="12">
        <f>IF(Y169="","",MAX(0,MIN(1,(((IF(Статистика!$C$4="Параллельный режим (активная мощность)",Z169,AK169)+Статистика!$J$4))-Статистика!$C$10)/MAX(Статистика!$G$10-Статистика!$C$10,0.000001))))</f>
        <v>0.51571952722222214</v>
      </c>
      <c r="BU169" s="12">
        <f>IF(Y169="","",MAX(0,MAX(0,MIN(1,(((IF(Статистика!$C$4="Параллельный режим (активная мощность)",AB169,AM169)+Статистика!$J$4))-Статистика!$C$10)/MAX(Статистика!$G$10-Статистика!$C$10,0.000001)))-MAX(0,MIN(1,(((IF(Статистика!$C$4="Параллельный режим (активная мощность)",Z169,AK169)+Статистика!$J$4))-Статистика!$C$10)/MAX(Статистика!$G$10-Статистика!$C$10,0.000001)))))</f>
        <v>1.6711144999999927E-2</v>
      </c>
      <c r="BV169" s="12">
        <f>IF(Y169="","",MAX(0,MAX(0,MIN(1,(((IF(Статистика!$C$4="Параллельный режим (активная мощность)",AC169,AN169)+Статистика!$J$4))-Статистика!$C$10)/MAX(Статистика!$G$10-Статистика!$C$10,0.000001)))-MAX(0,MIN(1,(((IF(Статистика!$C$4="Параллельный режим (активная мощность)",AB169,AM169)+Статистика!$J$4))-Статистика!$C$10)/MAX(Статистика!$G$10-Статистика!$C$10,0.000001)))))</f>
        <v>7.5435016666666965E-2</v>
      </c>
      <c r="BW169" s="12">
        <f>IF(Y169="","",MAX(0,MAX(0,MIN(1,(((IF(Статистика!$C$4="Параллельный режим (активная мощность)",AD169,AO169)+Статистика!$J$4))-Статистика!$C$10)/MAX(Статистика!$G$10-Статистика!$C$10,0.000001)))-MAX(0,MIN(1,(((IF(Статистика!$C$4="Параллельный режим (активная мощность)",AC169,AN169)+Статистика!$J$4))-Статистика!$C$10)/MAX(Статистика!$G$10-Статистика!$C$10,0.000001)))))</f>
        <v>8.003867777777729E-2</v>
      </c>
      <c r="BX169" s="12">
        <f>IF(Y169="","",MAX(0,MAX(0,MIN(1,(((IF(Статистика!$C$4="Параллельный режим (активная мощность)",AE169,AP169)+Статистика!$J$4))-Статистика!$C$10)/MAX(Статистика!$G$10-Статистика!$C$10,0.000001)))-MAX(0,MIN(1,(((IF(Статистика!$C$4="Параллельный режим (активная мощность)",AD169,AO169)+Статистика!$J$4))-Статистика!$C$10)/MAX(Статистика!$G$10-Статистика!$C$10,0.000001)))))</f>
        <v>3.9873933333333667E-2</v>
      </c>
      <c r="BY169" s="12">
        <f>IF(Y169="","",MAX(0,MAX(0,MIN(1,(((IF(Статистика!$C$4="Параллельный режим (активная мощность)",AF169,AQ169)+Статистика!$J$4))-Статистика!$C$10)/MAX(Статистика!$G$10-Статистика!$C$10,0.000001)))-MAX(0,MIN(1,(((IF(Статистика!$C$4="Параллельный режим (активная мощность)",AE169,AP169)+Статистика!$J$4))-Статистика!$C$10)/MAX(Статистика!$G$10-Статистика!$C$10,0.000001)))))</f>
        <v>5.973732333333337E-2</v>
      </c>
      <c r="BZ169" s="12">
        <f>IF(Y169="","",MAX(0,MAX(0,MIN(1,(((IF(Статистика!$C$4="Параллельный режим (активная мощность)",AH169,AS169)+Статистика!$J$4))-Статистика!$C$10)/MAX(Статистика!$G$10-Статистика!$C$10,0.000001)))-MAX(0,MIN(1,(((IF(Статистика!$C$4="Параллельный режим (активная мощность)",AF169,AQ169)+Статистика!$J$4))-Статистика!$C$10)/MAX(Статистика!$G$10-Статистика!$C$10,0.000001)))))</f>
        <v>2.3560559000000203E-2</v>
      </c>
      <c r="CA169" s="12">
        <f>IF(Y169="","",MAX(0,1-MAX(0,MIN(1,(((IF(Статистика!$C$4="Параллельный режим (активная мощность)",AH169,AS169)+Статистика!$J$4))-Статистика!$C$10)/MAX(Статистика!$G$10-Статистика!$C$10,0.000001)))))</f>
        <v>0.18892381766666644</v>
      </c>
      <c r="CB169" s="12">
        <f>IF(Y169="",NA(),IF(Статистика!$B$8="Вкл",(((IF(Статистика!$C$4="Параллельный режим (активная мощность)",AD169,AO169)+Статистика!$J$4))-Статистика!$C$10)/MAX(Статистика!$G$10-Статистика!$C$10,0.000001),NA()))</f>
        <v>0.68790436666666632</v>
      </c>
      <c r="CC169" s="12">
        <f>IF(Y169="",NA(),IF(Статистика!$D$8="Вкл",(((IF(Статистика!$C$4="Параллельный режим (активная мощность)",AC169,AN169)+Статистика!$J$4))-Статистика!$C$10)/MAX(Статистика!$G$10-Статистика!$C$10,0.000001),NA()))</f>
        <v>0.60786568888888903</v>
      </c>
      <c r="CD169" s="12">
        <f>IF(Y169="",NA(),IF(Статистика!$D$8="Вкл",(((IF(Статистика!$C$4="Параллельный режим (активная мощность)",AE169,AP169)+Статистика!$J$4))-Статистика!$C$10)/MAX(Статистика!$G$10-Статистика!$C$10,0.000001),NA()))</f>
        <v>0.72777829999999999</v>
      </c>
      <c r="CE169" s="12">
        <f>IF(Y169="",NA(),IF(Статистика!$F$8="Вкл",(((IF(Статистика!$C$4="Параллельный режим (активная мощность)",AB169,AM169)+Статистика!$J$4))-Статистика!$C$10)/MAX(Статистика!$G$10-Статистика!$C$10,0.000001),NA()))</f>
        <v>0.53243067222222207</v>
      </c>
      <c r="CF169" s="12">
        <f>IF(Y169="",NA(),IF(Статистика!$F$8="Вкл",(((IF(Статистика!$C$4="Параллельный режим (активная мощность)",AF169,AQ169)+Статистика!$J$4))-Статистика!$C$10)/MAX(Статистика!$G$10-Статистика!$C$10,0.000001),NA()))</f>
        <v>0.78751562333333336</v>
      </c>
      <c r="CG169" s="12">
        <f>IF(Y169="",NA(),IF(Статистика!$H$8="Вкл",(((IF(Статистика!$C$4="Параллельный режим (активная мощность)",Z169,AK169)+Статистика!$J$4))-Статистика!$C$10)/MAX(Статистика!$G$10-Статистика!$C$10,0.000001),NA()))</f>
        <v>0.51571952722222214</v>
      </c>
      <c r="CH169" s="12">
        <f>IF(Y169="",NA(),IF(Статистика!$H$8="Вкл",(((IF(Статистика!$C$4="Параллельный режим (активная мощность)",AH169,AS169)+Статистика!$J$4))-Статистика!$C$10)/MAX(Статистика!$G$10-Статистика!$C$10,0.000001),NA()))</f>
        <v>0.81107618233333356</v>
      </c>
      <c r="CI169" s="12" t="e">
        <f>IF(Y169="",NA(),IF(Статистика!$J$8="Вкл",(((IF(Статистика!$C$4="Параллельный режим (активная мощность)",AI169,AT169)+Статистика!$J$4))-Статистика!$C$10)/MAX(Статистика!$G$10-Статистика!$C$10,0.000001),NA()))</f>
        <v>#N/A</v>
      </c>
      <c r="CJ169" s="12" t="e">
        <f>IF(AND(Y169&lt;&gt;"",Статистика!$C$6="Вкл",Статистика!$B$6&gt;0),(Статистика!$B$6-Статистика!$C$10)/MAX(Статистика!$G$10-Статистика!$C$10,0.000001),NA())</f>
        <v>#N/A</v>
      </c>
      <c r="CK169" s="12" t="e">
        <f>IF(AND(Y169&lt;&gt;"",Статистика!$F$6="Вкл",Статистика!$E$6&gt;0),(Статистика!$E$6-Статистика!$C$10)/MAX(Статистика!$G$10-Статистика!$C$10,0.000001),NA())</f>
        <v>#N/A</v>
      </c>
      <c r="CL169" s="12" t="e">
        <f>IF(AND(Y169&lt;&gt;"",Статистика!$I$6="Вкл",Статистика!$H$6&gt;0),(Статистика!$H$6-Статистика!$C$10)/MAX(Статистика!$G$10-Статистика!$C$10,0.000001),NA())</f>
        <v>#N/A</v>
      </c>
      <c r="CM169" s="12" t="e">
        <f>IF(AND(Y169&lt;&gt;"",Статистика!$L$6="Вкл",Статистика!$K$6&gt;0),(Статистика!$K$6-Статистика!$C$10)/MAX(Статистика!$G$10-Статистика!$C$10,0.000001),NA())</f>
        <v>#N/A</v>
      </c>
      <c r="CN169" s="12" t="e">
        <f>IF(AND(Y169&lt;&gt;"",Статистика!$M$6="Вкл",Статистика!$O$6&gt;0),(Статистика!$O$6-Статистика!$C$10)/MAX(Статистика!$G$10-Статистика!$C$10,0.000001),NA())</f>
        <v>#N/A</v>
      </c>
      <c r="CO169" s="12">
        <f t="shared" si="5"/>
        <v>1</v>
      </c>
    </row>
    <row r="170" spans="1:93" ht="15" customHeight="1">
      <c r="A170" s="12" t="s">
        <v>733</v>
      </c>
      <c r="B170" s="12">
        <v>3133.9020054999996</v>
      </c>
      <c r="C170" s="12">
        <v>6045.692960833333</v>
      </c>
      <c r="D170" s="12">
        <v>7431.8119150000002</v>
      </c>
      <c r="E170" s="12">
        <v>7707.9038499999997</v>
      </c>
      <c r="F170" s="12">
        <v>7894.4452833333335</v>
      </c>
      <c r="G170" s="12">
        <v>8164.7417833333338</v>
      </c>
      <c r="H170" s="12">
        <v>8304.460923333334</v>
      </c>
      <c r="I170" s="12">
        <v>8389.9163908333339</v>
      </c>
      <c r="J170" s="12">
        <v>8471.852584833332</v>
      </c>
      <c r="K170" s="12">
        <v>8678.25</v>
      </c>
      <c r="L170" s="12" t="s">
        <v>734</v>
      </c>
      <c r="M170" s="12">
        <v>3763.3743453333327</v>
      </c>
      <c r="N170" s="12">
        <v>6859.3595933333327</v>
      </c>
      <c r="O170" s="12">
        <v>8344.1479533333331</v>
      </c>
      <c r="P170" s="12">
        <v>8646.3278250000003</v>
      </c>
      <c r="Q170" s="12">
        <v>8830.1178</v>
      </c>
      <c r="R170" s="12">
        <v>9110.441616666667</v>
      </c>
      <c r="S170" s="12">
        <v>9279.58259</v>
      </c>
      <c r="T170" s="12">
        <v>9341.5545708333339</v>
      </c>
      <c r="U170" s="12">
        <v>9457.1921675000012</v>
      </c>
      <c r="V170" s="12">
        <v>9715.7099999999991</v>
      </c>
      <c r="W170" s="12" t="s">
        <v>734</v>
      </c>
      <c r="Y170" s="12" t="s">
        <v>733</v>
      </c>
      <c r="Z170" s="12">
        <v>7588.4062898333323</v>
      </c>
      <c r="AA170" s="12">
        <v>7593.469582499999</v>
      </c>
      <c r="AB170" s="12">
        <v>7599.798698333333</v>
      </c>
      <c r="AC170" s="12">
        <v>7816.7306833333332</v>
      </c>
      <c r="AD170" s="12">
        <v>8048.3845999999994</v>
      </c>
      <c r="AE170" s="12">
        <v>8143.3597916666658</v>
      </c>
      <c r="AF170" s="12">
        <v>8405.2427333333344</v>
      </c>
      <c r="AG170" s="12">
        <v>8430.6586000000007</v>
      </c>
      <c r="AH170" s="12">
        <v>8450.9912933333344</v>
      </c>
      <c r="AI170" s="12">
        <v>8598.43</v>
      </c>
      <c r="AJ170" s="12" t="s">
        <v>735</v>
      </c>
      <c r="AK170" s="12">
        <v>8577.8019765000008</v>
      </c>
      <c r="AL170" s="12">
        <v>8602.978549166668</v>
      </c>
      <c r="AM170" s="12">
        <v>8634.4492650000011</v>
      </c>
      <c r="AN170" s="12">
        <v>8794.4580750000005</v>
      </c>
      <c r="AO170" s="12">
        <v>9054.8648666666668</v>
      </c>
      <c r="AP170" s="12">
        <v>9202.0638833333342</v>
      </c>
      <c r="AQ170" s="12">
        <v>9390.5009183333332</v>
      </c>
      <c r="AR170" s="12">
        <v>9417.2008425000004</v>
      </c>
      <c r="AS170" s="12">
        <v>9438.5607818333319</v>
      </c>
      <c r="AT170" s="12">
        <v>9569.42</v>
      </c>
      <c r="AU170" s="12" t="s">
        <v>735</v>
      </c>
      <c r="AW170" s="12">
        <f>IF(A170="","",MAX(0,MIN(1,(((IF(Статистика!$C$4="Параллельный режим (активная мощность)",B170,M170)+Статистика!$J$4))-Статистика!$C$10)/MAX(Статистика!$G$10-Статистика!$C$10,0.000001))))</f>
        <v>0</v>
      </c>
      <c r="AX170" s="12">
        <f>IF(A170="","",MAX(0,MAX(0,MIN(1,(((IF(Статистика!$C$4="Параллельный режим (активная мощность)",D170,O170)+Статистика!$J$4))-Статистика!$C$10)/MAX(Статистика!$G$10-Статистика!$C$10,0.000001)))-MAX(0,MIN(1,(((IF(Статистика!$C$4="Параллельный режим (активная мощность)",B170,M170)+Статистика!$J$4))-Статистика!$C$10)/MAX(Статистика!$G$10-Статистика!$C$10,0.000001)))))</f>
        <v>0.47727063833333339</v>
      </c>
      <c r="AY170" s="12">
        <f>IF(A170="","",MAX(0,MAX(0,MIN(1,(((IF(Статистика!$C$4="Параллельный режим (активная мощность)",E170,P170)+Статистика!$J$4))-Статистика!$C$10)/MAX(Статистика!$G$10-Статистика!$C$10,0.000001)))-MAX(0,MIN(1,(((IF(Статистика!$C$4="Параллельный режим (активная мощность)",D170,O170)+Статистика!$J$4))-Статистика!$C$10)/MAX(Статистика!$G$10-Статистика!$C$10,0.000001)))))</f>
        <v>9.20306449999998E-2</v>
      </c>
      <c r="AZ170" s="12">
        <f>IF(A170="","",MAX(0,MAX(0,MIN(1,(((IF(Статистика!$C$4="Параллельный режим (активная мощность)",F170,Q170)+Статистика!$J$4))-Статистика!$C$10)/MAX(Статистика!$G$10-Статистика!$C$10,0.000001)))-MAX(0,MIN(1,(((IF(Статистика!$C$4="Параллельный режим (активная мощность)",E170,P170)+Статистика!$J$4))-Статистика!$C$10)/MAX(Статистика!$G$10-Статистика!$C$10,0.000001)))))</f>
        <v>6.218047777777802E-2</v>
      </c>
      <c r="BA170" s="12">
        <f>IF(A170="","",MAX(0,MAX(0,MIN(1,(((IF(Статистика!$C$4="Параллельный режим (активная мощность)",G170,R170)+Статистика!$J$4))-Статистика!$C$10)/MAX(Статистика!$G$10-Статистика!$C$10,0.000001)))-MAX(0,MIN(1,(((IF(Статистика!$C$4="Параллельный режим (активная мощность)",F170,Q170)+Статистика!$J$4))-Статистика!$C$10)/MAX(Статистика!$G$10-Статистика!$C$10,0.000001)))))</f>
        <v>9.0098833333333461E-2</v>
      </c>
      <c r="BB170" s="12">
        <f>IF(A170="","",MAX(0,MAX(0,MIN(1,(((IF(Статистика!$C$4="Параллельный режим (активная мощность)",H170,S170)+Статистика!$J$4))-Статистика!$C$10)/MAX(Статистика!$G$10-Статистика!$C$10,0.000001)))-MAX(0,MIN(1,(((IF(Статистика!$C$4="Параллельный режим (активная мощность)",G170,R170)+Статистика!$J$4))-Статистика!$C$10)/MAX(Статистика!$G$10-Статистика!$C$10,0.000001)))))</f>
        <v>4.6573046666666618E-2</v>
      </c>
      <c r="BC170" s="12">
        <f>IF(A170="","",MAX(0,MAX(0,MIN(1,(((IF(Статистика!$C$4="Параллельный режим (активная мощность)",J170,U170)+Статистика!$J$4))-Статистика!$C$10)/MAX(Статистика!$G$10-Статистика!$C$10,0.000001)))-MAX(0,MIN(1,(((IF(Статистика!$C$4="Параллельный режим (активная мощность)",H170,S170)+Статистика!$J$4))-Статистика!$C$10)/MAX(Статистика!$G$10-Статистика!$C$10,0.000001)))))</f>
        <v>5.5797220499999356E-2</v>
      </c>
      <c r="BD170" s="12">
        <f>IF(A170="","",MAX(0,1-MAX(0,MIN(1,(((IF(Статистика!$C$4="Параллельный режим (активная мощность)",J170,U170)+Статистика!$J$4))-Статистика!$C$10)/MAX(Статистика!$G$10-Статистика!$C$10,0.000001)))))</f>
        <v>0.17604913838888936</v>
      </c>
      <c r="BE170" s="12">
        <f>IF(A170="",NA(),IF(Статистика!$B$8="Вкл",(((IF(Статистика!$C$4="Параллельный режим (активная мощность)",F170,Q170)+Статистика!$J$4))-Статистика!$C$10)/MAX(Статистика!$G$10-Статистика!$C$10,0.000001),NA()))</f>
        <v>0.63148176111111121</v>
      </c>
      <c r="BF170" s="12">
        <f>IF(A170="",NA(),IF(Статистика!$D$8="Вкл",(((IF(Статистика!$C$4="Параллельный режим (активная мощность)",E170,P170)+Статистика!$J$4))-Статистика!$C$10)/MAX(Статистика!$G$10-Статистика!$C$10,0.000001),NA()))</f>
        <v>0.56930128333333319</v>
      </c>
      <c r="BG170" s="12">
        <f>IF(A170="",NA(),IF(Статистика!$D$8="Вкл",(((IF(Статистика!$C$4="Параллельный режим (активная мощность)",G170,R170)+Статистика!$J$4))-Статистика!$C$10)/MAX(Статистика!$G$10-Статистика!$C$10,0.000001),NA()))</f>
        <v>0.72158059444444467</v>
      </c>
      <c r="BH170" s="12">
        <f>IF(A170="",NA(),IF(Статистика!$F$8="Вкл",(((IF(Статистика!$C$4="Параллельный режим (активная мощность)",D170,O170)+Статистика!$J$4))-Статистика!$C$10)/MAX(Статистика!$G$10-Статистика!$C$10,0.000001),NA()))</f>
        <v>0.47727063833333339</v>
      </c>
      <c r="BI170" s="12">
        <f>IF(A170="",NA(),IF(Статистика!$F$8="Вкл",(((IF(Статистика!$C$4="Параллельный режим (активная мощность)",H170,S170)+Статистика!$J$4))-Статистика!$C$10)/MAX(Статистика!$G$10-Статистика!$C$10,0.000001),NA()))</f>
        <v>0.76815364111111128</v>
      </c>
      <c r="BJ170" s="12">
        <f>IF(A170="",NA(),IF(Статистика!$H$8="Вкл",(((IF(Статистика!$C$4="Параллельный режим (активная мощность)",B170,M170)+Статистика!$J$4))-Статистика!$C$10)/MAX(Статистика!$G$10-Статистика!$C$10,0.000001),NA()))</f>
        <v>-0.95536599816666679</v>
      </c>
      <c r="BK170" s="12">
        <f>IF(A170="",NA(),IF(Статистика!$H$8="Вкл",(((IF(Статистика!$C$4="Параллельный режим (активная мощность)",J170,U170)+Статистика!$J$4))-Статистика!$C$10)/MAX(Статистика!$G$10-Статистика!$C$10,0.000001),NA()))</f>
        <v>0.82395086161111064</v>
      </c>
      <c r="BL170" s="12" t="e">
        <f>IF(A170="",NA(),IF(Статистика!$J$8="Вкл",(((IF(Статистика!$C$4="Параллельный режим (активная мощность)",K170,V170)+Статистика!$J$4))-Статистика!$C$10)/MAX(Статистика!$G$10-Статистика!$C$10,0.000001),NA()))</f>
        <v>#N/A</v>
      </c>
      <c r="BM170" s="12" t="e">
        <f>IF(AND(A170&lt;&gt;"",Статистика!$C$6="Вкл",Статистика!$B$6&gt;0),(Статистика!$B$6-Статистика!$C$10)/MAX(Статистика!$G$10-Статистика!$C$10,0.000001),NA())</f>
        <v>#N/A</v>
      </c>
      <c r="BN170" s="12" t="e">
        <f>IF(AND(A170&lt;&gt;"",Статистика!$F$6="Вкл",Статистика!$E$6&gt;0),(Статистика!$E$6-Статистика!$C$10)/MAX(Статистика!$G$10-Статистика!$C$10,0.000001),NA())</f>
        <v>#N/A</v>
      </c>
      <c r="BO170" s="12" t="e">
        <f>IF(AND(A170&lt;&gt;"",Статистика!$I$6="Вкл",Статистика!$H$6&gt;0),(Статистика!$H$6-Статистика!$C$10)/MAX(Статистика!$G$10-Статистика!$C$10,0.000001),NA())</f>
        <v>#N/A</v>
      </c>
      <c r="BP170" s="12" t="e">
        <f>IF(AND(A170&lt;&gt;"",Статистика!$L$6="Вкл",Статистика!$K$6&gt;0),(Статистика!$K$6-Статистика!$C$10)/MAX(Статистика!$G$10-Статистика!$C$10,0.000001),NA())</f>
        <v>#N/A</v>
      </c>
      <c r="BQ170" s="12" t="e">
        <f>IF(AND(A170&lt;&gt;"",Статистика!$M$6="Вкл",Статистика!$O$6&gt;0),(Статистика!$O$6-Статистика!$C$10)/MAX(Статистика!$G$10-Статистика!$C$10,0.000001),NA())</f>
        <v>#N/A</v>
      </c>
      <c r="BR170" s="12">
        <f t="shared" si="4"/>
        <v>1</v>
      </c>
      <c r="BT170" s="12">
        <f>IF(Y170="","",MAX(0,MIN(1,(((IF(Статистика!$C$4="Параллельный режим (активная мощность)",Z170,AK170)+Статистика!$J$4))-Статистика!$C$10)/MAX(Статистика!$G$10-Статистика!$C$10,0.000001))))</f>
        <v>0.52946876327777748</v>
      </c>
      <c r="BU170" s="12">
        <f>IF(Y170="","",MAX(0,MAX(0,MIN(1,(((IF(Статистика!$C$4="Параллельный режим (активная мощность)",AB170,AM170)+Статистика!$J$4))-Статистика!$C$10)/MAX(Статистика!$G$10-Статистика!$C$10,0.000001)))-MAX(0,MIN(1,(((IF(Статистика!$C$4="Параллельный режим (активная мощность)",Z170,AK170)+Статистика!$J$4))-Статистика!$C$10)/MAX(Статистика!$G$10-Статистика!$C$10,0.000001)))))</f>
        <v>3.7974695000002612E-3</v>
      </c>
      <c r="BV170" s="12">
        <f>IF(Y170="","",MAX(0,MAX(0,MIN(1,(((IF(Статистика!$C$4="Параллельный режим (активная мощность)",AC170,AN170)+Статистика!$J$4))-Статистика!$C$10)/MAX(Статистика!$G$10-Статистика!$C$10,0.000001)))-MAX(0,MIN(1,(((IF(Статистика!$C$4="Параллельный режим (активная мощность)",AB170,AM170)+Статистика!$J$4))-Статистика!$C$10)/MAX(Статистика!$G$10-Статистика!$C$10,0.000001)))))</f>
        <v>7.2310661666666665E-2</v>
      </c>
      <c r="BW170" s="12">
        <f>IF(Y170="","",MAX(0,MAX(0,MIN(1,(((IF(Статистика!$C$4="Параллельный режим (активная мощность)",AD170,AO170)+Статистика!$J$4))-Статистика!$C$10)/MAX(Статистика!$G$10-Статистика!$C$10,0.000001)))-MAX(0,MIN(1,(((IF(Статистика!$C$4="Параллельный режим (активная мощность)",AC170,AN170)+Статистика!$J$4))-Статистика!$C$10)/MAX(Статистика!$G$10-Статистика!$C$10,0.000001)))))</f>
        <v>7.7217972222222042E-2</v>
      </c>
      <c r="BX170" s="12">
        <f>IF(Y170="","",MAX(0,MAX(0,MIN(1,(((IF(Статистика!$C$4="Параллельный режим (активная мощность)",AE170,AP170)+Статистика!$J$4))-Статистика!$C$10)/MAX(Статистика!$G$10-Статистика!$C$10,0.000001)))-MAX(0,MIN(1,(((IF(Статистика!$C$4="Параллельный режим (активная мощность)",AD170,AO170)+Статистика!$J$4))-Статистика!$C$10)/MAX(Статистика!$G$10-Статистика!$C$10,0.000001)))))</f>
        <v>3.165839722222219E-2</v>
      </c>
      <c r="BY170" s="12">
        <f>IF(Y170="","",MAX(0,MAX(0,MIN(1,(((IF(Статистика!$C$4="Параллельный режим (активная мощность)",AF170,AQ170)+Статистика!$J$4))-Статистика!$C$10)/MAX(Статистика!$G$10-Статистика!$C$10,0.000001)))-MAX(0,MIN(1,(((IF(Статистика!$C$4="Параллельный режим (активная мощность)",AE170,AP170)+Статистика!$J$4))-Статистика!$C$10)/MAX(Статистика!$G$10-Статистика!$C$10,0.000001)))))</f>
        <v>8.729431388888953E-2</v>
      </c>
      <c r="BZ170" s="12">
        <f>IF(Y170="","",MAX(0,MAX(0,MIN(1,(((IF(Статистика!$C$4="Параллельный режим (активная мощность)",AH170,AS170)+Статистика!$J$4))-Статистика!$C$10)/MAX(Статистика!$G$10-Статистика!$C$10,0.000001)))-MAX(0,MIN(1,(((IF(Статистика!$C$4="Параллельный режим (активная мощность)",AF170,AQ170)+Статистика!$J$4))-Статистика!$C$10)/MAX(Статистика!$G$10-Статистика!$C$10,0.000001)))))</f>
        <v>1.5249520000000016E-2</v>
      </c>
      <c r="CA170" s="12">
        <f>IF(Y170="","",MAX(0,1-MAX(0,MIN(1,(((IF(Статистика!$C$4="Параллельный режим (активная мощность)",AH170,AS170)+Статистика!$J$4))-Статистика!$C$10)/MAX(Статистика!$G$10-Статистика!$C$10,0.000001)))))</f>
        <v>0.18300290222222182</v>
      </c>
      <c r="CB170" s="12">
        <f>IF(Y170="",NA(),IF(Статистика!$B$8="Вкл",(((IF(Статистика!$C$4="Параллельный режим (активная мощность)",AD170,AO170)+Статистика!$J$4))-Статистика!$C$10)/MAX(Статистика!$G$10-Статистика!$C$10,0.000001),NA()))</f>
        <v>0.68279486666666644</v>
      </c>
      <c r="CC170" s="12">
        <f>IF(Y170="",NA(),IF(Статистика!$D$8="Вкл",(((IF(Статистика!$C$4="Параллельный режим (активная мощность)",AC170,AN170)+Статистика!$J$4))-Статистика!$C$10)/MAX(Статистика!$G$10-Статистика!$C$10,0.000001),NA()))</f>
        <v>0.6055768944444444</v>
      </c>
      <c r="CD170" s="12">
        <f>IF(Y170="",NA(),IF(Статистика!$D$8="Вкл",(((IF(Статистика!$C$4="Параллельный режим (активная мощность)",AE170,AP170)+Статистика!$J$4))-Статистика!$C$10)/MAX(Статистика!$G$10-Статистика!$C$10,0.000001),NA()))</f>
        <v>0.71445326388888863</v>
      </c>
      <c r="CE170" s="12">
        <f>IF(Y170="",NA(),IF(Статистика!$F$8="Вкл",(((IF(Статистика!$C$4="Параллельный режим (активная мощность)",AB170,AM170)+Статистика!$J$4))-Статистика!$C$10)/MAX(Статистика!$G$10-Статистика!$C$10,0.000001),NA()))</f>
        <v>0.53326623277777774</v>
      </c>
      <c r="CF170" s="12">
        <f>IF(Y170="",NA(),IF(Статистика!$F$8="Вкл",(((IF(Статистика!$C$4="Параллельный режим (активная мощность)",AF170,AQ170)+Статистика!$J$4))-Статистика!$C$10)/MAX(Статистика!$G$10-Статистика!$C$10,0.000001),NA()))</f>
        <v>0.80174757777777816</v>
      </c>
      <c r="CG170" s="12">
        <f>IF(Y170="",NA(),IF(Статистика!$H$8="Вкл",(((IF(Статистика!$C$4="Параллельный режим (активная мощность)",Z170,AK170)+Статистика!$J$4))-Статистика!$C$10)/MAX(Статистика!$G$10-Статистика!$C$10,0.000001),NA()))</f>
        <v>0.52946876327777748</v>
      </c>
      <c r="CH170" s="12">
        <f>IF(Y170="",NA(),IF(Статистика!$H$8="Вкл",(((IF(Статистика!$C$4="Параллельный режим (активная мощность)",AH170,AS170)+Статистика!$J$4))-Статистика!$C$10)/MAX(Статистика!$G$10-Статистика!$C$10,0.000001),NA()))</f>
        <v>0.81699709777777818</v>
      </c>
      <c r="CI170" s="12" t="e">
        <f>IF(Y170="",NA(),IF(Статистика!$J$8="Вкл",(((IF(Статистика!$C$4="Параллельный режим (активная мощность)",AI170,AT170)+Статистика!$J$4))-Статистика!$C$10)/MAX(Статистика!$G$10-Статистика!$C$10,0.000001),NA()))</f>
        <v>#N/A</v>
      </c>
      <c r="CJ170" s="12" t="e">
        <f>IF(AND(Y170&lt;&gt;"",Статистика!$C$6="Вкл",Статистика!$B$6&gt;0),(Статистика!$B$6-Статистика!$C$10)/MAX(Статистика!$G$10-Статистика!$C$10,0.000001),NA())</f>
        <v>#N/A</v>
      </c>
      <c r="CK170" s="12" t="e">
        <f>IF(AND(Y170&lt;&gt;"",Статистика!$F$6="Вкл",Статистика!$E$6&gt;0),(Статистика!$E$6-Статистика!$C$10)/MAX(Статистика!$G$10-Статистика!$C$10,0.000001),NA())</f>
        <v>#N/A</v>
      </c>
      <c r="CL170" s="12" t="e">
        <f>IF(AND(Y170&lt;&gt;"",Статистика!$I$6="Вкл",Статистика!$H$6&gt;0),(Статистика!$H$6-Статистика!$C$10)/MAX(Статистика!$G$10-Статистика!$C$10,0.000001),NA())</f>
        <v>#N/A</v>
      </c>
      <c r="CM170" s="12" t="e">
        <f>IF(AND(Y170&lt;&gt;"",Статистика!$L$6="Вкл",Статистика!$K$6&gt;0),(Статистика!$K$6-Статистика!$C$10)/MAX(Статистика!$G$10-Статистика!$C$10,0.000001),NA())</f>
        <v>#N/A</v>
      </c>
      <c r="CN170" s="12" t="e">
        <f>IF(AND(Y170&lt;&gt;"",Статистика!$M$6="Вкл",Статистика!$O$6&gt;0),(Статистика!$O$6-Статистика!$C$10)/MAX(Статистика!$G$10-Статистика!$C$10,0.000001),NA())</f>
        <v>#N/A</v>
      </c>
      <c r="CO170" s="12">
        <f t="shared" si="5"/>
        <v>1</v>
      </c>
    </row>
    <row r="171" spans="1:93" ht="15" customHeight="1">
      <c r="A171" s="12" t="s">
        <v>736</v>
      </c>
      <c r="B171" s="12">
        <v>3147.1809566666666</v>
      </c>
      <c r="C171" s="12">
        <v>6091.6681166666676</v>
      </c>
      <c r="D171" s="12">
        <v>7501.1683766666674</v>
      </c>
      <c r="E171" s="12">
        <v>7717.7833500000006</v>
      </c>
      <c r="F171" s="12">
        <v>7919.382983333333</v>
      </c>
      <c r="G171" s="12">
        <v>8139.1607916666671</v>
      </c>
      <c r="H171" s="12">
        <v>8352.6869616666681</v>
      </c>
      <c r="I171" s="12">
        <v>8419.9061066666673</v>
      </c>
      <c r="J171" s="12">
        <v>8528.9493546666654</v>
      </c>
      <c r="K171" s="12">
        <v>8688.1</v>
      </c>
      <c r="L171" s="12" t="s">
        <v>737</v>
      </c>
      <c r="M171" s="12">
        <v>3783.6501710000002</v>
      </c>
      <c r="N171" s="12">
        <v>6900.7324550000012</v>
      </c>
      <c r="O171" s="12">
        <v>8411.2736150000001</v>
      </c>
      <c r="P171" s="12">
        <v>8660.9477083333331</v>
      </c>
      <c r="Q171" s="12">
        <v>8887.3679499999998</v>
      </c>
      <c r="R171" s="12">
        <v>9159.3553083333318</v>
      </c>
      <c r="S171" s="12">
        <v>9316.1833383333324</v>
      </c>
      <c r="T171" s="12">
        <v>9390.9082333333317</v>
      </c>
      <c r="U171" s="12">
        <v>9527.4959133333341</v>
      </c>
      <c r="V171" s="12">
        <v>9728.01</v>
      </c>
      <c r="W171" s="12" t="s">
        <v>737</v>
      </c>
      <c r="Y171" s="12" t="s">
        <v>736</v>
      </c>
      <c r="Z171" s="12">
        <v>7580.2547884999994</v>
      </c>
      <c r="AA171" s="12">
        <v>7589.7963424999998</v>
      </c>
      <c r="AB171" s="12">
        <v>7601.7232849999991</v>
      </c>
      <c r="AC171" s="12">
        <v>7832.2627416666683</v>
      </c>
      <c r="AD171" s="12">
        <v>8073.4182666666666</v>
      </c>
      <c r="AE171" s="12">
        <v>8144.4689250000001</v>
      </c>
      <c r="AF171" s="12">
        <v>8409.7549049999998</v>
      </c>
      <c r="AG171" s="12">
        <v>8421.9473691666662</v>
      </c>
      <c r="AH171" s="12">
        <v>8431.7013404999998</v>
      </c>
      <c r="AI171" s="12">
        <v>8724.27</v>
      </c>
      <c r="AJ171" s="12" t="s">
        <v>738</v>
      </c>
      <c r="AK171" s="12">
        <v>8573.0702503333341</v>
      </c>
      <c r="AL171" s="12">
        <v>8597.0185850000016</v>
      </c>
      <c r="AM171" s="12">
        <v>8626.9540033333342</v>
      </c>
      <c r="AN171" s="12">
        <v>8869.6571416666666</v>
      </c>
      <c r="AO171" s="12">
        <v>9077.5603333333329</v>
      </c>
      <c r="AP171" s="12">
        <v>9153.5639666666666</v>
      </c>
      <c r="AQ171" s="12">
        <v>9395.6839749999999</v>
      </c>
      <c r="AR171" s="12">
        <v>9406.8380208333347</v>
      </c>
      <c r="AS171" s="12">
        <v>9415.7612575000003</v>
      </c>
      <c r="AT171" s="12">
        <v>9711.19</v>
      </c>
      <c r="AU171" s="12" t="s">
        <v>738</v>
      </c>
      <c r="AW171" s="12">
        <f>IF(A171="","",MAX(0,MIN(1,(((IF(Статистика!$C$4="Параллельный режим (активная мощность)",B171,M171)+Статистика!$J$4))-Статистика!$C$10)/MAX(Статистика!$G$10-Статистика!$C$10,0.000001))))</f>
        <v>0</v>
      </c>
      <c r="AX171" s="12">
        <f>IF(A171="","",MAX(0,MAX(0,MIN(1,(((IF(Статистика!$C$4="Параллельный режим (активная мощность)",D171,O171)+Статистика!$J$4))-Статистика!$C$10)/MAX(Статистика!$G$10-Статистика!$C$10,0.000001)))-MAX(0,MIN(1,(((IF(Статистика!$C$4="Параллельный режим (активная мощность)",B171,M171)+Статистика!$J$4))-Статистика!$C$10)/MAX(Статистика!$G$10-Статистика!$C$10,0.000001)))))</f>
        <v>0.50038945888888919</v>
      </c>
      <c r="AY171" s="12">
        <f>IF(A171="","",MAX(0,MAX(0,MIN(1,(((IF(Статистика!$C$4="Параллельный режим (активная мощность)",E171,P171)+Статистика!$J$4))-Статистика!$C$10)/MAX(Статистика!$G$10-Статистика!$C$10,0.000001)))-MAX(0,MIN(1,(((IF(Статистика!$C$4="Параллельный режим (активная мощность)",D171,O171)+Статистика!$J$4))-Статистика!$C$10)/MAX(Статистика!$G$10-Статистика!$C$10,0.000001)))))</f>
        <v>7.2204991111111005E-2</v>
      </c>
      <c r="AZ171" s="12">
        <f>IF(A171="","",MAX(0,MAX(0,MIN(1,(((IF(Статистика!$C$4="Параллельный режим (активная мощность)",F171,Q171)+Статистика!$J$4))-Статистика!$C$10)/MAX(Статистика!$G$10-Статистика!$C$10,0.000001)))-MAX(0,MIN(1,(((IF(Статистика!$C$4="Параллельный режим (активная мощность)",E171,P171)+Статистика!$J$4))-Статистика!$C$10)/MAX(Статистика!$G$10-Статистика!$C$10,0.000001)))))</f>
        <v>6.7199877777777473E-2</v>
      </c>
      <c r="BA171" s="12">
        <f>IF(A171="","",MAX(0,MAX(0,MIN(1,(((IF(Статистика!$C$4="Параллельный режим (активная мощность)",G171,R171)+Статистика!$J$4))-Статистика!$C$10)/MAX(Статистика!$G$10-Статистика!$C$10,0.000001)))-MAX(0,MIN(1,(((IF(Статистика!$C$4="Параллельный режим (активная мощность)",F171,Q171)+Статистика!$J$4))-Статистика!$C$10)/MAX(Статистика!$G$10-Статистика!$C$10,0.000001)))))</f>
        <v>7.3259269444444719E-2</v>
      </c>
      <c r="BB171" s="12">
        <f>IF(A171="","",MAX(0,MAX(0,MIN(1,(((IF(Статистика!$C$4="Параллельный режим (активная мощность)",H171,S171)+Статистика!$J$4))-Статистика!$C$10)/MAX(Статистика!$G$10-Статистика!$C$10,0.000001)))-MAX(0,MIN(1,(((IF(Статистика!$C$4="Параллельный режим (активная мощность)",G171,R171)+Статистика!$J$4))-Статистика!$C$10)/MAX(Статистика!$G$10-Статистика!$C$10,0.000001)))))</f>
        <v>7.1175390000000283E-2</v>
      </c>
      <c r="BC171" s="12">
        <f>IF(A171="","",MAX(0,MAX(0,MIN(1,(((IF(Статистика!$C$4="Параллельный режим (активная мощность)",J171,U171)+Статистика!$J$4))-Статистика!$C$10)/MAX(Статистика!$G$10-Статистика!$C$10,0.000001)))-MAX(0,MIN(1,(((IF(Статистика!$C$4="Параллельный режим (активная мощность)",H171,S171)+Статистика!$J$4))-Статистика!$C$10)/MAX(Статистика!$G$10-Статистика!$C$10,0.000001)))))</f>
        <v>5.8754130999999155E-2</v>
      </c>
      <c r="BD171" s="12">
        <f>IF(A171="","",MAX(0,1-MAX(0,MIN(1,(((IF(Статистика!$C$4="Параллельный режим (активная мощность)",J171,U171)+Статистика!$J$4))-Статистика!$C$10)/MAX(Статистика!$G$10-Статистика!$C$10,0.000001)))))</f>
        <v>0.15701688177777817</v>
      </c>
      <c r="BE171" s="12">
        <f>IF(A171="",NA(),IF(Статистика!$B$8="Вкл",(((IF(Статистика!$C$4="Параллельный режим (активная мощность)",F171,Q171)+Статистика!$J$4))-Статистика!$C$10)/MAX(Статистика!$G$10-Статистика!$C$10,0.000001),NA()))</f>
        <v>0.63979432777777767</v>
      </c>
      <c r="BF171" s="12">
        <f>IF(A171="",NA(),IF(Статистика!$D$8="Вкл",(((IF(Статистика!$C$4="Параллельный режим (активная мощность)",E171,P171)+Статистика!$J$4))-Статистика!$C$10)/MAX(Статистика!$G$10-Статистика!$C$10,0.000001),NA()))</f>
        <v>0.5725944500000002</v>
      </c>
      <c r="BG171" s="12">
        <f>IF(A171="",NA(),IF(Статистика!$D$8="Вкл",(((IF(Статистика!$C$4="Параллельный режим (активная мощность)",G171,R171)+Статистика!$J$4))-Статистика!$C$10)/MAX(Статистика!$G$10-Статистика!$C$10,0.000001),NA()))</f>
        <v>0.71305359722222239</v>
      </c>
      <c r="BH171" s="12">
        <f>IF(A171="",NA(),IF(Статистика!$F$8="Вкл",(((IF(Статистика!$C$4="Параллельный режим (активная мощность)",D171,O171)+Статистика!$J$4))-Статистика!$C$10)/MAX(Статистика!$G$10-Статистика!$C$10,0.000001),NA()))</f>
        <v>0.50038945888888919</v>
      </c>
      <c r="BI171" s="12">
        <f>IF(A171="",NA(),IF(Статистика!$F$8="Вкл",(((IF(Статистика!$C$4="Параллельный режим (активная мощность)",H171,S171)+Статистика!$J$4))-Статистика!$C$10)/MAX(Статистика!$G$10-Статистика!$C$10,0.000001),NA()))</f>
        <v>0.78422898722222267</v>
      </c>
      <c r="BJ171" s="12">
        <f>IF(A171="",NA(),IF(Статистика!$H$8="Вкл",(((IF(Статистика!$C$4="Параллельный режим (активная мощность)",B171,M171)+Статистика!$J$4))-Статистика!$C$10)/MAX(Статистика!$G$10-Статистика!$C$10,0.000001),NA()))</f>
        <v>-0.95093968111111116</v>
      </c>
      <c r="BK171" s="12">
        <f>IF(A171="",NA(),IF(Статистика!$H$8="Вкл",(((IF(Статистика!$C$4="Параллельный режим (активная мощность)",J171,U171)+Статистика!$J$4))-Статистика!$C$10)/MAX(Статистика!$G$10-Статистика!$C$10,0.000001),NA()))</f>
        <v>0.84298311822222183</v>
      </c>
      <c r="BL171" s="12" t="e">
        <f>IF(A171="",NA(),IF(Статистика!$J$8="Вкл",(((IF(Статистика!$C$4="Параллельный режим (активная мощность)",K171,V171)+Статистика!$J$4))-Статистика!$C$10)/MAX(Статистика!$G$10-Статистика!$C$10,0.000001),NA()))</f>
        <v>#N/A</v>
      </c>
      <c r="BM171" s="12" t="e">
        <f>IF(AND(A171&lt;&gt;"",Статистика!$C$6="Вкл",Статистика!$B$6&gt;0),(Статистика!$B$6-Статистика!$C$10)/MAX(Статистика!$G$10-Статистика!$C$10,0.000001),NA())</f>
        <v>#N/A</v>
      </c>
      <c r="BN171" s="12" t="e">
        <f>IF(AND(A171&lt;&gt;"",Статистика!$F$6="Вкл",Статистика!$E$6&gt;0),(Статистика!$E$6-Статистика!$C$10)/MAX(Статистика!$G$10-Статистика!$C$10,0.000001),NA())</f>
        <v>#N/A</v>
      </c>
      <c r="BO171" s="12" t="e">
        <f>IF(AND(A171&lt;&gt;"",Статистика!$I$6="Вкл",Статистика!$H$6&gt;0),(Статистика!$H$6-Статистика!$C$10)/MAX(Статистика!$G$10-Статистика!$C$10,0.000001),NA())</f>
        <v>#N/A</v>
      </c>
      <c r="BP171" s="12" t="e">
        <f>IF(AND(A171&lt;&gt;"",Статистика!$L$6="Вкл",Статистика!$K$6&gt;0),(Статистика!$K$6-Статистика!$C$10)/MAX(Статистика!$G$10-Статистика!$C$10,0.000001),NA())</f>
        <v>#N/A</v>
      </c>
      <c r="BQ171" s="12" t="e">
        <f>IF(AND(A171&lt;&gt;"",Статистика!$M$6="Вкл",Статистика!$O$6&gt;0),(Статистика!$O$6-Статистика!$C$10)/MAX(Статистика!$G$10-Статистика!$C$10,0.000001),NA())</f>
        <v>#N/A</v>
      </c>
      <c r="BR171" s="12">
        <f t="shared" si="4"/>
        <v>1</v>
      </c>
      <c r="BT171" s="12">
        <f>IF(Y171="","",MAX(0,MIN(1,(((IF(Статистика!$C$4="Параллельный режим (активная мощность)",Z171,AK171)+Статистика!$J$4))-Статистика!$C$10)/MAX(Статистика!$G$10-Статистика!$C$10,0.000001))))</f>
        <v>0.52675159616666645</v>
      </c>
      <c r="BU171" s="12">
        <f>IF(Y171="","",MAX(0,MAX(0,MIN(1,(((IF(Статистика!$C$4="Параллельный режим (активная мощность)",AB171,AM171)+Статистика!$J$4))-Статистика!$C$10)/MAX(Статистика!$G$10-Статистика!$C$10,0.000001)))-MAX(0,MIN(1,(((IF(Статистика!$C$4="Параллельный режим (активная мощность)",Z171,AK171)+Статистика!$J$4))-Статистика!$C$10)/MAX(Статистика!$G$10-Статистика!$C$10,0.000001)))))</f>
        <v>7.156165499999978E-3</v>
      </c>
      <c r="BV171" s="12">
        <f>IF(Y171="","",MAX(0,MAX(0,MIN(1,(((IF(Статистика!$C$4="Параллельный режим (активная мощность)",AC171,AN171)+Статистика!$J$4))-Статистика!$C$10)/MAX(Статистика!$G$10-Статистика!$C$10,0.000001)))-MAX(0,MIN(1,(((IF(Статистика!$C$4="Параллельный режим (активная мощность)",AB171,AM171)+Статистика!$J$4))-Статистика!$C$10)/MAX(Статистика!$G$10-Статистика!$C$10,0.000001)))))</f>
        <v>7.6846485555556288E-2</v>
      </c>
      <c r="BW171" s="12">
        <f>IF(Y171="","",MAX(0,MAX(0,MIN(1,(((IF(Статистика!$C$4="Параллельный режим (активная мощность)",AD171,AO171)+Статистика!$J$4))-Статистика!$C$10)/MAX(Статистика!$G$10-Статистика!$C$10,0.000001)))-MAX(0,MIN(1,(((IF(Статистика!$C$4="Параллельный режим (активная мощность)",AC171,AN171)+Статистика!$J$4))-Статистика!$C$10)/MAX(Статистика!$G$10-Статистика!$C$10,0.000001)))))</f>
        <v>8.0385174999999531E-2</v>
      </c>
      <c r="BX171" s="12">
        <f>IF(Y171="","",MAX(0,MAX(0,MIN(1,(((IF(Статистика!$C$4="Параллельный режим (активная мощность)",AE171,AP171)+Статистика!$J$4))-Статистика!$C$10)/MAX(Статистика!$G$10-Статистика!$C$10,0.000001)))-MAX(0,MIN(1,(((IF(Статистика!$C$4="Параллельный режим (активная мощность)",AD171,AO171)+Статистика!$J$4))-Статистика!$C$10)/MAX(Статистика!$G$10-Статистика!$C$10,0.000001)))))</f>
        <v>2.3683552777777783E-2</v>
      </c>
      <c r="BY171" s="12">
        <f>IF(Y171="","",MAX(0,MAX(0,MIN(1,(((IF(Статистика!$C$4="Параллельный режим (активная мощность)",AF171,AQ171)+Статистика!$J$4))-Статистика!$C$10)/MAX(Статистика!$G$10-Статистика!$C$10,0.000001)))-MAX(0,MIN(1,(((IF(Статистика!$C$4="Параллельный режим (активная мощность)",AE171,AP171)+Статистика!$J$4))-Статистика!$C$10)/MAX(Статистика!$G$10-Статистика!$C$10,0.000001)))))</f>
        <v>8.8428659999999937E-2</v>
      </c>
      <c r="BZ171" s="12">
        <f>IF(Y171="","",MAX(0,MAX(0,MIN(1,(((IF(Статистика!$C$4="Параллельный режим (активная мощность)",AH171,AS171)+Статистика!$J$4))-Статистика!$C$10)/MAX(Статистика!$G$10-Статистика!$C$10,0.000001)))-MAX(0,MIN(1,(((IF(Статистика!$C$4="Параллельный режим (активная мощность)",AF171,AQ171)+Статистика!$J$4))-Статистика!$C$10)/MAX(Статистика!$G$10-Статистика!$C$10,0.000001)))))</f>
        <v>7.3154784999999167E-3</v>
      </c>
      <c r="CA171" s="12">
        <f>IF(Y171="","",MAX(0,1-MAX(0,MIN(1,(((IF(Статистика!$C$4="Параллельный режим (активная мощность)",AH171,AS171)+Статистика!$J$4))-Статистика!$C$10)/MAX(Статистика!$G$10-Статистика!$C$10,0.000001)))))</f>
        <v>0.18943288650000012</v>
      </c>
      <c r="CB171" s="12">
        <f>IF(Y171="",NA(),IF(Статистика!$B$8="Вкл",(((IF(Статистика!$C$4="Параллельный режим (активная мощность)",AD171,AO171)+Статистика!$J$4))-Статистика!$C$10)/MAX(Статистика!$G$10-Статистика!$C$10,0.000001),NA()))</f>
        <v>0.69113942222222224</v>
      </c>
      <c r="CC171" s="12">
        <f>IF(Y171="",NA(),IF(Статистика!$D$8="Вкл",(((IF(Статистика!$C$4="Параллельный режим (активная мощность)",AC171,AN171)+Статистика!$J$4))-Статистика!$C$10)/MAX(Статистика!$G$10-Статистика!$C$10,0.000001),NA()))</f>
        <v>0.61075424722222271</v>
      </c>
      <c r="CD171" s="12">
        <f>IF(Y171="",NA(),IF(Статистика!$D$8="Вкл",(((IF(Статистика!$C$4="Параллельный режим (активная мощность)",AE171,AP171)+Статистика!$J$4))-Статистика!$C$10)/MAX(Статистика!$G$10-Статистика!$C$10,0.000001),NA()))</f>
        <v>0.71482297500000003</v>
      </c>
      <c r="CE171" s="12">
        <f>IF(Y171="",NA(),IF(Статистика!$F$8="Вкл",(((IF(Статистика!$C$4="Параллельный режим (активная мощность)",AB171,AM171)+Статистика!$J$4))-Статистика!$C$10)/MAX(Статистика!$G$10-Статистика!$C$10,0.000001),NA()))</f>
        <v>0.53390776166666642</v>
      </c>
      <c r="CF171" s="12">
        <f>IF(Y171="",NA(),IF(Статистика!$F$8="Вкл",(((IF(Статистика!$C$4="Параллельный режим (активная мощность)",AF171,AQ171)+Статистика!$J$4))-Статистика!$C$10)/MAX(Статистика!$G$10-Статистика!$C$10,0.000001),NA()))</f>
        <v>0.80325163499999996</v>
      </c>
      <c r="CG171" s="12">
        <f>IF(Y171="",NA(),IF(Статистика!$H$8="Вкл",(((IF(Статистика!$C$4="Параллельный режим (активная мощность)",Z171,AK171)+Статистика!$J$4))-Статистика!$C$10)/MAX(Статистика!$G$10-Статистика!$C$10,0.000001),NA()))</f>
        <v>0.52675159616666645</v>
      </c>
      <c r="CH171" s="12">
        <f>IF(Y171="",NA(),IF(Статистика!$H$8="Вкл",(((IF(Статистика!$C$4="Параллельный режим (активная мощность)",AH171,AS171)+Статистика!$J$4))-Статистика!$C$10)/MAX(Статистика!$G$10-Статистика!$C$10,0.000001),NA()))</f>
        <v>0.81056711349999988</v>
      </c>
      <c r="CI171" s="12" t="e">
        <f>IF(Y171="",NA(),IF(Статистика!$J$8="Вкл",(((IF(Статистика!$C$4="Параллельный режим (активная мощность)",AI171,AT171)+Статистика!$J$4))-Статистика!$C$10)/MAX(Статистика!$G$10-Статистика!$C$10,0.000001),NA()))</f>
        <v>#N/A</v>
      </c>
      <c r="CJ171" s="12" t="e">
        <f>IF(AND(Y171&lt;&gt;"",Статистика!$C$6="Вкл",Статистика!$B$6&gt;0),(Статистика!$B$6-Статистика!$C$10)/MAX(Статистика!$G$10-Статистика!$C$10,0.000001),NA())</f>
        <v>#N/A</v>
      </c>
      <c r="CK171" s="12" t="e">
        <f>IF(AND(Y171&lt;&gt;"",Статистика!$F$6="Вкл",Статистика!$E$6&gt;0),(Статистика!$E$6-Статистика!$C$10)/MAX(Статистика!$G$10-Статистика!$C$10,0.000001),NA())</f>
        <v>#N/A</v>
      </c>
      <c r="CL171" s="12" t="e">
        <f>IF(AND(Y171&lt;&gt;"",Статистика!$I$6="Вкл",Статистика!$H$6&gt;0),(Статистика!$H$6-Статистика!$C$10)/MAX(Статистика!$G$10-Статистика!$C$10,0.000001),NA())</f>
        <v>#N/A</v>
      </c>
      <c r="CM171" s="12" t="e">
        <f>IF(AND(Y171&lt;&gt;"",Статистика!$L$6="Вкл",Статистика!$K$6&gt;0),(Статистика!$K$6-Статистика!$C$10)/MAX(Статистика!$G$10-Статистика!$C$10,0.000001),NA())</f>
        <v>#N/A</v>
      </c>
      <c r="CN171" s="12" t="e">
        <f>IF(AND(Y171&lt;&gt;"",Статистика!$M$6="Вкл",Статистика!$O$6&gt;0),(Статистика!$O$6-Статистика!$C$10)/MAX(Статистика!$G$10-Статистика!$C$10,0.000001),NA())</f>
        <v>#N/A</v>
      </c>
      <c r="CO171" s="12">
        <f t="shared" si="5"/>
        <v>1</v>
      </c>
    </row>
    <row r="172" spans="1:93" ht="15" customHeight="1">
      <c r="A172" s="12" t="s">
        <v>739</v>
      </c>
      <c r="B172" s="12">
        <v>3137.4469798333334</v>
      </c>
      <c r="C172" s="12">
        <v>6055.5207658333329</v>
      </c>
      <c r="D172" s="12">
        <v>7521.7025233333325</v>
      </c>
      <c r="E172" s="12">
        <v>7773.9298749999998</v>
      </c>
      <c r="F172" s="12">
        <v>7941.569966666666</v>
      </c>
      <c r="G172" s="12">
        <v>8147.0208833333327</v>
      </c>
      <c r="H172" s="12">
        <v>8376.5136750000001</v>
      </c>
      <c r="I172" s="12">
        <v>8433.8853391666671</v>
      </c>
      <c r="J172" s="12">
        <v>8542.8309345000016</v>
      </c>
      <c r="K172" s="12">
        <v>8831.85</v>
      </c>
      <c r="L172" s="12" t="s">
        <v>740</v>
      </c>
      <c r="M172" s="12">
        <v>3776.9784260000001</v>
      </c>
      <c r="N172" s="12">
        <v>6866.2858633333353</v>
      </c>
      <c r="O172" s="12">
        <v>8424.3098000000009</v>
      </c>
      <c r="P172" s="12">
        <v>8702.0719833333351</v>
      </c>
      <c r="Q172" s="12">
        <v>8915.0690166666664</v>
      </c>
      <c r="R172" s="12">
        <v>9145.7688333333335</v>
      </c>
      <c r="S172" s="12">
        <v>9378.4584266666661</v>
      </c>
      <c r="T172" s="12">
        <v>9464.9638649999997</v>
      </c>
      <c r="U172" s="12">
        <v>9549.3371996666665</v>
      </c>
      <c r="V172" s="12">
        <v>9907.56</v>
      </c>
      <c r="W172" s="12" t="s">
        <v>741</v>
      </c>
      <c r="Y172" s="12" t="s">
        <v>739</v>
      </c>
      <c r="Z172" s="12">
        <v>7622.3162669999992</v>
      </c>
      <c r="AA172" s="12">
        <v>7635.1377349999993</v>
      </c>
      <c r="AB172" s="12">
        <v>7651.164569999999</v>
      </c>
      <c r="AC172" s="12">
        <v>7915.6368833333345</v>
      </c>
      <c r="AD172" s="12">
        <v>8090.6422166666671</v>
      </c>
      <c r="AE172" s="12">
        <v>8173.4546666666647</v>
      </c>
      <c r="AF172" s="12">
        <v>8491.2545566666668</v>
      </c>
      <c r="AG172" s="12">
        <v>8542.3386116666661</v>
      </c>
      <c r="AH172" s="12">
        <v>8583.2058556666652</v>
      </c>
      <c r="AI172" s="12">
        <v>8830.94</v>
      </c>
      <c r="AJ172" s="12" t="s">
        <v>742</v>
      </c>
      <c r="AK172" s="12">
        <v>8645.5155939999986</v>
      </c>
      <c r="AL172" s="12">
        <v>8650.6351699999996</v>
      </c>
      <c r="AM172" s="12">
        <v>8657.0346399999999</v>
      </c>
      <c r="AN172" s="12">
        <v>8932.3450250000005</v>
      </c>
      <c r="AO172" s="12">
        <v>9077.7227666666658</v>
      </c>
      <c r="AP172" s="12">
        <v>9204.6303416666651</v>
      </c>
      <c r="AQ172" s="12">
        <v>9482.0220449999997</v>
      </c>
      <c r="AR172" s="12">
        <v>9535.9055724999998</v>
      </c>
      <c r="AS172" s="12">
        <v>9579.0123944999996</v>
      </c>
      <c r="AT172" s="12">
        <v>9813.2900000000009</v>
      </c>
      <c r="AU172" s="12" t="s">
        <v>742</v>
      </c>
      <c r="AW172" s="12">
        <f>IF(A172="","",MAX(0,MIN(1,(((IF(Статистика!$C$4="Параллельный режим (активная мощность)",B172,M172)+Статистика!$J$4))-Статистика!$C$10)/MAX(Статистика!$G$10-Статистика!$C$10,0.000001))))</f>
        <v>0</v>
      </c>
      <c r="AX172" s="12">
        <f>IF(A172="","",MAX(0,MAX(0,MIN(1,(((IF(Статистика!$C$4="Параллельный режим (активная мощность)",D172,O172)+Статистика!$J$4))-Статистика!$C$10)/MAX(Статистика!$G$10-Статистика!$C$10,0.000001)))-MAX(0,MIN(1,(((IF(Статистика!$C$4="Параллельный режим (активная мощность)",B172,M172)+Статистика!$J$4))-Статистика!$C$10)/MAX(Статистика!$G$10-Статистика!$C$10,0.000001)))))</f>
        <v>0.50723417444444419</v>
      </c>
      <c r="AY172" s="12">
        <f>IF(A172="","",MAX(0,MAX(0,MIN(1,(((IF(Статистика!$C$4="Параллельный режим (активная мощность)",E172,P172)+Статистика!$J$4))-Статистика!$C$10)/MAX(Статистика!$G$10-Статистика!$C$10,0.000001)))-MAX(0,MIN(1,(((IF(Статистика!$C$4="Параллельный режим (активная мощность)",D172,O172)+Статистика!$J$4))-Статистика!$C$10)/MAX(Статистика!$G$10-Статистика!$C$10,0.000001)))))</f>
        <v>8.4075783888889033E-2</v>
      </c>
      <c r="AZ172" s="12">
        <f>IF(A172="","",MAX(0,MAX(0,MIN(1,(((IF(Статистика!$C$4="Параллельный режим (активная мощность)",F172,Q172)+Статистика!$J$4))-Статистика!$C$10)/MAX(Статистика!$G$10-Статистика!$C$10,0.000001)))-MAX(0,MIN(1,(((IF(Статистика!$C$4="Параллельный режим (активная мощность)",E172,P172)+Статистика!$J$4))-Статистика!$C$10)/MAX(Статистика!$G$10-Статистика!$C$10,0.000001)))))</f>
        <v>5.588003055555546E-2</v>
      </c>
      <c r="BA172" s="12">
        <f>IF(A172="","",MAX(0,MAX(0,MIN(1,(((IF(Статистика!$C$4="Параллельный режим (активная мощность)",G172,R172)+Статистика!$J$4))-Статистика!$C$10)/MAX(Статистика!$G$10-Статистика!$C$10,0.000001)))-MAX(0,MIN(1,(((IF(Статистика!$C$4="Параллельный режим (активная мощность)",F172,Q172)+Статистика!$J$4))-Статистика!$C$10)/MAX(Статистика!$G$10-Статистика!$C$10,0.000001)))))</f>
        <v>6.8483638888888865E-2</v>
      </c>
      <c r="BB172" s="12">
        <f>IF(A172="","",MAX(0,MAX(0,MIN(1,(((IF(Статистика!$C$4="Параллельный режим (активная мощность)",H172,S172)+Статистика!$J$4))-Статистика!$C$10)/MAX(Статистика!$G$10-Статистика!$C$10,0.000001)))-MAX(0,MIN(1,(((IF(Статистика!$C$4="Параллельный режим (активная мощность)",G172,R172)+Статистика!$J$4))-Статистика!$C$10)/MAX(Статистика!$G$10-Статистика!$C$10,0.000001)))))</f>
        <v>7.6497597222222491E-2</v>
      </c>
      <c r="BC172" s="12">
        <f>IF(A172="","",MAX(0,MAX(0,MIN(1,(((IF(Статистика!$C$4="Параллельный режим (активная мощность)",J172,U172)+Статистика!$J$4))-Статистика!$C$10)/MAX(Статистика!$G$10-Статистика!$C$10,0.000001)))-MAX(0,MIN(1,(((IF(Статистика!$C$4="Параллельный режим (активная мощность)",H172,S172)+Статистика!$J$4))-Статистика!$C$10)/MAX(Статистика!$G$10-Статистика!$C$10,0.000001)))))</f>
        <v>5.5439086500000512E-2</v>
      </c>
      <c r="BD172" s="12">
        <f>IF(A172="","",MAX(0,1-MAX(0,MIN(1,(((IF(Статистика!$C$4="Параллельный режим (активная мощность)",J172,U172)+Статистика!$J$4))-Статистика!$C$10)/MAX(Статистика!$G$10-Статистика!$C$10,0.000001)))))</f>
        <v>0.15238968849999945</v>
      </c>
      <c r="BE172" s="12">
        <f>IF(A172="",NA(),IF(Статистика!$B$8="Вкл",(((IF(Статистика!$C$4="Параллельный режим (активная мощность)",F172,Q172)+Статистика!$J$4))-Статистика!$C$10)/MAX(Статистика!$G$10-Статистика!$C$10,0.000001),NA()))</f>
        <v>0.64718998888888868</v>
      </c>
      <c r="BF172" s="12">
        <f>IF(A172="",NA(),IF(Статистика!$D$8="Вкл",(((IF(Статистика!$C$4="Параллельный режим (активная мощность)",E172,P172)+Статистика!$J$4))-Статистика!$C$10)/MAX(Статистика!$G$10-Статистика!$C$10,0.000001),NA()))</f>
        <v>0.59130995833333322</v>
      </c>
      <c r="BG172" s="12">
        <f>IF(A172="",NA(),IF(Статистика!$D$8="Вкл",(((IF(Статистика!$C$4="Параллельный режим (активная мощность)",G172,R172)+Статистика!$J$4))-Статистика!$C$10)/MAX(Статистика!$G$10-Статистика!$C$10,0.000001),NA()))</f>
        <v>0.71567362777777754</v>
      </c>
      <c r="BH172" s="12">
        <f>IF(A172="",NA(),IF(Статистика!$F$8="Вкл",(((IF(Статистика!$C$4="Параллельный режим (активная мощность)",D172,O172)+Статистика!$J$4))-Статистика!$C$10)/MAX(Статистика!$G$10-Статистика!$C$10,0.000001),NA()))</f>
        <v>0.50723417444444419</v>
      </c>
      <c r="BI172" s="12">
        <f>IF(A172="",NA(),IF(Статистика!$F$8="Вкл",(((IF(Статистика!$C$4="Параллельный режим (активная мощность)",H172,S172)+Статистика!$J$4))-Статистика!$C$10)/MAX(Статистика!$G$10-Статистика!$C$10,0.000001),NA()))</f>
        <v>0.79217122500000003</v>
      </c>
      <c r="BJ172" s="12">
        <f>IF(A172="",NA(),IF(Статистика!$H$8="Вкл",(((IF(Статистика!$C$4="Параллельный режим (активная мощность)",B172,M172)+Статистика!$J$4))-Статистика!$C$10)/MAX(Статистика!$G$10-Статистика!$C$10,0.000001),NA()))</f>
        <v>-0.95418434005555552</v>
      </c>
      <c r="BK172" s="12">
        <f>IF(A172="",NA(),IF(Статистика!$H$8="Вкл",(((IF(Статистика!$C$4="Параллельный режим (активная мощность)",J172,U172)+Статистика!$J$4))-Статистика!$C$10)/MAX(Статистика!$G$10-Статистика!$C$10,0.000001),NA()))</f>
        <v>0.84761031150000055</v>
      </c>
      <c r="BL172" s="12" t="e">
        <f>IF(A172="",NA(),IF(Статистика!$J$8="Вкл",(((IF(Статистика!$C$4="Параллельный режим (активная мощность)",K172,V172)+Статистика!$J$4))-Статистика!$C$10)/MAX(Статистика!$G$10-Статистика!$C$10,0.000001),NA()))</f>
        <v>#N/A</v>
      </c>
      <c r="BM172" s="12" t="e">
        <f>IF(AND(A172&lt;&gt;"",Статистика!$C$6="Вкл",Статистика!$B$6&gt;0),(Статистика!$B$6-Статистика!$C$10)/MAX(Статистика!$G$10-Статистика!$C$10,0.000001),NA())</f>
        <v>#N/A</v>
      </c>
      <c r="BN172" s="12" t="e">
        <f>IF(AND(A172&lt;&gt;"",Статистика!$F$6="Вкл",Статистика!$E$6&gt;0),(Статистика!$E$6-Статистика!$C$10)/MAX(Статистика!$G$10-Статистика!$C$10,0.000001),NA())</f>
        <v>#N/A</v>
      </c>
      <c r="BO172" s="12" t="e">
        <f>IF(AND(A172&lt;&gt;"",Статистика!$I$6="Вкл",Статистика!$H$6&gt;0),(Статистика!$H$6-Статистика!$C$10)/MAX(Статистика!$G$10-Статистика!$C$10,0.000001),NA())</f>
        <v>#N/A</v>
      </c>
      <c r="BP172" s="12" t="e">
        <f>IF(AND(A172&lt;&gt;"",Статистика!$L$6="Вкл",Статистика!$K$6&gt;0),(Статистика!$K$6-Статистика!$C$10)/MAX(Статистика!$G$10-Статистика!$C$10,0.000001),NA())</f>
        <v>#N/A</v>
      </c>
      <c r="BQ172" s="12" t="e">
        <f>IF(AND(A172&lt;&gt;"",Статистика!$M$6="Вкл",Статистика!$O$6&gt;0),(Статистика!$O$6-Статистика!$C$10)/MAX(Статистика!$G$10-Статистика!$C$10,0.000001),NA())</f>
        <v>#N/A</v>
      </c>
      <c r="BR172" s="12">
        <f t="shared" si="4"/>
        <v>1</v>
      </c>
      <c r="BT172" s="12">
        <f>IF(Y172="","",MAX(0,MIN(1,(((IF(Статистика!$C$4="Параллельный режим (активная мощность)",Z172,AK172)+Статистика!$J$4))-Статистика!$C$10)/MAX(Статистика!$G$10-Статистика!$C$10,0.000001))))</f>
        <v>0.54077208899999973</v>
      </c>
      <c r="BU172" s="12">
        <f>IF(Y172="","",MAX(0,MAX(0,MIN(1,(((IF(Статистика!$C$4="Параллельный режим (активная мощность)",AB172,AM172)+Статистика!$J$4))-Статистика!$C$10)/MAX(Статистика!$G$10-Статистика!$C$10,0.000001)))-MAX(0,MIN(1,(((IF(Статистика!$C$4="Параллельный режим (активная мощность)",Z172,AK172)+Статистика!$J$4))-Статистика!$C$10)/MAX(Статистика!$G$10-Статистика!$C$10,0.000001)))))</f>
        <v>9.616100999999988E-3</v>
      </c>
      <c r="BV172" s="12">
        <f>IF(Y172="","",MAX(0,MAX(0,MIN(1,(((IF(Статистика!$C$4="Параллельный режим (активная мощность)",AC172,AN172)+Статистика!$J$4))-Статистика!$C$10)/MAX(Статистика!$G$10-Статистика!$C$10,0.000001)))-MAX(0,MIN(1,(((IF(Статистика!$C$4="Параллельный режим (активная мощность)",AB172,AM172)+Статистика!$J$4))-Статистика!$C$10)/MAX(Статистика!$G$10-Статистика!$C$10,0.000001)))))</f>
        <v>8.8157437777778402E-2</v>
      </c>
      <c r="BW172" s="12">
        <f>IF(Y172="","",MAX(0,MAX(0,MIN(1,(((IF(Статистика!$C$4="Параллельный режим (активная мощность)",AD172,AO172)+Статистика!$J$4))-Статистика!$C$10)/MAX(Статистика!$G$10-Статистика!$C$10,0.000001)))-MAX(0,MIN(1,(((IF(Статистика!$C$4="Параллельный режим (активная мощность)",AC172,AN172)+Статистика!$J$4))-Статистика!$C$10)/MAX(Статистика!$G$10-Статистика!$C$10,0.000001)))))</f>
        <v>5.8335111111110893E-2</v>
      </c>
      <c r="BX172" s="12">
        <f>IF(Y172="","",MAX(0,MAX(0,MIN(1,(((IF(Статистика!$C$4="Параллельный режим (активная мощность)",AE172,AP172)+Статистика!$J$4))-Статистика!$C$10)/MAX(Статистика!$G$10-Статистика!$C$10,0.000001)))-MAX(0,MIN(1,(((IF(Статистика!$C$4="Параллельный режим (активная мощность)",AD172,AO172)+Статистика!$J$4))-Статистика!$C$10)/MAX(Статистика!$G$10-Статистика!$C$10,0.000001)))))</f>
        <v>2.7604149999999272E-2</v>
      </c>
      <c r="BY172" s="12">
        <f>IF(Y172="","",MAX(0,MAX(0,MIN(1,(((IF(Статистика!$C$4="Параллельный режим (активная мощность)",AF172,AQ172)+Статистика!$J$4))-Статистика!$C$10)/MAX(Статистика!$G$10-Статистика!$C$10,0.000001)))-MAX(0,MIN(1,(((IF(Статистика!$C$4="Параллельный режим (активная мощность)",AE172,AP172)+Статистика!$J$4))-Статистика!$C$10)/MAX(Статистика!$G$10-Статистика!$C$10,0.000001)))))</f>
        <v>0.10593329666666729</v>
      </c>
      <c r="BZ172" s="12">
        <f>IF(Y172="","",MAX(0,MAX(0,MIN(1,(((IF(Статистика!$C$4="Параллельный режим (активная мощность)",AH172,AS172)+Статистика!$J$4))-Статистика!$C$10)/MAX(Статистика!$G$10-Статистика!$C$10,0.000001)))-MAX(0,MIN(1,(((IF(Статистика!$C$4="Параллельный режим (активная мощность)",AF172,AQ172)+Статистика!$J$4))-Статистика!$C$10)/MAX(Статистика!$G$10-Статистика!$C$10,0.000001)))))</f>
        <v>3.0650432999999477E-2</v>
      </c>
      <c r="CA172" s="12">
        <f>IF(Y172="","",MAX(0,1-MAX(0,MIN(1,(((IF(Статистика!$C$4="Параллельный режим (активная мощность)",AH172,AS172)+Статистика!$J$4))-Статистика!$C$10)/MAX(Статистика!$G$10-Статистика!$C$10,0.000001)))))</f>
        <v>0.13893138144444495</v>
      </c>
      <c r="CB172" s="12">
        <f>IF(Y172="",NA(),IF(Статистика!$B$8="Вкл",(((IF(Статистика!$C$4="Параллельный режим (активная мощность)",AD172,AO172)+Статистика!$J$4))-Статистика!$C$10)/MAX(Статистика!$G$10-Статистика!$C$10,0.000001),NA()))</f>
        <v>0.69688073888888902</v>
      </c>
      <c r="CC172" s="12">
        <f>IF(Y172="",NA(),IF(Статистика!$D$8="Вкл",(((IF(Статистика!$C$4="Параллельный режим (активная мощность)",AC172,AN172)+Статистика!$J$4))-Статистика!$C$10)/MAX(Статистика!$G$10-Статистика!$C$10,0.000001),NA()))</f>
        <v>0.63854562777777812</v>
      </c>
      <c r="CD172" s="12">
        <f>IF(Y172="",NA(),IF(Статистика!$D$8="Вкл",(((IF(Статистика!$C$4="Параллельный режим (активная мощность)",AE172,AP172)+Статистика!$J$4))-Статистика!$C$10)/MAX(Статистика!$G$10-Статистика!$C$10,0.000001),NA()))</f>
        <v>0.72448488888888829</v>
      </c>
      <c r="CE172" s="12">
        <f>IF(Y172="",NA(),IF(Статистика!$F$8="Вкл",(((IF(Статистика!$C$4="Параллельный режим (активная мощность)",AB172,AM172)+Статистика!$J$4))-Статистика!$C$10)/MAX(Статистика!$G$10-Статистика!$C$10,0.000001),NA()))</f>
        <v>0.55038818999999972</v>
      </c>
      <c r="CF172" s="12">
        <f>IF(Y172="",NA(),IF(Статистика!$F$8="Вкл",(((IF(Статистика!$C$4="Параллельный режим (активная мощность)",AF172,AQ172)+Статистика!$J$4))-Статистика!$C$10)/MAX(Статистика!$G$10-Статистика!$C$10,0.000001),NA()))</f>
        <v>0.83041818555555558</v>
      </c>
      <c r="CG172" s="12">
        <f>IF(Y172="",NA(),IF(Статистика!$H$8="Вкл",(((IF(Статистика!$C$4="Параллельный режим (активная мощность)",Z172,AK172)+Статистика!$J$4))-Статистика!$C$10)/MAX(Статистика!$G$10-Статистика!$C$10,0.000001),NA()))</f>
        <v>0.54077208899999973</v>
      </c>
      <c r="CH172" s="12">
        <f>IF(Y172="",NA(),IF(Статистика!$H$8="Вкл",(((IF(Статистика!$C$4="Параллельный режим (активная мощность)",AH172,AS172)+Статистика!$J$4))-Статистика!$C$10)/MAX(Статистика!$G$10-Статистика!$C$10,0.000001),NA()))</f>
        <v>0.86106861855555505</v>
      </c>
      <c r="CI172" s="12" t="e">
        <f>IF(Y172="",NA(),IF(Статистика!$J$8="Вкл",(((IF(Статистика!$C$4="Параллельный режим (активная мощность)",AI172,AT172)+Статистика!$J$4))-Статистика!$C$10)/MAX(Статистика!$G$10-Статистика!$C$10,0.000001),NA()))</f>
        <v>#N/A</v>
      </c>
      <c r="CJ172" s="12" t="e">
        <f>IF(AND(Y172&lt;&gt;"",Статистика!$C$6="Вкл",Статистика!$B$6&gt;0),(Статистика!$B$6-Статистика!$C$10)/MAX(Статистика!$G$10-Статистика!$C$10,0.000001),NA())</f>
        <v>#N/A</v>
      </c>
      <c r="CK172" s="12" t="e">
        <f>IF(AND(Y172&lt;&gt;"",Статистика!$F$6="Вкл",Статистика!$E$6&gt;0),(Статистика!$E$6-Статистика!$C$10)/MAX(Статистика!$G$10-Статистика!$C$10,0.000001),NA())</f>
        <v>#N/A</v>
      </c>
      <c r="CL172" s="12" t="e">
        <f>IF(AND(Y172&lt;&gt;"",Статистика!$I$6="Вкл",Статистика!$H$6&gt;0),(Статистика!$H$6-Статистика!$C$10)/MAX(Статистика!$G$10-Статистика!$C$10,0.000001),NA())</f>
        <v>#N/A</v>
      </c>
      <c r="CM172" s="12" t="e">
        <f>IF(AND(Y172&lt;&gt;"",Статистика!$L$6="Вкл",Статистика!$K$6&gt;0),(Статистика!$K$6-Статистика!$C$10)/MAX(Статистика!$G$10-Статистика!$C$10,0.000001),NA())</f>
        <v>#N/A</v>
      </c>
      <c r="CN172" s="12" t="e">
        <f>IF(AND(Y172&lt;&gt;"",Статистика!$M$6="Вкл",Статистика!$O$6&gt;0),(Статистика!$O$6-Статистика!$C$10)/MAX(Статистика!$G$10-Статистика!$C$10,0.000001),NA())</f>
        <v>#N/A</v>
      </c>
      <c r="CO172" s="12">
        <f t="shared" si="5"/>
        <v>1</v>
      </c>
    </row>
    <row r="173" spans="1:93" ht="15" customHeight="1">
      <c r="A173" s="12" t="s">
        <v>743</v>
      </c>
      <c r="B173" s="12">
        <v>3159.6235416666664</v>
      </c>
      <c r="C173" s="12">
        <v>6086.9077083333341</v>
      </c>
      <c r="D173" s="12">
        <v>7543.2433416666663</v>
      </c>
      <c r="E173" s="12">
        <v>7781.0730833333328</v>
      </c>
      <c r="F173" s="12">
        <v>7944.2460499999997</v>
      </c>
      <c r="G173" s="12">
        <v>8178.110924999999</v>
      </c>
      <c r="H173" s="12">
        <v>8354.3088266666655</v>
      </c>
      <c r="I173" s="12">
        <v>8429.7815816666662</v>
      </c>
      <c r="J173" s="12">
        <v>8547.7574096666667</v>
      </c>
      <c r="K173" s="12">
        <v>8701.48</v>
      </c>
      <c r="L173" s="12" t="s">
        <v>744</v>
      </c>
      <c r="M173" s="12">
        <v>3800.7989071666661</v>
      </c>
      <c r="N173" s="12">
        <v>6900.1945358333332</v>
      </c>
      <c r="O173" s="12">
        <v>8449.7604316666675</v>
      </c>
      <c r="P173" s="12">
        <v>8716.9019750000007</v>
      </c>
      <c r="Q173" s="12">
        <v>8895.4348499999996</v>
      </c>
      <c r="R173" s="12">
        <v>9190.5982583333334</v>
      </c>
      <c r="S173" s="12">
        <v>9334.542288333334</v>
      </c>
      <c r="T173" s="12">
        <v>9425.3291566666685</v>
      </c>
      <c r="U173" s="12">
        <v>9544.1469513333341</v>
      </c>
      <c r="V173" s="12">
        <v>9692.06</v>
      </c>
      <c r="W173" s="12" t="s">
        <v>744</v>
      </c>
      <c r="Y173" s="12" t="s">
        <v>743</v>
      </c>
      <c r="Z173" s="12">
        <v>7606.4549528333328</v>
      </c>
      <c r="AA173" s="12">
        <v>7642.4120974999996</v>
      </c>
      <c r="AB173" s="12">
        <v>7687.3585283333332</v>
      </c>
      <c r="AC173" s="12">
        <v>7963.7262000000001</v>
      </c>
      <c r="AD173" s="12">
        <v>8092.8035333333337</v>
      </c>
      <c r="AE173" s="12">
        <v>8210.5650666666661</v>
      </c>
      <c r="AF173" s="12">
        <v>8414.2190683333338</v>
      </c>
      <c r="AG173" s="12">
        <v>8414.8611841666661</v>
      </c>
      <c r="AH173" s="12">
        <v>8415.3748768333335</v>
      </c>
      <c r="AI173" s="12">
        <v>8551.34</v>
      </c>
      <c r="AJ173" s="12" t="s">
        <v>745</v>
      </c>
      <c r="AK173" s="12">
        <v>8657.0386550000003</v>
      </c>
      <c r="AL173" s="12">
        <v>8675.6743416666668</v>
      </c>
      <c r="AM173" s="12">
        <v>8698.9689499999986</v>
      </c>
      <c r="AN173" s="12">
        <v>8983.4716916666657</v>
      </c>
      <c r="AO173" s="12">
        <v>9101.667566666667</v>
      </c>
      <c r="AP173" s="12">
        <v>9216.8830083333341</v>
      </c>
      <c r="AQ173" s="12">
        <v>9415.8988783333316</v>
      </c>
      <c r="AR173" s="12">
        <v>9417.0795724999989</v>
      </c>
      <c r="AS173" s="12">
        <v>9418.0241278333324</v>
      </c>
      <c r="AT173" s="12">
        <v>9622.57</v>
      </c>
      <c r="AU173" s="12" t="s">
        <v>746</v>
      </c>
      <c r="AW173" s="12">
        <f>IF(A173="","",MAX(0,MIN(1,(((IF(Статистика!$C$4="Параллельный режим (активная мощность)",B173,M173)+Статистика!$J$4))-Статистика!$C$10)/MAX(Статистика!$G$10-Статистика!$C$10,0.000001))))</f>
        <v>0</v>
      </c>
      <c r="AX173" s="12">
        <f>IF(A173="","",MAX(0,MAX(0,MIN(1,(((IF(Статистика!$C$4="Параллельный режим (активная мощность)",D173,O173)+Статистика!$J$4))-Статистика!$C$10)/MAX(Статистика!$G$10-Статистика!$C$10,0.000001)))-MAX(0,MIN(1,(((IF(Статистика!$C$4="Параллельный режим (активная мощность)",B173,M173)+Статистика!$J$4))-Статистика!$C$10)/MAX(Статистика!$G$10-Статистика!$C$10,0.000001)))))</f>
        <v>0.51441444722222207</v>
      </c>
      <c r="AY173" s="12">
        <f>IF(A173="","",MAX(0,MAX(0,MIN(1,(((IF(Статистика!$C$4="Параллельный режим (активная мощность)",E173,P173)+Статистика!$J$4))-Статистика!$C$10)/MAX(Статистика!$G$10-Статистика!$C$10,0.000001)))-MAX(0,MIN(1,(((IF(Статистика!$C$4="Параллельный режим (активная мощность)",D173,O173)+Статистика!$J$4))-Статистика!$C$10)/MAX(Статистика!$G$10-Статистика!$C$10,0.000001)))))</f>
        <v>7.9276580555555531E-2</v>
      </c>
      <c r="AZ173" s="12">
        <f>IF(A173="","",MAX(0,MAX(0,MIN(1,(((IF(Статистика!$C$4="Параллельный режим (активная мощность)",F173,Q173)+Статистика!$J$4))-Статистика!$C$10)/MAX(Статистика!$G$10-Статистика!$C$10,0.000001)))-MAX(0,MIN(1,(((IF(Статистика!$C$4="Параллельный режим (активная мощность)",E173,P173)+Статистика!$J$4))-Статистика!$C$10)/MAX(Статистика!$G$10-Статистика!$C$10,0.000001)))))</f>
        <v>5.4390988888888936E-2</v>
      </c>
      <c r="BA173" s="12">
        <f>IF(A173="","",MAX(0,MAX(0,MIN(1,(((IF(Статистика!$C$4="Параллельный режим (активная мощность)",G173,R173)+Статистика!$J$4))-Статистика!$C$10)/MAX(Статистика!$G$10-Статистика!$C$10,0.000001)))-MAX(0,MIN(1,(((IF(Статистика!$C$4="Параллельный режим (активная мощность)",F173,Q173)+Статистика!$J$4))-Статистика!$C$10)/MAX(Статистика!$G$10-Статистика!$C$10,0.000001)))))</f>
        <v>7.7954958333333102E-2</v>
      </c>
      <c r="BB173" s="12">
        <f>IF(A173="","",MAX(0,MAX(0,MIN(1,(((IF(Статистика!$C$4="Параллельный режим (активная мощность)",H173,S173)+Статистика!$J$4))-Статистика!$C$10)/MAX(Статистика!$G$10-Статистика!$C$10,0.000001)))-MAX(0,MIN(1,(((IF(Статистика!$C$4="Параллельный режим (активная мощность)",G173,R173)+Статистика!$J$4))-Статистика!$C$10)/MAX(Статистика!$G$10-Статистика!$C$10,0.000001)))))</f>
        <v>5.873263388888883E-2</v>
      </c>
      <c r="BC173" s="12">
        <f>IF(A173="","",MAX(0,MAX(0,MIN(1,(((IF(Статистика!$C$4="Параллельный режим (активная мощность)",J173,U173)+Статистика!$J$4))-Статистика!$C$10)/MAX(Статистика!$G$10-Статистика!$C$10,0.000001)))-MAX(0,MIN(1,(((IF(Статистика!$C$4="Параллельный режим (активная мощность)",H173,S173)+Статистика!$J$4))-Статистика!$C$10)/MAX(Статистика!$G$10-Статистика!$C$10,0.000001)))))</f>
        <v>6.4482861000000447E-2</v>
      </c>
      <c r="BD173" s="12">
        <f>IF(A173="","",MAX(0,1-MAX(0,MIN(1,(((IF(Статистика!$C$4="Параллельный режим (активная мощность)",J173,U173)+Статистика!$J$4))-Статистика!$C$10)/MAX(Статистика!$G$10-Статистика!$C$10,0.000001)))))</f>
        <v>0.15074753011111108</v>
      </c>
      <c r="BE173" s="12">
        <f>IF(A173="",NA(),IF(Статистика!$B$8="Вкл",(((IF(Статистика!$C$4="Параллельный режим (активная мощность)",F173,Q173)+Статистика!$J$4))-Статистика!$C$10)/MAX(Статистика!$G$10-Статистика!$C$10,0.000001),NA()))</f>
        <v>0.64808201666666654</v>
      </c>
      <c r="BF173" s="12">
        <f>IF(A173="",NA(),IF(Статистика!$D$8="Вкл",(((IF(Статистика!$C$4="Параллельный режим (активная мощность)",E173,P173)+Статистика!$J$4))-Статистика!$C$10)/MAX(Статистика!$G$10-Статистика!$C$10,0.000001),NA()))</f>
        <v>0.5936910277777776</v>
      </c>
      <c r="BG173" s="12">
        <f>IF(A173="",NA(),IF(Статистика!$D$8="Вкл",(((IF(Статистика!$C$4="Параллельный режим (активная мощность)",G173,R173)+Статистика!$J$4))-Статистика!$C$10)/MAX(Статистика!$G$10-Статистика!$C$10,0.000001),NA()))</f>
        <v>0.72603697499999964</v>
      </c>
      <c r="BH173" s="12">
        <f>IF(A173="",NA(),IF(Статистика!$F$8="Вкл",(((IF(Статистика!$C$4="Параллельный режим (активная мощность)",D173,O173)+Статистика!$J$4))-Статистика!$C$10)/MAX(Статистика!$G$10-Статистика!$C$10,0.000001),NA()))</f>
        <v>0.51441444722222207</v>
      </c>
      <c r="BI173" s="12">
        <f>IF(A173="",NA(),IF(Статистика!$F$8="Вкл",(((IF(Статистика!$C$4="Параллельный режим (активная мощность)",H173,S173)+Статистика!$J$4))-Статистика!$C$10)/MAX(Статистика!$G$10-Статистика!$C$10,0.000001),NA()))</f>
        <v>0.78476960888888847</v>
      </c>
      <c r="BJ173" s="12">
        <f>IF(A173="",NA(),IF(Статистика!$H$8="Вкл",(((IF(Статистика!$C$4="Параллельный режим (активная мощность)",B173,M173)+Статистика!$J$4))-Статистика!$C$10)/MAX(Статистика!$G$10-Статистика!$C$10,0.000001),NA()))</f>
        <v>-0.94679215277777784</v>
      </c>
      <c r="BK173" s="12">
        <f>IF(A173="",NA(),IF(Статистика!$H$8="Вкл",(((IF(Статистика!$C$4="Параллельный режим (активная мощность)",J173,U173)+Статистика!$J$4))-Статистика!$C$10)/MAX(Статистика!$G$10-Статистика!$C$10,0.000001),NA()))</f>
        <v>0.84925246988888892</v>
      </c>
      <c r="BL173" s="12" t="e">
        <f>IF(A173="",NA(),IF(Статистика!$J$8="Вкл",(((IF(Статистика!$C$4="Параллельный режим (активная мощность)",K173,V173)+Статистика!$J$4))-Статистика!$C$10)/MAX(Статистика!$G$10-Статистика!$C$10,0.000001),NA()))</f>
        <v>#N/A</v>
      </c>
      <c r="BM173" s="12" t="e">
        <f>IF(AND(A173&lt;&gt;"",Статистика!$C$6="Вкл",Статистика!$B$6&gt;0),(Статистика!$B$6-Статистика!$C$10)/MAX(Статистика!$G$10-Статистика!$C$10,0.000001),NA())</f>
        <v>#N/A</v>
      </c>
      <c r="BN173" s="12" t="e">
        <f>IF(AND(A173&lt;&gt;"",Статистика!$F$6="Вкл",Статистика!$E$6&gt;0),(Статистика!$E$6-Статистика!$C$10)/MAX(Статистика!$G$10-Статистика!$C$10,0.000001),NA())</f>
        <v>#N/A</v>
      </c>
      <c r="BO173" s="12" t="e">
        <f>IF(AND(A173&lt;&gt;"",Статистика!$I$6="Вкл",Статистика!$H$6&gt;0),(Статистика!$H$6-Статистика!$C$10)/MAX(Статистика!$G$10-Статистика!$C$10,0.000001),NA())</f>
        <v>#N/A</v>
      </c>
      <c r="BP173" s="12" t="e">
        <f>IF(AND(A173&lt;&gt;"",Статистика!$L$6="Вкл",Статистика!$K$6&gt;0),(Статистика!$K$6-Статистика!$C$10)/MAX(Статистика!$G$10-Статистика!$C$10,0.000001),NA())</f>
        <v>#N/A</v>
      </c>
      <c r="BQ173" s="12" t="e">
        <f>IF(AND(A173&lt;&gt;"",Статистика!$M$6="Вкл",Статистика!$O$6&gt;0),(Статистика!$O$6-Статистика!$C$10)/MAX(Статистика!$G$10-Статистика!$C$10,0.000001),NA())</f>
        <v>#N/A</v>
      </c>
      <c r="BR173" s="12">
        <f t="shared" si="4"/>
        <v>1</v>
      </c>
      <c r="BT173" s="12">
        <f>IF(Y173="","",MAX(0,MIN(1,(((IF(Статистика!$C$4="Параллельный режим (активная мощность)",Z173,AK173)+Статистика!$J$4))-Статистика!$C$10)/MAX(Статистика!$G$10-Статистика!$C$10,0.000001))))</f>
        <v>0.53548498427777758</v>
      </c>
      <c r="BU173" s="12">
        <f>IF(Y173="","",MAX(0,MAX(0,MIN(1,(((IF(Статистика!$C$4="Параллельный режим (активная мощность)",AB173,AM173)+Статистика!$J$4))-Статистика!$C$10)/MAX(Статистика!$G$10-Статистика!$C$10,0.000001)))-MAX(0,MIN(1,(((IF(Статистика!$C$4="Параллельный режим (активная мощность)",Z173,AK173)+Статистика!$J$4))-Статистика!$C$10)/MAX(Статистика!$G$10-Статистика!$C$10,0.000001)))))</f>
        <v>2.6967858500000164E-2</v>
      </c>
      <c r="BV173" s="12">
        <f>IF(Y173="","",MAX(0,MAX(0,MIN(1,(((IF(Статистика!$C$4="Параллельный режим (активная мощность)",AC173,AN173)+Статистика!$J$4))-Статистика!$C$10)/MAX(Статистика!$G$10-Статистика!$C$10,0.000001)))-MAX(0,MIN(1,(((IF(Статистика!$C$4="Параллельный режим (активная мощность)",AB173,AM173)+Статистика!$J$4))-Статистика!$C$10)/MAX(Статистика!$G$10-Статистика!$C$10,0.000001)))))</f>
        <v>9.212255722222229E-2</v>
      </c>
      <c r="BW173" s="12">
        <f>IF(Y173="","",MAX(0,MAX(0,MIN(1,(((IF(Статистика!$C$4="Параллельный режим (активная мощность)",AD173,AO173)+Статистика!$J$4))-Статистика!$C$10)/MAX(Статистика!$G$10-Статистика!$C$10,0.000001)))-MAX(0,MIN(1,(((IF(Статистика!$C$4="Параллельный режим (активная мощность)",AC173,AN173)+Статистика!$J$4))-Статистика!$C$10)/MAX(Статистика!$G$10-Статистика!$C$10,0.000001)))))</f>
        <v>4.3025777777777829E-2</v>
      </c>
      <c r="BX173" s="12">
        <f>IF(Y173="","",MAX(0,MAX(0,MIN(1,(((IF(Статистика!$C$4="Параллельный режим (активная мощность)",AE173,AP173)+Статистика!$J$4))-Статистика!$C$10)/MAX(Статистика!$G$10-Статистика!$C$10,0.000001)))-MAX(0,MIN(1,(((IF(Статистика!$C$4="Параллельный режим (активная мощность)",AD173,AO173)+Статистика!$J$4))-Статистика!$C$10)/MAX(Статистика!$G$10-Статистика!$C$10,0.000001)))))</f>
        <v>3.925384444444413E-2</v>
      </c>
      <c r="BY173" s="12">
        <f>IF(Y173="","",MAX(0,MAX(0,MIN(1,(((IF(Статистика!$C$4="Параллельный режим (активная мощность)",AF173,AQ173)+Статистика!$J$4))-Статистика!$C$10)/MAX(Статистика!$G$10-Статистика!$C$10,0.000001)))-MAX(0,MIN(1,(((IF(Статистика!$C$4="Параллельный режим (активная мощность)",AE173,AP173)+Статистика!$J$4))-Статистика!$C$10)/MAX(Статистика!$G$10-Статистика!$C$10,0.000001)))))</f>
        <v>6.7884667222222639E-2</v>
      </c>
      <c r="BZ173" s="12">
        <f>IF(Y173="","",MAX(0,MAX(0,MIN(1,(((IF(Статистика!$C$4="Параллельный режим (активная мощность)",AH173,AS173)+Статистика!$J$4))-Статистика!$C$10)/MAX(Статистика!$G$10-Статистика!$C$10,0.000001)))-MAX(0,MIN(1,(((IF(Статистика!$C$4="Параллельный режим (активная мощность)",AF173,AQ173)+Статистика!$J$4))-Статистика!$C$10)/MAX(Статистика!$G$10-Статистика!$C$10,0.000001)))))</f>
        <v>3.8526949999984073E-4</v>
      </c>
      <c r="CA173" s="12">
        <f>IF(Y173="","",MAX(0,1-MAX(0,MIN(1,(((IF(Статистика!$C$4="Параллельный режим (активная мощность)",AH173,AS173)+Статистика!$J$4))-Статистика!$C$10)/MAX(Статистика!$G$10-Статистика!$C$10,0.000001)))))</f>
        <v>0.19487504105555553</v>
      </c>
      <c r="CB173" s="12">
        <f>IF(Y173="",NA(),IF(Статистика!$B$8="Вкл",(((IF(Статистика!$C$4="Параллельный режим (активная мощность)",AD173,AO173)+Статистика!$J$4))-Статистика!$C$10)/MAX(Статистика!$G$10-Статистика!$C$10,0.000001),NA()))</f>
        <v>0.69760117777777786</v>
      </c>
      <c r="CC173" s="12">
        <f>IF(Y173="",NA(),IF(Статистика!$D$8="Вкл",(((IF(Статистика!$C$4="Параллельный режим (активная мощность)",AC173,AN173)+Статистика!$J$4))-Статистика!$C$10)/MAX(Статистика!$G$10-Статистика!$C$10,0.000001),NA()))</f>
        <v>0.65457540000000003</v>
      </c>
      <c r="CD173" s="12">
        <f>IF(Y173="",NA(),IF(Статистика!$D$8="Вкл",(((IF(Статистика!$C$4="Параллельный режим (активная мощность)",AE173,AP173)+Статистика!$J$4))-Статистика!$C$10)/MAX(Статистика!$G$10-Статистика!$C$10,0.000001),NA()))</f>
        <v>0.73685502222222199</v>
      </c>
      <c r="CE173" s="12">
        <f>IF(Y173="",NA(),IF(Статистика!$F$8="Вкл",(((IF(Статистика!$C$4="Параллельный режим (активная мощность)",AB173,AM173)+Статистика!$J$4))-Статистика!$C$10)/MAX(Статистика!$G$10-Статистика!$C$10,0.000001),NA()))</f>
        <v>0.56245284277777774</v>
      </c>
      <c r="CF173" s="12">
        <f>IF(Y173="",NA(),IF(Статистика!$F$8="Вкл",(((IF(Статистика!$C$4="Параллельный режим (активная мощность)",AF173,AQ173)+Статистика!$J$4))-Статистика!$C$10)/MAX(Статистика!$G$10-Статистика!$C$10,0.000001),NA()))</f>
        <v>0.80473968944444463</v>
      </c>
      <c r="CG173" s="12">
        <f>IF(Y173="",NA(),IF(Статистика!$H$8="Вкл",(((IF(Статистика!$C$4="Параллельный режим (активная мощность)",Z173,AK173)+Статистика!$J$4))-Статистика!$C$10)/MAX(Статистика!$G$10-Статистика!$C$10,0.000001),NA()))</f>
        <v>0.53548498427777758</v>
      </c>
      <c r="CH173" s="12">
        <f>IF(Y173="",NA(),IF(Статистика!$H$8="Вкл",(((IF(Статистика!$C$4="Параллельный режим (активная мощность)",AH173,AS173)+Статистика!$J$4))-Статистика!$C$10)/MAX(Статистика!$G$10-Статистика!$C$10,0.000001),NA()))</f>
        <v>0.80512495894444447</v>
      </c>
      <c r="CI173" s="12" t="e">
        <f>IF(Y173="",NA(),IF(Статистика!$J$8="Вкл",(((IF(Статистика!$C$4="Параллельный режим (активная мощность)",AI173,AT173)+Статистика!$J$4))-Статистика!$C$10)/MAX(Статистика!$G$10-Статистика!$C$10,0.000001),NA()))</f>
        <v>#N/A</v>
      </c>
      <c r="CJ173" s="12" t="e">
        <f>IF(AND(Y173&lt;&gt;"",Статистика!$C$6="Вкл",Статистика!$B$6&gt;0),(Статистика!$B$6-Статистика!$C$10)/MAX(Статистика!$G$10-Статистика!$C$10,0.000001),NA())</f>
        <v>#N/A</v>
      </c>
      <c r="CK173" s="12" t="e">
        <f>IF(AND(Y173&lt;&gt;"",Статистика!$F$6="Вкл",Статистика!$E$6&gt;0),(Статистика!$E$6-Статистика!$C$10)/MAX(Статистика!$G$10-Статистика!$C$10,0.000001),NA())</f>
        <v>#N/A</v>
      </c>
      <c r="CL173" s="12" t="e">
        <f>IF(AND(Y173&lt;&gt;"",Статистика!$I$6="Вкл",Статистика!$H$6&gt;0),(Статистика!$H$6-Статистика!$C$10)/MAX(Статистика!$G$10-Статистика!$C$10,0.000001),NA())</f>
        <v>#N/A</v>
      </c>
      <c r="CM173" s="12" t="e">
        <f>IF(AND(Y173&lt;&gt;"",Статистика!$L$6="Вкл",Статистика!$K$6&gt;0),(Статистика!$K$6-Статистика!$C$10)/MAX(Статистика!$G$10-Статистика!$C$10,0.000001),NA())</f>
        <v>#N/A</v>
      </c>
      <c r="CN173" s="12" t="e">
        <f>IF(AND(Y173&lt;&gt;"",Статистика!$M$6="Вкл",Статистика!$O$6&gt;0),(Статистика!$O$6-Статистика!$C$10)/MAX(Статистика!$G$10-Статистика!$C$10,0.000001),NA())</f>
        <v>#N/A</v>
      </c>
      <c r="CO173" s="12">
        <f t="shared" si="5"/>
        <v>1</v>
      </c>
    </row>
    <row r="174" spans="1:93" ht="15" customHeight="1">
      <c r="A174" s="12" t="s">
        <v>747</v>
      </c>
      <c r="B174" s="12">
        <v>3154.4542923333333</v>
      </c>
      <c r="C174" s="12">
        <v>6074.7857283333324</v>
      </c>
      <c r="D174" s="12">
        <v>7514.4857733333329</v>
      </c>
      <c r="E174" s="12">
        <v>7797.9627916666668</v>
      </c>
      <c r="F174" s="12">
        <v>7951.9689166666667</v>
      </c>
      <c r="G174" s="12">
        <v>8162.5754333333334</v>
      </c>
      <c r="H174" s="12">
        <v>8346.0963883333334</v>
      </c>
      <c r="I174" s="12">
        <v>8411.5093825000004</v>
      </c>
      <c r="J174" s="12">
        <v>8546.0216098333331</v>
      </c>
      <c r="K174" s="12">
        <v>8680.09</v>
      </c>
      <c r="L174" s="12" t="s">
        <v>748</v>
      </c>
      <c r="M174" s="12">
        <v>3794.2738648333334</v>
      </c>
      <c r="N174" s="12">
        <v>6887.5615908333339</v>
      </c>
      <c r="O174" s="12">
        <v>8445.0472933333331</v>
      </c>
      <c r="P174" s="12">
        <v>8729.9534416666665</v>
      </c>
      <c r="Q174" s="12">
        <v>8911.6221666666661</v>
      </c>
      <c r="R174" s="12">
        <v>9181.8124499999994</v>
      </c>
      <c r="S174" s="12">
        <v>9365.249025000001</v>
      </c>
      <c r="T174" s="12">
        <v>9455.3527341666668</v>
      </c>
      <c r="U174" s="12">
        <v>9549.8666535000011</v>
      </c>
      <c r="V174" s="12">
        <v>9683.89</v>
      </c>
      <c r="W174" s="12" t="s">
        <v>749</v>
      </c>
      <c r="Y174" s="12" t="s">
        <v>747</v>
      </c>
      <c r="Z174" s="12">
        <v>7642.900385500001</v>
      </c>
      <c r="AA174" s="12">
        <v>7663.0925941666674</v>
      </c>
      <c r="AB174" s="12">
        <v>7688.3328550000006</v>
      </c>
      <c r="AC174" s="12">
        <v>7919.161075</v>
      </c>
      <c r="AD174" s="12">
        <v>8083.0320499999998</v>
      </c>
      <c r="AE174" s="12">
        <v>8168.4728750000004</v>
      </c>
      <c r="AF174" s="12">
        <v>8417.8328783333327</v>
      </c>
      <c r="AG174" s="12">
        <v>8422.7299225000006</v>
      </c>
      <c r="AH174" s="12">
        <v>8426.6475578333338</v>
      </c>
      <c r="AI174" s="12">
        <v>8544.26</v>
      </c>
      <c r="AJ174" s="12" t="s">
        <v>750</v>
      </c>
      <c r="AK174" s="12">
        <v>8698.0201663333337</v>
      </c>
      <c r="AL174" s="12">
        <v>8698.0936316666666</v>
      </c>
      <c r="AM174" s="12">
        <v>8698.1854633333332</v>
      </c>
      <c r="AN174" s="12">
        <v>8931.7232666666678</v>
      </c>
      <c r="AO174" s="12">
        <v>9084.7880833333329</v>
      </c>
      <c r="AP174" s="12">
        <v>9172.2777999999998</v>
      </c>
      <c r="AQ174" s="12">
        <v>9418.7895899999985</v>
      </c>
      <c r="AR174" s="12">
        <v>9423.7951949999988</v>
      </c>
      <c r="AS174" s="12">
        <v>9427.7996789999997</v>
      </c>
      <c r="AT174" s="12">
        <v>9542.33</v>
      </c>
      <c r="AU174" s="12" t="s">
        <v>751</v>
      </c>
      <c r="AW174" s="12">
        <f>IF(A174="","",MAX(0,MIN(1,(((IF(Статистика!$C$4="Параллельный режим (активная мощность)",B174,M174)+Статистика!$J$4))-Статистика!$C$10)/MAX(Статистика!$G$10-Статистика!$C$10,0.000001))))</f>
        <v>0</v>
      </c>
      <c r="AX174" s="12">
        <f>IF(A174="","",MAX(0,MAX(0,MIN(1,(((IF(Статистика!$C$4="Параллельный режим (активная мощность)",D174,O174)+Статистика!$J$4))-Статистика!$C$10)/MAX(Статистика!$G$10-Статистика!$C$10,0.000001)))-MAX(0,MIN(1,(((IF(Статистика!$C$4="Параллельный режим (активная мощность)",B174,M174)+Статистика!$J$4))-Статистика!$C$10)/MAX(Статистика!$G$10-Статистика!$C$10,0.000001)))))</f>
        <v>0.504828591111111</v>
      </c>
      <c r="AY174" s="12">
        <f>IF(A174="","",MAX(0,MAX(0,MIN(1,(((IF(Статистика!$C$4="Параллельный режим (активная мощность)",E174,P174)+Статистика!$J$4))-Статистика!$C$10)/MAX(Статистика!$G$10-Статистика!$C$10,0.000001)))-MAX(0,MIN(1,(((IF(Статистика!$C$4="Параллельный режим (активная мощность)",D174,O174)+Статистика!$J$4))-Статистика!$C$10)/MAX(Статистика!$G$10-Статистика!$C$10,0.000001)))))</f>
        <v>9.4492339444444573E-2</v>
      </c>
      <c r="AZ174" s="12">
        <f>IF(A174="","",MAX(0,MAX(0,MIN(1,(((IF(Статистика!$C$4="Параллельный режим (активная мощность)",F174,Q174)+Статистика!$J$4))-Статистика!$C$10)/MAX(Статистика!$G$10-Статистика!$C$10,0.000001)))-MAX(0,MIN(1,(((IF(Статистика!$C$4="Параллельный режим (активная мощность)",E174,P174)+Статистика!$J$4))-Статистика!$C$10)/MAX(Статистика!$G$10-Статистика!$C$10,0.000001)))))</f>
        <v>5.1335374999999961E-2</v>
      </c>
      <c r="BA174" s="12">
        <f>IF(A174="","",MAX(0,MAX(0,MIN(1,(((IF(Статистика!$C$4="Параллельный режим (активная мощность)",G174,R174)+Статистика!$J$4))-Статистика!$C$10)/MAX(Статистика!$G$10-Статистика!$C$10,0.000001)))-MAX(0,MIN(1,(((IF(Статистика!$C$4="Параллельный режим (активная мощность)",F174,Q174)+Статистика!$J$4))-Статистика!$C$10)/MAX(Статистика!$G$10-Статистика!$C$10,0.000001)))))</f>
        <v>7.0202172222222248E-2</v>
      </c>
      <c r="BB174" s="12">
        <f>IF(A174="","",MAX(0,MAX(0,MIN(1,(((IF(Статистика!$C$4="Параллельный режим (активная мощность)",H174,S174)+Статистика!$J$4))-Статистика!$C$10)/MAX(Статистика!$G$10-Статистика!$C$10,0.000001)))-MAX(0,MIN(1,(((IF(Статистика!$C$4="Параллельный режим (активная мощность)",G174,R174)+Статистика!$J$4))-Статистика!$C$10)/MAX(Статистика!$G$10-Статистика!$C$10,0.000001)))))</f>
        <v>6.1173651666666662E-2</v>
      </c>
      <c r="BC174" s="12">
        <f>IF(A174="","",MAX(0,MAX(0,MIN(1,(((IF(Статистика!$C$4="Параллельный режим (активная мощность)",J174,U174)+Статистика!$J$4))-Статистика!$C$10)/MAX(Статистика!$G$10-Статистика!$C$10,0.000001)))-MAX(0,MIN(1,(((IF(Статистика!$C$4="Параллельный режим (активная мощность)",H174,S174)+Статистика!$J$4))-Статистика!$C$10)/MAX(Статистика!$G$10-Статистика!$C$10,0.000001)))))</f>
        <v>6.6641740499999935E-2</v>
      </c>
      <c r="BD174" s="12">
        <f>IF(A174="","",MAX(0,1-MAX(0,MIN(1,(((IF(Статистика!$C$4="Параллельный режим (активная мощность)",J174,U174)+Статистика!$J$4))-Статистика!$C$10)/MAX(Статистика!$G$10-Статистика!$C$10,0.000001)))))</f>
        <v>0.15132613005555562</v>
      </c>
      <c r="BE174" s="12">
        <f>IF(A174="",NA(),IF(Статистика!$B$8="Вкл",(((IF(Статистика!$C$4="Параллельный режим (активная мощность)",F174,Q174)+Статистика!$J$4))-Статистика!$C$10)/MAX(Статистика!$G$10-Статистика!$C$10,0.000001),NA()))</f>
        <v>0.65065630555555554</v>
      </c>
      <c r="BF174" s="12">
        <f>IF(A174="",NA(),IF(Статистика!$D$8="Вкл",(((IF(Статистика!$C$4="Параллельный режим (активная мощность)",E174,P174)+Статистика!$J$4))-Статистика!$C$10)/MAX(Статистика!$G$10-Статистика!$C$10,0.000001),NA()))</f>
        <v>0.59932093055555558</v>
      </c>
      <c r="BG174" s="12">
        <f>IF(A174="",NA(),IF(Статистика!$D$8="Вкл",(((IF(Статистика!$C$4="Параллельный режим (активная мощность)",G174,R174)+Статистика!$J$4))-Статистика!$C$10)/MAX(Статистика!$G$10-Статистика!$C$10,0.000001),NA()))</f>
        <v>0.72085847777777778</v>
      </c>
      <c r="BH174" s="12">
        <f>IF(A174="",NA(),IF(Статистика!$F$8="Вкл",(((IF(Статистика!$C$4="Параллельный режим (активная мощность)",D174,O174)+Статистика!$J$4))-Статистика!$C$10)/MAX(Статистика!$G$10-Статистика!$C$10,0.000001),NA()))</f>
        <v>0.504828591111111</v>
      </c>
      <c r="BI174" s="12">
        <f>IF(A174="",NA(),IF(Статистика!$F$8="Вкл",(((IF(Статистика!$C$4="Параллельный режим (активная мощность)",H174,S174)+Статистика!$J$4))-Статистика!$C$10)/MAX(Статистика!$G$10-Статистика!$C$10,0.000001),NA()))</f>
        <v>0.78203212944444445</v>
      </c>
      <c r="BJ174" s="12">
        <f>IF(A174="",NA(),IF(Статистика!$H$8="Вкл",(((IF(Статистика!$C$4="Параллельный режим (активная мощность)",B174,M174)+Статистика!$J$4))-Статистика!$C$10)/MAX(Статистика!$G$10-Статистика!$C$10,0.000001),NA()))</f>
        <v>-0.94851523588888886</v>
      </c>
      <c r="BK174" s="12">
        <f>IF(A174="",NA(),IF(Статистика!$H$8="Вкл",(((IF(Статистика!$C$4="Параллельный режим (активная мощность)",J174,U174)+Статистика!$J$4))-Статистика!$C$10)/MAX(Статистика!$G$10-Статистика!$C$10,0.000001),NA()))</f>
        <v>0.84867386994444438</v>
      </c>
      <c r="BL174" s="12" t="e">
        <f>IF(A174="",NA(),IF(Статистика!$J$8="Вкл",(((IF(Статистика!$C$4="Параллельный режим (активная мощность)",K174,V174)+Статистика!$J$4))-Статистика!$C$10)/MAX(Статистика!$G$10-Статистика!$C$10,0.000001),NA()))</f>
        <v>#N/A</v>
      </c>
      <c r="BM174" s="12" t="e">
        <f>IF(AND(A174&lt;&gt;"",Статистика!$C$6="Вкл",Статистика!$B$6&gt;0),(Статистика!$B$6-Статистика!$C$10)/MAX(Статистика!$G$10-Статистика!$C$10,0.000001),NA())</f>
        <v>#N/A</v>
      </c>
      <c r="BN174" s="12" t="e">
        <f>IF(AND(A174&lt;&gt;"",Статистика!$F$6="Вкл",Статистика!$E$6&gt;0),(Статистика!$E$6-Статистика!$C$10)/MAX(Статистика!$G$10-Статистика!$C$10,0.000001),NA())</f>
        <v>#N/A</v>
      </c>
      <c r="BO174" s="12" t="e">
        <f>IF(AND(A174&lt;&gt;"",Статистика!$I$6="Вкл",Статистика!$H$6&gt;0),(Статистика!$H$6-Статистика!$C$10)/MAX(Статистика!$G$10-Статистика!$C$10,0.000001),NA())</f>
        <v>#N/A</v>
      </c>
      <c r="BP174" s="12" t="e">
        <f>IF(AND(A174&lt;&gt;"",Статистика!$L$6="Вкл",Статистика!$K$6&gt;0),(Статистика!$K$6-Статистика!$C$10)/MAX(Статистика!$G$10-Статистика!$C$10,0.000001),NA())</f>
        <v>#N/A</v>
      </c>
      <c r="BQ174" s="12" t="e">
        <f>IF(AND(A174&lt;&gt;"",Статистика!$M$6="Вкл",Статистика!$O$6&gt;0),(Статистика!$O$6-Статистика!$C$10)/MAX(Статистика!$G$10-Статистика!$C$10,0.000001),NA())</f>
        <v>#N/A</v>
      </c>
      <c r="BR174" s="12">
        <f t="shared" si="4"/>
        <v>1</v>
      </c>
      <c r="BT174" s="12">
        <f>IF(Y174="","",MAX(0,MIN(1,(((IF(Статистика!$C$4="Параллельный режим (активная мощность)",Z174,AK174)+Статистика!$J$4))-Статистика!$C$10)/MAX(Статистика!$G$10-Статистика!$C$10,0.000001))))</f>
        <v>0.54763346183333361</v>
      </c>
      <c r="BU174" s="12">
        <f>IF(Y174="","",MAX(0,MAX(0,MIN(1,(((IF(Статистика!$C$4="Параллельный режим (активная мощность)",AB174,AM174)+Статистика!$J$4))-Статистика!$C$10)/MAX(Статистика!$G$10-Статистика!$C$10,0.000001)))-MAX(0,MIN(1,(((IF(Статистика!$C$4="Параллельный режим (активная мощность)",Z174,AK174)+Статистика!$J$4))-Статистика!$C$10)/MAX(Статистика!$G$10-Статистика!$C$10,0.000001)))))</f>
        <v>1.5144156499999895E-2</v>
      </c>
      <c r="BV174" s="12">
        <f>IF(Y174="","",MAX(0,MAX(0,MIN(1,(((IF(Статистика!$C$4="Параллельный режим (активная мощность)",AC174,AN174)+Статистика!$J$4))-Статистика!$C$10)/MAX(Статистика!$G$10-Статистика!$C$10,0.000001)))-MAX(0,MIN(1,(((IF(Статистика!$C$4="Параллельный режим (активная мощность)",AB174,AM174)+Статистика!$J$4))-Статистика!$C$10)/MAX(Статистика!$G$10-Статистика!$C$10,0.000001)))))</f>
        <v>7.6942739999999787E-2</v>
      </c>
      <c r="BW174" s="12">
        <f>IF(Y174="","",MAX(0,MAX(0,MIN(1,(((IF(Статистика!$C$4="Параллельный режим (активная мощность)",AD174,AO174)+Статистика!$J$4))-Статистика!$C$10)/MAX(Статистика!$G$10-Статистика!$C$10,0.000001)))-MAX(0,MIN(1,(((IF(Статистика!$C$4="Параллельный режим (активная мощность)",AC174,AN174)+Статистика!$J$4))-Статистика!$C$10)/MAX(Статистика!$G$10-Статистика!$C$10,0.000001)))))</f>
        <v>5.4623658333333269E-2</v>
      </c>
      <c r="BX174" s="12">
        <f>IF(Y174="","",MAX(0,MAX(0,MIN(1,(((IF(Статистика!$C$4="Параллельный режим (активная мощность)",AE174,AP174)+Статистика!$J$4))-Статистика!$C$10)/MAX(Статистика!$G$10-Статистика!$C$10,0.000001)))-MAX(0,MIN(1,(((IF(Статистика!$C$4="Параллельный режим (активная мощность)",AD174,AO174)+Статистика!$J$4))-Статистика!$C$10)/MAX(Статистика!$G$10-Статистика!$C$10,0.000001)))))</f>
        <v>2.8480275000000277E-2</v>
      </c>
      <c r="BY174" s="12">
        <f>IF(Y174="","",MAX(0,MAX(0,MIN(1,(((IF(Статистика!$C$4="Параллельный режим (активная мощность)",AF174,AQ174)+Статистика!$J$4))-Статистика!$C$10)/MAX(Статистика!$G$10-Статистика!$C$10,0.000001)))-MAX(0,MIN(1,(((IF(Статистика!$C$4="Параллельный режим (активная мощность)",AE174,AP174)+Статистика!$J$4))-Статистика!$C$10)/MAX(Статистика!$G$10-Статистика!$C$10,0.000001)))))</f>
        <v>8.3120001111110731E-2</v>
      </c>
      <c r="BZ174" s="12">
        <f>IF(Y174="","",MAX(0,MAX(0,MIN(1,(((IF(Статистика!$C$4="Параллельный режим (активная мощность)",AH174,AS174)+Статистика!$J$4))-Статистика!$C$10)/MAX(Статистика!$G$10-Статистика!$C$10,0.000001)))-MAX(0,MIN(1,(((IF(Статистика!$C$4="Параллельный режим (активная мощность)",AF174,AQ174)+Статистика!$J$4))-Статистика!$C$10)/MAX(Статистика!$G$10-Статистика!$C$10,0.000001)))))</f>
        <v>2.9382265000004182E-3</v>
      </c>
      <c r="CA174" s="12">
        <f>IF(Y174="","",MAX(0,1-MAX(0,MIN(1,(((IF(Статистика!$C$4="Параллельный режим (активная мощность)",AH174,AS174)+Статистика!$J$4))-Статистика!$C$10)/MAX(Статистика!$G$10-Статистика!$C$10,0.000001)))))</f>
        <v>0.19111748072222201</v>
      </c>
      <c r="CB174" s="12">
        <f>IF(Y174="",NA(),IF(Статистика!$B$8="Вкл",(((IF(Статистика!$C$4="Параллельный режим (активная мощность)",AD174,AO174)+Статистика!$J$4))-Статистика!$C$10)/MAX(Статистика!$G$10-Статистика!$C$10,0.000001),NA()))</f>
        <v>0.69434401666666656</v>
      </c>
      <c r="CC174" s="12">
        <f>IF(Y174="",NA(),IF(Статистика!$D$8="Вкл",(((IF(Статистика!$C$4="Параллельный режим (активная мощность)",AC174,AN174)+Статистика!$J$4))-Статистика!$C$10)/MAX(Статистика!$G$10-Статистика!$C$10,0.000001),NA()))</f>
        <v>0.63972035833333329</v>
      </c>
      <c r="CD174" s="12">
        <f>IF(Y174="",NA(),IF(Статистика!$D$8="Вкл",(((IF(Статистика!$C$4="Параллельный режим (активная мощность)",AE174,AP174)+Статистика!$J$4))-Статистика!$C$10)/MAX(Статистика!$G$10-Статистика!$C$10,0.000001),NA()))</f>
        <v>0.72282429166666684</v>
      </c>
      <c r="CE174" s="12">
        <f>IF(Y174="",NA(),IF(Статистика!$F$8="Вкл",(((IF(Статистика!$C$4="Параллельный режим (активная мощность)",AB174,AM174)+Статистика!$J$4))-Статистика!$C$10)/MAX(Статистика!$G$10-Статистика!$C$10,0.000001),NA()))</f>
        <v>0.56277761833333351</v>
      </c>
      <c r="CF174" s="12">
        <f>IF(Y174="",NA(),IF(Статистика!$F$8="Вкл",(((IF(Статистика!$C$4="Параллельный режим (активная мощность)",AF174,AQ174)+Статистика!$J$4))-Статистика!$C$10)/MAX(Статистика!$G$10-Статистика!$C$10,0.000001),NA()))</f>
        <v>0.80594429277777757</v>
      </c>
      <c r="CG174" s="12">
        <f>IF(Y174="",NA(),IF(Статистика!$H$8="Вкл",(((IF(Статистика!$C$4="Параллельный режим (активная мощность)",Z174,AK174)+Статистика!$J$4))-Статистика!$C$10)/MAX(Статистика!$G$10-Статистика!$C$10,0.000001),NA()))</f>
        <v>0.54763346183333361</v>
      </c>
      <c r="CH174" s="12">
        <f>IF(Y174="",NA(),IF(Статистика!$H$8="Вкл",(((IF(Статистика!$C$4="Параллельный режим (активная мощность)",AH174,AS174)+Статистика!$J$4))-Статистика!$C$10)/MAX(Статистика!$G$10-Статистика!$C$10,0.000001),NA()))</f>
        <v>0.80888251927777799</v>
      </c>
      <c r="CI174" s="12" t="e">
        <f>IF(Y174="",NA(),IF(Статистика!$J$8="Вкл",(((IF(Статистика!$C$4="Параллельный режим (активная мощность)",AI174,AT174)+Статистика!$J$4))-Статистика!$C$10)/MAX(Статистика!$G$10-Статистика!$C$10,0.000001),NA()))</f>
        <v>#N/A</v>
      </c>
      <c r="CJ174" s="12" t="e">
        <f>IF(AND(Y174&lt;&gt;"",Статистика!$C$6="Вкл",Статистика!$B$6&gt;0),(Статистика!$B$6-Статистика!$C$10)/MAX(Статистика!$G$10-Статистика!$C$10,0.000001),NA())</f>
        <v>#N/A</v>
      </c>
      <c r="CK174" s="12" t="e">
        <f>IF(AND(Y174&lt;&gt;"",Статистика!$F$6="Вкл",Статистика!$E$6&gt;0),(Статистика!$E$6-Статистика!$C$10)/MAX(Статистика!$G$10-Статистика!$C$10,0.000001),NA())</f>
        <v>#N/A</v>
      </c>
      <c r="CL174" s="12" t="e">
        <f>IF(AND(Y174&lt;&gt;"",Статистика!$I$6="Вкл",Статистика!$H$6&gt;0),(Статистика!$H$6-Статистика!$C$10)/MAX(Статистика!$G$10-Статистика!$C$10,0.000001),NA())</f>
        <v>#N/A</v>
      </c>
      <c r="CM174" s="12" t="e">
        <f>IF(AND(Y174&lt;&gt;"",Статистика!$L$6="Вкл",Статистика!$K$6&gt;0),(Статистика!$K$6-Статистика!$C$10)/MAX(Статистика!$G$10-Статистика!$C$10,0.000001),NA())</f>
        <v>#N/A</v>
      </c>
      <c r="CN174" s="12" t="e">
        <f>IF(AND(Y174&lt;&gt;"",Статистика!$M$6="Вкл",Статистика!$O$6&gt;0),(Статистика!$O$6-Статистика!$C$10)/MAX(Статистика!$G$10-Статистика!$C$10,0.000001),NA())</f>
        <v>#N/A</v>
      </c>
      <c r="CO174" s="12">
        <f t="shared" si="5"/>
        <v>1</v>
      </c>
    </row>
    <row r="175" spans="1:93" ht="15" customHeight="1">
      <c r="A175" s="12" t="s">
        <v>752</v>
      </c>
      <c r="B175" s="12">
        <v>3139.3823216666665</v>
      </c>
      <c r="C175" s="12">
        <v>6098.7273416666667</v>
      </c>
      <c r="D175" s="12">
        <v>7535.7733616666665</v>
      </c>
      <c r="E175" s="12">
        <v>7738.970416666667</v>
      </c>
      <c r="F175" s="12">
        <v>7990.5019833333336</v>
      </c>
      <c r="G175" s="12">
        <v>8220.4622749999999</v>
      </c>
      <c r="H175" s="12">
        <v>8352.9769433333349</v>
      </c>
      <c r="I175" s="12">
        <v>8412.8488725000007</v>
      </c>
      <c r="J175" s="12">
        <v>8509.2200678333338</v>
      </c>
      <c r="K175" s="12">
        <v>8737.7099999999991</v>
      </c>
      <c r="L175" s="12" t="s">
        <v>753</v>
      </c>
      <c r="M175" s="12">
        <v>3773.2492869999996</v>
      </c>
      <c r="N175" s="12">
        <v>6917.4953683333333</v>
      </c>
      <c r="O175" s="12">
        <v>8476.0703649999996</v>
      </c>
      <c r="P175" s="12">
        <v>8707.7840583333327</v>
      </c>
      <c r="Q175" s="12">
        <v>8954.8219333333327</v>
      </c>
      <c r="R175" s="12">
        <v>9185.9431249999998</v>
      </c>
      <c r="S175" s="12">
        <v>9410.4775366666672</v>
      </c>
      <c r="T175" s="12">
        <v>9451.7337874999994</v>
      </c>
      <c r="U175" s="12">
        <v>9509.7275041666671</v>
      </c>
      <c r="V175" s="12">
        <v>9838.41</v>
      </c>
      <c r="W175" s="12" t="s">
        <v>753</v>
      </c>
      <c r="Y175" s="12" t="s">
        <v>752</v>
      </c>
      <c r="Z175" s="12">
        <v>7623.4305458333329</v>
      </c>
      <c r="AA175" s="12">
        <v>7644.4832624999999</v>
      </c>
      <c r="AB175" s="12">
        <v>7670.7991583333333</v>
      </c>
      <c r="AC175" s="12">
        <v>7863.7172083333335</v>
      </c>
      <c r="AD175" s="12">
        <v>8073.9196166666661</v>
      </c>
      <c r="AE175" s="12">
        <v>8169.8034250000001</v>
      </c>
      <c r="AF175" s="12">
        <v>8406.1233250000005</v>
      </c>
      <c r="AG175" s="12">
        <v>8411.7692124999994</v>
      </c>
      <c r="AH175" s="12">
        <v>8416.2859224999993</v>
      </c>
      <c r="AI175" s="12">
        <v>8592.34</v>
      </c>
      <c r="AJ175" s="12" t="s">
        <v>754</v>
      </c>
      <c r="AK175" s="12">
        <v>8672.4871123333342</v>
      </c>
      <c r="AL175" s="12">
        <v>8677.1374283333353</v>
      </c>
      <c r="AM175" s="12">
        <v>8682.9503233333344</v>
      </c>
      <c r="AN175" s="12">
        <v>8880.8219166666659</v>
      </c>
      <c r="AO175" s="12">
        <v>9081.1621500000001</v>
      </c>
      <c r="AP175" s="12">
        <v>9197.5570083333332</v>
      </c>
      <c r="AQ175" s="12">
        <v>9407.814421666666</v>
      </c>
      <c r="AR175" s="12">
        <v>9412.0627774999994</v>
      </c>
      <c r="AS175" s="12">
        <v>9415.461462166666</v>
      </c>
      <c r="AT175" s="12">
        <v>9601.51</v>
      </c>
      <c r="AU175" s="12" t="s">
        <v>754</v>
      </c>
      <c r="AW175" s="12">
        <f>IF(A175="","",MAX(0,MIN(1,(((IF(Статистика!$C$4="Параллельный режим (активная мощность)",B175,M175)+Статистика!$J$4))-Статистика!$C$10)/MAX(Статистика!$G$10-Статистика!$C$10,0.000001))))</f>
        <v>0</v>
      </c>
      <c r="AX175" s="12">
        <f>IF(A175="","",MAX(0,MAX(0,MIN(1,(((IF(Статистика!$C$4="Параллельный режим (активная мощность)",D175,O175)+Статистика!$J$4))-Статистика!$C$10)/MAX(Статистика!$G$10-Статистика!$C$10,0.000001)))-MAX(0,MIN(1,(((IF(Статистика!$C$4="Параллельный режим (активная мощность)",B175,M175)+Статистика!$J$4))-Статистика!$C$10)/MAX(Статистика!$G$10-Статистика!$C$10,0.000001)))))</f>
        <v>0.51192445388888885</v>
      </c>
      <c r="AY175" s="12">
        <f>IF(A175="","",MAX(0,MAX(0,MIN(1,(((IF(Статистика!$C$4="Параллельный режим (активная мощность)",E175,P175)+Статистика!$J$4))-Статистика!$C$10)/MAX(Статистика!$G$10-Статистика!$C$10,0.000001)))-MAX(0,MIN(1,(((IF(Статистика!$C$4="Параллельный режим (активная мощность)",D175,O175)+Статистика!$J$4))-Статистика!$C$10)/MAX(Статистика!$G$10-Статистика!$C$10,0.000001)))))</f>
        <v>6.7732351666666801E-2</v>
      </c>
      <c r="AZ175" s="12">
        <f>IF(A175="","",MAX(0,MAX(0,MIN(1,(((IF(Статистика!$C$4="Параллельный режим (активная мощность)",F175,Q175)+Статистика!$J$4))-Статистика!$C$10)/MAX(Статистика!$G$10-Статистика!$C$10,0.000001)))-MAX(0,MIN(1,(((IF(Статистика!$C$4="Параллельный режим (активная мощность)",E175,P175)+Статистика!$J$4))-Статистика!$C$10)/MAX(Статистика!$G$10-Статистика!$C$10,0.000001)))))</f>
        <v>8.3843855555555513E-2</v>
      </c>
      <c r="BA175" s="12">
        <f>IF(A175="","",MAX(0,MAX(0,MIN(1,(((IF(Статистика!$C$4="Параллельный режим (активная мощность)",G175,R175)+Статистика!$J$4))-Статистика!$C$10)/MAX(Статистика!$G$10-Статистика!$C$10,0.000001)))-MAX(0,MIN(1,(((IF(Статистика!$C$4="Параллельный режим (активная мощность)",F175,Q175)+Статистика!$J$4))-Статистика!$C$10)/MAX(Статистика!$G$10-Статистика!$C$10,0.000001)))))</f>
        <v>7.6653430555555402E-2</v>
      </c>
      <c r="BB175" s="12">
        <f>IF(A175="","",MAX(0,MAX(0,MIN(1,(((IF(Статистика!$C$4="Параллельный режим (активная мощность)",H175,S175)+Статистика!$J$4))-Статистика!$C$10)/MAX(Статистика!$G$10-Статистика!$C$10,0.000001)))-MAX(0,MIN(1,(((IF(Статистика!$C$4="Параллельный режим (активная мощность)",G175,R175)+Статистика!$J$4))-Статистика!$C$10)/MAX(Статистика!$G$10-Статистика!$C$10,0.000001)))))</f>
        <v>4.4171556111111787E-2</v>
      </c>
      <c r="BC175" s="12">
        <f>IF(A175="","",MAX(0,MAX(0,MIN(1,(((IF(Статистика!$C$4="Параллельный режим (активная мощность)",J175,U175)+Статистика!$J$4))-Статистика!$C$10)/MAX(Статистика!$G$10-Статистика!$C$10,0.000001)))-MAX(0,MIN(1,(((IF(Статистика!$C$4="Параллельный режим (активная мощность)",H175,S175)+Статистика!$J$4))-Статистика!$C$10)/MAX(Статистика!$G$10-Статистика!$C$10,0.000001)))))</f>
        <v>5.2081041499999592E-2</v>
      </c>
      <c r="BD175" s="12">
        <f>IF(A175="","",MAX(0,1-MAX(0,MIN(1,(((IF(Статистика!$C$4="Параллельный режим (активная мощность)",J175,U175)+Статистика!$J$4))-Статистика!$C$10)/MAX(Статистика!$G$10-Статистика!$C$10,0.000001)))))</f>
        <v>0.16359331072222205</v>
      </c>
      <c r="BE175" s="12">
        <f>IF(A175="",NA(),IF(Статистика!$B$8="Вкл",(((IF(Статистика!$C$4="Параллельный режим (активная мощность)",F175,Q175)+Статистика!$J$4))-Статистика!$C$10)/MAX(Статистика!$G$10-Статистика!$C$10,0.000001),NA()))</f>
        <v>0.66350066111111117</v>
      </c>
      <c r="BF175" s="12">
        <f>IF(A175="",NA(),IF(Статистика!$D$8="Вкл",(((IF(Статистика!$C$4="Параллельный режим (активная мощность)",E175,P175)+Статистика!$J$4))-Статистика!$C$10)/MAX(Статистика!$G$10-Статистика!$C$10,0.000001),NA()))</f>
        <v>0.57965680555555565</v>
      </c>
      <c r="BG175" s="12">
        <f>IF(A175="",NA(),IF(Статистика!$D$8="Вкл",(((IF(Статистика!$C$4="Параллельный режим (активная мощность)",G175,R175)+Статистика!$J$4))-Статистика!$C$10)/MAX(Статистика!$G$10-Статистика!$C$10,0.000001),NA()))</f>
        <v>0.74015409166666657</v>
      </c>
      <c r="BH175" s="12">
        <f>IF(A175="",NA(),IF(Статистика!$F$8="Вкл",(((IF(Статистика!$C$4="Параллельный режим (активная мощность)",D175,O175)+Статистика!$J$4))-Статистика!$C$10)/MAX(Статистика!$G$10-Статистика!$C$10,0.000001),NA()))</f>
        <v>0.51192445388888885</v>
      </c>
      <c r="BI175" s="12">
        <f>IF(A175="",NA(),IF(Статистика!$F$8="Вкл",(((IF(Статистика!$C$4="Параллельный режим (активная мощность)",H175,S175)+Статистика!$J$4))-Статистика!$C$10)/MAX(Статистика!$G$10-Статистика!$C$10,0.000001),NA()))</f>
        <v>0.78432564777777836</v>
      </c>
      <c r="BJ175" s="12">
        <f>IF(A175="",NA(),IF(Статистика!$H$8="Вкл",(((IF(Статистика!$C$4="Параллельный режим (активная мощность)",B175,M175)+Статистика!$J$4))-Статистика!$C$10)/MAX(Статистика!$G$10-Статистика!$C$10,0.000001),NA()))</f>
        <v>-0.95353922611111119</v>
      </c>
      <c r="BK175" s="12">
        <f>IF(A175="",NA(),IF(Статистика!$H$8="Вкл",(((IF(Статистика!$C$4="Параллельный режим (активная мощность)",J175,U175)+Статистика!$J$4))-Статистика!$C$10)/MAX(Статистика!$G$10-Статистика!$C$10,0.000001),NA()))</f>
        <v>0.83640668927777795</v>
      </c>
      <c r="BL175" s="12" t="e">
        <f>IF(A175="",NA(),IF(Статистика!$J$8="Вкл",(((IF(Статистика!$C$4="Параллельный режим (активная мощность)",K175,V175)+Статистика!$J$4))-Статистика!$C$10)/MAX(Статистика!$G$10-Статистика!$C$10,0.000001),NA()))</f>
        <v>#N/A</v>
      </c>
      <c r="BM175" s="12" t="e">
        <f>IF(AND(A175&lt;&gt;"",Статистика!$C$6="Вкл",Статистика!$B$6&gt;0),(Статистика!$B$6-Статистика!$C$10)/MAX(Статистика!$G$10-Статистика!$C$10,0.000001),NA())</f>
        <v>#N/A</v>
      </c>
      <c r="BN175" s="12" t="e">
        <f>IF(AND(A175&lt;&gt;"",Статистика!$F$6="Вкл",Статистика!$E$6&gt;0),(Статистика!$E$6-Статистика!$C$10)/MAX(Статистика!$G$10-Статистика!$C$10,0.000001),NA())</f>
        <v>#N/A</v>
      </c>
      <c r="BO175" s="12" t="e">
        <f>IF(AND(A175&lt;&gt;"",Статистика!$I$6="Вкл",Статистика!$H$6&gt;0),(Статистика!$H$6-Статистика!$C$10)/MAX(Статистика!$G$10-Статистика!$C$10,0.000001),NA())</f>
        <v>#N/A</v>
      </c>
      <c r="BP175" s="12" t="e">
        <f>IF(AND(A175&lt;&gt;"",Статистика!$L$6="Вкл",Статистика!$K$6&gt;0),(Статистика!$K$6-Статистика!$C$10)/MAX(Статистика!$G$10-Статистика!$C$10,0.000001),NA())</f>
        <v>#N/A</v>
      </c>
      <c r="BQ175" s="12" t="e">
        <f>IF(AND(A175&lt;&gt;"",Статистика!$M$6="Вкл",Статистика!$O$6&gt;0),(Статистика!$O$6-Статистика!$C$10)/MAX(Статистика!$G$10-Статистика!$C$10,0.000001),NA())</f>
        <v>#N/A</v>
      </c>
      <c r="BR175" s="12">
        <f t="shared" si="4"/>
        <v>1</v>
      </c>
      <c r="BT175" s="12">
        <f>IF(Y175="","",MAX(0,MIN(1,(((IF(Статистика!$C$4="Параллельный режим (активная мощность)",Z175,AK175)+Статистика!$J$4))-Статистика!$C$10)/MAX(Статистика!$G$10-Статистика!$C$10,0.000001))))</f>
        <v>0.5411435152777776</v>
      </c>
      <c r="BU175" s="12">
        <f>IF(Y175="","",MAX(0,MAX(0,MIN(1,(((IF(Статистика!$C$4="Параллельный режим (активная мощность)",AB175,AM175)+Статистика!$J$4))-Статистика!$C$10)/MAX(Статистика!$G$10-Статистика!$C$10,0.000001)))-MAX(0,MIN(1,(((IF(Статистика!$C$4="Параллельный режим (активная мощность)",Z175,AK175)+Статистика!$J$4))-Статистика!$C$10)/MAX(Статистика!$G$10-Статистика!$C$10,0.000001)))))</f>
        <v>1.5789537500000117E-2</v>
      </c>
      <c r="BV175" s="12">
        <f>IF(Y175="","",MAX(0,MAX(0,MIN(1,(((IF(Статистика!$C$4="Параллельный режим (активная мощность)",AC175,AN175)+Статистика!$J$4))-Статистика!$C$10)/MAX(Статистика!$G$10-Статистика!$C$10,0.000001)))-MAX(0,MIN(1,(((IF(Статистика!$C$4="Параллельный режим (активная мощность)",AB175,AM175)+Статистика!$J$4))-Статистика!$C$10)/MAX(Статистика!$G$10-Статистика!$C$10,0.000001)))))</f>
        <v>6.4306016666666799E-2</v>
      </c>
      <c r="BW175" s="12">
        <f>IF(Y175="","",MAX(0,MAX(0,MIN(1,(((IF(Статистика!$C$4="Параллельный режим (активная мощность)",AD175,AO175)+Статистика!$J$4))-Статистика!$C$10)/MAX(Статистика!$G$10-Статистика!$C$10,0.000001)))-MAX(0,MIN(1,(((IF(Статистика!$C$4="Параллельный режим (активная мощность)",AC175,AN175)+Статистика!$J$4))-Статистика!$C$10)/MAX(Статистика!$G$10-Статистика!$C$10,0.000001)))))</f>
        <v>7.0067469444444197E-2</v>
      </c>
      <c r="BX175" s="12">
        <f>IF(Y175="","",MAX(0,MAX(0,MIN(1,(((IF(Статистика!$C$4="Параллельный режим (активная мощность)",AE175,AP175)+Статистика!$J$4))-Статистика!$C$10)/MAX(Статистика!$G$10-Статистика!$C$10,0.000001)))-MAX(0,MIN(1,(((IF(Статистика!$C$4="Параллельный режим (активная мощность)",AD175,AO175)+Статистика!$J$4))-Статистика!$C$10)/MAX(Статистика!$G$10-Статистика!$C$10,0.000001)))))</f>
        <v>3.1961269444444662E-2</v>
      </c>
      <c r="BY175" s="12">
        <f>IF(Y175="","",MAX(0,MAX(0,MIN(1,(((IF(Статистика!$C$4="Параллельный режим (активная мощность)",AF175,AQ175)+Статистика!$J$4))-Статистика!$C$10)/MAX(Статистика!$G$10-Статистика!$C$10,0.000001)))-MAX(0,MIN(1,(((IF(Статистика!$C$4="Параллельный режим (активная мощность)",AE175,AP175)+Статистика!$J$4))-Статистика!$C$10)/MAX(Статистика!$G$10-Статистика!$C$10,0.000001)))))</f>
        <v>7.8773300000000157E-2</v>
      </c>
      <c r="BZ175" s="12">
        <f>IF(Y175="","",MAX(0,MAX(0,MIN(1,(((IF(Статистика!$C$4="Параллельный режим (активная мощность)",AH175,AS175)+Статистика!$J$4))-Статистика!$C$10)/MAX(Статистика!$G$10-Статистика!$C$10,0.000001)))-MAX(0,MIN(1,(((IF(Статистика!$C$4="Параллельный режим (активная мощность)",AF175,AQ175)+Статистика!$J$4))-Статистика!$C$10)/MAX(Статистика!$G$10-Статистика!$C$10,0.000001)))))</f>
        <v>3.3875324999995682E-3</v>
      </c>
      <c r="CA175" s="12">
        <f>IF(Y175="","",MAX(0,1-MAX(0,MIN(1,(((IF(Статистика!$C$4="Параллельный режим (активная мощность)",AH175,AS175)+Статистика!$J$4))-Статистика!$C$10)/MAX(Статистика!$G$10-Статистика!$C$10,0.000001)))))</f>
        <v>0.1945713591666669</v>
      </c>
      <c r="CB175" s="12">
        <f>IF(Y175="",NA(),IF(Статистика!$B$8="Вкл",(((IF(Статистика!$C$4="Параллельный режим (активная мощность)",AD175,AO175)+Статистика!$J$4))-Статистика!$C$10)/MAX(Статистика!$G$10-Статистика!$C$10,0.000001),NA()))</f>
        <v>0.69130653888888871</v>
      </c>
      <c r="CC175" s="12">
        <f>IF(Y175="",NA(),IF(Статистика!$D$8="Вкл",(((IF(Статистика!$C$4="Параллельный режим (активная мощность)",AC175,AN175)+Статистика!$J$4))-Статистика!$C$10)/MAX(Статистика!$G$10-Статистика!$C$10,0.000001),NA()))</f>
        <v>0.62123906944444451</v>
      </c>
      <c r="CD175" s="12">
        <f>IF(Y175="",NA(),IF(Статистика!$D$8="Вкл",(((IF(Статистика!$C$4="Параллельный режим (активная мощность)",AE175,AP175)+Статистика!$J$4))-Статистика!$C$10)/MAX(Статистика!$G$10-Статистика!$C$10,0.000001),NA()))</f>
        <v>0.72326780833333337</v>
      </c>
      <c r="CE175" s="12">
        <f>IF(Y175="",NA(),IF(Статистика!$F$8="Вкл",(((IF(Статистика!$C$4="Параллельный режим (активная мощность)",AB175,AM175)+Статистика!$J$4))-Статистика!$C$10)/MAX(Статистика!$G$10-Статистика!$C$10,0.000001),NA()))</f>
        <v>0.55693305277777772</v>
      </c>
      <c r="CF175" s="12">
        <f>IF(Y175="",NA(),IF(Статистика!$F$8="Вкл",(((IF(Статистика!$C$4="Параллельный режим (активная мощность)",AF175,AQ175)+Статистика!$J$4))-Статистика!$C$10)/MAX(Статистика!$G$10-Статистика!$C$10,0.000001),NA()))</f>
        <v>0.80204110833333353</v>
      </c>
      <c r="CG175" s="12">
        <f>IF(Y175="",NA(),IF(Статистика!$H$8="Вкл",(((IF(Статистика!$C$4="Параллельный режим (активная мощность)",Z175,AK175)+Статистика!$J$4))-Статистика!$C$10)/MAX(Статистика!$G$10-Статистика!$C$10,0.000001),NA()))</f>
        <v>0.5411435152777776</v>
      </c>
      <c r="CH175" s="12">
        <f>IF(Y175="",NA(),IF(Статистика!$H$8="Вкл",(((IF(Статистика!$C$4="Параллельный режим (активная мощность)",AH175,AS175)+Статистика!$J$4))-Статистика!$C$10)/MAX(Статистика!$G$10-Статистика!$C$10,0.000001),NA()))</f>
        <v>0.8054286408333331</v>
      </c>
      <c r="CI175" s="12" t="e">
        <f>IF(Y175="",NA(),IF(Статистика!$J$8="Вкл",(((IF(Статистика!$C$4="Параллельный режим (активная мощность)",AI175,AT175)+Статистика!$J$4))-Статистика!$C$10)/MAX(Статистика!$G$10-Статистика!$C$10,0.000001),NA()))</f>
        <v>#N/A</v>
      </c>
      <c r="CJ175" s="12" t="e">
        <f>IF(AND(Y175&lt;&gt;"",Статистика!$C$6="Вкл",Статистика!$B$6&gt;0),(Статистика!$B$6-Статистика!$C$10)/MAX(Статистика!$G$10-Статистика!$C$10,0.000001),NA())</f>
        <v>#N/A</v>
      </c>
      <c r="CK175" s="12" t="e">
        <f>IF(AND(Y175&lt;&gt;"",Статистика!$F$6="Вкл",Статистика!$E$6&gt;0),(Статистика!$E$6-Статистика!$C$10)/MAX(Статистика!$G$10-Статистика!$C$10,0.000001),NA())</f>
        <v>#N/A</v>
      </c>
      <c r="CL175" s="12" t="e">
        <f>IF(AND(Y175&lt;&gt;"",Статистика!$I$6="Вкл",Статистика!$H$6&gt;0),(Статистика!$H$6-Статистика!$C$10)/MAX(Статистика!$G$10-Статистика!$C$10,0.000001),NA())</f>
        <v>#N/A</v>
      </c>
      <c r="CM175" s="12" t="e">
        <f>IF(AND(Y175&lt;&gt;"",Статистика!$L$6="Вкл",Статистика!$K$6&gt;0),(Статистика!$K$6-Статистика!$C$10)/MAX(Статистика!$G$10-Статистика!$C$10,0.000001),NA())</f>
        <v>#N/A</v>
      </c>
      <c r="CN175" s="12" t="e">
        <f>IF(AND(Y175&lt;&gt;"",Статистика!$M$6="Вкл",Статистика!$O$6&gt;0),(Статистика!$O$6-Статистика!$C$10)/MAX(Статистика!$G$10-Статистика!$C$10,0.000001),NA())</f>
        <v>#N/A</v>
      </c>
      <c r="CO175" s="12">
        <f t="shared" si="5"/>
        <v>1</v>
      </c>
    </row>
    <row r="176" spans="1:93" ht="15" customHeight="1">
      <c r="A176" s="12" t="s">
        <v>755</v>
      </c>
      <c r="B176" s="12">
        <v>3144.3274176666669</v>
      </c>
      <c r="C176" s="12">
        <v>6094.0162883333342</v>
      </c>
      <c r="D176" s="12">
        <v>7532.9522166666666</v>
      </c>
      <c r="E176" s="12">
        <v>7834.7494583333328</v>
      </c>
      <c r="F176" s="12">
        <v>7978.0192666666662</v>
      </c>
      <c r="G176" s="12">
        <v>8166.1238250000006</v>
      </c>
      <c r="H176" s="12">
        <v>8371.8025883333339</v>
      </c>
      <c r="I176" s="12">
        <v>8428.3415416666667</v>
      </c>
      <c r="J176" s="12">
        <v>8508.9010283333337</v>
      </c>
      <c r="K176" s="12">
        <v>8681.3700000000008</v>
      </c>
      <c r="L176" s="12" t="s">
        <v>756</v>
      </c>
      <c r="M176" s="12">
        <v>3787.3117524999998</v>
      </c>
      <c r="N176" s="12">
        <v>6917.7638291666663</v>
      </c>
      <c r="O176" s="12">
        <v>8452.6969150000004</v>
      </c>
      <c r="P176" s="12">
        <v>8792.4558666666671</v>
      </c>
      <c r="Q176" s="12">
        <v>8939.4895000000015</v>
      </c>
      <c r="R176" s="12">
        <v>9147.0492166666663</v>
      </c>
      <c r="S176" s="12">
        <v>9415.970033333333</v>
      </c>
      <c r="T176" s="12">
        <v>9470.7095583333321</v>
      </c>
      <c r="U176" s="12">
        <v>9508.1607383333339</v>
      </c>
      <c r="V176" s="12">
        <v>9735.5</v>
      </c>
      <c r="W176" s="12" t="s">
        <v>756</v>
      </c>
      <c r="Y176" s="12" t="s">
        <v>755</v>
      </c>
      <c r="Z176" s="12">
        <v>7637.0243851666655</v>
      </c>
      <c r="AA176" s="12">
        <v>7641.9765924999992</v>
      </c>
      <c r="AB176" s="12">
        <v>7648.1668516666659</v>
      </c>
      <c r="AC176" s="12">
        <v>7861.8283333333338</v>
      </c>
      <c r="AD176" s="12">
        <v>8052.5211500000005</v>
      </c>
      <c r="AE176" s="12">
        <v>8170.8927750000003</v>
      </c>
      <c r="AF176" s="12">
        <v>8428.3604466666675</v>
      </c>
      <c r="AG176" s="12">
        <v>8450.7972566666667</v>
      </c>
      <c r="AH176" s="12">
        <v>8468.7467046666661</v>
      </c>
      <c r="AI176" s="12">
        <v>8676.2099999999991</v>
      </c>
      <c r="AJ176" s="12" t="s">
        <v>757</v>
      </c>
      <c r="AK176" s="12">
        <v>8569.9884279999987</v>
      </c>
      <c r="AL176" s="12">
        <v>8607.8686733333325</v>
      </c>
      <c r="AM176" s="12">
        <v>8655.2189799999996</v>
      </c>
      <c r="AN176" s="12">
        <v>8884.6378666666678</v>
      </c>
      <c r="AO176" s="12">
        <v>9056.695749999999</v>
      </c>
      <c r="AP176" s="12">
        <v>9181.5649250000006</v>
      </c>
      <c r="AQ176" s="12">
        <v>9432.1568616666682</v>
      </c>
      <c r="AR176" s="12">
        <v>9454.482764166667</v>
      </c>
      <c r="AS176" s="12">
        <v>9472.3434861666683</v>
      </c>
      <c r="AT176" s="12">
        <v>9709.8700000000008</v>
      </c>
      <c r="AU176" s="12" t="s">
        <v>757</v>
      </c>
      <c r="AW176" s="12">
        <f>IF(A176="","",MAX(0,MIN(1,(((IF(Статистика!$C$4="Параллельный режим (активная мощность)",B176,M176)+Статистика!$J$4))-Статистика!$C$10)/MAX(Статистика!$G$10-Статистика!$C$10,0.000001))))</f>
        <v>0</v>
      </c>
      <c r="AX176" s="12">
        <f>IF(A176="","",MAX(0,MAX(0,MIN(1,(((IF(Статистика!$C$4="Параллельный режим (активная мощность)",D176,O176)+Статистика!$J$4))-Статистика!$C$10)/MAX(Статистика!$G$10-Статистика!$C$10,0.000001)))-MAX(0,MIN(1,(((IF(Статистика!$C$4="Параллельный режим (активная мощность)",B176,M176)+Статистика!$J$4))-Статистика!$C$10)/MAX(Статистика!$G$10-Статистика!$C$10,0.000001)))))</f>
        <v>0.5109840722222222</v>
      </c>
      <c r="AY176" s="12">
        <f>IF(A176="","",MAX(0,MAX(0,MIN(1,(((IF(Статистика!$C$4="Параллельный режим (активная мощность)",E176,P176)+Статистика!$J$4))-Статистика!$C$10)/MAX(Статистика!$G$10-Статистика!$C$10,0.000001)))-MAX(0,MIN(1,(((IF(Статистика!$C$4="Параллельный режим (активная мощность)",D176,O176)+Статистика!$J$4))-Статистика!$C$10)/MAX(Статистика!$G$10-Статистика!$C$10,0.000001)))))</f>
        <v>0.10059908055555544</v>
      </c>
      <c r="AZ176" s="12">
        <f>IF(A176="","",MAX(0,MAX(0,MIN(1,(((IF(Статистика!$C$4="Параллельный режим (активная мощность)",F176,Q176)+Статистика!$J$4))-Статистика!$C$10)/MAX(Статистика!$G$10-Статистика!$C$10,0.000001)))-MAX(0,MIN(1,(((IF(Статистика!$C$4="Параллельный режим (активная мощность)",E176,P176)+Статистика!$J$4))-Статистика!$C$10)/MAX(Статистика!$G$10-Статистика!$C$10,0.000001)))))</f>
        <v>4.7756602777777823E-2</v>
      </c>
      <c r="BA176" s="12">
        <f>IF(A176="","",MAX(0,MAX(0,MIN(1,(((IF(Статистика!$C$4="Параллельный режим (активная мощность)",G176,R176)+Статистика!$J$4))-Статистика!$C$10)/MAX(Статистика!$G$10-Статистика!$C$10,0.000001)))-MAX(0,MIN(1,(((IF(Статистика!$C$4="Параллельный режим (активная мощность)",F176,Q176)+Статистика!$J$4))-Статистика!$C$10)/MAX(Статистика!$G$10-Статистика!$C$10,0.000001)))))</f>
        <v>6.2701519444444687E-2</v>
      </c>
      <c r="BB176" s="12">
        <f>IF(A176="","",MAX(0,MAX(0,MIN(1,(((IF(Статистика!$C$4="Параллельный режим (активная мощность)",H176,S176)+Статистика!$J$4))-Статистика!$C$10)/MAX(Статистика!$G$10-Статистика!$C$10,0.000001)))-MAX(0,MIN(1,(((IF(Статистика!$C$4="Параллельный режим (активная мощность)",G176,R176)+Статистика!$J$4))-Статистика!$C$10)/MAX(Статистика!$G$10-Статистика!$C$10,0.000001)))))</f>
        <v>6.855958777777782E-2</v>
      </c>
      <c r="BC176" s="12">
        <f>IF(A176="","",MAX(0,MAX(0,MIN(1,(((IF(Статистика!$C$4="Параллельный режим (активная мощность)",J176,U176)+Статистика!$J$4))-Статистика!$C$10)/MAX(Статистика!$G$10-Статистика!$C$10,0.000001)))-MAX(0,MIN(1,(((IF(Статистика!$C$4="Параллельный режим (активная мощность)",H176,S176)+Статистика!$J$4))-Статистика!$C$10)/MAX(Статистика!$G$10-Статистика!$C$10,0.000001)))))</f>
        <v>4.5699479999999904E-2</v>
      </c>
      <c r="BD176" s="12">
        <f>IF(A176="","",MAX(0,1-MAX(0,MIN(1,(((IF(Статистика!$C$4="Параллельный режим (активная мощность)",J176,U176)+Статистика!$J$4))-Статистика!$C$10)/MAX(Статистика!$G$10-Статистика!$C$10,0.000001)))))</f>
        <v>0.16369965722222213</v>
      </c>
      <c r="BE176" s="12">
        <f>IF(A176="",NA(),IF(Статистика!$B$8="Вкл",(((IF(Статистика!$C$4="Параллельный режим (активная мощность)",F176,Q176)+Статистика!$J$4))-Статистика!$C$10)/MAX(Статистика!$G$10-Статистика!$C$10,0.000001),NA()))</f>
        <v>0.65933975555555546</v>
      </c>
      <c r="BF176" s="12">
        <f>IF(A176="",NA(),IF(Статистика!$D$8="Вкл",(((IF(Статистика!$C$4="Параллельный режим (активная мощность)",E176,P176)+Статистика!$J$4))-Статистика!$C$10)/MAX(Статистика!$G$10-Статистика!$C$10,0.000001),NA()))</f>
        <v>0.61158315277777764</v>
      </c>
      <c r="BG176" s="12">
        <f>IF(A176="",NA(),IF(Статистика!$D$8="Вкл",(((IF(Статистика!$C$4="Параллельный режим (активная мощность)",G176,R176)+Статистика!$J$4))-Статистика!$C$10)/MAX(Статистика!$G$10-Статистика!$C$10,0.000001),NA()))</f>
        <v>0.72204127500000015</v>
      </c>
      <c r="BH176" s="12">
        <f>IF(A176="",NA(),IF(Статистика!$F$8="Вкл",(((IF(Статистика!$C$4="Параллельный режим (активная мощность)",D176,O176)+Статистика!$J$4))-Статистика!$C$10)/MAX(Статистика!$G$10-Статистика!$C$10,0.000001),NA()))</f>
        <v>0.5109840722222222</v>
      </c>
      <c r="BI176" s="12">
        <f>IF(A176="",NA(),IF(Статистика!$F$8="Вкл",(((IF(Статистика!$C$4="Параллельный режим (активная мощность)",H176,S176)+Статистика!$J$4))-Статистика!$C$10)/MAX(Статистика!$G$10-Статистика!$C$10,0.000001),NA()))</f>
        <v>0.79060086277777797</v>
      </c>
      <c r="BJ176" s="12">
        <f>IF(A176="",NA(),IF(Статистика!$H$8="Вкл",(((IF(Статистика!$C$4="Параллельный режим (активная мощность)",B176,M176)+Статистика!$J$4))-Статистика!$C$10)/MAX(Статистика!$G$10-Статистика!$C$10,0.000001),NA()))</f>
        <v>-0.95189086077777774</v>
      </c>
      <c r="BK176" s="12">
        <f>IF(A176="",NA(),IF(Статистика!$H$8="Вкл",(((IF(Статистика!$C$4="Параллельный режим (активная мощность)",J176,U176)+Статистика!$J$4))-Статистика!$C$10)/MAX(Статистика!$G$10-Статистика!$C$10,0.000001),NA()))</f>
        <v>0.83630034277777787</v>
      </c>
      <c r="BL176" s="12" t="e">
        <f>IF(A176="",NA(),IF(Статистика!$J$8="Вкл",(((IF(Статистика!$C$4="Параллельный режим (активная мощность)",K176,V176)+Статистика!$J$4))-Статистика!$C$10)/MAX(Статистика!$G$10-Статистика!$C$10,0.000001),NA()))</f>
        <v>#N/A</v>
      </c>
      <c r="BM176" s="12" t="e">
        <f>IF(AND(A176&lt;&gt;"",Статистика!$C$6="Вкл",Статистика!$B$6&gt;0),(Статистика!$B$6-Статистика!$C$10)/MAX(Статистика!$G$10-Статистика!$C$10,0.000001),NA())</f>
        <v>#N/A</v>
      </c>
      <c r="BN176" s="12" t="e">
        <f>IF(AND(A176&lt;&gt;"",Статистика!$F$6="Вкл",Статистика!$E$6&gt;0),(Статистика!$E$6-Статистика!$C$10)/MAX(Статистика!$G$10-Статистика!$C$10,0.000001),NA())</f>
        <v>#N/A</v>
      </c>
      <c r="BO176" s="12" t="e">
        <f>IF(AND(A176&lt;&gt;"",Статистика!$I$6="Вкл",Статистика!$H$6&gt;0),(Статистика!$H$6-Статистика!$C$10)/MAX(Статистика!$G$10-Статистика!$C$10,0.000001),NA())</f>
        <v>#N/A</v>
      </c>
      <c r="BP176" s="12" t="e">
        <f>IF(AND(A176&lt;&gt;"",Статистика!$L$6="Вкл",Статистика!$K$6&gt;0),(Статистика!$K$6-Статистика!$C$10)/MAX(Статистика!$G$10-Статистика!$C$10,0.000001),NA())</f>
        <v>#N/A</v>
      </c>
      <c r="BQ176" s="12" t="e">
        <f>IF(AND(A176&lt;&gt;"",Статистика!$M$6="Вкл",Статистика!$O$6&gt;0),(Статистика!$O$6-Статистика!$C$10)/MAX(Статистика!$G$10-Статистика!$C$10,0.000001),NA())</f>
        <v>#N/A</v>
      </c>
      <c r="BR176" s="12">
        <f t="shared" si="4"/>
        <v>1</v>
      </c>
      <c r="BT176" s="12">
        <f>IF(Y176="","",MAX(0,MIN(1,(((IF(Статистика!$C$4="Параллельный режим (активная мощность)",Z176,AK176)+Статистика!$J$4))-Статистика!$C$10)/MAX(Статистика!$G$10-Статистика!$C$10,0.000001))))</f>
        <v>0.54567479505555516</v>
      </c>
      <c r="BU176" s="12">
        <f>IF(Y176="","",MAX(0,MAX(0,MIN(1,(((IF(Статистика!$C$4="Параллельный режим (активная мощность)",AB176,AM176)+Статистика!$J$4))-Статистика!$C$10)/MAX(Статистика!$G$10-Статистика!$C$10,0.000001)))-MAX(0,MIN(1,(((IF(Статистика!$C$4="Параллельный режим (активная мощность)",Z176,AK176)+Статистика!$J$4))-Статистика!$C$10)/MAX(Статистика!$G$10-Статистика!$C$10,0.000001)))))</f>
        <v>3.7141555000002047E-3</v>
      </c>
      <c r="BV176" s="12">
        <f>IF(Y176="","",MAX(0,MAX(0,MIN(1,(((IF(Статистика!$C$4="Параллельный режим (активная мощность)",AC176,AN176)+Статистика!$J$4))-Статистика!$C$10)/MAX(Статистика!$G$10-Статистика!$C$10,0.000001)))-MAX(0,MIN(1,(((IF(Статистика!$C$4="Параллельный режим (активная мощность)",AB176,AM176)+Статистика!$J$4))-Статистика!$C$10)/MAX(Статистика!$G$10-Статистика!$C$10,0.000001)))))</f>
        <v>7.1220493888889291E-2</v>
      </c>
      <c r="BW176" s="12">
        <f>IF(Y176="","",MAX(0,MAX(0,MIN(1,(((IF(Статистика!$C$4="Параллельный режим (активная мощность)",AD176,AO176)+Статистика!$J$4))-Статистика!$C$10)/MAX(Статистика!$G$10-Статистика!$C$10,0.000001)))-MAX(0,MIN(1,(((IF(Статистика!$C$4="Параллельный режим (активная мощность)",AC176,AN176)+Статистика!$J$4))-Статистика!$C$10)/MAX(Статистика!$G$10-Статистика!$C$10,0.000001)))))</f>
        <v>6.3564272222222162E-2</v>
      </c>
      <c r="BX176" s="12">
        <f>IF(Y176="","",MAX(0,MAX(0,MIN(1,(((IF(Статистика!$C$4="Параллельный режим (активная мощность)",AE176,AP176)+Статистика!$J$4))-Статистика!$C$10)/MAX(Статистика!$G$10-Статистика!$C$10,0.000001)))-MAX(0,MIN(1,(((IF(Статистика!$C$4="Параллельный режим (активная мощность)",AD176,AO176)+Статистика!$J$4))-Статистика!$C$10)/MAX(Статистика!$G$10-Статистика!$C$10,0.000001)))))</f>
        <v>3.9457208333333216E-2</v>
      </c>
      <c r="BY176" s="12">
        <f>IF(Y176="","",MAX(0,MAX(0,MIN(1,(((IF(Статистика!$C$4="Параллельный режим (активная мощность)",AF176,AQ176)+Статистика!$J$4))-Статистика!$C$10)/MAX(Статистика!$G$10-Статистика!$C$10,0.000001)))-MAX(0,MIN(1,(((IF(Статистика!$C$4="Параллельный режим (активная мощность)",AE176,AP176)+Статистика!$J$4))-Статистика!$C$10)/MAX(Статистика!$G$10-Статистика!$C$10,0.000001)))))</f>
        <v>8.5822557222222429E-2</v>
      </c>
      <c r="BZ176" s="12">
        <f>IF(Y176="","",MAX(0,MAX(0,MIN(1,(((IF(Статистика!$C$4="Параллельный режим (активная мощность)",AH176,AS176)+Статистика!$J$4))-Статистика!$C$10)/MAX(Статистика!$G$10-Статистика!$C$10,0.000001)))-MAX(0,MIN(1,(((IF(Статистика!$C$4="Параллельный режим (активная мощность)",AF176,AQ176)+Статистика!$J$4))-Статистика!$C$10)/MAX(Статистика!$G$10-Статистика!$C$10,0.000001)))))</f>
        <v>1.346208599999954E-2</v>
      </c>
      <c r="CA176" s="12">
        <f>IF(Y176="","",MAX(0,1-MAX(0,MIN(1,(((IF(Статистика!$C$4="Параллельный режим (активная мощность)",AH176,AS176)+Статистика!$J$4))-Статистика!$C$10)/MAX(Статистика!$G$10-Статистика!$C$10,0.000001)))))</f>
        <v>0.177084431777778</v>
      </c>
      <c r="CB176" s="12">
        <f>IF(Y176="",NA(),IF(Статистика!$B$8="Вкл",(((IF(Статистика!$C$4="Параллельный режим (активная мощность)",AD176,AO176)+Статистика!$J$4))-Статистика!$C$10)/MAX(Статистика!$G$10-Статистика!$C$10,0.000001),NA()))</f>
        <v>0.68417371666666682</v>
      </c>
      <c r="CC176" s="12">
        <f>IF(Y176="",NA(),IF(Статистика!$D$8="Вкл",(((IF(Статистика!$C$4="Параллельный режим (активная мощность)",AC176,AN176)+Статистика!$J$4))-Статистика!$C$10)/MAX(Статистика!$G$10-Статистика!$C$10,0.000001),NA()))</f>
        <v>0.62060944444444466</v>
      </c>
      <c r="CD176" s="12">
        <f>IF(Y176="",NA(),IF(Статистика!$D$8="Вкл",(((IF(Статистика!$C$4="Параллельный режим (активная мощность)",AE176,AP176)+Статистика!$J$4))-Статистика!$C$10)/MAX(Статистика!$G$10-Статистика!$C$10,0.000001),NA()))</f>
        <v>0.72363092500000004</v>
      </c>
      <c r="CE176" s="12">
        <f>IF(Y176="",NA(),IF(Статистика!$F$8="Вкл",(((IF(Статистика!$C$4="Параллельный режим (активная мощность)",AB176,AM176)+Статистика!$J$4))-Статистика!$C$10)/MAX(Статистика!$G$10-Статистика!$C$10,0.000001),NA()))</f>
        <v>0.54938895055555537</v>
      </c>
      <c r="CF176" s="12">
        <f>IF(Y176="",NA(),IF(Статистика!$F$8="Вкл",(((IF(Статистика!$C$4="Параллельный режим (активная мощность)",AF176,AQ176)+Статистика!$J$4))-Статистика!$C$10)/MAX(Статистика!$G$10-Статистика!$C$10,0.000001),NA()))</f>
        <v>0.80945348222222246</v>
      </c>
      <c r="CG176" s="12">
        <f>IF(Y176="",NA(),IF(Статистика!$H$8="Вкл",(((IF(Статистика!$C$4="Параллельный режим (активная мощность)",Z176,AK176)+Статистика!$J$4))-Статистика!$C$10)/MAX(Статистика!$G$10-Статистика!$C$10,0.000001),NA()))</f>
        <v>0.54567479505555516</v>
      </c>
      <c r="CH176" s="12">
        <f>IF(Y176="",NA(),IF(Статистика!$H$8="Вкл",(((IF(Статистика!$C$4="Параллельный режим (активная мощность)",AH176,AS176)+Статистика!$J$4))-Статистика!$C$10)/MAX(Статистика!$G$10-Статистика!$C$10,0.000001),NA()))</f>
        <v>0.822915568222222</v>
      </c>
      <c r="CI176" s="12" t="e">
        <f>IF(Y176="",NA(),IF(Статистика!$J$8="Вкл",(((IF(Статистика!$C$4="Параллельный режим (активная мощность)",AI176,AT176)+Статистика!$J$4))-Статистика!$C$10)/MAX(Статистика!$G$10-Статистика!$C$10,0.000001),NA()))</f>
        <v>#N/A</v>
      </c>
      <c r="CJ176" s="12" t="e">
        <f>IF(AND(Y176&lt;&gt;"",Статистика!$C$6="Вкл",Статистика!$B$6&gt;0),(Статистика!$B$6-Статистика!$C$10)/MAX(Статистика!$G$10-Статистика!$C$10,0.000001),NA())</f>
        <v>#N/A</v>
      </c>
      <c r="CK176" s="12" t="e">
        <f>IF(AND(Y176&lt;&gt;"",Статистика!$F$6="Вкл",Статистика!$E$6&gt;0),(Статистика!$E$6-Статистика!$C$10)/MAX(Статистика!$G$10-Статистика!$C$10,0.000001),NA())</f>
        <v>#N/A</v>
      </c>
      <c r="CL176" s="12" t="e">
        <f>IF(AND(Y176&lt;&gt;"",Статистика!$I$6="Вкл",Статистика!$H$6&gt;0),(Статистика!$H$6-Статистика!$C$10)/MAX(Статистика!$G$10-Статистика!$C$10,0.000001),NA())</f>
        <v>#N/A</v>
      </c>
      <c r="CM176" s="12" t="e">
        <f>IF(AND(Y176&lt;&gt;"",Статистика!$L$6="Вкл",Статистика!$K$6&gt;0),(Статистика!$K$6-Статистика!$C$10)/MAX(Статистика!$G$10-Статистика!$C$10,0.000001),NA())</f>
        <v>#N/A</v>
      </c>
      <c r="CN176" s="12" t="e">
        <f>IF(AND(Y176&lt;&gt;"",Статистика!$M$6="Вкл",Статистика!$O$6&gt;0),(Статистика!$O$6-Статистика!$C$10)/MAX(Статистика!$G$10-Статистика!$C$10,0.000001),NA())</f>
        <v>#N/A</v>
      </c>
      <c r="CO176" s="12">
        <f t="shared" si="5"/>
        <v>1</v>
      </c>
    </row>
    <row r="177" spans="1:93" ht="15" customHeight="1">
      <c r="A177" s="12" t="s">
        <v>758</v>
      </c>
      <c r="B177" s="12">
        <v>3292.290375333333</v>
      </c>
      <c r="C177" s="12">
        <v>6149.4977433333333</v>
      </c>
      <c r="D177" s="12">
        <v>7529.2153683333336</v>
      </c>
      <c r="E177" s="12">
        <v>7843.9200666666666</v>
      </c>
      <c r="F177" s="12">
        <v>7953.0150499999991</v>
      </c>
      <c r="G177" s="12">
        <v>8105.4871499999999</v>
      </c>
      <c r="H177" s="12">
        <v>8354.4520250000005</v>
      </c>
      <c r="I177" s="12">
        <v>8429.649024166667</v>
      </c>
      <c r="J177" s="12">
        <v>8536.8275915000013</v>
      </c>
      <c r="K177" s="12">
        <v>8711.6</v>
      </c>
      <c r="L177" s="12" t="s">
        <v>759</v>
      </c>
      <c r="M177" s="12">
        <v>4055.4354570000005</v>
      </c>
      <c r="N177" s="12">
        <v>7012.8438183333355</v>
      </c>
      <c r="O177" s="12">
        <v>8433.5987850000001</v>
      </c>
      <c r="P177" s="12">
        <v>8817.7261750000016</v>
      </c>
      <c r="Q177" s="12">
        <v>8877.2313833333337</v>
      </c>
      <c r="R177" s="12">
        <v>9076.0870250000007</v>
      </c>
      <c r="S177" s="12">
        <v>9402.437191666666</v>
      </c>
      <c r="T177" s="12">
        <v>9479.7203066666661</v>
      </c>
      <c r="U177" s="12">
        <v>9546.4212346666664</v>
      </c>
      <c r="V177" s="12">
        <v>9693.17</v>
      </c>
      <c r="W177" s="12" t="s">
        <v>759</v>
      </c>
      <c r="Y177" s="12" t="s">
        <v>758</v>
      </c>
      <c r="Z177" s="12">
        <v>7514.0118796666657</v>
      </c>
      <c r="AA177" s="12">
        <v>7523.3347316666659</v>
      </c>
      <c r="AB177" s="12">
        <v>7534.9882966666664</v>
      </c>
      <c r="AC177" s="12">
        <v>7836.6394750000009</v>
      </c>
      <c r="AD177" s="12">
        <v>8035.3985999999986</v>
      </c>
      <c r="AE177" s="12">
        <v>8148.4818500000001</v>
      </c>
      <c r="AF177" s="12">
        <v>8482.3551566666665</v>
      </c>
      <c r="AG177" s="12">
        <v>8496.5510783333339</v>
      </c>
      <c r="AH177" s="12">
        <v>8507.9078156666674</v>
      </c>
      <c r="AI177" s="12">
        <v>8678.2999999999993</v>
      </c>
      <c r="AJ177" s="12" t="s">
        <v>760</v>
      </c>
      <c r="AK177" s="12">
        <v>8476.6687980000006</v>
      </c>
      <c r="AL177" s="12">
        <v>8503.3013233333331</v>
      </c>
      <c r="AM177" s="12">
        <v>8536.5919800000011</v>
      </c>
      <c r="AN177" s="12">
        <v>8854.5324333333338</v>
      </c>
      <c r="AO177" s="12">
        <v>9040.6279333333332</v>
      </c>
      <c r="AP177" s="12">
        <v>9184.2961916666682</v>
      </c>
      <c r="AQ177" s="12">
        <v>9498.0722016666659</v>
      </c>
      <c r="AR177" s="12">
        <v>9509.8795008333327</v>
      </c>
      <c r="AS177" s="12">
        <v>9519.3253401666661</v>
      </c>
      <c r="AT177" s="12">
        <v>9681.51</v>
      </c>
      <c r="AU177" s="12" t="s">
        <v>761</v>
      </c>
      <c r="AW177" s="12">
        <f>IF(A177="","",MAX(0,MIN(1,(((IF(Статистика!$C$4="Параллельный режим (активная мощность)",B177,M177)+Статистика!$J$4))-Статистика!$C$10)/MAX(Статистика!$G$10-Статистика!$C$10,0.000001))))</f>
        <v>0</v>
      </c>
      <c r="AX177" s="12">
        <f>IF(A177="","",MAX(0,MAX(0,MIN(1,(((IF(Статистика!$C$4="Параллельный режим (активная мощность)",D177,O177)+Статистика!$J$4))-Статистика!$C$10)/MAX(Статистика!$G$10-Статистика!$C$10,0.000001)))-MAX(0,MIN(1,(((IF(Статистика!$C$4="Параллельный режим (активная мощность)",B177,M177)+Статистика!$J$4))-Статистика!$C$10)/MAX(Статистика!$G$10-Статистика!$C$10,0.000001)))))</f>
        <v>0.50973845611111124</v>
      </c>
      <c r="AY177" s="12">
        <f>IF(A177="","",MAX(0,MAX(0,MIN(1,(((IF(Статистика!$C$4="Параллельный режим (активная мощность)",E177,P177)+Статистика!$J$4))-Статистика!$C$10)/MAX(Статистика!$G$10-Статистика!$C$10,0.000001)))-MAX(0,MIN(1,(((IF(Статистика!$C$4="Параллельный режим (активная мощность)",D177,O177)+Статистика!$J$4))-Статистика!$C$10)/MAX(Статистика!$G$10-Статистика!$C$10,0.000001)))))</f>
        <v>0.1049015661111109</v>
      </c>
      <c r="AZ177" s="12">
        <f>IF(A177="","",MAX(0,MAX(0,MIN(1,(((IF(Статистика!$C$4="Параллельный режим (активная мощность)",F177,Q177)+Статистика!$J$4))-Статистика!$C$10)/MAX(Статистика!$G$10-Статистика!$C$10,0.000001)))-MAX(0,MIN(1,(((IF(Статистика!$C$4="Параллельный режим (активная мощность)",E177,P177)+Статистика!$J$4))-Статистика!$C$10)/MAX(Статистика!$G$10-Статистика!$C$10,0.000001)))))</f>
        <v>3.6364994444444187E-2</v>
      </c>
      <c r="BA177" s="12">
        <f>IF(A177="","",MAX(0,MAX(0,MIN(1,(((IF(Статистика!$C$4="Параллельный режим (активная мощность)",G177,R177)+Статистика!$J$4))-Статистика!$C$10)/MAX(Статистика!$G$10-Статистика!$C$10,0.000001)))-MAX(0,MIN(1,(((IF(Статистика!$C$4="Параллельный режим (активная мощность)",F177,Q177)+Статистика!$J$4))-Статистика!$C$10)/MAX(Статистика!$G$10-Статистика!$C$10,0.000001)))))</f>
        <v>5.0824033333333629E-2</v>
      </c>
      <c r="BB177" s="12">
        <f>IF(A177="","",MAX(0,MAX(0,MIN(1,(((IF(Статистика!$C$4="Параллельный режим (активная мощность)",H177,S177)+Статистика!$J$4))-Статистика!$C$10)/MAX(Статистика!$G$10-Статистика!$C$10,0.000001)))-MAX(0,MIN(1,(((IF(Статистика!$C$4="Параллельный режим (активная мощность)",G177,R177)+Статистика!$J$4))-Статистика!$C$10)/MAX(Статистика!$G$10-Статистика!$C$10,0.000001)))))</f>
        <v>8.298829166666688E-2</v>
      </c>
      <c r="BC177" s="12">
        <f>IF(A177="","",MAX(0,MAX(0,MIN(1,(((IF(Статистика!$C$4="Параллельный режим (активная мощность)",J177,U177)+Статистика!$J$4))-Статистика!$C$10)/MAX(Статистика!$G$10-Статистика!$C$10,0.000001)))-MAX(0,MIN(1,(((IF(Статистика!$C$4="Параллельный режим (активная мощность)",H177,S177)+Статистика!$J$4))-Статистика!$C$10)/MAX(Статистика!$G$10-Статистика!$C$10,0.000001)))))</f>
        <v>6.0791855500000214E-2</v>
      </c>
      <c r="BD177" s="12">
        <f>IF(A177="","",MAX(0,1-MAX(0,MIN(1,(((IF(Статистика!$C$4="Параллельный режим (активная мощность)",J177,U177)+Статистика!$J$4))-Статистика!$C$10)/MAX(Статистика!$G$10-Статистика!$C$10,0.000001)))))</f>
        <v>0.15439080283333295</v>
      </c>
      <c r="BE177" s="12">
        <f>IF(A177="",NA(),IF(Статистика!$B$8="Вкл",(((IF(Статистика!$C$4="Параллельный режим (активная мощность)",F177,Q177)+Статистика!$J$4))-Статистика!$C$10)/MAX(Статистика!$G$10-Статистика!$C$10,0.000001),NA()))</f>
        <v>0.65100501666666633</v>
      </c>
      <c r="BF177" s="12">
        <f>IF(A177="",NA(),IF(Статистика!$D$8="Вкл",(((IF(Статистика!$C$4="Параллельный режим (активная мощность)",E177,P177)+Статистика!$J$4))-Статистика!$C$10)/MAX(Статистика!$G$10-Статистика!$C$10,0.000001),NA()))</f>
        <v>0.61464002222222214</v>
      </c>
      <c r="BG177" s="12">
        <f>IF(A177="",NA(),IF(Статистика!$D$8="Вкл",(((IF(Статистика!$C$4="Параллельный режим (активная мощность)",G177,R177)+Статистика!$J$4))-Статистика!$C$10)/MAX(Статистика!$G$10-Статистика!$C$10,0.000001),NA()))</f>
        <v>0.70182904999999995</v>
      </c>
      <c r="BH177" s="12">
        <f>IF(A177="",NA(),IF(Статистика!$F$8="Вкл",(((IF(Статистика!$C$4="Параллельный режим (активная мощность)",D177,O177)+Статистика!$J$4))-Статистика!$C$10)/MAX(Статистика!$G$10-Статистика!$C$10,0.000001),NA()))</f>
        <v>0.50973845611111124</v>
      </c>
      <c r="BI177" s="12">
        <f>IF(A177="",NA(),IF(Статистика!$F$8="Вкл",(((IF(Статистика!$C$4="Параллельный режим (активная мощность)",H177,S177)+Статистика!$J$4))-Статистика!$C$10)/MAX(Статистика!$G$10-Статистика!$C$10,0.000001),NA()))</f>
        <v>0.78481734166666683</v>
      </c>
      <c r="BJ177" s="12">
        <f>IF(A177="",NA(),IF(Статистика!$H$8="Вкл",(((IF(Статистика!$C$4="Параллельный режим (активная мощность)",B177,M177)+Статистика!$J$4))-Статистика!$C$10)/MAX(Статистика!$G$10-Статистика!$C$10,0.000001),NA()))</f>
        <v>-0.90256987488888896</v>
      </c>
      <c r="BK177" s="12">
        <f>IF(A177="",NA(),IF(Статистика!$H$8="Вкл",(((IF(Статистика!$C$4="Параллельный режим (активная мощность)",J177,U177)+Статистика!$J$4))-Статистика!$C$10)/MAX(Статистика!$G$10-Статистика!$C$10,0.000001),NA()))</f>
        <v>0.84560919716666705</v>
      </c>
      <c r="BL177" s="12" t="e">
        <f>IF(A177="",NA(),IF(Статистика!$J$8="Вкл",(((IF(Статистика!$C$4="Параллельный режим (активная мощность)",K177,V177)+Статистика!$J$4))-Статистика!$C$10)/MAX(Статистика!$G$10-Статистика!$C$10,0.000001),NA()))</f>
        <v>#N/A</v>
      </c>
      <c r="BM177" s="12" t="e">
        <f>IF(AND(A177&lt;&gt;"",Статистика!$C$6="Вкл",Статистика!$B$6&gt;0),(Статистика!$B$6-Статистика!$C$10)/MAX(Статистика!$G$10-Статистика!$C$10,0.000001),NA())</f>
        <v>#N/A</v>
      </c>
      <c r="BN177" s="12" t="e">
        <f>IF(AND(A177&lt;&gt;"",Статистика!$F$6="Вкл",Статистика!$E$6&gt;0),(Статистика!$E$6-Статистика!$C$10)/MAX(Статистика!$G$10-Статистика!$C$10,0.000001),NA())</f>
        <v>#N/A</v>
      </c>
      <c r="BO177" s="12" t="e">
        <f>IF(AND(A177&lt;&gt;"",Статистика!$I$6="Вкл",Статистика!$H$6&gt;0),(Статистика!$H$6-Статистика!$C$10)/MAX(Статистика!$G$10-Статистика!$C$10,0.000001),NA())</f>
        <v>#N/A</v>
      </c>
      <c r="BP177" s="12" t="e">
        <f>IF(AND(A177&lt;&gt;"",Статистика!$L$6="Вкл",Статистика!$K$6&gt;0),(Статистика!$K$6-Статистика!$C$10)/MAX(Статистика!$G$10-Статистика!$C$10,0.000001),NA())</f>
        <v>#N/A</v>
      </c>
      <c r="BQ177" s="12" t="e">
        <f>IF(AND(A177&lt;&gt;"",Статистика!$M$6="Вкл",Статистика!$O$6&gt;0),(Статистика!$O$6-Статистика!$C$10)/MAX(Статистика!$G$10-Статистика!$C$10,0.000001),NA())</f>
        <v>#N/A</v>
      </c>
      <c r="BR177" s="12">
        <f t="shared" si="4"/>
        <v>1</v>
      </c>
      <c r="BT177" s="12">
        <f>IF(Y177="","",MAX(0,MIN(1,(((IF(Статистика!$C$4="Параллельный режим (активная мощность)",Z177,AK177)+Статистика!$J$4))-Статистика!$C$10)/MAX(Статистика!$G$10-Статистика!$C$10,0.000001))))</f>
        <v>0.50467062655555517</v>
      </c>
      <c r="BU177" s="12">
        <f>IF(Y177="","",MAX(0,MAX(0,MIN(1,(((IF(Статистика!$C$4="Параллельный режим (активная мощность)",AB177,AM177)+Статистика!$J$4))-Статистика!$C$10)/MAX(Статистика!$G$10-Статистика!$C$10,0.000001)))-MAX(0,MIN(1,(((IF(Статистика!$C$4="Параллельный режим (активная мощность)",Z177,AK177)+Статистика!$J$4))-Статистика!$C$10)/MAX(Статистика!$G$10-Статистика!$C$10,0.000001)))))</f>
        <v>6.9921390000002859E-3</v>
      </c>
      <c r="BV177" s="12">
        <f>IF(Y177="","",MAX(0,MAX(0,MIN(1,(((IF(Статистика!$C$4="Параллельный режим (активная мощность)",AC177,AN177)+Статистика!$J$4))-Статистика!$C$10)/MAX(Статистика!$G$10-Статистика!$C$10,0.000001)))-MAX(0,MIN(1,(((IF(Статистика!$C$4="Параллельный режим (активная мощность)",AB177,AM177)+Статистика!$J$4))-Статистика!$C$10)/MAX(Статистика!$G$10-Статистика!$C$10,0.000001)))))</f>
        <v>0.10055039277777822</v>
      </c>
      <c r="BW177" s="12">
        <f>IF(Y177="","",MAX(0,MAX(0,MIN(1,(((IF(Статистика!$C$4="Параллельный режим (активная мощность)",AD177,AO177)+Статистика!$J$4))-Статистика!$C$10)/MAX(Статистика!$G$10-Статистика!$C$10,0.000001)))-MAX(0,MIN(1,(((IF(Статистика!$C$4="Параллельный режим (активная мощность)",AC177,AN177)+Статистика!$J$4))-Статистика!$C$10)/MAX(Статистика!$G$10-Статистика!$C$10,0.000001)))))</f>
        <v>6.6253041666665902E-2</v>
      </c>
      <c r="BX177" s="12">
        <f>IF(Y177="","",MAX(0,MAX(0,MIN(1,(((IF(Статистика!$C$4="Параллельный режим (активная мощность)",AE177,AP177)+Статистика!$J$4))-Статистика!$C$10)/MAX(Статистика!$G$10-Статистика!$C$10,0.000001)))-MAX(0,MIN(1,(((IF(Статистика!$C$4="Параллельный режим (активная мощность)",AD177,AO177)+Статистика!$J$4))-Статистика!$C$10)/MAX(Статистика!$G$10-Статистика!$C$10,0.000001)))))</f>
        <v>3.7694416666667174E-2</v>
      </c>
      <c r="BY177" s="12">
        <f>IF(Y177="","",MAX(0,MAX(0,MIN(1,(((IF(Статистика!$C$4="Параллельный режим (активная мощность)",AF177,AQ177)+Статистика!$J$4))-Статистика!$C$10)/MAX(Статистика!$G$10-Статистика!$C$10,0.000001)))-MAX(0,MIN(1,(((IF(Статистика!$C$4="Параллельный режим (активная мощность)",AE177,AP177)+Статистика!$J$4))-Статистика!$C$10)/MAX(Статистика!$G$10-Статистика!$C$10,0.000001)))))</f>
        <v>0.11129110222222205</v>
      </c>
      <c r="BZ177" s="12">
        <f>IF(Y177="","",MAX(0,MAX(0,MIN(1,(((IF(Статистика!$C$4="Параллельный режим (активная мощность)",AH177,AS177)+Статистика!$J$4))-Статистика!$C$10)/MAX(Статистика!$G$10-Статистика!$C$10,0.000001)))-MAX(0,MIN(1,(((IF(Статистика!$C$4="Параллельный режим (активная мощность)",AF177,AQ177)+Статистика!$J$4))-Статистика!$C$10)/MAX(Статистика!$G$10-Статистика!$C$10,0.000001)))))</f>
        <v>8.5175530000003441E-3</v>
      </c>
      <c r="CA177" s="12">
        <f>IF(Y177="","",MAX(0,1-MAX(0,MIN(1,(((IF(Статистика!$C$4="Параллельный режим (активная мощность)",AH177,AS177)+Статистика!$J$4))-Статистика!$C$10)/MAX(Статистика!$G$10-Статистика!$C$10,0.000001)))))</f>
        <v>0.16403072811111086</v>
      </c>
      <c r="CB177" s="12">
        <f>IF(Y177="",NA(),IF(Статистика!$B$8="Вкл",(((IF(Статистика!$C$4="Параллельный режим (активная мощность)",AD177,AO177)+Статистика!$J$4))-Статистика!$C$10)/MAX(Статистика!$G$10-Статистика!$C$10,0.000001),NA()))</f>
        <v>0.67846619999999958</v>
      </c>
      <c r="CC177" s="12">
        <f>IF(Y177="",NA(),IF(Статистика!$D$8="Вкл",(((IF(Статистика!$C$4="Параллельный режим (активная мощность)",AC177,AN177)+Статистика!$J$4))-Статистика!$C$10)/MAX(Статистика!$G$10-Статистика!$C$10,0.000001),NA()))</f>
        <v>0.61221315833333367</v>
      </c>
      <c r="CD177" s="12">
        <f>IF(Y177="",NA(),IF(Статистика!$D$8="Вкл",(((IF(Статистика!$C$4="Параллельный режим (активная мощность)",AE177,AP177)+Статистика!$J$4))-Статистика!$C$10)/MAX(Статистика!$G$10-Статистика!$C$10,0.000001),NA()))</f>
        <v>0.71616061666666675</v>
      </c>
      <c r="CE177" s="12">
        <f>IF(Y177="",NA(),IF(Статистика!$F$8="Вкл",(((IF(Статистика!$C$4="Параллельный режим (активная мощность)",AB177,AM177)+Статистика!$J$4))-Статистика!$C$10)/MAX(Статистика!$G$10-Статистика!$C$10,0.000001),NA()))</f>
        <v>0.51166276555555545</v>
      </c>
      <c r="CF177" s="12">
        <f>IF(Y177="",NA(),IF(Статистика!$F$8="Вкл",(((IF(Статистика!$C$4="Параллельный режим (активная мощность)",AF177,AQ177)+Статистика!$J$4))-Статистика!$C$10)/MAX(Статистика!$G$10-Статистика!$C$10,0.000001),NA()))</f>
        <v>0.8274517188888888</v>
      </c>
      <c r="CG177" s="12">
        <f>IF(Y177="",NA(),IF(Статистика!$H$8="Вкл",(((IF(Статистика!$C$4="Параллельный режим (активная мощность)",Z177,AK177)+Статистика!$J$4))-Статистика!$C$10)/MAX(Статистика!$G$10-Статистика!$C$10,0.000001),NA()))</f>
        <v>0.50467062655555517</v>
      </c>
      <c r="CH177" s="12">
        <f>IF(Y177="",NA(),IF(Статистика!$H$8="Вкл",(((IF(Статистика!$C$4="Параллельный режим (активная мощность)",AH177,AS177)+Статистика!$J$4))-Статистика!$C$10)/MAX(Статистика!$G$10-Статистика!$C$10,0.000001),NA()))</f>
        <v>0.83596927188888914</v>
      </c>
      <c r="CI177" s="12" t="e">
        <f>IF(Y177="",NA(),IF(Статистика!$J$8="Вкл",(((IF(Статистика!$C$4="Параллельный режим (активная мощность)",AI177,AT177)+Статистика!$J$4))-Статистика!$C$10)/MAX(Статистика!$G$10-Статистика!$C$10,0.000001),NA()))</f>
        <v>#N/A</v>
      </c>
      <c r="CJ177" s="12" t="e">
        <f>IF(AND(Y177&lt;&gt;"",Статистика!$C$6="Вкл",Статистика!$B$6&gt;0),(Статистика!$B$6-Статистика!$C$10)/MAX(Статистика!$G$10-Статистика!$C$10,0.000001),NA())</f>
        <v>#N/A</v>
      </c>
      <c r="CK177" s="12" t="e">
        <f>IF(AND(Y177&lt;&gt;"",Статистика!$F$6="Вкл",Статистика!$E$6&gt;0),(Статистика!$E$6-Статистика!$C$10)/MAX(Статистика!$G$10-Статистика!$C$10,0.000001),NA())</f>
        <v>#N/A</v>
      </c>
      <c r="CL177" s="12" t="e">
        <f>IF(AND(Y177&lt;&gt;"",Статистика!$I$6="Вкл",Статистика!$H$6&gt;0),(Статистика!$H$6-Статистика!$C$10)/MAX(Статистика!$G$10-Статистика!$C$10,0.000001),NA())</f>
        <v>#N/A</v>
      </c>
      <c r="CM177" s="12" t="e">
        <f>IF(AND(Y177&lt;&gt;"",Статистика!$L$6="Вкл",Статистика!$K$6&gt;0),(Статистика!$K$6-Статистика!$C$10)/MAX(Статистика!$G$10-Статистика!$C$10,0.000001),NA())</f>
        <v>#N/A</v>
      </c>
      <c r="CN177" s="12" t="e">
        <f>IF(AND(Y177&lt;&gt;"",Статистика!$M$6="Вкл",Статистика!$O$6&gt;0),(Статистика!$O$6-Статистика!$C$10)/MAX(Статистика!$G$10-Статистика!$C$10,0.000001),NA())</f>
        <v>#N/A</v>
      </c>
      <c r="CO177" s="12">
        <f t="shared" si="5"/>
        <v>1</v>
      </c>
    </row>
    <row r="178" spans="1:93" ht="15" customHeight="1">
      <c r="A178" s="12" t="s">
        <v>762</v>
      </c>
      <c r="B178" s="12">
        <v>4184.1431356666671</v>
      </c>
      <c r="C178" s="12">
        <v>6447.3295450000005</v>
      </c>
      <c r="D178" s="12">
        <v>7521.7794316666668</v>
      </c>
      <c r="E178" s="12">
        <v>7788.6026250000004</v>
      </c>
      <c r="F178" s="12">
        <v>7945.065849999999</v>
      </c>
      <c r="G178" s="12">
        <v>8089.6402500000013</v>
      </c>
      <c r="H178" s="12">
        <v>8352.8538033333334</v>
      </c>
      <c r="I178" s="12">
        <v>8424.6337891666681</v>
      </c>
      <c r="J178" s="12">
        <v>8501.6743578333353</v>
      </c>
      <c r="K178" s="12">
        <v>8671.65</v>
      </c>
      <c r="L178" s="12" t="s">
        <v>763</v>
      </c>
      <c r="M178" s="12">
        <v>4871.5516701666666</v>
      </c>
      <c r="N178" s="12">
        <v>7297.0391508333341</v>
      </c>
      <c r="O178" s="12">
        <v>8450.5473966666686</v>
      </c>
      <c r="P178" s="12">
        <v>8726.9587499999998</v>
      </c>
      <c r="Q178" s="12">
        <v>8905.5764999999992</v>
      </c>
      <c r="R178" s="12">
        <v>9075.8319250000004</v>
      </c>
      <c r="S178" s="12">
        <v>9411.4196116666662</v>
      </c>
      <c r="T178" s="12">
        <v>9457.3510366666669</v>
      </c>
      <c r="U178" s="12">
        <v>9511.7636206666684</v>
      </c>
      <c r="V178" s="12">
        <v>9672.73</v>
      </c>
      <c r="W178" s="12" t="s">
        <v>764</v>
      </c>
      <c r="Y178" s="12" t="s">
        <v>762</v>
      </c>
      <c r="Z178" s="12">
        <v>7465.2505848333331</v>
      </c>
      <c r="AA178" s="12">
        <v>7491.0295908333328</v>
      </c>
      <c r="AB178" s="12">
        <v>7523.2533483333327</v>
      </c>
      <c r="AC178" s="12">
        <v>7945.7273250000007</v>
      </c>
      <c r="AD178" s="12">
        <v>8069.9784</v>
      </c>
      <c r="AE178" s="12">
        <v>8127.1153333333332</v>
      </c>
      <c r="AF178" s="12">
        <v>8493.0689216666669</v>
      </c>
      <c r="AG178" s="12">
        <v>8520.794944166666</v>
      </c>
      <c r="AH178" s="12">
        <v>8542.9757621666668</v>
      </c>
      <c r="AI178" s="12">
        <v>8711.68</v>
      </c>
      <c r="AJ178" s="12" t="s">
        <v>765</v>
      </c>
      <c r="AK178" s="12">
        <v>8382.8828448333334</v>
      </c>
      <c r="AL178" s="12">
        <v>8446.4824908333321</v>
      </c>
      <c r="AM178" s="12">
        <v>8525.9820483333333</v>
      </c>
      <c r="AN178" s="12">
        <v>8937.4085583333326</v>
      </c>
      <c r="AO178" s="12">
        <v>9063.353533333333</v>
      </c>
      <c r="AP178" s="12">
        <v>9150.5892083333329</v>
      </c>
      <c r="AQ178" s="12">
        <v>9506.2722666666668</v>
      </c>
      <c r="AR178" s="12">
        <v>9533.461150000001</v>
      </c>
      <c r="AS178" s="12">
        <v>9555.2122566666676</v>
      </c>
      <c r="AT178" s="12">
        <v>9738.74</v>
      </c>
      <c r="AU178" s="12" t="s">
        <v>765</v>
      </c>
      <c r="AW178" s="12">
        <f>IF(A178="","",MAX(0,MIN(1,(((IF(Статистика!$C$4="Параллельный режим (активная мощность)",B178,M178)+Статистика!$J$4))-Статистика!$C$10)/MAX(Статистика!$G$10-Статистика!$C$10,0.000001))))</f>
        <v>0</v>
      </c>
      <c r="AX178" s="12">
        <f>IF(A178="","",MAX(0,MAX(0,MIN(1,(((IF(Статистика!$C$4="Параллельный режим (активная мощность)",D178,O178)+Статистика!$J$4))-Статистика!$C$10)/MAX(Статистика!$G$10-Статистика!$C$10,0.000001)))-MAX(0,MIN(1,(((IF(Статистика!$C$4="Параллельный режим (активная мощность)",B178,M178)+Статистика!$J$4))-Статистика!$C$10)/MAX(Статистика!$G$10-Статистика!$C$10,0.000001)))))</f>
        <v>0.50725981055555558</v>
      </c>
      <c r="AY178" s="12">
        <f>IF(A178="","",MAX(0,MAX(0,MIN(1,(((IF(Статистика!$C$4="Параллельный режим (активная мощность)",E178,P178)+Статистика!$J$4))-Статистика!$C$10)/MAX(Статистика!$G$10-Статистика!$C$10,0.000001)))-MAX(0,MIN(1,(((IF(Статистика!$C$4="Параллельный режим (активная мощность)",D178,O178)+Статистика!$J$4))-Статистика!$C$10)/MAX(Статистика!$G$10-Статистика!$C$10,0.000001)))))</f>
        <v>8.8941064444444606E-2</v>
      </c>
      <c r="AZ178" s="12">
        <f>IF(A178="","",MAX(0,MAX(0,MIN(1,(((IF(Статистика!$C$4="Параллельный режим (активная мощность)",F178,Q178)+Статистика!$J$4))-Статистика!$C$10)/MAX(Статистика!$G$10-Статистика!$C$10,0.000001)))-MAX(0,MIN(1,(((IF(Статистика!$C$4="Параллельный режим (активная мощность)",E178,P178)+Статистика!$J$4))-Статистика!$C$10)/MAX(Статистика!$G$10-Статистика!$C$10,0.000001)))))</f>
        <v>5.2154408333332847E-2</v>
      </c>
      <c r="BA178" s="12">
        <f>IF(A178="","",MAX(0,MAX(0,MIN(1,(((IF(Статистика!$C$4="Параллельный режим (активная мощность)",G178,R178)+Статистика!$J$4))-Статистика!$C$10)/MAX(Статистика!$G$10-Статистика!$C$10,0.000001)))-MAX(0,MIN(1,(((IF(Статистика!$C$4="Параллельный режим (активная мощность)",F178,Q178)+Статистика!$J$4))-Статистика!$C$10)/MAX(Статистика!$G$10-Статистика!$C$10,0.000001)))))</f>
        <v>4.8191466666667404E-2</v>
      </c>
      <c r="BB178" s="12">
        <f>IF(A178="","",MAX(0,MAX(0,MIN(1,(((IF(Статистика!$C$4="Параллельный режим (активная мощность)",H178,S178)+Статистика!$J$4))-Статистика!$C$10)/MAX(Статистика!$G$10-Статистика!$C$10,0.000001)))-MAX(0,MIN(1,(((IF(Статистика!$C$4="Параллельный режим (активная мощность)",G178,R178)+Статистика!$J$4))-Статистика!$C$10)/MAX(Статистика!$G$10-Статистика!$C$10,0.000001)))))</f>
        <v>8.7737851111110654E-2</v>
      </c>
      <c r="BC178" s="12">
        <f>IF(A178="","",MAX(0,MAX(0,MIN(1,(((IF(Статистика!$C$4="Параллельный режим (активная мощность)",J178,U178)+Статистика!$J$4))-Статистика!$C$10)/MAX(Статистика!$G$10-Статистика!$C$10,0.000001)))-MAX(0,MIN(1,(((IF(Статистика!$C$4="Параллельный режим (активная мощность)",H178,S178)+Статистика!$J$4))-Статистика!$C$10)/MAX(Статистика!$G$10-Статистика!$C$10,0.000001)))))</f>
        <v>4.9606851500000659E-2</v>
      </c>
      <c r="BD178" s="12">
        <f>IF(A178="","",MAX(0,1-MAX(0,MIN(1,(((IF(Статистика!$C$4="Параллельный режим (активная мощность)",J178,U178)+Статистика!$J$4))-Статистика!$C$10)/MAX(Статистика!$G$10-Статистика!$C$10,0.000001)))))</f>
        <v>0.16610854738888825</v>
      </c>
      <c r="BE178" s="12">
        <f>IF(A178="",NA(),IF(Статистика!$B$8="Вкл",(((IF(Статистика!$C$4="Параллельный режим (активная мощность)",F178,Q178)+Статистика!$J$4))-Статистика!$C$10)/MAX(Статистика!$G$10-Статистика!$C$10,0.000001),NA()))</f>
        <v>0.64835528333333303</v>
      </c>
      <c r="BF178" s="12">
        <f>IF(A178="",NA(),IF(Статистика!$D$8="Вкл",(((IF(Статистика!$C$4="Параллельный режим (активная мощность)",E178,P178)+Статистика!$J$4))-Статистика!$C$10)/MAX(Статистика!$G$10-Статистика!$C$10,0.000001),NA()))</f>
        <v>0.59620087500000019</v>
      </c>
      <c r="BG178" s="12">
        <f>IF(A178="",NA(),IF(Статистика!$D$8="Вкл",(((IF(Статистика!$C$4="Параллельный режим (активная мощность)",G178,R178)+Статистика!$J$4))-Статистика!$C$10)/MAX(Статистика!$G$10-Статистика!$C$10,0.000001),NA()))</f>
        <v>0.69654675000000044</v>
      </c>
      <c r="BH178" s="12">
        <f>IF(A178="",NA(),IF(Статистика!$F$8="Вкл",(((IF(Статистика!$C$4="Параллельный режим (активная мощность)",D178,O178)+Статистика!$J$4))-Статистика!$C$10)/MAX(Статистика!$G$10-Статистика!$C$10,0.000001),NA()))</f>
        <v>0.50725981055555558</v>
      </c>
      <c r="BI178" s="12">
        <f>IF(A178="",NA(),IF(Статистика!$F$8="Вкл",(((IF(Статистика!$C$4="Параллельный режим (активная мощность)",H178,S178)+Статистика!$J$4))-Статистика!$C$10)/MAX(Статистика!$G$10-Статистика!$C$10,0.000001),NA()))</f>
        <v>0.78428460111111109</v>
      </c>
      <c r="BJ178" s="12">
        <f>IF(A178="",NA(),IF(Статистика!$H$8="Вкл",(((IF(Статистика!$C$4="Параллельный режим (активная мощность)",B178,M178)+Статистика!$J$4))-Статистика!$C$10)/MAX(Статистика!$G$10-Статистика!$C$10,0.000001),NA()))</f>
        <v>-0.60528562144444431</v>
      </c>
      <c r="BK178" s="12">
        <f>IF(A178="",NA(),IF(Статистика!$H$8="Вкл",(((IF(Статистика!$C$4="Параллельный режим (активная мощность)",J178,U178)+Статистика!$J$4))-Статистика!$C$10)/MAX(Статистика!$G$10-Статистика!$C$10,0.000001),NA()))</f>
        <v>0.83389145261111175</v>
      </c>
      <c r="BL178" s="12" t="e">
        <f>IF(A178="",NA(),IF(Статистика!$J$8="Вкл",(((IF(Статистика!$C$4="Параллельный режим (активная мощность)",K178,V178)+Статистика!$J$4))-Статистика!$C$10)/MAX(Статистика!$G$10-Статистика!$C$10,0.000001),NA()))</f>
        <v>#N/A</v>
      </c>
      <c r="BM178" s="12" t="e">
        <f>IF(AND(A178&lt;&gt;"",Статистика!$C$6="Вкл",Статистика!$B$6&gt;0),(Статистика!$B$6-Статистика!$C$10)/MAX(Статистика!$G$10-Статистика!$C$10,0.000001),NA())</f>
        <v>#N/A</v>
      </c>
      <c r="BN178" s="12" t="e">
        <f>IF(AND(A178&lt;&gt;"",Статистика!$F$6="Вкл",Статистика!$E$6&gt;0),(Статистика!$E$6-Статистика!$C$10)/MAX(Статистика!$G$10-Статистика!$C$10,0.000001),NA())</f>
        <v>#N/A</v>
      </c>
      <c r="BO178" s="12" t="e">
        <f>IF(AND(A178&lt;&gt;"",Статистика!$I$6="Вкл",Статистика!$H$6&gt;0),(Статистика!$H$6-Статистика!$C$10)/MAX(Статистика!$G$10-Статистика!$C$10,0.000001),NA())</f>
        <v>#N/A</v>
      </c>
      <c r="BP178" s="12" t="e">
        <f>IF(AND(A178&lt;&gt;"",Статистика!$L$6="Вкл",Статистика!$K$6&gt;0),(Статистика!$K$6-Статистика!$C$10)/MAX(Статистика!$G$10-Статистика!$C$10,0.000001),NA())</f>
        <v>#N/A</v>
      </c>
      <c r="BQ178" s="12" t="e">
        <f>IF(AND(A178&lt;&gt;"",Статистика!$M$6="Вкл",Статистика!$O$6&gt;0),(Статистика!$O$6-Статистика!$C$10)/MAX(Статистика!$G$10-Статистика!$C$10,0.000001),NA())</f>
        <v>#N/A</v>
      </c>
      <c r="BR178" s="12">
        <f t="shared" si="4"/>
        <v>1</v>
      </c>
      <c r="BT178" s="12">
        <f>IF(Y178="","",MAX(0,MIN(1,(((IF(Статистика!$C$4="Параллельный режим (активная мощность)",Z178,AK178)+Статистика!$J$4))-Статистика!$C$10)/MAX(Статистика!$G$10-Статистика!$C$10,0.000001))))</f>
        <v>0.48841686161111103</v>
      </c>
      <c r="BU178" s="12">
        <f>IF(Y178="","",MAX(0,MAX(0,MIN(1,(((IF(Статистика!$C$4="Параллельный режим (активная мощность)",AB178,AM178)+Статистика!$J$4))-Статистика!$C$10)/MAX(Статистика!$G$10-Статистика!$C$10,0.000001)))-MAX(0,MIN(1,(((IF(Статистика!$C$4="Параллельный режим (активная мощность)",Z178,AK178)+Статистика!$J$4))-Статистика!$C$10)/MAX(Статистика!$G$10-Статистика!$C$10,0.000001)))))</f>
        <v>1.933425449999987E-2</v>
      </c>
      <c r="BV178" s="12">
        <f>IF(Y178="","",MAX(0,MAX(0,MIN(1,(((IF(Статистика!$C$4="Параллельный режим (активная мощность)",AC178,AN178)+Статистика!$J$4))-Статистика!$C$10)/MAX(Статистика!$G$10-Статистика!$C$10,0.000001)))-MAX(0,MIN(1,(((IF(Статистика!$C$4="Параллельный режим (активная мощность)",AB178,AM178)+Статистика!$J$4))-Статистика!$C$10)/MAX(Статистика!$G$10-Статистика!$C$10,0.000001)))))</f>
        <v>0.1408246588888894</v>
      </c>
      <c r="BW178" s="12">
        <f>IF(Y178="","",MAX(0,MAX(0,MIN(1,(((IF(Статистика!$C$4="Параллельный режим (активная мощность)",AD178,AO178)+Статистика!$J$4))-Статистика!$C$10)/MAX(Статистика!$G$10-Статистика!$C$10,0.000001)))-MAX(0,MIN(1,(((IF(Статистика!$C$4="Параллельный режим (активная мощность)",AC178,AN178)+Статистика!$J$4))-Статистика!$C$10)/MAX(Статистика!$G$10-Статистика!$C$10,0.000001)))))</f>
        <v>4.1417024999999663E-2</v>
      </c>
      <c r="BX178" s="12">
        <f>IF(Y178="","",MAX(0,MAX(0,MIN(1,(((IF(Статистика!$C$4="Параллельный режим (активная мощность)",AE178,AP178)+Статистика!$J$4))-Статистика!$C$10)/MAX(Статистика!$G$10-Статистика!$C$10,0.000001)))-MAX(0,MIN(1,(((IF(Статистика!$C$4="Параллельный режим (активная мощность)",AD178,AO178)+Статистика!$J$4))-Статистика!$C$10)/MAX(Статистика!$G$10-Статистика!$C$10,0.000001)))))</f>
        <v>1.9045644444444454E-2</v>
      </c>
      <c r="BY178" s="12">
        <f>IF(Y178="","",MAX(0,MAX(0,MIN(1,(((IF(Статистика!$C$4="Параллельный режим (активная мощность)",AF178,AQ178)+Статистика!$J$4))-Статистика!$C$10)/MAX(Статистика!$G$10-Статистика!$C$10,0.000001)))-MAX(0,MIN(1,(((IF(Статистика!$C$4="Параллельный режим (активная мощность)",AE178,AP178)+Статистика!$J$4))-Статистика!$C$10)/MAX(Статистика!$G$10-Статистика!$C$10,0.000001)))))</f>
        <v>0.1219845294444446</v>
      </c>
      <c r="BZ178" s="12">
        <f>IF(Y178="","",MAX(0,MAX(0,MIN(1,(((IF(Статистика!$C$4="Параллельный режим (активная мощность)",AH178,AS178)+Статистика!$J$4))-Статистика!$C$10)/MAX(Статистика!$G$10-Статистика!$C$10,0.000001)))-MAX(0,MIN(1,(((IF(Статистика!$C$4="Параллельный режим (активная мощность)",AF178,AQ178)+Статистика!$J$4))-Статистика!$C$10)/MAX(Статистика!$G$10-Статистика!$C$10,0.000001)))))</f>
        <v>1.6635613499999868E-2</v>
      </c>
      <c r="CA178" s="12">
        <f>IF(Y178="","",MAX(0,1-MAX(0,MIN(1,(((IF(Статистика!$C$4="Параллельный режим (активная мощность)",AH178,AS178)+Статистика!$J$4))-Статистика!$C$10)/MAX(Статистика!$G$10-Статистика!$C$10,0.000001)))))</f>
        <v>0.15234141261111112</v>
      </c>
      <c r="CB178" s="12">
        <f>IF(Y178="",NA(),IF(Статистика!$B$8="Вкл",(((IF(Статистика!$C$4="Параллельный режим (активная мощность)",AD178,AO178)+Статистика!$J$4))-Статистика!$C$10)/MAX(Статистика!$G$10-Статистика!$C$10,0.000001),NA()))</f>
        <v>0.68999279999999996</v>
      </c>
      <c r="CC178" s="12">
        <f>IF(Y178="",NA(),IF(Статистика!$D$8="Вкл",(((IF(Статистика!$C$4="Параллельный режим (активная мощность)",AC178,AN178)+Статистика!$J$4))-Статистика!$C$10)/MAX(Статистика!$G$10-Статистика!$C$10,0.000001),NA()))</f>
        <v>0.6485757750000003</v>
      </c>
      <c r="CD178" s="12">
        <f>IF(Y178="",NA(),IF(Статистика!$D$8="Вкл",(((IF(Статистика!$C$4="Параллельный режим (активная мощность)",AE178,AP178)+Статистика!$J$4))-Статистика!$C$10)/MAX(Статистика!$G$10-Статистика!$C$10,0.000001),NA()))</f>
        <v>0.70903844444444442</v>
      </c>
      <c r="CE178" s="12">
        <f>IF(Y178="",NA(),IF(Статистика!$F$8="Вкл",(((IF(Статистика!$C$4="Параллельный режим (активная мощность)",AB178,AM178)+Статистика!$J$4))-Статистика!$C$10)/MAX(Статистика!$G$10-Статистика!$C$10,0.000001),NA()))</f>
        <v>0.5077511161111109</v>
      </c>
      <c r="CF178" s="12">
        <f>IF(Y178="",NA(),IF(Статистика!$F$8="Вкл",(((IF(Статистика!$C$4="Параллельный режим (активная мощность)",AF178,AQ178)+Статистика!$J$4))-Статистика!$C$10)/MAX(Статистика!$G$10-Статистика!$C$10,0.000001),NA()))</f>
        <v>0.83102297388888902</v>
      </c>
      <c r="CG178" s="12">
        <f>IF(Y178="",NA(),IF(Статистика!$H$8="Вкл",(((IF(Статистика!$C$4="Параллельный режим (активная мощность)",Z178,AK178)+Статистика!$J$4))-Статистика!$C$10)/MAX(Статистика!$G$10-Статистика!$C$10,0.000001),NA()))</f>
        <v>0.48841686161111103</v>
      </c>
      <c r="CH178" s="12">
        <f>IF(Y178="",NA(),IF(Статистика!$H$8="Вкл",(((IF(Статистика!$C$4="Параллельный режим (активная мощность)",AH178,AS178)+Статистика!$J$4))-Статистика!$C$10)/MAX(Статистика!$G$10-Статистика!$C$10,0.000001),NA()))</f>
        <v>0.84765858738888888</v>
      </c>
      <c r="CI178" s="12" t="e">
        <f>IF(Y178="",NA(),IF(Статистика!$J$8="Вкл",(((IF(Статистика!$C$4="Параллельный режим (активная мощность)",AI178,AT178)+Статистика!$J$4))-Статистика!$C$10)/MAX(Статистика!$G$10-Статистика!$C$10,0.000001),NA()))</f>
        <v>#N/A</v>
      </c>
      <c r="CJ178" s="12" t="e">
        <f>IF(AND(Y178&lt;&gt;"",Статистика!$C$6="Вкл",Статистика!$B$6&gt;0),(Статистика!$B$6-Статистика!$C$10)/MAX(Статистика!$G$10-Статистика!$C$10,0.000001),NA())</f>
        <v>#N/A</v>
      </c>
      <c r="CK178" s="12" t="e">
        <f>IF(AND(Y178&lt;&gt;"",Статистика!$F$6="Вкл",Статистика!$E$6&gt;0),(Статистика!$E$6-Статистика!$C$10)/MAX(Статистика!$G$10-Статистика!$C$10,0.000001),NA())</f>
        <v>#N/A</v>
      </c>
      <c r="CL178" s="12" t="e">
        <f>IF(AND(Y178&lt;&gt;"",Статистика!$I$6="Вкл",Статистика!$H$6&gt;0),(Статистика!$H$6-Статистика!$C$10)/MAX(Статистика!$G$10-Статистика!$C$10,0.000001),NA())</f>
        <v>#N/A</v>
      </c>
      <c r="CM178" s="12" t="e">
        <f>IF(AND(Y178&lt;&gt;"",Статистика!$L$6="Вкл",Статистика!$K$6&gt;0),(Статистика!$K$6-Статистика!$C$10)/MAX(Статистика!$G$10-Статистика!$C$10,0.000001),NA())</f>
        <v>#N/A</v>
      </c>
      <c r="CN178" s="12" t="e">
        <f>IF(AND(Y178&lt;&gt;"",Статистика!$M$6="Вкл",Статистика!$O$6&gt;0),(Статистика!$O$6-Статистика!$C$10)/MAX(Статистика!$G$10-Статистика!$C$10,0.000001),NA())</f>
        <v>#N/A</v>
      </c>
      <c r="CO178" s="12">
        <f t="shared" si="5"/>
        <v>1</v>
      </c>
    </row>
    <row r="179" spans="1:93" ht="15" customHeight="1">
      <c r="A179" s="12" t="s">
        <v>766</v>
      </c>
      <c r="B179" s="12">
        <v>4288.094450333333</v>
      </c>
      <c r="C179" s="12">
        <v>6464.5219850000003</v>
      </c>
      <c r="D179" s="12">
        <v>7499.4061733333328</v>
      </c>
      <c r="E179" s="12">
        <v>7705.6200666666664</v>
      </c>
      <c r="F179" s="12">
        <v>8009.9851166666667</v>
      </c>
      <c r="G179" s="12">
        <v>8158.4281749999991</v>
      </c>
      <c r="H179" s="12">
        <v>8338.1102483333343</v>
      </c>
      <c r="I179" s="12">
        <v>8393.8752541666672</v>
      </c>
      <c r="J179" s="12">
        <v>8510.4466508333317</v>
      </c>
      <c r="K179" s="12">
        <v>8679.14</v>
      </c>
      <c r="L179" s="12" t="s">
        <v>767</v>
      </c>
      <c r="M179" s="12">
        <v>4971.7390578333334</v>
      </c>
      <c r="N179" s="12">
        <v>7306.0523558333334</v>
      </c>
      <c r="O179" s="12">
        <v>8431.6777983333341</v>
      </c>
      <c r="P179" s="12">
        <v>8687.4121083333321</v>
      </c>
      <c r="Q179" s="12">
        <v>8941.1512166666653</v>
      </c>
      <c r="R179" s="12">
        <v>9168.0579916666666</v>
      </c>
      <c r="S179" s="12">
        <v>9366.7000299999982</v>
      </c>
      <c r="T179" s="12">
        <v>9409.3524574999974</v>
      </c>
      <c r="U179" s="12">
        <v>9492.9242514999987</v>
      </c>
      <c r="V179" s="12">
        <v>9641.35</v>
      </c>
      <c r="W179" s="12" t="s">
        <v>767</v>
      </c>
      <c r="Y179" s="12" t="s">
        <v>766</v>
      </c>
      <c r="Z179" s="12">
        <v>7482.4262056666666</v>
      </c>
      <c r="AA179" s="12">
        <v>7523.0638283333337</v>
      </c>
      <c r="AB179" s="12">
        <v>7573.8608566666662</v>
      </c>
      <c r="AC179" s="12">
        <v>7955.3931000000011</v>
      </c>
      <c r="AD179" s="12">
        <v>8099.6722166666677</v>
      </c>
      <c r="AE179" s="12">
        <v>8192.3840749999999</v>
      </c>
      <c r="AF179" s="12">
        <v>8497.2173550000007</v>
      </c>
      <c r="AG179" s="12">
        <v>8507.4443941666686</v>
      </c>
      <c r="AH179" s="12">
        <v>8515.6260255000016</v>
      </c>
      <c r="AI179" s="12">
        <v>8674.7999999999993</v>
      </c>
      <c r="AJ179" s="12" t="s">
        <v>768</v>
      </c>
      <c r="AK179" s="12">
        <v>8399.3260718333349</v>
      </c>
      <c r="AL179" s="12">
        <v>8479.272759166668</v>
      </c>
      <c r="AM179" s="12">
        <v>8579.2061183333353</v>
      </c>
      <c r="AN179" s="12">
        <v>8930.0929166666665</v>
      </c>
      <c r="AO179" s="12">
        <v>9121.4527333333317</v>
      </c>
      <c r="AP179" s="12">
        <v>9249.1677249999993</v>
      </c>
      <c r="AQ179" s="12">
        <v>9508.2652966666665</v>
      </c>
      <c r="AR179" s="12">
        <v>9520.4142650000013</v>
      </c>
      <c r="AS179" s="12">
        <v>9530.133439666668</v>
      </c>
      <c r="AT179" s="12">
        <v>9667.73</v>
      </c>
      <c r="AU179" s="12" t="s">
        <v>768</v>
      </c>
      <c r="AW179" s="12">
        <f>IF(A179="","",MAX(0,MIN(1,(((IF(Статистика!$C$4="Параллельный режим (активная мощность)",B179,M179)+Статистика!$J$4))-Статистика!$C$10)/MAX(Статистика!$G$10-Статистика!$C$10,0.000001))))</f>
        <v>0</v>
      </c>
      <c r="AX179" s="12">
        <f>IF(A179="","",MAX(0,MAX(0,MIN(1,(((IF(Статистика!$C$4="Параллельный режим (активная мощность)",D179,O179)+Статистика!$J$4))-Статистика!$C$10)/MAX(Статистика!$G$10-Статистика!$C$10,0.000001)))-MAX(0,MIN(1,(((IF(Статистика!$C$4="Параллельный режим (активная мощность)",B179,M179)+Статистика!$J$4))-Статистика!$C$10)/MAX(Статистика!$G$10-Статистика!$C$10,0.000001)))))</f>
        <v>0.49980205777777764</v>
      </c>
      <c r="AY179" s="12">
        <f>IF(A179="","",MAX(0,MAX(0,MIN(1,(((IF(Статистика!$C$4="Параллельный режим (активная мощность)",E179,P179)+Статистика!$J$4))-Статистика!$C$10)/MAX(Статистика!$G$10-Статистика!$C$10,0.000001)))-MAX(0,MIN(1,(((IF(Статистика!$C$4="Параллельный режим (активная мощность)",D179,O179)+Статистика!$J$4))-Статистика!$C$10)/MAX(Статистика!$G$10-Статистика!$C$10,0.000001)))))</f>
        <v>6.8737964444444466E-2</v>
      </c>
      <c r="AZ179" s="12">
        <f>IF(A179="","",MAX(0,MAX(0,MIN(1,(((IF(Статистика!$C$4="Параллельный режим (активная мощность)",F179,Q179)+Статистика!$J$4))-Статистика!$C$10)/MAX(Статистика!$G$10-Статистика!$C$10,0.000001)))-MAX(0,MIN(1,(((IF(Статистика!$C$4="Параллельный режим (активная мощность)",E179,P179)+Статистика!$J$4))-Статистика!$C$10)/MAX(Статистика!$G$10-Статистика!$C$10,0.000001)))))</f>
        <v>0.10145501666666679</v>
      </c>
      <c r="BA179" s="12">
        <f>IF(A179="","",MAX(0,MAX(0,MIN(1,(((IF(Статистика!$C$4="Параллельный режим (активная мощность)",G179,R179)+Статистика!$J$4))-Статистика!$C$10)/MAX(Статистика!$G$10-Статистика!$C$10,0.000001)))-MAX(0,MIN(1,(((IF(Статистика!$C$4="Параллельный режим (активная мощность)",F179,Q179)+Статистика!$J$4))-Статистика!$C$10)/MAX(Статистика!$G$10-Статистика!$C$10,0.000001)))))</f>
        <v>4.9481019444444163E-2</v>
      </c>
      <c r="BB179" s="12">
        <f>IF(A179="","",MAX(0,MAX(0,MIN(1,(((IF(Статистика!$C$4="Параллельный режим (активная мощность)",H179,S179)+Статистика!$J$4))-Статистика!$C$10)/MAX(Статистика!$G$10-Статистика!$C$10,0.000001)))-MAX(0,MIN(1,(((IF(Статистика!$C$4="Параллельный режим (активная мощность)",G179,R179)+Статистика!$J$4))-Статистика!$C$10)/MAX(Статистика!$G$10-Статистика!$C$10,0.000001)))))</f>
        <v>5.9894024444445026E-2</v>
      </c>
      <c r="BC179" s="12">
        <f>IF(A179="","",MAX(0,MAX(0,MIN(1,(((IF(Статистика!$C$4="Параллельный режим (активная мощность)",J179,U179)+Статистика!$J$4))-Статистика!$C$10)/MAX(Статистика!$G$10-Статистика!$C$10,0.000001)))-MAX(0,MIN(1,(((IF(Статистика!$C$4="Параллельный режим (активная мощность)",H179,S179)+Статистика!$J$4))-Статистика!$C$10)/MAX(Статистика!$G$10-Статистика!$C$10,0.000001)))))</f>
        <v>5.7445467499999125E-2</v>
      </c>
      <c r="BD179" s="12">
        <f>IF(A179="","",MAX(0,1-MAX(0,MIN(1,(((IF(Статистика!$C$4="Параллельный режим (активная мощность)",J179,U179)+Статистика!$J$4))-Статистика!$C$10)/MAX(Статистика!$G$10-Статистика!$C$10,0.000001)))))</f>
        <v>0.16318444972222279</v>
      </c>
      <c r="BE179" s="12">
        <f>IF(A179="",NA(),IF(Статистика!$B$8="Вкл",(((IF(Статистика!$C$4="Параллельный режим (активная мощность)",F179,Q179)+Статистика!$J$4))-Статистика!$C$10)/MAX(Статистика!$G$10-Статистика!$C$10,0.000001),NA()))</f>
        <v>0.66999503888888889</v>
      </c>
      <c r="BF179" s="12">
        <f>IF(A179="",NA(),IF(Статистика!$D$8="Вкл",(((IF(Статистика!$C$4="Параллельный режим (активная мощность)",E179,P179)+Статистика!$J$4))-Статистика!$C$10)/MAX(Статистика!$G$10-Статистика!$C$10,0.000001),NA()))</f>
        <v>0.56854002222222211</v>
      </c>
      <c r="BG179" s="12">
        <f>IF(A179="",NA(),IF(Статистика!$D$8="Вкл",(((IF(Статистика!$C$4="Параллельный режим (активная мощность)",G179,R179)+Статистика!$J$4))-Статистика!$C$10)/MAX(Статистика!$G$10-Статистика!$C$10,0.000001),NA()))</f>
        <v>0.71947605833333306</v>
      </c>
      <c r="BH179" s="12">
        <f>IF(A179="",NA(),IF(Статистика!$F$8="Вкл",(((IF(Статистика!$C$4="Параллельный режим (активная мощность)",D179,O179)+Статистика!$J$4))-Статистика!$C$10)/MAX(Статистика!$G$10-Статистика!$C$10,0.000001),NA()))</f>
        <v>0.49980205777777764</v>
      </c>
      <c r="BI179" s="12">
        <f>IF(A179="",NA(),IF(Статистика!$F$8="Вкл",(((IF(Статистика!$C$4="Параллельный режим (активная мощность)",H179,S179)+Статистика!$J$4))-Статистика!$C$10)/MAX(Статистика!$G$10-Статистика!$C$10,0.000001),NA()))</f>
        <v>0.77937008277777808</v>
      </c>
      <c r="BJ179" s="12">
        <f>IF(A179="",NA(),IF(Статистика!$H$8="Вкл",(((IF(Статистика!$C$4="Параллельный режим (активная мощность)",B179,M179)+Статистика!$J$4))-Статистика!$C$10)/MAX(Статистика!$G$10-Статистика!$C$10,0.000001),NA()))</f>
        <v>-0.57063518322222229</v>
      </c>
      <c r="BK179" s="12">
        <f>IF(A179="",NA(),IF(Статистика!$H$8="Вкл",(((IF(Статистика!$C$4="Параллельный режим (активная мощность)",J179,U179)+Статистика!$J$4))-Статистика!$C$10)/MAX(Статистика!$G$10-Статистика!$C$10,0.000001),NA()))</f>
        <v>0.83681555027777721</v>
      </c>
      <c r="BL179" s="12" t="e">
        <f>IF(A179="",NA(),IF(Статистика!$J$8="Вкл",(((IF(Статистика!$C$4="Параллельный режим (активная мощность)",K179,V179)+Статистика!$J$4))-Статистика!$C$10)/MAX(Статистика!$G$10-Статистика!$C$10,0.000001),NA()))</f>
        <v>#N/A</v>
      </c>
      <c r="BM179" s="12" t="e">
        <f>IF(AND(A179&lt;&gt;"",Статистика!$C$6="Вкл",Статистика!$B$6&gt;0),(Статистика!$B$6-Статистика!$C$10)/MAX(Статистика!$G$10-Статистика!$C$10,0.000001),NA())</f>
        <v>#N/A</v>
      </c>
      <c r="BN179" s="12" t="e">
        <f>IF(AND(A179&lt;&gt;"",Статистика!$F$6="Вкл",Статистика!$E$6&gt;0),(Статистика!$E$6-Статистика!$C$10)/MAX(Статистика!$G$10-Статистика!$C$10,0.000001),NA())</f>
        <v>#N/A</v>
      </c>
      <c r="BO179" s="12" t="e">
        <f>IF(AND(A179&lt;&gt;"",Статистика!$I$6="Вкл",Статистика!$H$6&gt;0),(Статистика!$H$6-Статистика!$C$10)/MAX(Статистика!$G$10-Статистика!$C$10,0.000001),NA())</f>
        <v>#N/A</v>
      </c>
      <c r="BP179" s="12" t="e">
        <f>IF(AND(A179&lt;&gt;"",Статистика!$L$6="Вкл",Статистика!$K$6&gt;0),(Статистика!$K$6-Статистика!$C$10)/MAX(Статистика!$G$10-Статистика!$C$10,0.000001),NA())</f>
        <v>#N/A</v>
      </c>
      <c r="BQ179" s="12" t="e">
        <f>IF(AND(A179&lt;&gt;"",Статистика!$M$6="Вкл",Статистика!$O$6&gt;0),(Статистика!$O$6-Статистика!$C$10)/MAX(Статистика!$G$10-Статистика!$C$10,0.000001),NA())</f>
        <v>#N/A</v>
      </c>
      <c r="BR179" s="12">
        <f t="shared" si="4"/>
        <v>1</v>
      </c>
      <c r="BT179" s="12">
        <f>IF(Y179="","",MAX(0,MIN(1,(((IF(Статистика!$C$4="Параллельный режим (активная мощность)",Z179,AK179)+Статистика!$J$4))-Статистика!$C$10)/MAX(Статистика!$G$10-Статистика!$C$10,0.000001))))</f>
        <v>0.49414206855555554</v>
      </c>
      <c r="BU179" s="12">
        <f>IF(Y179="","",MAX(0,MAX(0,MIN(1,(((IF(Статистика!$C$4="Параллельный режим (активная мощность)",AB179,AM179)+Статистика!$J$4))-Статистика!$C$10)/MAX(Статистика!$G$10-Статистика!$C$10,0.000001)))-MAX(0,MIN(1,(((IF(Статистика!$C$4="Параллельный режим (активная мощность)",Z179,AK179)+Статистика!$J$4))-Статистика!$C$10)/MAX(Статистика!$G$10-Статистика!$C$10,0.000001)))))</f>
        <v>3.0478216999999863E-2</v>
      </c>
      <c r="BV179" s="12">
        <f>IF(Y179="","",MAX(0,MAX(0,MIN(1,(((IF(Статистика!$C$4="Параллельный режим (активная мощность)",AC179,AN179)+Статистика!$J$4))-Статистика!$C$10)/MAX(Статистика!$G$10-Статистика!$C$10,0.000001)))-MAX(0,MIN(1,(((IF(Статистика!$C$4="Параллельный режим (активная мощность)",AB179,AM179)+Статистика!$J$4))-Статистика!$C$10)/MAX(Статистика!$G$10-Статистика!$C$10,0.000001)))))</f>
        <v>0.12717741444444497</v>
      </c>
      <c r="BW179" s="12">
        <f>IF(Y179="","",MAX(0,MAX(0,MIN(1,(((IF(Статистика!$C$4="Параллельный режим (активная мощность)",AD179,AO179)+Статистика!$J$4))-Статистика!$C$10)/MAX(Статистика!$G$10-Статистика!$C$10,0.000001)))-MAX(0,MIN(1,(((IF(Статистика!$C$4="Параллельный режим (активная мощность)",AC179,AN179)+Статистика!$J$4))-Статистика!$C$10)/MAX(Статистика!$G$10-Статистика!$C$10,0.000001)))))</f>
        <v>4.8093038888888828E-2</v>
      </c>
      <c r="BX179" s="12">
        <f>IF(Y179="","",MAX(0,MAX(0,MIN(1,(((IF(Статистика!$C$4="Параллельный режим (активная мощность)",AE179,AP179)+Статистика!$J$4))-Статистика!$C$10)/MAX(Статистика!$G$10-Статистика!$C$10,0.000001)))-MAX(0,MIN(1,(((IF(Статистика!$C$4="Параллельный режим (активная мощность)",AD179,AO179)+Статистика!$J$4))-Статистика!$C$10)/MAX(Статистика!$G$10-Статистика!$C$10,0.000001)))))</f>
        <v>3.0903952777777466E-2</v>
      </c>
      <c r="BY179" s="12">
        <f>IF(Y179="","",MAX(0,MAX(0,MIN(1,(((IF(Статистика!$C$4="Параллельный режим (активная мощность)",AF179,AQ179)+Статистика!$J$4))-Статистика!$C$10)/MAX(Статистика!$G$10-Статистика!$C$10,0.000001)))-MAX(0,MIN(1,(((IF(Статистика!$C$4="Параллельный режим (активная мощность)",AE179,AP179)+Статистика!$J$4))-Статистика!$C$10)/MAX(Статистика!$G$10-Статистика!$C$10,0.000001)))))</f>
        <v>0.10161109333333351</v>
      </c>
      <c r="BZ179" s="12">
        <f>IF(Y179="","",MAX(0,MAX(0,MIN(1,(((IF(Статистика!$C$4="Параллельный режим (активная мощность)",AH179,AS179)+Статистика!$J$4))-Статистика!$C$10)/MAX(Статистика!$G$10-Статистика!$C$10,0.000001)))-MAX(0,MIN(1,(((IF(Статистика!$C$4="Параллельный режим (активная мощность)",AF179,AQ179)+Статистика!$J$4))-Статистика!$C$10)/MAX(Статистика!$G$10-Статистика!$C$10,0.000001)))))</f>
        <v>6.1362235000003151E-3</v>
      </c>
      <c r="CA179" s="12">
        <f>IF(Y179="","",MAX(0,1-MAX(0,MIN(1,(((IF(Статистика!$C$4="Параллельный режим (активная мощность)",AH179,AS179)+Статистика!$J$4))-Статистика!$C$10)/MAX(Статистика!$G$10-Статистика!$C$10,0.000001)))))</f>
        <v>0.16145799149999951</v>
      </c>
      <c r="CB179" s="12">
        <f>IF(Y179="",NA(),IF(Статистика!$B$8="Вкл",(((IF(Статистика!$C$4="Параллельный режим (активная мощность)",AD179,AO179)+Статистика!$J$4))-Статистика!$C$10)/MAX(Статистика!$G$10-Статистика!$C$10,0.000001),NA()))</f>
        <v>0.6998907388888892</v>
      </c>
      <c r="CC179" s="12">
        <f>IF(Y179="",NA(),IF(Статистика!$D$8="Вкл",(((IF(Статистика!$C$4="Параллельный режим (активная мощность)",AC179,AN179)+Статистика!$J$4))-Статистика!$C$10)/MAX(Статистика!$G$10-Статистика!$C$10,0.000001),NA()))</f>
        <v>0.65179770000000037</v>
      </c>
      <c r="CD179" s="12">
        <f>IF(Y179="",NA(),IF(Статистика!$D$8="Вкл",(((IF(Статистика!$C$4="Параллельный режим (активная мощность)",AE179,AP179)+Статистика!$J$4))-Статистика!$C$10)/MAX(Статистика!$G$10-Статистика!$C$10,0.000001),NA()))</f>
        <v>0.73079469166666666</v>
      </c>
      <c r="CE179" s="12">
        <f>IF(Y179="",NA(),IF(Статистика!$F$8="Вкл",(((IF(Статистика!$C$4="Параллельный режим (активная мощность)",AB179,AM179)+Статистика!$J$4))-Статистика!$C$10)/MAX(Статистика!$G$10-Статистика!$C$10,0.000001),NA()))</f>
        <v>0.5246202855555554</v>
      </c>
      <c r="CF179" s="12">
        <f>IF(Y179="",NA(),IF(Статистика!$F$8="Вкл",(((IF(Статистика!$C$4="Параллельный режим (активная мощность)",AF179,AQ179)+Статистика!$J$4))-Статистика!$C$10)/MAX(Статистика!$G$10-Статистика!$C$10,0.000001),NA()))</f>
        <v>0.83240578500000018</v>
      </c>
      <c r="CG179" s="12">
        <f>IF(Y179="",NA(),IF(Статистика!$H$8="Вкл",(((IF(Статистика!$C$4="Параллельный режим (активная мощность)",Z179,AK179)+Статистика!$J$4))-Статистика!$C$10)/MAX(Статистика!$G$10-Статистика!$C$10,0.000001),NA()))</f>
        <v>0.49414206855555554</v>
      </c>
      <c r="CH179" s="12">
        <f>IF(Y179="",NA(),IF(Статистика!$H$8="Вкл",(((IF(Статистика!$C$4="Параллельный режим (активная мощность)",AH179,AS179)+Статистика!$J$4))-Статистика!$C$10)/MAX(Статистика!$G$10-Статистика!$C$10,0.000001),NA()))</f>
        <v>0.83854200850000049</v>
      </c>
      <c r="CI179" s="12" t="e">
        <f>IF(Y179="",NA(),IF(Статистика!$J$8="Вкл",(((IF(Статистика!$C$4="Параллельный режим (активная мощность)",AI179,AT179)+Статистика!$J$4))-Статистика!$C$10)/MAX(Статистика!$G$10-Статистика!$C$10,0.000001),NA()))</f>
        <v>#N/A</v>
      </c>
      <c r="CJ179" s="12" t="e">
        <f>IF(AND(Y179&lt;&gt;"",Статистика!$C$6="Вкл",Статистика!$B$6&gt;0),(Статистика!$B$6-Статистика!$C$10)/MAX(Статистика!$G$10-Статистика!$C$10,0.000001),NA())</f>
        <v>#N/A</v>
      </c>
      <c r="CK179" s="12" t="e">
        <f>IF(AND(Y179&lt;&gt;"",Статистика!$F$6="Вкл",Статистика!$E$6&gt;0),(Статистика!$E$6-Статистика!$C$10)/MAX(Статистика!$G$10-Статистика!$C$10,0.000001),NA())</f>
        <v>#N/A</v>
      </c>
      <c r="CL179" s="12" t="e">
        <f>IF(AND(Y179&lt;&gt;"",Статистика!$I$6="Вкл",Статистика!$H$6&gt;0),(Статистика!$H$6-Статистика!$C$10)/MAX(Статистика!$G$10-Статистика!$C$10,0.000001),NA())</f>
        <v>#N/A</v>
      </c>
      <c r="CM179" s="12" t="e">
        <f>IF(AND(Y179&lt;&gt;"",Статистика!$L$6="Вкл",Статистика!$K$6&gt;0),(Статистика!$K$6-Статистика!$C$10)/MAX(Статистика!$G$10-Статистика!$C$10,0.000001),NA())</f>
        <v>#N/A</v>
      </c>
      <c r="CN179" s="12" t="e">
        <f>IF(AND(Y179&lt;&gt;"",Статистика!$M$6="Вкл",Статистика!$O$6&gt;0),(Статистика!$O$6-Статистика!$C$10)/MAX(Статистика!$G$10-Статистика!$C$10,0.000001),NA())</f>
        <v>#N/A</v>
      </c>
      <c r="CO179" s="12">
        <f t="shared" si="5"/>
        <v>1</v>
      </c>
    </row>
    <row r="180" spans="1:93" ht="15" customHeight="1">
      <c r="A180" s="12" t="s">
        <v>769</v>
      </c>
      <c r="B180" s="12">
        <v>4273.2668016666667</v>
      </c>
      <c r="C180" s="12">
        <v>6465.2161416666677</v>
      </c>
      <c r="D180" s="12">
        <v>7507.3027266666677</v>
      </c>
      <c r="E180" s="12">
        <v>7737.4498833333337</v>
      </c>
      <c r="F180" s="12">
        <v>7960.4210499999999</v>
      </c>
      <c r="G180" s="12">
        <v>8189.4744916666668</v>
      </c>
      <c r="H180" s="12">
        <v>8295.7168849999998</v>
      </c>
      <c r="I180" s="12">
        <v>8389.072659166668</v>
      </c>
      <c r="J180" s="12">
        <v>8542.9733585000013</v>
      </c>
      <c r="K180" s="12">
        <v>8709.2900000000009</v>
      </c>
      <c r="L180" s="12" t="s">
        <v>770</v>
      </c>
      <c r="M180" s="12">
        <v>4961.037299333334</v>
      </c>
      <c r="N180" s="12">
        <v>7316.3230300000005</v>
      </c>
      <c r="O180" s="12">
        <v>8442.232523333334</v>
      </c>
      <c r="P180" s="12">
        <v>8789.9564083333335</v>
      </c>
      <c r="Q180" s="12">
        <v>8913.5824833333336</v>
      </c>
      <c r="R180" s="12">
        <v>9193.7464083333325</v>
      </c>
      <c r="S180" s="12">
        <v>9349.6563449999994</v>
      </c>
      <c r="T180" s="12">
        <v>9440.6903425</v>
      </c>
      <c r="U180" s="12">
        <v>9539.9391884999986</v>
      </c>
      <c r="V180" s="12">
        <v>9678.61</v>
      </c>
      <c r="W180" s="12" t="s">
        <v>770</v>
      </c>
      <c r="Y180" s="12" t="s">
        <v>769</v>
      </c>
      <c r="Z180" s="12">
        <v>7474.4079318333334</v>
      </c>
      <c r="AA180" s="12">
        <v>7520.5300591666673</v>
      </c>
      <c r="AB180" s="12">
        <v>7578.1827183333344</v>
      </c>
      <c r="AC180" s="12">
        <v>7952.0807166666673</v>
      </c>
      <c r="AD180" s="12">
        <v>8133.2926333333335</v>
      </c>
      <c r="AE180" s="12">
        <v>8219.3644833333346</v>
      </c>
      <c r="AF180" s="12">
        <v>8529.9849116666664</v>
      </c>
      <c r="AG180" s="12">
        <v>8531.888305833334</v>
      </c>
      <c r="AH180" s="12">
        <v>8533.4110211666666</v>
      </c>
      <c r="AI180" s="12">
        <v>8668.9599999999991</v>
      </c>
      <c r="AJ180" s="12" t="s">
        <v>771</v>
      </c>
      <c r="AK180" s="12">
        <v>8409.839786999999</v>
      </c>
      <c r="AL180" s="12">
        <v>8489.2165349999977</v>
      </c>
      <c r="AM180" s="12">
        <v>8588.4374699999989</v>
      </c>
      <c r="AN180" s="12">
        <v>8914.4393333333337</v>
      </c>
      <c r="AO180" s="12">
        <v>9172.3063666666676</v>
      </c>
      <c r="AP180" s="12">
        <v>9291.3304666666663</v>
      </c>
      <c r="AQ180" s="12">
        <v>9549.1580366666676</v>
      </c>
      <c r="AR180" s="12">
        <v>9555.6381183333324</v>
      </c>
      <c r="AS180" s="12">
        <v>9560.8221836666653</v>
      </c>
      <c r="AT180" s="12">
        <v>9692.0499999999993</v>
      </c>
      <c r="AU180" s="12" t="s">
        <v>772</v>
      </c>
      <c r="AW180" s="12">
        <f>IF(A180="","",MAX(0,MIN(1,(((IF(Статистика!$C$4="Параллельный режим (активная мощность)",B180,M180)+Статистика!$J$4))-Статистика!$C$10)/MAX(Статистика!$G$10-Статистика!$C$10,0.000001))))</f>
        <v>0</v>
      </c>
      <c r="AX180" s="12">
        <f>IF(A180="","",MAX(0,MAX(0,MIN(1,(((IF(Статистика!$C$4="Параллельный режим (активная мощность)",D180,O180)+Статистика!$J$4))-Статистика!$C$10)/MAX(Статистика!$G$10-Статистика!$C$10,0.000001)))-MAX(0,MIN(1,(((IF(Статистика!$C$4="Параллельный режим (активная мощность)",B180,M180)+Статистика!$J$4))-Статистика!$C$10)/MAX(Статистика!$G$10-Статистика!$C$10,0.000001)))))</f>
        <v>0.50243424222222255</v>
      </c>
      <c r="AY180" s="12">
        <f>IF(A180="","",MAX(0,MAX(0,MIN(1,(((IF(Статистика!$C$4="Параллельный режим (активная мощность)",E180,P180)+Статистика!$J$4))-Статистика!$C$10)/MAX(Статистика!$G$10-Статистика!$C$10,0.000001)))-MAX(0,MIN(1,(((IF(Статистика!$C$4="Параллельный режим (активная мощность)",D180,O180)+Статистика!$J$4))-Статистика!$C$10)/MAX(Статистика!$G$10-Статистика!$C$10,0.000001)))))</f>
        <v>7.6715718888888729E-2</v>
      </c>
      <c r="AZ180" s="12">
        <f>IF(A180="","",MAX(0,MAX(0,MIN(1,(((IF(Статистика!$C$4="Параллельный режим (активная мощность)",F180,Q180)+Статистика!$J$4))-Статистика!$C$10)/MAX(Статистика!$G$10-Статистика!$C$10,0.000001)))-MAX(0,MIN(1,(((IF(Статистика!$C$4="Параллельный режим (активная мощность)",E180,P180)+Статистика!$J$4))-Статистика!$C$10)/MAX(Статистика!$G$10-Статистика!$C$10,0.000001)))))</f>
        <v>7.4323722222222055E-2</v>
      </c>
      <c r="BA180" s="12">
        <f>IF(A180="","",MAX(0,MAX(0,MIN(1,(((IF(Статистика!$C$4="Параллельный режим (активная мощность)",G180,R180)+Статистика!$J$4))-Статистика!$C$10)/MAX(Статистика!$G$10-Статистика!$C$10,0.000001)))-MAX(0,MIN(1,(((IF(Статистика!$C$4="Параллельный режим (активная мощность)",F180,Q180)+Статистика!$J$4))-Статистика!$C$10)/MAX(Статистика!$G$10-Статистика!$C$10,0.000001)))))</f>
        <v>7.6351147222222249E-2</v>
      </c>
      <c r="BB180" s="12">
        <f>IF(A180="","",MAX(0,MAX(0,MIN(1,(((IF(Статистика!$C$4="Параллельный режим (активная мощность)",H180,S180)+Статистика!$J$4))-Статистика!$C$10)/MAX(Статистика!$G$10-Статистика!$C$10,0.000001)))-MAX(0,MIN(1,(((IF(Статистика!$C$4="Параллельный режим (активная мощность)",G180,R180)+Статистика!$J$4))-Статистика!$C$10)/MAX(Статистика!$G$10-Статистика!$C$10,0.000001)))))</f>
        <v>3.5414131111111025E-2</v>
      </c>
      <c r="BC180" s="12">
        <f>IF(A180="","",MAX(0,MAX(0,MIN(1,(((IF(Статистика!$C$4="Параллельный режим (активная мощность)",J180,U180)+Статистика!$J$4))-Статистика!$C$10)/MAX(Статистика!$G$10-Статистика!$C$10,0.000001)))-MAX(0,MIN(1,(((IF(Статистика!$C$4="Параллельный режим (активная мощность)",H180,S180)+Статистика!$J$4))-Статистика!$C$10)/MAX(Статистика!$G$10-Статистика!$C$10,0.000001)))))</f>
        <v>8.2418824500000487E-2</v>
      </c>
      <c r="BD180" s="12">
        <f>IF(A180="","",MAX(0,1-MAX(0,MIN(1,(((IF(Статистика!$C$4="Параллельный режим (активная мощность)",J180,U180)+Статистика!$J$4))-Статистика!$C$10)/MAX(Статистика!$G$10-Статистика!$C$10,0.000001)))))</f>
        <v>0.15234221383333291</v>
      </c>
      <c r="BE180" s="12">
        <f>IF(A180="",NA(),IF(Статистика!$B$8="Вкл",(((IF(Статистика!$C$4="Параллельный режим (активная мощность)",F180,Q180)+Статистика!$J$4))-Статистика!$C$10)/MAX(Статистика!$G$10-Статистика!$C$10,0.000001),NA()))</f>
        <v>0.65347368333333333</v>
      </c>
      <c r="BF180" s="12">
        <f>IF(A180="",NA(),IF(Статистика!$D$8="Вкл",(((IF(Статистика!$C$4="Параллельный режим (активная мощность)",E180,P180)+Статистика!$J$4))-Статистика!$C$10)/MAX(Статистика!$G$10-Статистика!$C$10,0.000001),NA()))</f>
        <v>0.57914996111111128</v>
      </c>
      <c r="BG180" s="12">
        <f>IF(A180="",NA(),IF(Статистика!$D$8="Вкл",(((IF(Статистика!$C$4="Параллельный режим (активная мощность)",G180,R180)+Статистика!$J$4))-Статистика!$C$10)/MAX(Статистика!$G$10-Статистика!$C$10,0.000001),NA()))</f>
        <v>0.72982483055555558</v>
      </c>
      <c r="BH180" s="12">
        <f>IF(A180="",NA(),IF(Статистика!$F$8="Вкл",(((IF(Статистика!$C$4="Параллельный режим (активная мощность)",D180,O180)+Статистика!$J$4))-Статистика!$C$10)/MAX(Статистика!$G$10-Статистика!$C$10,0.000001),NA()))</f>
        <v>0.50243424222222255</v>
      </c>
      <c r="BI180" s="12">
        <f>IF(A180="",NA(),IF(Статистика!$F$8="Вкл",(((IF(Статистика!$C$4="Параллельный режим (активная мощность)",H180,S180)+Статистика!$J$4))-Статистика!$C$10)/MAX(Статистика!$G$10-Статистика!$C$10,0.000001),NA()))</f>
        <v>0.76523896166666661</v>
      </c>
      <c r="BJ180" s="12">
        <f>IF(A180="",NA(),IF(Статистика!$H$8="Вкл",(((IF(Статистика!$C$4="Параллельный режим (активная мощность)",B180,M180)+Статистика!$J$4))-Статистика!$C$10)/MAX(Статистика!$G$10-Статистика!$C$10,0.000001),NA()))</f>
        <v>-0.5755777327777778</v>
      </c>
      <c r="BK180" s="12">
        <f>IF(A180="",NA(),IF(Статистика!$H$8="Вкл",(((IF(Статистика!$C$4="Параллельный режим (активная мощность)",J180,U180)+Статистика!$J$4))-Статистика!$C$10)/MAX(Статистика!$G$10-Статистика!$C$10,0.000001),NA()))</f>
        <v>0.84765778616666709</v>
      </c>
      <c r="BL180" s="12" t="e">
        <f>IF(A180="",NA(),IF(Статистика!$J$8="Вкл",(((IF(Статистика!$C$4="Параллельный режим (активная мощность)",K180,V180)+Статистика!$J$4))-Статистика!$C$10)/MAX(Статистика!$G$10-Статистика!$C$10,0.000001),NA()))</f>
        <v>#N/A</v>
      </c>
      <c r="BM180" s="12" t="e">
        <f>IF(AND(A180&lt;&gt;"",Статистика!$C$6="Вкл",Статистика!$B$6&gt;0),(Статистика!$B$6-Статистика!$C$10)/MAX(Статистика!$G$10-Статистика!$C$10,0.000001),NA())</f>
        <v>#N/A</v>
      </c>
      <c r="BN180" s="12" t="e">
        <f>IF(AND(A180&lt;&gt;"",Статистика!$F$6="Вкл",Статистика!$E$6&gt;0),(Статистика!$E$6-Статистика!$C$10)/MAX(Статистика!$G$10-Статистика!$C$10,0.000001),NA())</f>
        <v>#N/A</v>
      </c>
      <c r="BO180" s="12" t="e">
        <f>IF(AND(A180&lt;&gt;"",Статистика!$I$6="Вкл",Статистика!$H$6&gt;0),(Статистика!$H$6-Статистика!$C$10)/MAX(Статистика!$G$10-Статистика!$C$10,0.000001),NA())</f>
        <v>#N/A</v>
      </c>
      <c r="BP180" s="12" t="e">
        <f>IF(AND(A180&lt;&gt;"",Статистика!$L$6="Вкл",Статистика!$K$6&gt;0),(Статистика!$K$6-Статистика!$C$10)/MAX(Статистика!$G$10-Статистика!$C$10,0.000001),NA())</f>
        <v>#N/A</v>
      </c>
      <c r="BQ180" s="12" t="e">
        <f>IF(AND(A180&lt;&gt;"",Статистика!$M$6="Вкл",Статистика!$O$6&gt;0),(Статистика!$O$6-Статистика!$C$10)/MAX(Статистика!$G$10-Статистика!$C$10,0.000001),NA())</f>
        <v>#N/A</v>
      </c>
      <c r="BR180" s="12">
        <f t="shared" si="4"/>
        <v>1</v>
      </c>
      <c r="BT180" s="12">
        <f>IF(Y180="","",MAX(0,MIN(1,(((IF(Статистика!$C$4="Параллельный режим (активная мощность)",Z180,AK180)+Статистика!$J$4))-Статистика!$C$10)/MAX(Статистика!$G$10-Статистика!$C$10,0.000001))))</f>
        <v>0.4914693106111111</v>
      </c>
      <c r="BU180" s="12">
        <f>IF(Y180="","",MAX(0,MAX(0,MIN(1,(((IF(Статистика!$C$4="Параллельный режим (активная мощность)",AB180,AM180)+Статистика!$J$4))-Статистика!$C$10)/MAX(Статистика!$G$10-Статистика!$C$10,0.000001)))-MAX(0,MIN(1,(((IF(Статистика!$C$4="Параллельный режим (активная мощность)",Z180,AK180)+Статистика!$J$4))-Статистика!$C$10)/MAX(Статистика!$G$10-Статистика!$C$10,0.000001)))))</f>
        <v>3.4591595500000349E-2</v>
      </c>
      <c r="BV180" s="12">
        <f>IF(Y180="","",MAX(0,MAX(0,MIN(1,(((IF(Статистика!$C$4="Параллельный режим (активная мощность)",AC180,AN180)+Статистика!$J$4))-Статистика!$C$10)/MAX(Статистика!$G$10-Статистика!$C$10,0.000001)))-MAX(0,MIN(1,(((IF(Статистика!$C$4="Параллельный режим (активная мощность)",AB180,AM180)+Статистика!$J$4))-Статистика!$C$10)/MAX(Статистика!$G$10-Статистика!$C$10,0.000001)))))</f>
        <v>0.12463266611111101</v>
      </c>
      <c r="BW180" s="12">
        <f>IF(Y180="","",MAX(0,MAX(0,MIN(1,(((IF(Статистика!$C$4="Параллельный режим (активная мощность)",AD180,AO180)+Статистика!$J$4))-Статистика!$C$10)/MAX(Статистика!$G$10-Статистика!$C$10,0.000001)))-MAX(0,MIN(1,(((IF(Статистика!$C$4="Параллельный режим (активная мощность)",AC180,AN180)+Статистика!$J$4))-Статистика!$C$10)/MAX(Статистика!$G$10-Статистика!$C$10,0.000001)))))</f>
        <v>6.0403972222222047E-2</v>
      </c>
      <c r="BX180" s="12">
        <f>IF(Y180="","",MAX(0,MAX(0,MIN(1,(((IF(Статистика!$C$4="Параллельный режим (активная мощность)",AE180,AP180)+Статистика!$J$4))-Статистика!$C$10)/MAX(Статистика!$G$10-Статистика!$C$10,0.000001)))-MAX(0,MIN(1,(((IF(Статистика!$C$4="Параллельный режим (активная мощность)",AD180,AO180)+Статистика!$J$4))-Статистика!$C$10)/MAX(Статистика!$G$10-Статистика!$C$10,0.000001)))))</f>
        <v>2.8690616666667057E-2</v>
      </c>
      <c r="BY180" s="12">
        <f>IF(Y180="","",MAX(0,MAX(0,MIN(1,(((IF(Статистика!$C$4="Параллельный режим (активная мощность)",AF180,AQ180)+Статистика!$J$4))-Статистика!$C$10)/MAX(Статистика!$G$10-Статистика!$C$10,0.000001)))-MAX(0,MIN(1,(((IF(Статистика!$C$4="Параллельный режим (активная мощность)",AE180,AP180)+Статистика!$J$4))-Статистика!$C$10)/MAX(Статистика!$G$10-Статистика!$C$10,0.000001)))))</f>
        <v>0.10354014277777723</v>
      </c>
      <c r="BZ180" s="12">
        <f>IF(Y180="","",MAX(0,MAX(0,MIN(1,(((IF(Статистика!$C$4="Параллельный режим (активная мощность)",AH180,AS180)+Статистика!$J$4))-Статистика!$C$10)/MAX(Статистика!$G$10-Статистика!$C$10,0.000001)))-MAX(0,MIN(1,(((IF(Статистика!$C$4="Параллельный режим (активная мощность)",AF180,AQ180)+Статистика!$J$4))-Статистика!$C$10)/MAX(Статистика!$G$10-Статистика!$C$10,0.000001)))))</f>
        <v>1.1420365000001098E-3</v>
      </c>
      <c r="CA180" s="12">
        <f>IF(Y180="","",MAX(0,1-MAX(0,MIN(1,(((IF(Статистика!$C$4="Параллельный режим (активная мощность)",AH180,AS180)+Статистика!$J$4))-Статистика!$C$10)/MAX(Статистика!$G$10-Статистика!$C$10,0.000001)))))</f>
        <v>0.15552965961111109</v>
      </c>
      <c r="CB180" s="12">
        <f>IF(Y180="",NA(),IF(Статистика!$B$8="Вкл",(((IF(Статистика!$C$4="Параллельный режим (активная мощность)",AD180,AO180)+Статистика!$J$4))-Статистика!$C$10)/MAX(Статистика!$G$10-Статистика!$C$10,0.000001),NA()))</f>
        <v>0.71109754444444451</v>
      </c>
      <c r="CC180" s="12">
        <f>IF(Y180="",NA(),IF(Статистика!$D$8="Вкл",(((IF(Статистика!$C$4="Параллельный режим (активная мощность)",AC180,AN180)+Статистика!$J$4))-Статистика!$C$10)/MAX(Статистика!$G$10-Статистика!$C$10,0.000001),NA()))</f>
        <v>0.65069357222222246</v>
      </c>
      <c r="CD180" s="12">
        <f>IF(Y180="",NA(),IF(Статистика!$D$8="Вкл",(((IF(Статистика!$C$4="Параллельный режим (активная мощность)",AE180,AP180)+Статистика!$J$4))-Статистика!$C$10)/MAX(Статистика!$G$10-Статистика!$C$10,0.000001),NA()))</f>
        <v>0.73978816111111156</v>
      </c>
      <c r="CE180" s="12">
        <f>IF(Y180="",NA(),IF(Статистика!$F$8="Вкл",(((IF(Статистика!$C$4="Параллельный режим (активная мощность)",AB180,AM180)+Статистика!$J$4))-Статистика!$C$10)/MAX(Статистика!$G$10-Статистика!$C$10,0.000001),NA()))</f>
        <v>0.52606090611111145</v>
      </c>
      <c r="CF180" s="12">
        <f>IF(Y180="",NA(),IF(Статистика!$F$8="Вкл",(((IF(Статистика!$C$4="Параллельный режим (активная мощность)",AF180,AQ180)+Статистика!$J$4))-Статистика!$C$10)/MAX(Статистика!$G$10-Статистика!$C$10,0.000001),NA()))</f>
        <v>0.8433283038888888</v>
      </c>
      <c r="CG180" s="12">
        <f>IF(Y180="",NA(),IF(Статистика!$H$8="Вкл",(((IF(Статистика!$C$4="Параллельный режим (активная мощность)",Z180,AK180)+Статистика!$J$4))-Статистика!$C$10)/MAX(Статистика!$G$10-Статистика!$C$10,0.000001),NA()))</f>
        <v>0.4914693106111111</v>
      </c>
      <c r="CH180" s="12">
        <f>IF(Y180="",NA(),IF(Статистика!$H$8="Вкл",(((IF(Статистика!$C$4="Параллельный режим (активная мощность)",AH180,AS180)+Статистика!$J$4))-Статистика!$C$10)/MAX(Статистика!$G$10-Статистика!$C$10,0.000001),NA()))</f>
        <v>0.84447034038888891</v>
      </c>
      <c r="CI180" s="12" t="e">
        <f>IF(Y180="",NA(),IF(Статистика!$J$8="Вкл",(((IF(Статистика!$C$4="Параллельный режим (активная мощность)",AI180,AT180)+Статистика!$J$4))-Статистика!$C$10)/MAX(Статистика!$G$10-Статистика!$C$10,0.000001),NA()))</f>
        <v>#N/A</v>
      </c>
      <c r="CJ180" s="12" t="e">
        <f>IF(AND(Y180&lt;&gt;"",Статистика!$C$6="Вкл",Статистика!$B$6&gt;0),(Статистика!$B$6-Статистика!$C$10)/MAX(Статистика!$G$10-Статистика!$C$10,0.000001),NA())</f>
        <v>#N/A</v>
      </c>
      <c r="CK180" s="12" t="e">
        <f>IF(AND(Y180&lt;&gt;"",Статистика!$F$6="Вкл",Статистика!$E$6&gt;0),(Статистика!$E$6-Статистика!$C$10)/MAX(Статистика!$G$10-Статистика!$C$10,0.000001),NA())</f>
        <v>#N/A</v>
      </c>
      <c r="CL180" s="12" t="e">
        <f>IF(AND(Y180&lt;&gt;"",Статистика!$I$6="Вкл",Статистика!$H$6&gt;0),(Статистика!$H$6-Статистика!$C$10)/MAX(Статистика!$G$10-Статистика!$C$10,0.000001),NA())</f>
        <v>#N/A</v>
      </c>
      <c r="CM180" s="12" t="e">
        <f>IF(AND(Y180&lt;&gt;"",Статистика!$L$6="Вкл",Статистика!$K$6&gt;0),(Статистика!$K$6-Статистика!$C$10)/MAX(Статистика!$G$10-Статистика!$C$10,0.000001),NA())</f>
        <v>#N/A</v>
      </c>
      <c r="CN180" s="12" t="e">
        <f>IF(AND(Y180&lt;&gt;"",Статистика!$M$6="Вкл",Статистика!$O$6&gt;0),(Статистика!$O$6-Статистика!$C$10)/MAX(Статистика!$G$10-Статистика!$C$10,0.000001),NA())</f>
        <v>#N/A</v>
      </c>
      <c r="CO180" s="12">
        <f t="shared" si="5"/>
        <v>1</v>
      </c>
    </row>
    <row r="181" spans="1:93" ht="15" customHeight="1">
      <c r="A181" s="12" t="s">
        <v>773</v>
      </c>
      <c r="B181" s="12">
        <v>4049.1723564999998</v>
      </c>
      <c r="C181" s="12">
        <v>6392.3489825000006</v>
      </c>
      <c r="D181" s="12">
        <v>7515.7092700000003</v>
      </c>
      <c r="E181" s="12">
        <v>7738.617400000001</v>
      </c>
      <c r="F181" s="12">
        <v>7951.662166666667</v>
      </c>
      <c r="G181" s="12">
        <v>8149.5369250000012</v>
      </c>
      <c r="H181" s="12">
        <v>8291.2861466666673</v>
      </c>
      <c r="I181" s="12">
        <v>8365.8101074999995</v>
      </c>
      <c r="J181" s="12">
        <v>8519.501968166669</v>
      </c>
      <c r="K181" s="12">
        <v>8681.3799999999992</v>
      </c>
      <c r="L181" s="12" t="s">
        <v>774</v>
      </c>
      <c r="M181" s="12">
        <v>4779.6448668333333</v>
      </c>
      <c r="N181" s="12">
        <v>7261.381134166666</v>
      </c>
      <c r="O181" s="12">
        <v>8449.6019583333327</v>
      </c>
      <c r="P181" s="12">
        <v>8765.2694416666673</v>
      </c>
      <c r="Q181" s="12">
        <v>8893.4906499999997</v>
      </c>
      <c r="R181" s="12">
        <v>9188.0939166666667</v>
      </c>
      <c r="S181" s="12">
        <v>9341.3955749999986</v>
      </c>
      <c r="T181" s="12">
        <v>9406.8988866666641</v>
      </c>
      <c r="U181" s="12">
        <v>9515.7359639999995</v>
      </c>
      <c r="V181" s="12">
        <v>9674.9500000000007</v>
      </c>
      <c r="W181" s="12" t="s">
        <v>775</v>
      </c>
      <c r="Y181" s="12" t="s">
        <v>773</v>
      </c>
      <c r="Z181" s="12">
        <v>7494.8819830000011</v>
      </c>
      <c r="AA181" s="12">
        <v>7523.6236483333341</v>
      </c>
      <c r="AB181" s="12">
        <v>7559.5507300000008</v>
      </c>
      <c r="AC181" s="12">
        <v>7966.150716666667</v>
      </c>
      <c r="AD181" s="12">
        <v>8116.0197166666667</v>
      </c>
      <c r="AE181" s="12">
        <v>8214.836266666669</v>
      </c>
      <c r="AF181" s="12">
        <v>8471.9269916666653</v>
      </c>
      <c r="AG181" s="12">
        <v>8479.5796458333316</v>
      </c>
      <c r="AH181" s="12">
        <v>8485.7017691666642</v>
      </c>
      <c r="AI181" s="12">
        <v>8611.74</v>
      </c>
      <c r="AJ181" s="12" t="s">
        <v>776</v>
      </c>
      <c r="AK181" s="12">
        <v>8421.7478565000001</v>
      </c>
      <c r="AL181" s="12">
        <v>8487.8142158333339</v>
      </c>
      <c r="AM181" s="12">
        <v>8570.3971650000003</v>
      </c>
      <c r="AN181" s="12">
        <v>8956.1563083333349</v>
      </c>
      <c r="AO181" s="12">
        <v>9154.9697666666671</v>
      </c>
      <c r="AP181" s="12">
        <v>9289.1165999999994</v>
      </c>
      <c r="AQ181" s="12">
        <v>9494.612909999998</v>
      </c>
      <c r="AR181" s="12">
        <v>9502.132454999999</v>
      </c>
      <c r="AS181" s="12">
        <v>9508.1480909999991</v>
      </c>
      <c r="AT181" s="12">
        <v>9631.73</v>
      </c>
      <c r="AU181" s="12" t="s">
        <v>777</v>
      </c>
      <c r="AW181" s="12">
        <f>IF(A181="","",MAX(0,MIN(1,(((IF(Статистика!$C$4="Параллельный режим (активная мощность)",B181,M181)+Статистика!$J$4))-Статистика!$C$10)/MAX(Статистика!$G$10-Статистика!$C$10,0.000001))))</f>
        <v>0</v>
      </c>
      <c r="AX181" s="12">
        <f>IF(A181="","",MAX(0,MAX(0,MIN(1,(((IF(Статистика!$C$4="Параллельный режим (активная мощность)",D181,O181)+Статистика!$J$4))-Статистика!$C$10)/MAX(Статистика!$G$10-Статистика!$C$10,0.000001)))-MAX(0,MIN(1,(((IF(Статистика!$C$4="Параллельный режим (активная мощность)",B181,M181)+Статистика!$J$4))-Статистика!$C$10)/MAX(Статистика!$G$10-Статистика!$C$10,0.000001)))))</f>
        <v>0.50523642333333341</v>
      </c>
      <c r="AY181" s="12">
        <f>IF(A181="","",MAX(0,MAX(0,MIN(1,(((IF(Статистика!$C$4="Параллельный режим (активная мощность)",E181,P181)+Статистика!$J$4))-Статистика!$C$10)/MAX(Статистика!$G$10-Статистика!$C$10,0.000001)))-MAX(0,MIN(1,(((IF(Статистика!$C$4="Параллельный режим (активная мощность)",D181,O181)+Статистика!$J$4))-Статистика!$C$10)/MAX(Статистика!$G$10-Статистика!$C$10,0.000001)))))</f>
        <v>7.4302710000000216E-2</v>
      </c>
      <c r="AZ181" s="12">
        <f>IF(A181="","",MAX(0,MAX(0,MIN(1,(((IF(Статистика!$C$4="Параллельный режим (активная мощность)",F181,Q181)+Статистика!$J$4))-Статистика!$C$10)/MAX(Статистика!$G$10-Статистика!$C$10,0.000001)))-MAX(0,MIN(1,(((IF(Статистика!$C$4="Параллельный режим (активная мощность)",E181,P181)+Статистика!$J$4))-Статистика!$C$10)/MAX(Статистика!$G$10-Статистика!$C$10,0.000001)))))</f>
        <v>7.1014922222222054E-2</v>
      </c>
      <c r="BA181" s="12">
        <f>IF(A181="","",MAX(0,MAX(0,MIN(1,(((IF(Статистика!$C$4="Параллельный режим (активная мощность)",G181,R181)+Статистика!$J$4))-Статистика!$C$10)/MAX(Статистика!$G$10-Статистика!$C$10,0.000001)))-MAX(0,MIN(1,(((IF(Статистика!$C$4="Параллельный режим (активная мощность)",F181,Q181)+Статистика!$J$4))-Статистика!$C$10)/MAX(Статистика!$G$10-Статистика!$C$10,0.000001)))))</f>
        <v>6.5958252777778115E-2</v>
      </c>
      <c r="BB181" s="12">
        <f>IF(A181="","",MAX(0,MAX(0,MIN(1,(((IF(Статистика!$C$4="Параллельный режим (активная мощность)",H181,S181)+Статистика!$J$4))-Статистика!$C$10)/MAX(Статистика!$G$10-Статистика!$C$10,0.000001)))-MAX(0,MIN(1,(((IF(Статистика!$C$4="Параллельный режим (активная мощность)",G181,R181)+Статистика!$J$4))-Статистика!$C$10)/MAX(Статистика!$G$10-Статистика!$C$10,0.000001)))))</f>
        <v>4.7249740555555308E-2</v>
      </c>
      <c r="BC181" s="12">
        <f>IF(A181="","",MAX(0,MAX(0,MIN(1,(((IF(Статистика!$C$4="Параллельный режим (активная мощность)",J181,U181)+Статистика!$J$4))-Статистика!$C$10)/MAX(Статистика!$G$10-Статистика!$C$10,0.000001)))-MAX(0,MIN(1,(((IF(Статистика!$C$4="Параллельный режим (активная мощность)",H181,S181)+Статистика!$J$4))-Статистика!$C$10)/MAX(Статистика!$G$10-Статистика!$C$10,0.000001)))))</f>
        <v>7.6071940500000546E-2</v>
      </c>
      <c r="BD181" s="12">
        <f>IF(A181="","",MAX(0,1-MAX(0,MIN(1,(((IF(Статистика!$C$4="Параллельный режим (активная мощность)",J181,U181)+Статистика!$J$4))-Статистика!$C$10)/MAX(Статистика!$G$10-Статистика!$C$10,0.000001)))))</f>
        <v>0.16016601061111035</v>
      </c>
      <c r="BE181" s="12">
        <f>IF(A181="",NA(),IF(Статистика!$B$8="Вкл",(((IF(Статистика!$C$4="Параллельный режим (активная мощность)",F181,Q181)+Статистика!$J$4))-Статистика!$C$10)/MAX(Статистика!$G$10-Статистика!$C$10,0.000001),NA()))</f>
        <v>0.65055405555555568</v>
      </c>
      <c r="BF181" s="12">
        <f>IF(A181="",NA(),IF(Статистика!$D$8="Вкл",(((IF(Статистика!$C$4="Параллельный режим (активная мощность)",E181,P181)+Статистика!$J$4))-Статистика!$C$10)/MAX(Статистика!$G$10-Статистика!$C$10,0.000001),NA()))</f>
        <v>0.57953913333333362</v>
      </c>
      <c r="BG181" s="12">
        <f>IF(A181="",NA(),IF(Статистика!$D$8="Вкл",(((IF(Статистика!$C$4="Параллельный режим (активная мощность)",G181,R181)+Статистика!$J$4))-Статистика!$C$10)/MAX(Статистика!$G$10-Статистика!$C$10,0.000001),NA()))</f>
        <v>0.71651230833333379</v>
      </c>
      <c r="BH181" s="12">
        <f>IF(A181="",NA(),IF(Статистика!$F$8="Вкл",(((IF(Статистика!$C$4="Параллельный режим (активная мощность)",D181,O181)+Статистика!$J$4))-Статистика!$C$10)/MAX(Статистика!$G$10-Статистика!$C$10,0.000001),NA()))</f>
        <v>0.50523642333333341</v>
      </c>
      <c r="BI181" s="12">
        <f>IF(A181="",NA(),IF(Статистика!$F$8="Вкл",(((IF(Статистика!$C$4="Параллельный режим (активная мощность)",H181,S181)+Статистика!$J$4))-Статистика!$C$10)/MAX(Статистика!$G$10-Статистика!$C$10,0.000001),NA()))</f>
        <v>0.7637620488888891</v>
      </c>
      <c r="BJ181" s="12">
        <f>IF(A181="",NA(),IF(Статистика!$H$8="Вкл",(((IF(Статистика!$C$4="Параллельный режим (активная мощность)",B181,M181)+Статистика!$J$4))-Статистика!$C$10)/MAX(Статистика!$G$10-Статистика!$C$10,0.000001),NA()))</f>
        <v>-0.65027588116666679</v>
      </c>
      <c r="BK181" s="12">
        <f>IF(A181="",NA(),IF(Статистика!$H$8="Вкл",(((IF(Статистика!$C$4="Параллельный режим (активная мощность)",J181,U181)+Статистика!$J$4))-Статистика!$C$10)/MAX(Статистика!$G$10-Статистика!$C$10,0.000001),NA()))</f>
        <v>0.83983398938888965</v>
      </c>
      <c r="BL181" s="12" t="e">
        <f>IF(A181="",NA(),IF(Статистика!$J$8="Вкл",(((IF(Статистика!$C$4="Параллельный режим (активная мощность)",K181,V181)+Статистика!$J$4))-Статистика!$C$10)/MAX(Статистика!$G$10-Статистика!$C$10,0.000001),NA()))</f>
        <v>#N/A</v>
      </c>
      <c r="BM181" s="12" t="e">
        <f>IF(AND(A181&lt;&gt;"",Статистика!$C$6="Вкл",Статистика!$B$6&gt;0),(Статистика!$B$6-Статистика!$C$10)/MAX(Статистика!$G$10-Статистика!$C$10,0.000001),NA())</f>
        <v>#N/A</v>
      </c>
      <c r="BN181" s="12" t="e">
        <f>IF(AND(A181&lt;&gt;"",Статистика!$F$6="Вкл",Статистика!$E$6&gt;0),(Статистика!$E$6-Статистика!$C$10)/MAX(Статистика!$G$10-Статистика!$C$10,0.000001),NA())</f>
        <v>#N/A</v>
      </c>
      <c r="BO181" s="12" t="e">
        <f>IF(AND(A181&lt;&gt;"",Статистика!$I$6="Вкл",Статистика!$H$6&gt;0),(Статистика!$H$6-Статистика!$C$10)/MAX(Статистика!$G$10-Статистика!$C$10,0.000001),NA())</f>
        <v>#N/A</v>
      </c>
      <c r="BP181" s="12" t="e">
        <f>IF(AND(A181&lt;&gt;"",Статистика!$L$6="Вкл",Статистика!$K$6&gt;0),(Статистика!$K$6-Статистика!$C$10)/MAX(Статистика!$G$10-Статистика!$C$10,0.000001),NA())</f>
        <v>#N/A</v>
      </c>
      <c r="BQ181" s="12" t="e">
        <f>IF(AND(A181&lt;&gt;"",Статистика!$M$6="Вкл",Статистика!$O$6&gt;0),(Статистика!$O$6-Статистика!$C$10)/MAX(Статистика!$G$10-Статистика!$C$10,0.000001),NA())</f>
        <v>#N/A</v>
      </c>
      <c r="BR181" s="12">
        <f t="shared" si="4"/>
        <v>1</v>
      </c>
      <c r="BT181" s="12">
        <f>IF(Y181="","",MAX(0,MIN(1,(((IF(Статистика!$C$4="Параллельный режим (активная мощность)",Z181,AK181)+Статистика!$J$4))-Статистика!$C$10)/MAX(Статистика!$G$10-Статистика!$C$10,0.000001))))</f>
        <v>0.49829399433333371</v>
      </c>
      <c r="BU181" s="12">
        <f>IF(Y181="","",MAX(0,MAX(0,MIN(1,(((IF(Статистика!$C$4="Параллельный режим (активная мощность)",AB181,AM181)+Статистика!$J$4))-Статистика!$C$10)/MAX(Статистика!$G$10-Статистика!$C$10,0.000001)))-MAX(0,MIN(1,(((IF(Статистика!$C$4="Параллельный режим (активная мощность)",Z181,AK181)+Статистика!$J$4))-Статистика!$C$10)/MAX(Статистика!$G$10-Статистика!$C$10,0.000001)))))</f>
        <v>2.1556248999999916E-2</v>
      </c>
      <c r="BV181" s="12">
        <f>IF(Y181="","",MAX(0,MAX(0,MIN(1,(((IF(Статистика!$C$4="Параллельный режим (активная мощность)",AC181,AN181)+Статистика!$J$4))-Статистика!$C$10)/MAX(Статистика!$G$10-Статистика!$C$10,0.000001)))-MAX(0,MIN(1,(((IF(Статистика!$C$4="Параллельный режим (активная мощность)",AB181,AM181)+Статистика!$J$4))-Статистика!$C$10)/MAX(Статистика!$G$10-Статистика!$C$10,0.000001)))))</f>
        <v>0.13553332888888869</v>
      </c>
      <c r="BW181" s="12">
        <f>IF(Y181="","",MAX(0,MAX(0,MIN(1,(((IF(Статистика!$C$4="Параллельный режим (активная мощность)",AD181,AO181)+Статистика!$J$4))-Статистика!$C$10)/MAX(Статистика!$G$10-Статистика!$C$10,0.000001)))-MAX(0,MIN(1,(((IF(Статистика!$C$4="Параллельный режим (активная мощность)",AC181,AN181)+Статистика!$J$4))-Статистика!$C$10)/MAX(Статистика!$G$10-Статистика!$C$10,0.000001)))))</f>
        <v>4.9956333333333269E-2</v>
      </c>
      <c r="BX181" s="12">
        <f>IF(Y181="","",MAX(0,MAX(0,MIN(1,(((IF(Статистика!$C$4="Параллельный режим (активная мощность)",AE181,AP181)+Статистика!$J$4))-Статистика!$C$10)/MAX(Статистика!$G$10-Статистика!$C$10,0.000001)))-MAX(0,MIN(1,(((IF(Статистика!$C$4="Параллельный режим (активная мощность)",AD181,AO181)+Статистика!$J$4))-Статистика!$C$10)/MAX(Статистика!$G$10-Статистика!$C$10,0.000001)))))</f>
        <v>3.2938850000000741E-2</v>
      </c>
      <c r="BY181" s="12">
        <f>IF(Y181="","",MAX(0,MAX(0,MIN(1,(((IF(Статистика!$C$4="Параллельный режим (активная мощность)",AF181,AQ181)+Статистика!$J$4))-Статистика!$C$10)/MAX(Статистика!$G$10-Статистика!$C$10,0.000001)))-MAX(0,MIN(1,(((IF(Статистика!$C$4="Параллельный режим (активная мощность)",AE181,AP181)+Статистика!$J$4))-Статистика!$C$10)/MAX(Статистика!$G$10-Статистика!$C$10,0.000001)))))</f>
        <v>8.56969083333321E-2</v>
      </c>
      <c r="BZ181" s="12">
        <f>IF(Y181="","",MAX(0,MAX(0,MIN(1,(((IF(Статистика!$C$4="Параллельный режим (активная мощность)",AH181,AS181)+Статистика!$J$4))-Статистика!$C$10)/MAX(Статистика!$G$10-Статистика!$C$10,0.000001)))-MAX(0,MIN(1,(((IF(Статистика!$C$4="Параллельный режим (активная мощность)",AF181,AQ181)+Статистика!$J$4))-Статистика!$C$10)/MAX(Статистика!$G$10-Статистика!$C$10,0.000001)))))</f>
        <v>4.5915924999996305E-3</v>
      </c>
      <c r="CA181" s="12">
        <f>IF(Y181="","",MAX(0,1-MAX(0,MIN(1,(((IF(Статистика!$C$4="Параллельный режим (активная мощность)",AH181,AS181)+Статистика!$J$4))-Статистика!$C$10)/MAX(Статистика!$G$10-Статистика!$C$10,0.000001)))))</f>
        <v>0.17143274361111194</v>
      </c>
      <c r="CB181" s="12">
        <f>IF(Y181="",NA(),IF(Статистика!$B$8="Вкл",(((IF(Статистика!$C$4="Параллельный режим (активная мощность)",AD181,AO181)+Статистика!$J$4))-Статистика!$C$10)/MAX(Статистика!$G$10-Статистика!$C$10,0.000001),NA()))</f>
        <v>0.70533990555555559</v>
      </c>
      <c r="CC181" s="12">
        <f>IF(Y181="",NA(),IF(Статистика!$D$8="Вкл",(((IF(Статистика!$C$4="Параллельный режим (активная мощность)",AC181,AN181)+Статистика!$J$4))-Статистика!$C$10)/MAX(Статистика!$G$10-Статистика!$C$10,0.000001),NA()))</f>
        <v>0.65538357222222232</v>
      </c>
      <c r="CD181" s="12">
        <f>IF(Y181="",NA(),IF(Статистика!$D$8="Вкл",(((IF(Статистика!$C$4="Параллельный режим (активная мощность)",AE181,AP181)+Статистика!$J$4))-Статистика!$C$10)/MAX(Статистика!$G$10-Статистика!$C$10,0.000001),NA()))</f>
        <v>0.73827875555555633</v>
      </c>
      <c r="CE181" s="12">
        <f>IF(Y181="",NA(),IF(Статистика!$F$8="Вкл",(((IF(Статистика!$C$4="Параллельный режим (активная мощность)",AB181,AM181)+Статистика!$J$4))-Статистика!$C$10)/MAX(Статистика!$G$10-Статистика!$C$10,0.000001),NA()))</f>
        <v>0.51985024333333363</v>
      </c>
      <c r="CF181" s="12">
        <f>IF(Y181="",NA(),IF(Статистика!$F$8="Вкл",(((IF(Статистика!$C$4="Параллельный режим (активная мощность)",AF181,AQ181)+Статистика!$J$4))-Статистика!$C$10)/MAX(Статистика!$G$10-Статистика!$C$10,0.000001),NA()))</f>
        <v>0.82397566388888843</v>
      </c>
      <c r="CG181" s="12">
        <f>IF(Y181="",NA(),IF(Статистика!$H$8="Вкл",(((IF(Статистика!$C$4="Параллельный режим (активная мощность)",Z181,AK181)+Статистика!$J$4))-Статистика!$C$10)/MAX(Статистика!$G$10-Статистика!$C$10,0.000001),NA()))</f>
        <v>0.49829399433333371</v>
      </c>
      <c r="CH181" s="12">
        <f>IF(Y181="",NA(),IF(Статистика!$H$8="Вкл",(((IF(Статистика!$C$4="Параллельный режим (активная мощность)",AH181,AS181)+Статистика!$J$4))-Статистика!$C$10)/MAX(Статистика!$G$10-Статистика!$C$10,0.000001),NA()))</f>
        <v>0.82856725638888806</v>
      </c>
      <c r="CI181" s="12" t="e">
        <f>IF(Y181="",NA(),IF(Статистика!$J$8="Вкл",(((IF(Статистика!$C$4="Параллельный режим (активная мощность)",AI181,AT181)+Статистика!$J$4))-Статистика!$C$10)/MAX(Статистика!$G$10-Статистика!$C$10,0.000001),NA()))</f>
        <v>#N/A</v>
      </c>
      <c r="CJ181" s="12" t="e">
        <f>IF(AND(Y181&lt;&gt;"",Статистика!$C$6="Вкл",Статистика!$B$6&gt;0),(Статистика!$B$6-Статистика!$C$10)/MAX(Статистика!$G$10-Статистика!$C$10,0.000001),NA())</f>
        <v>#N/A</v>
      </c>
      <c r="CK181" s="12" t="e">
        <f>IF(AND(Y181&lt;&gt;"",Статистика!$F$6="Вкл",Статистика!$E$6&gt;0),(Статистика!$E$6-Статистика!$C$10)/MAX(Статистика!$G$10-Статистика!$C$10,0.000001),NA())</f>
        <v>#N/A</v>
      </c>
      <c r="CL181" s="12" t="e">
        <f>IF(AND(Y181&lt;&gt;"",Статистика!$I$6="Вкл",Статистика!$H$6&gt;0),(Статистика!$H$6-Статистика!$C$10)/MAX(Статистика!$G$10-Статистика!$C$10,0.000001),NA())</f>
        <v>#N/A</v>
      </c>
      <c r="CM181" s="12" t="e">
        <f>IF(AND(Y181&lt;&gt;"",Статистика!$L$6="Вкл",Статистика!$K$6&gt;0),(Статистика!$K$6-Статистика!$C$10)/MAX(Статистика!$G$10-Статистика!$C$10,0.000001),NA())</f>
        <v>#N/A</v>
      </c>
      <c r="CN181" s="12" t="e">
        <f>IF(AND(Y181&lt;&gt;"",Статистика!$M$6="Вкл",Статистика!$O$6&gt;0),(Статистика!$O$6-Статистика!$C$10)/MAX(Статистика!$G$10-Статистика!$C$10,0.000001),NA())</f>
        <v>#N/A</v>
      </c>
      <c r="CO181" s="12">
        <f t="shared" si="5"/>
        <v>1</v>
      </c>
    </row>
    <row r="182" spans="1:93" ht="15" customHeight="1">
      <c r="A182" s="12" t="s">
        <v>778</v>
      </c>
      <c r="B182" s="12">
        <v>7480.0180319999999</v>
      </c>
      <c r="C182" s="12">
        <v>7526.1165600000004</v>
      </c>
      <c r="D182" s="12">
        <v>7551.241946666667</v>
      </c>
      <c r="E182" s="12">
        <v>7802.8351000000011</v>
      </c>
      <c r="F182" s="12">
        <v>7950.6869000000006</v>
      </c>
      <c r="G182" s="12">
        <v>8103.3346666666666</v>
      </c>
      <c r="H182" s="12">
        <v>8338.3582799999986</v>
      </c>
      <c r="I182" s="12">
        <v>8431.7058166666666</v>
      </c>
      <c r="J182" s="12">
        <v>8535.2265766666678</v>
      </c>
      <c r="K182" s="12">
        <v>8717.93</v>
      </c>
      <c r="L182" s="12" t="s">
        <v>779</v>
      </c>
      <c r="M182" s="12">
        <v>8381.836237333333</v>
      </c>
      <c r="N182" s="12">
        <v>8433.0987866666674</v>
      </c>
      <c r="O182" s="12">
        <v>8464.7113733333335</v>
      </c>
      <c r="P182" s="12">
        <v>8803.8009666666676</v>
      </c>
      <c r="Q182" s="12">
        <v>8906.784966666668</v>
      </c>
      <c r="R182" s="12">
        <v>9158.3110666666671</v>
      </c>
      <c r="S182" s="12">
        <v>9365.0138466666667</v>
      </c>
      <c r="T182" s="12">
        <v>9430.936263333333</v>
      </c>
      <c r="U182" s="12">
        <v>9535.4129059999996</v>
      </c>
      <c r="V182" s="12">
        <v>9748.01</v>
      </c>
      <c r="W182" s="12" t="s">
        <v>779</v>
      </c>
      <c r="Y182" s="12" t="s">
        <v>778</v>
      </c>
      <c r="Z182" s="12">
        <v>7501.5457898333334</v>
      </c>
      <c r="AA182" s="12">
        <v>7536.6112158333335</v>
      </c>
      <c r="AB182" s="12">
        <v>7580.4429983333339</v>
      </c>
      <c r="AC182" s="12">
        <v>8010.1495916666663</v>
      </c>
      <c r="AD182" s="12">
        <v>8079.7715833333332</v>
      </c>
      <c r="AE182" s="12">
        <v>8190.2574166666673</v>
      </c>
      <c r="AF182" s="12">
        <v>8463.442070000001</v>
      </c>
      <c r="AG182" s="12">
        <v>8467.3571350000002</v>
      </c>
      <c r="AH182" s="12">
        <v>8470.489187000001</v>
      </c>
      <c r="AI182" s="12">
        <v>8619.09</v>
      </c>
      <c r="AJ182" s="12" t="s">
        <v>780</v>
      </c>
      <c r="AK182" s="12">
        <v>8424.7659636666649</v>
      </c>
      <c r="AL182" s="12">
        <v>8500.0907516666648</v>
      </c>
      <c r="AM182" s="12">
        <v>8594.246736666666</v>
      </c>
      <c r="AN182" s="12">
        <v>8996.2718583333335</v>
      </c>
      <c r="AO182" s="12">
        <v>9080.0432000000001</v>
      </c>
      <c r="AP182" s="12">
        <v>9266.9808166666662</v>
      </c>
      <c r="AQ182" s="12">
        <v>9473.5087666666659</v>
      </c>
      <c r="AR182" s="12">
        <v>9477.7232333333341</v>
      </c>
      <c r="AS182" s="12">
        <v>9481.0948066666679</v>
      </c>
      <c r="AT182" s="12">
        <v>9633.16</v>
      </c>
      <c r="AU182" s="12" t="s">
        <v>780</v>
      </c>
      <c r="AW182" s="12">
        <f>IF(A182="","",MAX(0,MIN(1,(((IF(Статистика!$C$4="Параллельный режим (активная мощность)",B182,M182)+Статистика!$J$4))-Статистика!$C$10)/MAX(Статистика!$G$10-Статистика!$C$10,0.000001))))</f>
        <v>0.49333934399999996</v>
      </c>
      <c r="AX182" s="12">
        <f>IF(A182="","",MAX(0,MAX(0,MIN(1,(((IF(Статистика!$C$4="Параллельный режим (активная мощность)",D182,O182)+Статистика!$J$4))-Статистика!$C$10)/MAX(Статистика!$G$10-Статистика!$C$10,0.000001)))-MAX(0,MIN(1,(((IF(Статистика!$C$4="Параллельный режим (активная мощность)",B182,M182)+Статистика!$J$4))-Статистика!$C$10)/MAX(Статистика!$G$10-Статистика!$C$10,0.000001)))))</f>
        <v>2.3741304888889092E-2</v>
      </c>
      <c r="AY182" s="12">
        <f>IF(A182="","",MAX(0,MAX(0,MIN(1,(((IF(Статистика!$C$4="Параллельный режим (активная мощность)",E182,P182)+Статистика!$J$4))-Статистика!$C$10)/MAX(Статистика!$G$10-Статистика!$C$10,0.000001)))-MAX(0,MIN(1,(((IF(Статистика!$C$4="Параллельный режим (активная мощность)",D182,O182)+Статистика!$J$4))-Статистика!$C$10)/MAX(Статистика!$G$10-Статистика!$C$10,0.000001)))))</f>
        <v>8.3864384444444662E-2</v>
      </c>
      <c r="AZ182" s="12">
        <f>IF(A182="","",MAX(0,MAX(0,MIN(1,(((IF(Статистика!$C$4="Параллельный режим (активная мощность)",F182,Q182)+Статистика!$J$4))-Статистика!$C$10)/MAX(Статистика!$G$10-Статистика!$C$10,0.000001)))-MAX(0,MIN(1,(((IF(Статистика!$C$4="Параллельный режим (активная мощность)",E182,P182)+Статистика!$J$4))-Статистика!$C$10)/MAX(Статистика!$G$10-Статистика!$C$10,0.000001)))))</f>
        <v>4.9283933333333141E-2</v>
      </c>
      <c r="BA182" s="12">
        <f>IF(A182="","",MAX(0,MAX(0,MIN(1,(((IF(Статистика!$C$4="Параллельный режим (активная мощность)",G182,R182)+Статистика!$J$4))-Статистика!$C$10)/MAX(Статистика!$G$10-Статистика!$C$10,0.000001)))-MAX(0,MIN(1,(((IF(Статистика!$C$4="Параллельный режим (активная мощность)",F182,Q182)+Статистика!$J$4))-Статистика!$C$10)/MAX(Статистика!$G$10-Статистика!$C$10,0.000001)))))</f>
        <v>5.0882588888888747E-2</v>
      </c>
      <c r="BB182" s="12">
        <f>IF(A182="","",MAX(0,MAX(0,MIN(1,(((IF(Статистика!$C$4="Параллельный режим (активная мощность)",H182,S182)+Статистика!$J$4))-Статистика!$C$10)/MAX(Статистика!$G$10-Статистика!$C$10,0.000001)))-MAX(0,MIN(1,(((IF(Статистика!$C$4="Параллельный режим (активная мощность)",G182,R182)+Статистика!$J$4))-Статистика!$C$10)/MAX(Статистика!$G$10-Статистика!$C$10,0.000001)))))</f>
        <v>7.8341204444443924E-2</v>
      </c>
      <c r="BC182" s="12">
        <f>IF(A182="","",MAX(0,MAX(0,MIN(1,(((IF(Статистика!$C$4="Параллельный режим (активная мощность)",J182,U182)+Статистика!$J$4))-Статистика!$C$10)/MAX(Статистика!$G$10-Статистика!$C$10,0.000001)))-MAX(0,MIN(1,(((IF(Статистика!$C$4="Параллельный режим (активная мощность)",H182,S182)+Статистика!$J$4))-Статистика!$C$10)/MAX(Статистика!$G$10-Статистика!$C$10,0.000001)))))</f>
        <v>6.5622765555556462E-2</v>
      </c>
      <c r="BD182" s="12">
        <f>IF(A182="","",MAX(0,1-MAX(0,MIN(1,(((IF(Статистика!$C$4="Параллельный режим (активная мощность)",J182,U182)+Статистика!$J$4))-Статистика!$C$10)/MAX(Статистика!$G$10-Статистика!$C$10,0.000001)))))</f>
        <v>0.15492447444444402</v>
      </c>
      <c r="BE182" s="12">
        <f>IF(A182="",NA(),IF(Статистика!$B$8="Вкл",(((IF(Статистика!$C$4="Параллельный режим (активная мощность)",F182,Q182)+Статистика!$J$4))-Статистика!$C$10)/MAX(Статистика!$G$10-Статистика!$C$10,0.000001),NA()))</f>
        <v>0.65022896666666685</v>
      </c>
      <c r="BF182" s="12">
        <f>IF(A182="",NA(),IF(Статистика!$D$8="Вкл",(((IF(Статистика!$C$4="Параллельный режим (активная мощность)",E182,P182)+Статистика!$J$4))-Статистика!$C$10)/MAX(Статистика!$G$10-Статистика!$C$10,0.000001),NA()))</f>
        <v>0.60094503333333371</v>
      </c>
      <c r="BG182" s="12">
        <f>IF(A182="",NA(),IF(Статистика!$D$8="Вкл",(((IF(Статистика!$C$4="Параллельный режим (активная мощность)",G182,R182)+Статистика!$J$4))-Статистика!$C$10)/MAX(Статистика!$G$10-Статистика!$C$10,0.000001),NA()))</f>
        <v>0.7011115555555556</v>
      </c>
      <c r="BH182" s="12">
        <f>IF(A182="",NA(),IF(Статистика!$F$8="Вкл",(((IF(Статистика!$C$4="Параллельный режим (активная мощность)",D182,O182)+Статистика!$J$4))-Статистика!$C$10)/MAX(Статистика!$G$10-Статистика!$C$10,0.000001),NA()))</f>
        <v>0.51708064888888905</v>
      </c>
      <c r="BI182" s="12">
        <f>IF(A182="",NA(),IF(Статистика!$F$8="Вкл",(((IF(Статистика!$C$4="Параллельный режим (активная мощность)",H182,S182)+Статистика!$J$4))-Статистика!$C$10)/MAX(Статистика!$G$10-Статистика!$C$10,0.000001),NA()))</f>
        <v>0.77945275999999952</v>
      </c>
      <c r="BJ182" s="12">
        <f>IF(A182="",NA(),IF(Статистика!$H$8="Вкл",(((IF(Статистика!$C$4="Параллельный режим (активная мощность)",B182,M182)+Статистика!$J$4))-Статистика!$C$10)/MAX(Статистика!$G$10-Статистика!$C$10,0.000001),NA()))</f>
        <v>0.49333934399999996</v>
      </c>
      <c r="BK182" s="12">
        <f>IF(A182="",NA(),IF(Статистика!$H$8="Вкл",(((IF(Статистика!$C$4="Параллельный режим (активная мощность)",J182,U182)+Статистика!$J$4))-Статистика!$C$10)/MAX(Статистика!$G$10-Статистика!$C$10,0.000001),NA()))</f>
        <v>0.84507552555555598</v>
      </c>
      <c r="BL182" s="12" t="e">
        <f>IF(A182="",NA(),IF(Статистика!$J$8="Вкл",(((IF(Статистика!$C$4="Параллельный режим (активная мощность)",K182,V182)+Статистика!$J$4))-Статистика!$C$10)/MAX(Статистика!$G$10-Статистика!$C$10,0.000001),NA()))</f>
        <v>#N/A</v>
      </c>
      <c r="BM182" s="12" t="e">
        <f>IF(AND(A182&lt;&gt;"",Статистика!$C$6="Вкл",Статистика!$B$6&gt;0),(Статистика!$B$6-Статистика!$C$10)/MAX(Статистика!$G$10-Статистика!$C$10,0.000001),NA())</f>
        <v>#N/A</v>
      </c>
      <c r="BN182" s="12" t="e">
        <f>IF(AND(A182&lt;&gt;"",Статистика!$F$6="Вкл",Статистика!$E$6&gt;0),(Статистика!$E$6-Статистика!$C$10)/MAX(Статистика!$G$10-Статистика!$C$10,0.000001),NA())</f>
        <v>#N/A</v>
      </c>
      <c r="BO182" s="12" t="e">
        <f>IF(AND(A182&lt;&gt;"",Статистика!$I$6="Вкл",Статистика!$H$6&gt;0),(Статистика!$H$6-Статистика!$C$10)/MAX(Статистика!$G$10-Статистика!$C$10,0.000001),NA())</f>
        <v>#N/A</v>
      </c>
      <c r="BP182" s="12" t="e">
        <f>IF(AND(A182&lt;&gt;"",Статистика!$L$6="Вкл",Статистика!$K$6&gt;0),(Статистика!$K$6-Статистика!$C$10)/MAX(Статистика!$G$10-Статистика!$C$10,0.000001),NA())</f>
        <v>#N/A</v>
      </c>
      <c r="BQ182" s="12" t="e">
        <f>IF(AND(A182&lt;&gt;"",Статистика!$M$6="Вкл",Статистика!$O$6&gt;0),(Статистика!$O$6-Статистика!$C$10)/MAX(Статистика!$G$10-Статистика!$C$10,0.000001),NA())</f>
        <v>#N/A</v>
      </c>
      <c r="BR182" s="12">
        <f t="shared" si="4"/>
        <v>1</v>
      </c>
      <c r="BT182" s="12">
        <f>IF(Y182="","",MAX(0,MIN(1,(((IF(Статистика!$C$4="Параллельный режим (активная мощность)",Z182,AK182)+Статистика!$J$4))-Статистика!$C$10)/MAX(Статистика!$G$10-Статистика!$C$10,0.000001))))</f>
        <v>0.50051526327777784</v>
      </c>
      <c r="BU182" s="12">
        <f>IF(Y182="","",MAX(0,MAX(0,MIN(1,(((IF(Статистика!$C$4="Параллельный режим (активная мощность)",AB182,AM182)+Статистика!$J$4))-Статистика!$C$10)/MAX(Статистика!$G$10-Статистика!$C$10,0.000001)))-MAX(0,MIN(1,(((IF(Статистика!$C$4="Параллельный режим (активная мощность)",Z182,AK182)+Статистика!$J$4))-Статистика!$C$10)/MAX(Статистика!$G$10-Статистика!$C$10,0.000001)))))</f>
        <v>2.6299069500000161E-2</v>
      </c>
      <c r="BV182" s="12">
        <f>IF(Y182="","",MAX(0,MAX(0,MIN(1,(((IF(Статистика!$C$4="Параллельный режим (активная мощность)",AC182,AN182)+Статистика!$J$4))-Статистика!$C$10)/MAX(Статистика!$G$10-Статистика!$C$10,0.000001)))-MAX(0,MIN(1,(((IF(Статистика!$C$4="Параллельный режим (активная мощность)",AB182,AM182)+Статистика!$J$4))-Статистика!$C$10)/MAX(Статистика!$G$10-Статистика!$C$10,0.000001)))))</f>
        <v>0.14323553111111076</v>
      </c>
      <c r="BW182" s="12">
        <f>IF(Y182="","",MAX(0,MAX(0,MIN(1,(((IF(Статистика!$C$4="Параллельный режим (активная мощность)",AD182,AO182)+Статистика!$J$4))-Статистика!$C$10)/MAX(Статистика!$G$10-Статистика!$C$10,0.000001)))-MAX(0,MIN(1,(((IF(Статистика!$C$4="Параллельный режим (активная мощность)",AC182,AN182)+Статистика!$J$4))-Статистика!$C$10)/MAX(Статистика!$G$10-Статистика!$C$10,0.000001)))))</f>
        <v>2.3207330555555683E-2</v>
      </c>
      <c r="BX182" s="12">
        <f>IF(Y182="","",MAX(0,MAX(0,MIN(1,(((IF(Статистика!$C$4="Параллельный режим (активная мощность)",AE182,AP182)+Статистика!$J$4))-Статистика!$C$10)/MAX(Статистика!$G$10-Статистика!$C$10,0.000001)))-MAX(0,MIN(1,(((IF(Статистика!$C$4="Параллельный режим (активная мощность)",AD182,AO182)+Статистика!$J$4))-Статистика!$C$10)/MAX(Статистика!$G$10-Статистика!$C$10,0.000001)))))</f>
        <v>3.6828611111111353E-2</v>
      </c>
      <c r="BY182" s="12">
        <f>IF(Y182="","",MAX(0,MAX(0,MIN(1,(((IF(Статистика!$C$4="Параллельный режим (активная мощность)",AF182,AQ182)+Статистика!$J$4))-Статистика!$C$10)/MAX(Статистика!$G$10-Статистика!$C$10,0.000001)))-MAX(0,MIN(1,(((IF(Статистика!$C$4="Параллельный режим (активная мощность)",AE182,AP182)+Статистика!$J$4))-Статистика!$C$10)/MAX(Статистика!$G$10-Статистика!$C$10,0.000001)))))</f>
        <v>9.1061551111111139E-2</v>
      </c>
      <c r="BZ182" s="12">
        <f>IF(Y182="","",MAX(0,MAX(0,MIN(1,(((IF(Статистика!$C$4="Параллельный режим (активная мощность)",AH182,AS182)+Статистика!$J$4))-Статистика!$C$10)/MAX(Статистика!$G$10-Статистика!$C$10,0.000001)))-MAX(0,MIN(1,(((IF(Статистика!$C$4="Параллельный режим (активная мощность)",AF182,AQ182)+Статистика!$J$4))-Статистика!$C$10)/MAX(Статистика!$G$10-Статистика!$C$10,0.000001)))))</f>
        <v>2.3490390000000527E-3</v>
      </c>
      <c r="CA182" s="12">
        <f>IF(Y182="","",MAX(0,1-MAX(0,MIN(1,(((IF(Статистика!$C$4="Параллельный режим (активная мощность)",AH182,AS182)+Статистика!$J$4))-Статистика!$C$10)/MAX(Статистика!$G$10-Статистика!$C$10,0.000001)))))</f>
        <v>0.17650360433333301</v>
      </c>
      <c r="CB182" s="12">
        <f>IF(Y182="",NA(),IF(Статистика!$B$8="Вкл",(((IF(Статистика!$C$4="Параллельный режим (активная мощность)",AD182,AO182)+Статистика!$J$4))-Статистика!$C$10)/MAX(Статистика!$G$10-Статистика!$C$10,0.000001),NA()))</f>
        <v>0.69325719444444445</v>
      </c>
      <c r="CC182" s="12">
        <f>IF(Y182="",NA(),IF(Статистика!$D$8="Вкл",(((IF(Статистика!$C$4="Параллельный режим (активная мощность)",AC182,AN182)+Статистика!$J$4))-Статистика!$C$10)/MAX(Статистика!$G$10-Статистика!$C$10,0.000001),NA()))</f>
        <v>0.67004986388888876</v>
      </c>
      <c r="CD182" s="12">
        <f>IF(Y182="",NA(),IF(Статистика!$D$8="Вкл",(((IF(Статистика!$C$4="Параллельный режим (активная мощность)",AE182,AP182)+Статистика!$J$4))-Статистика!$C$10)/MAX(Статистика!$G$10-Статистика!$C$10,0.000001),NA()))</f>
        <v>0.7300858055555558</v>
      </c>
      <c r="CE182" s="12">
        <f>IF(Y182="",NA(),IF(Статистика!$F$8="Вкл",(((IF(Статистика!$C$4="Параллельный режим (активная мощность)",AB182,AM182)+Статистика!$J$4))-Статистика!$C$10)/MAX(Статистика!$G$10-Статистика!$C$10,0.000001),NA()))</f>
        <v>0.526814332777778</v>
      </c>
      <c r="CF182" s="12">
        <f>IF(Y182="",NA(),IF(Статистика!$F$8="Вкл",(((IF(Статистика!$C$4="Параллельный режим (активная мощность)",AF182,AQ182)+Статистика!$J$4))-Статистика!$C$10)/MAX(Статистика!$G$10-Статистика!$C$10,0.000001),NA()))</f>
        <v>0.82114735666666694</v>
      </c>
      <c r="CG182" s="12">
        <f>IF(Y182="",NA(),IF(Статистика!$H$8="Вкл",(((IF(Статистика!$C$4="Параллельный режим (активная мощность)",Z182,AK182)+Статистика!$J$4))-Статистика!$C$10)/MAX(Статистика!$G$10-Статистика!$C$10,0.000001),NA()))</f>
        <v>0.50051526327777784</v>
      </c>
      <c r="CH182" s="12">
        <f>IF(Y182="",NA(),IF(Статистика!$H$8="Вкл",(((IF(Статистика!$C$4="Параллельный режим (активная мощность)",AH182,AS182)+Статистика!$J$4))-Статистика!$C$10)/MAX(Статистика!$G$10-Статистика!$C$10,0.000001),NA()))</f>
        <v>0.82349639566666699</v>
      </c>
      <c r="CI182" s="12" t="e">
        <f>IF(Y182="",NA(),IF(Статистика!$J$8="Вкл",(((IF(Статистика!$C$4="Параллельный режим (активная мощность)",AI182,AT182)+Статистика!$J$4))-Статистика!$C$10)/MAX(Статистика!$G$10-Статистика!$C$10,0.000001),NA()))</f>
        <v>#N/A</v>
      </c>
      <c r="CJ182" s="12" t="e">
        <f>IF(AND(Y182&lt;&gt;"",Статистика!$C$6="Вкл",Статистика!$B$6&gt;0),(Статистика!$B$6-Статистика!$C$10)/MAX(Статистика!$G$10-Статистика!$C$10,0.000001),NA())</f>
        <v>#N/A</v>
      </c>
      <c r="CK182" s="12" t="e">
        <f>IF(AND(Y182&lt;&gt;"",Статистика!$F$6="Вкл",Статистика!$E$6&gt;0),(Статистика!$E$6-Статистика!$C$10)/MAX(Статистика!$G$10-Статистика!$C$10,0.000001),NA())</f>
        <v>#N/A</v>
      </c>
      <c r="CL182" s="12" t="e">
        <f>IF(AND(Y182&lt;&gt;"",Статистика!$I$6="Вкл",Статистика!$H$6&gt;0),(Статистика!$H$6-Статистика!$C$10)/MAX(Статистика!$G$10-Статистика!$C$10,0.000001),NA())</f>
        <v>#N/A</v>
      </c>
      <c r="CM182" s="12" t="e">
        <f>IF(AND(Y182&lt;&gt;"",Статистика!$L$6="Вкл",Статистика!$K$6&gt;0),(Статистика!$K$6-Статистика!$C$10)/MAX(Статистика!$G$10-Статистика!$C$10,0.000001),NA())</f>
        <v>#N/A</v>
      </c>
      <c r="CN182" s="12" t="e">
        <f>IF(AND(Y182&lt;&gt;"",Статистика!$M$6="Вкл",Статистика!$O$6&gt;0),(Статистика!$O$6-Статистика!$C$10)/MAX(Статистика!$G$10-Статистика!$C$10,0.000001),NA())</f>
        <v>#N/A</v>
      </c>
      <c r="CO182" s="12">
        <f t="shared" si="5"/>
        <v>1</v>
      </c>
    </row>
    <row r="183" spans="1:93" ht="15" customHeight="1">
      <c r="A183" s="12" t="s">
        <v>781</v>
      </c>
      <c r="B183" s="12">
        <v>7504.3543333333337</v>
      </c>
      <c r="C183" s="12">
        <v>7508.6728666666668</v>
      </c>
      <c r="D183" s="12">
        <v>7530.1334066666677</v>
      </c>
      <c r="E183" s="12">
        <v>7784.9300333333322</v>
      </c>
      <c r="F183" s="12">
        <v>7926.0050333333338</v>
      </c>
      <c r="G183" s="12">
        <v>8117.5905999999986</v>
      </c>
      <c r="H183" s="12">
        <v>8372.5345400000006</v>
      </c>
      <c r="I183" s="12">
        <v>8466.4390600000006</v>
      </c>
      <c r="J183" s="12">
        <v>8550.4658653333336</v>
      </c>
      <c r="K183" s="12">
        <v>8702.09</v>
      </c>
      <c r="L183" s="12" t="s">
        <v>782</v>
      </c>
      <c r="M183" s="12">
        <v>8410.302553333333</v>
      </c>
      <c r="N183" s="12">
        <v>8414.5163666666667</v>
      </c>
      <c r="O183" s="12">
        <v>8419.5169133333347</v>
      </c>
      <c r="P183" s="12">
        <v>8797.4624000000003</v>
      </c>
      <c r="Q183" s="12">
        <v>8915.5093666666689</v>
      </c>
      <c r="R183" s="12">
        <v>9164.0608000000011</v>
      </c>
      <c r="S183" s="12">
        <v>9376.1609866666658</v>
      </c>
      <c r="T183" s="12">
        <v>9462.9765433333341</v>
      </c>
      <c r="U183" s="12">
        <v>9545.8293086666654</v>
      </c>
      <c r="V183" s="12">
        <v>9684.7199999999993</v>
      </c>
      <c r="W183" s="12" t="s">
        <v>783</v>
      </c>
      <c r="Y183" s="12" t="s">
        <v>781</v>
      </c>
      <c r="Z183" s="12">
        <v>7493.341300666666</v>
      </c>
      <c r="AA183" s="12">
        <v>7526.7370366666664</v>
      </c>
      <c r="AB183" s="12">
        <v>7568.4817066666665</v>
      </c>
      <c r="AC183" s="12">
        <v>7994.681274999999</v>
      </c>
      <c r="AD183" s="12">
        <v>8141.266083333333</v>
      </c>
      <c r="AE183" s="12">
        <v>8221.1914500000003</v>
      </c>
      <c r="AF183" s="12">
        <v>8459.7106716666658</v>
      </c>
      <c r="AG183" s="12">
        <v>8477.4168858333323</v>
      </c>
      <c r="AH183" s="12">
        <v>8491.5818571666659</v>
      </c>
      <c r="AI183" s="12">
        <v>8643.61</v>
      </c>
      <c r="AJ183" s="12" t="s">
        <v>784</v>
      </c>
      <c r="AK183" s="12">
        <v>8430.5420425000011</v>
      </c>
      <c r="AL183" s="12">
        <v>8498.5968791666673</v>
      </c>
      <c r="AM183" s="12">
        <v>8583.6654249999992</v>
      </c>
      <c r="AN183" s="12">
        <v>8968.4329999999991</v>
      </c>
      <c r="AO183" s="12">
        <v>9145.0530833333323</v>
      </c>
      <c r="AP183" s="12">
        <v>9292.4887999999992</v>
      </c>
      <c r="AQ183" s="12">
        <v>9463.2097049999993</v>
      </c>
      <c r="AR183" s="12">
        <v>9480.2575691666661</v>
      </c>
      <c r="AS183" s="12">
        <v>9493.8958604999989</v>
      </c>
      <c r="AT183" s="12">
        <v>9642.51</v>
      </c>
      <c r="AU183" s="12" t="s">
        <v>784</v>
      </c>
      <c r="AW183" s="12">
        <f>IF(A183="","",MAX(0,MIN(1,(((IF(Статистика!$C$4="Параллельный режим (активная мощность)",B183,M183)+Статистика!$J$4))-Статистика!$C$10)/MAX(Статистика!$G$10-Статистика!$C$10,0.000001))))</f>
        <v>0.50145144444444456</v>
      </c>
      <c r="AX183" s="12">
        <f>IF(A183="","",MAX(0,MAX(0,MIN(1,(((IF(Статистика!$C$4="Параллельный режим (активная мощность)",D183,O183)+Статистика!$J$4))-Статистика!$C$10)/MAX(Статистика!$G$10-Статистика!$C$10,0.000001)))-MAX(0,MIN(1,(((IF(Статистика!$C$4="Параллельный режим (активная мощность)",B183,M183)+Статистика!$J$4))-Статистика!$C$10)/MAX(Статистика!$G$10-Статистика!$C$10,0.000001)))))</f>
        <v>8.5930244444446524E-3</v>
      </c>
      <c r="AY183" s="12">
        <f>IF(A183="","",MAX(0,MAX(0,MIN(1,(((IF(Статистика!$C$4="Параллельный режим (активная мощность)",E183,P183)+Статистика!$J$4))-Статистика!$C$10)/MAX(Статистика!$G$10-Статистика!$C$10,0.000001)))-MAX(0,MIN(1,(((IF(Статистика!$C$4="Параллельный режим (активная мощность)",D183,O183)+Статистика!$J$4))-Статистика!$C$10)/MAX(Статистика!$G$10-Статистика!$C$10,0.000001)))))</f>
        <v>8.4932208888888194E-2</v>
      </c>
      <c r="AZ183" s="12">
        <f>IF(A183="","",MAX(0,MAX(0,MIN(1,(((IF(Статистика!$C$4="Параллельный режим (активная мощность)",F183,Q183)+Статистика!$J$4))-Статистика!$C$10)/MAX(Статистика!$G$10-Статистика!$C$10,0.000001)))-MAX(0,MIN(1,(((IF(Статистика!$C$4="Параллельный режим (активная мощность)",E183,P183)+Статистика!$J$4))-Статистика!$C$10)/MAX(Статистика!$G$10-Статистика!$C$10,0.000001)))))</f>
        <v>4.7025000000000539E-2</v>
      </c>
      <c r="BA183" s="12">
        <f>IF(A183="","",MAX(0,MAX(0,MIN(1,(((IF(Статистика!$C$4="Параллельный режим (активная мощность)",G183,R183)+Статистика!$J$4))-Статистика!$C$10)/MAX(Статистика!$G$10-Статистика!$C$10,0.000001)))-MAX(0,MIN(1,(((IF(Статистика!$C$4="Параллельный режим (активная мощность)",F183,Q183)+Статистика!$J$4))-Статистика!$C$10)/MAX(Статистика!$G$10-Статистика!$C$10,0.000001)))))</f>
        <v>6.3861855555554903E-2</v>
      </c>
      <c r="BB183" s="12">
        <f>IF(A183="","",MAX(0,MAX(0,MIN(1,(((IF(Статистика!$C$4="Параллельный режим (активная мощность)",H183,S183)+Статистика!$J$4))-Статистика!$C$10)/MAX(Статистика!$G$10-Статистика!$C$10,0.000001)))-MAX(0,MIN(1,(((IF(Статистика!$C$4="Параллельный режим (активная мощность)",G183,R183)+Статистика!$J$4))-Статистика!$C$10)/MAX(Статистика!$G$10-Статистика!$C$10,0.000001)))))</f>
        <v>8.498131333333403E-2</v>
      </c>
      <c r="BC183" s="12">
        <f>IF(A183="","",MAX(0,MAX(0,MIN(1,(((IF(Статистика!$C$4="Параллельный режим (активная мощность)",J183,U183)+Статистика!$J$4))-Статистика!$C$10)/MAX(Статистика!$G$10-Статистика!$C$10,0.000001)))-MAX(0,MIN(1,(((IF(Статистика!$C$4="Параллельный режим (активная мощность)",H183,S183)+Статистика!$J$4))-Статистика!$C$10)/MAX(Статистика!$G$10-Статистика!$C$10,0.000001)))))</f>
        <v>5.9310441777777667E-2</v>
      </c>
      <c r="BD183" s="12">
        <f>IF(A183="","",MAX(0,1-MAX(0,MIN(1,(((IF(Статистика!$C$4="Параллельный режим (активная мощность)",J183,U183)+Статистика!$J$4))-Статистика!$C$10)/MAX(Статистика!$G$10-Статистика!$C$10,0.000001)))))</f>
        <v>0.14984471155555545</v>
      </c>
      <c r="BE183" s="12">
        <f>IF(A183="",NA(),IF(Статистика!$B$8="Вкл",(((IF(Статистика!$C$4="Параллельный режим (активная мощность)",F183,Q183)+Статистика!$J$4))-Статистика!$C$10)/MAX(Статистика!$G$10-Статистика!$C$10,0.000001),NA()))</f>
        <v>0.64200167777777795</v>
      </c>
      <c r="BF183" s="12">
        <f>IF(A183="",NA(),IF(Статистика!$D$8="Вкл",(((IF(Статистика!$C$4="Параллельный режим (активная мощность)",E183,P183)+Статистика!$J$4))-Статистика!$C$10)/MAX(Статистика!$G$10-Статистика!$C$10,0.000001),NA()))</f>
        <v>0.59497667777777741</v>
      </c>
      <c r="BG183" s="12">
        <f>IF(A183="",NA(),IF(Статистика!$D$8="Вкл",(((IF(Статистика!$C$4="Параллельный режим (активная мощность)",G183,R183)+Статистика!$J$4))-Статистика!$C$10)/MAX(Статистика!$G$10-Статистика!$C$10,0.000001),NA()))</f>
        <v>0.70586353333333285</v>
      </c>
      <c r="BH183" s="12">
        <f>IF(A183="",NA(),IF(Статистика!$F$8="Вкл",(((IF(Статистика!$C$4="Параллельный режим (активная мощность)",D183,O183)+Статистика!$J$4))-Статистика!$C$10)/MAX(Статистика!$G$10-Статистика!$C$10,0.000001),NA()))</f>
        <v>0.51004446888888921</v>
      </c>
      <c r="BI183" s="12">
        <f>IF(A183="",NA(),IF(Статистика!$F$8="Вкл",(((IF(Статистика!$C$4="Параллельный режим (активная мощность)",H183,S183)+Статистика!$J$4))-Статистика!$C$10)/MAX(Статистика!$G$10-Статистика!$C$10,0.000001),NA()))</f>
        <v>0.79084484666666688</v>
      </c>
      <c r="BJ183" s="12">
        <f>IF(A183="",NA(),IF(Статистика!$H$8="Вкл",(((IF(Статистика!$C$4="Параллельный режим (активная мощность)",B183,M183)+Статистика!$J$4))-Статистика!$C$10)/MAX(Статистика!$G$10-Статистика!$C$10,0.000001),NA()))</f>
        <v>0.50145144444444456</v>
      </c>
      <c r="BK183" s="12">
        <f>IF(A183="",NA(),IF(Статистика!$H$8="Вкл",(((IF(Статистика!$C$4="Параллельный режим (активная мощность)",J183,U183)+Статистика!$J$4))-Статистика!$C$10)/MAX(Статистика!$G$10-Статистика!$C$10,0.000001),NA()))</f>
        <v>0.85015528844444455</v>
      </c>
      <c r="BL183" s="12" t="e">
        <f>IF(A183="",NA(),IF(Статистика!$J$8="Вкл",(((IF(Статистика!$C$4="Параллельный режим (активная мощность)",K183,V183)+Статистика!$J$4))-Статистика!$C$10)/MAX(Статистика!$G$10-Статистика!$C$10,0.000001),NA()))</f>
        <v>#N/A</v>
      </c>
      <c r="BM183" s="12" t="e">
        <f>IF(AND(A183&lt;&gt;"",Статистика!$C$6="Вкл",Статистика!$B$6&gt;0),(Статистика!$B$6-Статистика!$C$10)/MAX(Статистика!$G$10-Статистика!$C$10,0.000001),NA())</f>
        <v>#N/A</v>
      </c>
      <c r="BN183" s="12" t="e">
        <f>IF(AND(A183&lt;&gt;"",Статистика!$F$6="Вкл",Статистика!$E$6&gt;0),(Статистика!$E$6-Статистика!$C$10)/MAX(Статистика!$G$10-Статистика!$C$10,0.000001),NA())</f>
        <v>#N/A</v>
      </c>
      <c r="BO183" s="12" t="e">
        <f>IF(AND(A183&lt;&gt;"",Статистика!$I$6="Вкл",Статистика!$H$6&gt;0),(Статистика!$H$6-Статистика!$C$10)/MAX(Статистика!$G$10-Статистика!$C$10,0.000001),NA())</f>
        <v>#N/A</v>
      </c>
      <c r="BP183" s="12" t="e">
        <f>IF(AND(A183&lt;&gt;"",Статистика!$L$6="Вкл",Статистика!$K$6&gt;0),(Статистика!$K$6-Статистика!$C$10)/MAX(Статистика!$G$10-Статистика!$C$10,0.000001),NA())</f>
        <v>#N/A</v>
      </c>
      <c r="BQ183" s="12" t="e">
        <f>IF(AND(A183&lt;&gt;"",Статистика!$M$6="Вкл",Статистика!$O$6&gt;0),(Статистика!$O$6-Статистика!$C$10)/MAX(Статистика!$G$10-Статистика!$C$10,0.000001),NA())</f>
        <v>#N/A</v>
      </c>
      <c r="BR183" s="12">
        <f t="shared" si="4"/>
        <v>1</v>
      </c>
      <c r="BT183" s="12">
        <f>IF(Y183="","",MAX(0,MIN(1,(((IF(Статистика!$C$4="Параллельный режим (активная мощность)",Z183,AK183)+Статистика!$J$4))-Статистика!$C$10)/MAX(Статистика!$G$10-Статистика!$C$10,0.000001))))</f>
        <v>0.49778043355555535</v>
      </c>
      <c r="BU183" s="12">
        <f>IF(Y183="","",MAX(0,MAX(0,MIN(1,(((IF(Статистика!$C$4="Параллельный режим (активная мощность)",AB183,AM183)+Статистика!$J$4))-Статистика!$C$10)/MAX(Статистика!$G$10-Статистика!$C$10,0.000001)))-MAX(0,MIN(1,(((IF(Статистика!$C$4="Параллельный режим (активная мощность)",Z183,AK183)+Статистика!$J$4))-Статистика!$C$10)/MAX(Статистика!$G$10-Статистика!$C$10,0.000001)))))</f>
        <v>2.504680200000009E-2</v>
      </c>
      <c r="BV183" s="12">
        <f>IF(Y183="","",MAX(0,MAX(0,MIN(1,(((IF(Статистика!$C$4="Параллельный режим (активная мощность)",AC183,AN183)+Статистика!$J$4))-Статистика!$C$10)/MAX(Статистика!$G$10-Статистика!$C$10,0.000001)))-MAX(0,MIN(1,(((IF(Статистика!$C$4="Параллельный режим (активная мощность)",AB183,AM183)+Статистика!$J$4))-Статистика!$C$10)/MAX(Статистика!$G$10-Статистика!$C$10,0.000001)))))</f>
        <v>0.14206652277777754</v>
      </c>
      <c r="BW183" s="12">
        <f>IF(Y183="","",MAX(0,MAX(0,MIN(1,(((IF(Статистика!$C$4="Параллельный режим (активная мощность)",AD183,AO183)+Статистика!$J$4))-Статистика!$C$10)/MAX(Статистика!$G$10-Статистика!$C$10,0.000001)))-MAX(0,MIN(1,(((IF(Статистика!$C$4="Параллельный режим (активная мощность)",AC183,AN183)+Статистика!$J$4))-Статистика!$C$10)/MAX(Статистика!$G$10-Статистика!$C$10,0.000001)))))</f>
        <v>4.8861602777778068E-2</v>
      </c>
      <c r="BX183" s="12">
        <f>IF(Y183="","",MAX(0,MAX(0,MIN(1,(((IF(Статистика!$C$4="Параллельный режим (активная мощность)",AE183,AP183)+Статистика!$J$4))-Статистика!$C$10)/MAX(Статистика!$G$10-Статистика!$C$10,0.000001)))-MAX(0,MIN(1,(((IF(Статистика!$C$4="Параллельный режим (активная мощность)",AD183,AO183)+Статистика!$J$4))-Статистика!$C$10)/MAX(Статистика!$G$10-Статистика!$C$10,0.000001)))))</f>
        <v>2.6641788888889018E-2</v>
      </c>
      <c r="BY183" s="12">
        <f>IF(Y183="","",MAX(0,MAX(0,MIN(1,(((IF(Статистика!$C$4="Параллельный режим (активная мощность)",AF183,AQ183)+Статистика!$J$4))-Статистика!$C$10)/MAX(Статистика!$G$10-Статистика!$C$10,0.000001)))-MAX(0,MIN(1,(((IF(Статистика!$C$4="Параллельный режим (активная мощность)",AE183,AP183)+Статистика!$J$4))-Статистика!$C$10)/MAX(Статистика!$G$10-Статистика!$C$10,0.000001)))))</f>
        <v>7.9506407222221909E-2</v>
      </c>
      <c r="BZ183" s="12">
        <f>IF(Y183="","",MAX(0,MAX(0,MIN(1,(((IF(Статистика!$C$4="Параллельный режим (активная мощность)",AH183,AS183)+Статистика!$J$4))-Статистика!$C$10)/MAX(Статистика!$G$10-Статистика!$C$10,0.000001)))-MAX(0,MIN(1,(((IF(Статистика!$C$4="Параллельный режим (активная мощность)",AF183,AQ183)+Статистика!$J$4))-Статистика!$C$10)/MAX(Статистика!$G$10-Статистика!$C$10,0.000001)))))</f>
        <v>1.062372850000004E-2</v>
      </c>
      <c r="CA183" s="12">
        <f>IF(Y183="","",MAX(0,1-MAX(0,MIN(1,(((IF(Статистика!$C$4="Параллельный режим (активная мощность)",AH183,AS183)+Статистика!$J$4))-Статистика!$C$10)/MAX(Статистика!$G$10-Статистика!$C$10,0.000001)))))</f>
        <v>0.16947271427777799</v>
      </c>
      <c r="CB183" s="12">
        <f>IF(Y183="",NA(),IF(Статистика!$B$8="Вкл",(((IF(Статистика!$C$4="Параллельный режим (активная мощность)",AD183,AO183)+Статистика!$J$4))-Статистика!$C$10)/MAX(Статистика!$G$10-Статистика!$C$10,0.000001),NA()))</f>
        <v>0.71375536111111104</v>
      </c>
      <c r="CC183" s="12">
        <f>IF(Y183="",NA(),IF(Статистика!$D$8="Вкл",(((IF(Статистика!$C$4="Параллельный режим (активная мощность)",AC183,AN183)+Статистика!$J$4))-Статистика!$C$10)/MAX(Статистика!$G$10-Статистика!$C$10,0.000001),NA()))</f>
        <v>0.66489375833333297</v>
      </c>
      <c r="CD183" s="12">
        <f>IF(Y183="",NA(),IF(Статистика!$D$8="Вкл",(((IF(Статистика!$C$4="Параллельный режим (активная мощность)",AE183,AP183)+Статистика!$J$4))-Статистика!$C$10)/MAX(Статистика!$G$10-Статистика!$C$10,0.000001),NA()))</f>
        <v>0.74039715000000006</v>
      </c>
      <c r="CE183" s="12">
        <f>IF(Y183="",NA(),IF(Статистика!$F$8="Вкл",(((IF(Статистика!$C$4="Параллельный режим (активная мощность)",AB183,AM183)+Статистика!$J$4))-Статистика!$C$10)/MAX(Статистика!$G$10-Статистика!$C$10,0.000001),NA()))</f>
        <v>0.52282723555555544</v>
      </c>
      <c r="CF183" s="12">
        <f>IF(Y183="",NA(),IF(Статистика!$F$8="Вкл",(((IF(Статистика!$C$4="Параллельный режим (активная мощность)",AF183,AQ183)+Статистика!$J$4))-Статистика!$C$10)/MAX(Статистика!$G$10-Статистика!$C$10,0.000001),NA()))</f>
        <v>0.81990355722222197</v>
      </c>
      <c r="CG183" s="12">
        <f>IF(Y183="",NA(),IF(Статистика!$H$8="Вкл",(((IF(Статистика!$C$4="Параллельный режим (активная мощность)",Z183,AK183)+Статистика!$J$4))-Статистика!$C$10)/MAX(Статистика!$G$10-Статистика!$C$10,0.000001),NA()))</f>
        <v>0.49778043355555535</v>
      </c>
      <c r="CH183" s="12">
        <f>IF(Y183="",NA(),IF(Статистика!$H$8="Вкл",(((IF(Статистика!$C$4="Параллельный режим (активная мощность)",AH183,AS183)+Статистика!$J$4))-Статистика!$C$10)/MAX(Статистика!$G$10-Статистика!$C$10,0.000001),NA()))</f>
        <v>0.83052728572222201</v>
      </c>
      <c r="CI183" s="12" t="e">
        <f>IF(Y183="",NA(),IF(Статистика!$J$8="Вкл",(((IF(Статистика!$C$4="Параллельный режим (активная мощность)",AI183,AT183)+Статистика!$J$4))-Статистика!$C$10)/MAX(Статистика!$G$10-Статистика!$C$10,0.000001),NA()))</f>
        <v>#N/A</v>
      </c>
      <c r="CJ183" s="12" t="e">
        <f>IF(AND(Y183&lt;&gt;"",Статистика!$C$6="Вкл",Статистика!$B$6&gt;0),(Статистика!$B$6-Статистика!$C$10)/MAX(Статистика!$G$10-Статистика!$C$10,0.000001),NA())</f>
        <v>#N/A</v>
      </c>
      <c r="CK183" s="12" t="e">
        <f>IF(AND(Y183&lt;&gt;"",Статистика!$F$6="Вкл",Статистика!$E$6&gt;0),(Статистика!$E$6-Статистика!$C$10)/MAX(Статистика!$G$10-Статистика!$C$10,0.000001),NA())</f>
        <v>#N/A</v>
      </c>
      <c r="CL183" s="12" t="e">
        <f>IF(AND(Y183&lt;&gt;"",Статистика!$I$6="Вкл",Статистика!$H$6&gt;0),(Статистика!$H$6-Статистика!$C$10)/MAX(Статистика!$G$10-Статистика!$C$10,0.000001),NA())</f>
        <v>#N/A</v>
      </c>
      <c r="CM183" s="12" t="e">
        <f>IF(AND(Y183&lt;&gt;"",Статистика!$L$6="Вкл",Статистика!$K$6&gt;0),(Статистика!$K$6-Статистика!$C$10)/MAX(Статистика!$G$10-Статистика!$C$10,0.000001),NA())</f>
        <v>#N/A</v>
      </c>
      <c r="CN183" s="12" t="e">
        <f>IF(AND(Y183&lt;&gt;"",Статистика!$M$6="Вкл",Статистика!$O$6&gt;0),(Статистика!$O$6-Статистика!$C$10)/MAX(Статистика!$G$10-Статистика!$C$10,0.000001),NA())</f>
        <v>#N/A</v>
      </c>
      <c r="CO183" s="12">
        <f t="shared" si="5"/>
        <v>1</v>
      </c>
    </row>
    <row r="184" spans="1:93" ht="15" customHeight="1">
      <c r="A184" s="12" t="s">
        <v>785</v>
      </c>
      <c r="B184" s="12">
        <v>7501.3879033333324</v>
      </c>
      <c r="C184" s="12">
        <v>7513.2788499999997</v>
      </c>
      <c r="D184" s="12">
        <v>7523.4605066666663</v>
      </c>
      <c r="E184" s="12">
        <v>7742.6889666666666</v>
      </c>
      <c r="F184" s="12">
        <v>7886.1122333333333</v>
      </c>
      <c r="G184" s="12">
        <v>8096.6230333333342</v>
      </c>
      <c r="H184" s="12">
        <v>8332.3907333333318</v>
      </c>
      <c r="I184" s="12">
        <v>8442.0176333333329</v>
      </c>
      <c r="J184" s="12">
        <v>8565.0576599999986</v>
      </c>
      <c r="K184" s="12">
        <v>8727.66</v>
      </c>
      <c r="L184" s="12" t="s">
        <v>786</v>
      </c>
      <c r="M184" s="12">
        <v>8395.165633333334</v>
      </c>
      <c r="N184" s="12">
        <v>8406.8099000000002</v>
      </c>
      <c r="O184" s="12">
        <v>8430.5919533333326</v>
      </c>
      <c r="P184" s="12">
        <v>8710.2730666666666</v>
      </c>
      <c r="Q184" s="12">
        <v>8885.2353666666659</v>
      </c>
      <c r="R184" s="12">
        <v>9176.8274999999994</v>
      </c>
      <c r="S184" s="12">
        <v>9334.1650066666662</v>
      </c>
      <c r="T184" s="12">
        <v>9444.1866233333349</v>
      </c>
      <c r="U184" s="12">
        <v>9567.1678313333341</v>
      </c>
      <c r="V184" s="12">
        <v>9726.5400000000009</v>
      </c>
      <c r="W184" s="12" t="s">
        <v>786</v>
      </c>
      <c r="Y184" s="12" t="s">
        <v>785</v>
      </c>
      <c r="Z184" s="12">
        <v>7500.6584810000004</v>
      </c>
      <c r="AA184" s="12">
        <v>7531.0025383333341</v>
      </c>
      <c r="AB184" s="12">
        <v>7568.9326100000008</v>
      </c>
      <c r="AC184" s="12">
        <v>7894.300341666667</v>
      </c>
      <c r="AD184" s="12">
        <v>8118.5849666666672</v>
      </c>
      <c r="AE184" s="12">
        <v>8216.2019333333337</v>
      </c>
      <c r="AF184" s="12">
        <v>8477.8943999999992</v>
      </c>
      <c r="AG184" s="12">
        <v>8487.8671833333319</v>
      </c>
      <c r="AH184" s="12">
        <v>8495.8454099999999</v>
      </c>
      <c r="AI184" s="12">
        <v>8622.3799999999992</v>
      </c>
      <c r="AJ184" s="12" t="s">
        <v>787</v>
      </c>
      <c r="AK184" s="12">
        <v>8437.9732763333359</v>
      </c>
      <c r="AL184" s="12">
        <v>8498.0338483333344</v>
      </c>
      <c r="AM184" s="12">
        <v>8573.1095633333334</v>
      </c>
      <c r="AN184" s="12">
        <v>8882.7324749999989</v>
      </c>
      <c r="AO184" s="12">
        <v>9127.2511833333319</v>
      </c>
      <c r="AP184" s="12">
        <v>9299.1866166666659</v>
      </c>
      <c r="AQ184" s="12">
        <v>9486.5555199999999</v>
      </c>
      <c r="AR184" s="12">
        <v>9497.0435433333332</v>
      </c>
      <c r="AS184" s="12">
        <v>9505.4339619999992</v>
      </c>
      <c r="AT184" s="12">
        <v>9626.91</v>
      </c>
      <c r="AU184" s="12" t="s">
        <v>788</v>
      </c>
      <c r="AW184" s="12">
        <f>IF(A184="","",MAX(0,MIN(1,(((IF(Статистика!$C$4="Параллельный режим (активная мощность)",B184,M184)+Статистика!$J$4))-Статистика!$C$10)/MAX(Статистика!$G$10-Статистика!$C$10,0.000001))))</f>
        <v>0.50046263444444417</v>
      </c>
      <c r="AX184" s="12">
        <f>IF(A184="","",MAX(0,MAX(0,MIN(1,(((IF(Статистика!$C$4="Параллельный режим (активная мощность)",D184,O184)+Статистика!$J$4))-Статистика!$C$10)/MAX(Статистика!$G$10-Статистика!$C$10,0.000001)))-MAX(0,MIN(1,(((IF(Статистика!$C$4="Параллельный режим (активная мощность)",B184,M184)+Статистика!$J$4))-Статистика!$C$10)/MAX(Статистика!$G$10-Статистика!$C$10,0.000001)))))</f>
        <v>7.3575344444446467E-3</v>
      </c>
      <c r="AY184" s="12">
        <f>IF(A184="","",MAX(0,MAX(0,MIN(1,(((IF(Статистика!$C$4="Параллельный режим (активная мощность)",E184,P184)+Статистика!$J$4))-Статистика!$C$10)/MAX(Статистика!$G$10-Статистика!$C$10,0.000001)))-MAX(0,MIN(1,(((IF(Статистика!$C$4="Параллельный режим (активная мощность)",D184,O184)+Статистика!$J$4))-Статистика!$C$10)/MAX(Статистика!$G$10-Статистика!$C$10,0.000001)))))</f>
        <v>7.3076153333333393E-2</v>
      </c>
      <c r="AZ184" s="12">
        <f>IF(A184="","",MAX(0,MAX(0,MIN(1,(((IF(Статистика!$C$4="Параллельный режим (активная мощность)",F184,Q184)+Статистика!$J$4))-Статистика!$C$10)/MAX(Статистика!$G$10-Статистика!$C$10,0.000001)))-MAX(0,MIN(1,(((IF(Статистика!$C$4="Параллельный режим (активная мощность)",E184,P184)+Статистика!$J$4))-Статистика!$C$10)/MAX(Статистика!$G$10-Статистика!$C$10,0.000001)))))</f>
        <v>4.7807755555555609E-2</v>
      </c>
      <c r="BA184" s="12">
        <f>IF(A184="","",MAX(0,MAX(0,MIN(1,(((IF(Статистика!$C$4="Параллельный режим (активная мощность)",G184,R184)+Статистика!$J$4))-Статистика!$C$10)/MAX(Статистика!$G$10-Статистика!$C$10,0.000001)))-MAX(0,MIN(1,(((IF(Статистика!$C$4="Параллельный режим (активная мощность)",F184,Q184)+Статистика!$J$4))-Статистика!$C$10)/MAX(Статистика!$G$10-Статистика!$C$10,0.000001)))))</f>
        <v>7.0170266666666925E-2</v>
      </c>
      <c r="BB184" s="12">
        <f>IF(A184="","",MAX(0,MAX(0,MIN(1,(((IF(Статистика!$C$4="Параллельный режим (активная мощность)",H184,S184)+Статистика!$J$4))-Статистика!$C$10)/MAX(Статистика!$G$10-Статистика!$C$10,0.000001)))-MAX(0,MIN(1,(((IF(Статистика!$C$4="Параллельный режим (активная мощность)",G184,R184)+Статистика!$J$4))-Статистика!$C$10)/MAX(Статистика!$G$10-Статистика!$C$10,0.000001)))))</f>
        <v>7.8589233333332564E-2</v>
      </c>
      <c r="BC184" s="12">
        <f>IF(A184="","",MAX(0,MAX(0,MIN(1,(((IF(Статистика!$C$4="Параллельный режим (активная мощность)",J184,U184)+Статистика!$J$4))-Статистика!$C$10)/MAX(Статистика!$G$10-Статистика!$C$10,0.000001)))-MAX(0,MIN(1,(((IF(Статистика!$C$4="Параллельный режим (активная мощность)",H184,S184)+Статистика!$J$4))-Статистика!$C$10)/MAX(Статистика!$G$10-Статистика!$C$10,0.000001)))))</f>
        <v>7.7555642222222221E-2</v>
      </c>
      <c r="BD184" s="12">
        <f>IF(A184="","",MAX(0,1-MAX(0,MIN(1,(((IF(Статистика!$C$4="Параллельный режим (активная мощность)",J184,U184)+Статистика!$J$4))-Статистика!$C$10)/MAX(Статистика!$G$10-Статистика!$C$10,0.000001)))))</f>
        <v>0.14498078000000048</v>
      </c>
      <c r="BE184" s="12">
        <f>IF(A184="",NA(),IF(Статистика!$B$8="Вкл",(((IF(Статистика!$C$4="Параллельный режим (активная мощность)",F184,Q184)+Статистика!$J$4))-Статистика!$C$10)/MAX(Статистика!$G$10-Статистика!$C$10,0.000001),NA()))</f>
        <v>0.62870407777777781</v>
      </c>
      <c r="BF184" s="12">
        <f>IF(A184="",NA(),IF(Статистика!$D$8="Вкл",(((IF(Статистика!$C$4="Параллельный режим (активная мощность)",E184,P184)+Статистика!$J$4))-Статистика!$C$10)/MAX(Статистика!$G$10-Статистика!$C$10,0.000001),NA()))</f>
        <v>0.58089632222222221</v>
      </c>
      <c r="BG184" s="12">
        <f>IF(A184="",NA(),IF(Статистика!$D$8="Вкл",(((IF(Статистика!$C$4="Параллельный режим (активная мощность)",G184,R184)+Статистика!$J$4))-Статистика!$C$10)/MAX(Статистика!$G$10-Статистика!$C$10,0.000001),NA()))</f>
        <v>0.69887434444444474</v>
      </c>
      <c r="BH184" s="12">
        <f>IF(A184="",NA(),IF(Статистика!$F$8="Вкл",(((IF(Статистика!$C$4="Параллельный режим (активная мощность)",D184,O184)+Статистика!$J$4))-Статистика!$C$10)/MAX(Статистика!$G$10-Статистика!$C$10,0.000001),NA()))</f>
        <v>0.50782016888888881</v>
      </c>
      <c r="BI184" s="12">
        <f>IF(A184="",NA(),IF(Статистика!$F$8="Вкл",(((IF(Статистика!$C$4="Параллельный режим (активная мощность)",H184,S184)+Статистика!$J$4))-Статистика!$C$10)/MAX(Статистика!$G$10-Статистика!$C$10,0.000001),NA()))</f>
        <v>0.7774635777777773</v>
      </c>
      <c r="BJ184" s="12">
        <f>IF(A184="",NA(),IF(Статистика!$H$8="Вкл",(((IF(Статистика!$C$4="Параллельный режим (активная мощность)",B184,M184)+Статистика!$J$4))-Статистика!$C$10)/MAX(Статистика!$G$10-Статистика!$C$10,0.000001),NA()))</f>
        <v>0.50046263444444417</v>
      </c>
      <c r="BK184" s="12">
        <f>IF(A184="",NA(),IF(Статистика!$H$8="Вкл",(((IF(Статистика!$C$4="Параллельный режим (активная мощность)",J184,U184)+Статистика!$J$4))-Статистика!$C$10)/MAX(Статистика!$G$10-Статистика!$C$10,0.000001),NA()))</f>
        <v>0.85501921999999952</v>
      </c>
      <c r="BL184" s="12" t="e">
        <f>IF(A184="",NA(),IF(Статистика!$J$8="Вкл",(((IF(Статистика!$C$4="Параллельный режим (активная мощность)",K184,V184)+Статистика!$J$4))-Статистика!$C$10)/MAX(Статистика!$G$10-Статистика!$C$10,0.000001),NA()))</f>
        <v>#N/A</v>
      </c>
      <c r="BM184" s="12" t="e">
        <f>IF(AND(A184&lt;&gt;"",Статистика!$C$6="Вкл",Статистика!$B$6&gt;0),(Статистика!$B$6-Статистика!$C$10)/MAX(Статистика!$G$10-Статистика!$C$10,0.000001),NA())</f>
        <v>#N/A</v>
      </c>
      <c r="BN184" s="12" t="e">
        <f>IF(AND(A184&lt;&gt;"",Статистика!$F$6="Вкл",Статистика!$E$6&gt;0),(Статистика!$E$6-Статистика!$C$10)/MAX(Статистика!$G$10-Статистика!$C$10,0.000001),NA())</f>
        <v>#N/A</v>
      </c>
      <c r="BO184" s="12" t="e">
        <f>IF(AND(A184&lt;&gt;"",Статистика!$I$6="Вкл",Статистика!$H$6&gt;0),(Статистика!$H$6-Статистика!$C$10)/MAX(Статистика!$G$10-Статистика!$C$10,0.000001),NA())</f>
        <v>#N/A</v>
      </c>
      <c r="BP184" s="12" t="e">
        <f>IF(AND(A184&lt;&gt;"",Статистика!$L$6="Вкл",Статистика!$K$6&gt;0),(Статистика!$K$6-Статистика!$C$10)/MAX(Статистика!$G$10-Статистика!$C$10,0.000001),NA())</f>
        <v>#N/A</v>
      </c>
      <c r="BQ184" s="12" t="e">
        <f>IF(AND(A184&lt;&gt;"",Статистика!$M$6="Вкл",Статистика!$O$6&gt;0),(Статистика!$O$6-Статистика!$C$10)/MAX(Статистика!$G$10-Статистика!$C$10,0.000001),NA())</f>
        <v>#N/A</v>
      </c>
      <c r="BR184" s="12">
        <f t="shared" si="4"/>
        <v>1</v>
      </c>
      <c r="BT184" s="12">
        <f>IF(Y184="","",MAX(0,MIN(1,(((IF(Статистика!$C$4="Параллельный режим (активная мощность)",Z184,AK184)+Статистика!$J$4))-Статистика!$C$10)/MAX(Статистика!$G$10-Статистика!$C$10,0.000001))))</f>
        <v>0.50021949366666685</v>
      </c>
      <c r="BU184" s="12">
        <f>IF(Y184="","",MAX(0,MAX(0,MIN(1,(((IF(Статистика!$C$4="Параллельный режим (активная мощность)",AB184,AM184)+Статистика!$J$4))-Статистика!$C$10)/MAX(Статистика!$G$10-Статистика!$C$10,0.000001)))-MAX(0,MIN(1,(((IF(Статистика!$C$4="Параллельный режим (активная мощность)",Z184,AK184)+Статистика!$J$4))-Статистика!$C$10)/MAX(Статистика!$G$10-Статистика!$C$10,0.000001)))))</f>
        <v>2.2758043000000061E-2</v>
      </c>
      <c r="BV184" s="12">
        <f>IF(Y184="","",MAX(0,MAX(0,MIN(1,(((IF(Статистика!$C$4="Параллельный режим (активная мощность)",AC184,AN184)+Статистика!$J$4))-Статистика!$C$10)/MAX(Статистика!$G$10-Статистика!$C$10,0.000001)))-MAX(0,MIN(1,(((IF(Статистика!$C$4="Параллельный режим (активная мощность)",AB184,AM184)+Статистика!$J$4))-Статистика!$C$10)/MAX(Статистика!$G$10-Статистика!$C$10,0.000001)))))</f>
        <v>0.10845591055555548</v>
      </c>
      <c r="BW184" s="12">
        <f>IF(Y184="","",MAX(0,MAX(0,MIN(1,(((IF(Статистика!$C$4="Параллельный режим (активная мощность)",AD184,AO184)+Статистика!$J$4))-Статистика!$C$10)/MAX(Статистика!$G$10-Статистика!$C$10,0.000001)))-MAX(0,MIN(1,(((IF(Статистика!$C$4="Параллельный режим (активная мощность)",AC184,AN184)+Статистика!$J$4))-Статистика!$C$10)/MAX(Статистика!$G$10-Статистика!$C$10,0.000001)))))</f>
        <v>7.4761541666666709E-2</v>
      </c>
      <c r="BX184" s="12">
        <f>IF(Y184="","",MAX(0,MAX(0,MIN(1,(((IF(Статистика!$C$4="Параллельный режим (активная мощность)",AE184,AP184)+Статистика!$J$4))-Статистика!$C$10)/MAX(Статистика!$G$10-Статистика!$C$10,0.000001)))-MAX(0,MIN(1,(((IF(Статистика!$C$4="Параллельный режим (активная мощность)",AD184,AO184)+Статистика!$J$4))-Статистика!$C$10)/MAX(Статистика!$G$10-Статистика!$C$10,0.000001)))))</f>
        <v>3.2538988888888842E-2</v>
      </c>
      <c r="BY184" s="12">
        <f>IF(Y184="","",MAX(0,MAX(0,MIN(1,(((IF(Статистика!$C$4="Параллельный режим (активная мощность)",AF184,AQ184)+Статистика!$J$4))-Статистика!$C$10)/MAX(Статистика!$G$10-Статистика!$C$10,0.000001)))-MAX(0,MIN(1,(((IF(Статистика!$C$4="Параллельный режим (активная мощность)",AE184,AP184)+Статистика!$J$4))-Статистика!$C$10)/MAX(Статистика!$G$10-Статистика!$C$10,0.000001)))))</f>
        <v>8.7230822222221782E-2</v>
      </c>
      <c r="BZ184" s="12">
        <f>IF(Y184="","",MAX(0,MAX(0,MIN(1,(((IF(Статистика!$C$4="Параллельный режим (активная мощность)",AH184,AS184)+Статистика!$J$4))-Статистика!$C$10)/MAX(Статистика!$G$10-Статистика!$C$10,0.000001)))-MAX(0,MIN(1,(((IF(Статистика!$C$4="Параллельный режим (активная мощность)",AF184,AQ184)+Статистика!$J$4))-Статистика!$C$10)/MAX(Статистика!$G$10-Статистика!$C$10,0.000001)))))</f>
        <v>5.9836700000002185E-3</v>
      </c>
      <c r="CA184" s="12">
        <f>IF(Y184="","",MAX(0,1-MAX(0,MIN(1,(((IF(Статистика!$C$4="Параллельный режим (активная мощность)",AH184,AS184)+Статистика!$J$4))-Статистика!$C$10)/MAX(Статистика!$G$10-Статистика!$C$10,0.000001)))))</f>
        <v>0.16805153000000006</v>
      </c>
      <c r="CB184" s="12">
        <f>IF(Y184="",NA(),IF(Статистика!$B$8="Вкл",(((IF(Статистика!$C$4="Параллельный режим (активная мощность)",AD184,AO184)+Статистика!$J$4))-Статистика!$C$10)/MAX(Статистика!$G$10-Статистика!$C$10,0.000001),NA()))</f>
        <v>0.7061949888888891</v>
      </c>
      <c r="CC184" s="12">
        <f>IF(Y184="",NA(),IF(Статистика!$D$8="Вкл",(((IF(Статистика!$C$4="Параллельный режим (активная мощность)",AC184,AN184)+Статистика!$J$4))-Статистика!$C$10)/MAX(Статистика!$G$10-Статистика!$C$10,0.000001),NA()))</f>
        <v>0.63143344722222239</v>
      </c>
      <c r="CD184" s="12">
        <f>IF(Y184="",NA(),IF(Статистика!$D$8="Вкл",(((IF(Статистика!$C$4="Параллельный режим (активная мощность)",AE184,AP184)+Статистика!$J$4))-Статистика!$C$10)/MAX(Статистика!$G$10-Статистика!$C$10,0.000001),NA()))</f>
        <v>0.73873397777777794</v>
      </c>
      <c r="CE184" s="12">
        <f>IF(Y184="",NA(),IF(Статистика!$F$8="Вкл",(((IF(Статистика!$C$4="Параллельный режим (активная мощность)",AB184,AM184)+Статистика!$J$4))-Статистика!$C$10)/MAX(Статистика!$G$10-Статистика!$C$10,0.000001),NA()))</f>
        <v>0.52297753666666691</v>
      </c>
      <c r="CF184" s="12">
        <f>IF(Y184="",NA(),IF(Статистика!$F$8="Вкл",(((IF(Статистика!$C$4="Параллельный режим (активная мощность)",AF184,AQ184)+Статистика!$J$4))-Статистика!$C$10)/MAX(Статистика!$G$10-Статистика!$C$10,0.000001),NA()))</f>
        <v>0.82596479999999972</v>
      </c>
      <c r="CG184" s="12">
        <f>IF(Y184="",NA(),IF(Статистика!$H$8="Вкл",(((IF(Статистика!$C$4="Параллельный режим (активная мощность)",Z184,AK184)+Статистика!$J$4))-Статистика!$C$10)/MAX(Статистика!$G$10-Статистика!$C$10,0.000001),NA()))</f>
        <v>0.50021949366666685</v>
      </c>
      <c r="CH184" s="12">
        <f>IF(Y184="",NA(),IF(Статистика!$H$8="Вкл",(((IF(Статистика!$C$4="Параллельный режим (активная мощность)",AH184,AS184)+Статистика!$J$4))-Статистика!$C$10)/MAX(Статистика!$G$10-Статистика!$C$10,0.000001),NA()))</f>
        <v>0.83194846999999994</v>
      </c>
      <c r="CI184" s="12" t="e">
        <f>IF(Y184="",NA(),IF(Статистика!$J$8="Вкл",(((IF(Статистика!$C$4="Параллельный режим (активная мощность)",AI184,AT184)+Статистика!$J$4))-Статистика!$C$10)/MAX(Статистика!$G$10-Статистика!$C$10,0.000001),NA()))</f>
        <v>#N/A</v>
      </c>
      <c r="CJ184" s="12" t="e">
        <f>IF(AND(Y184&lt;&gt;"",Статистика!$C$6="Вкл",Статистика!$B$6&gt;0),(Статистика!$B$6-Статистика!$C$10)/MAX(Статистика!$G$10-Статистика!$C$10,0.000001),NA())</f>
        <v>#N/A</v>
      </c>
      <c r="CK184" s="12" t="e">
        <f>IF(AND(Y184&lt;&gt;"",Статистика!$F$6="Вкл",Статистика!$E$6&gt;0),(Статистика!$E$6-Статистика!$C$10)/MAX(Статистика!$G$10-Статистика!$C$10,0.000001),NA())</f>
        <v>#N/A</v>
      </c>
      <c r="CL184" s="12" t="e">
        <f>IF(AND(Y184&lt;&gt;"",Статистика!$I$6="Вкл",Статистика!$H$6&gt;0),(Статистика!$H$6-Статистика!$C$10)/MAX(Статистика!$G$10-Статистика!$C$10,0.000001),NA())</f>
        <v>#N/A</v>
      </c>
      <c r="CM184" s="12" t="e">
        <f>IF(AND(Y184&lt;&gt;"",Статистика!$L$6="Вкл",Статистика!$K$6&gt;0),(Статистика!$K$6-Статистика!$C$10)/MAX(Статистика!$G$10-Статистика!$C$10,0.000001),NA())</f>
        <v>#N/A</v>
      </c>
      <c r="CN184" s="12" t="e">
        <f>IF(AND(Y184&lt;&gt;"",Статистика!$M$6="Вкл",Статистика!$O$6&gt;0),(Статистика!$O$6-Статистика!$C$10)/MAX(Статистика!$G$10-Статистика!$C$10,0.000001),NA())</f>
        <v>#N/A</v>
      </c>
      <c r="CO184" s="12">
        <f t="shared" si="5"/>
        <v>1</v>
      </c>
    </row>
    <row r="185" spans="1:93" ht="15" customHeight="1">
      <c r="A185" s="12" t="s">
        <v>789</v>
      </c>
      <c r="B185" s="12">
        <v>7495.6084926666663</v>
      </c>
      <c r="C185" s="12">
        <v>7534.5933966666671</v>
      </c>
      <c r="D185" s="12">
        <v>7561.6023800000003</v>
      </c>
      <c r="E185" s="12">
        <v>7754.3824333333332</v>
      </c>
      <c r="F185" s="12">
        <v>7864.8632333333326</v>
      </c>
      <c r="G185" s="12">
        <v>8042.0155999999988</v>
      </c>
      <c r="H185" s="12">
        <v>8303.3779466666656</v>
      </c>
      <c r="I185" s="12">
        <v>8411.7202866666667</v>
      </c>
      <c r="J185" s="12">
        <v>8532.6575506666668</v>
      </c>
      <c r="K185" s="12">
        <v>8690.1</v>
      </c>
      <c r="L185" s="12" t="s">
        <v>790</v>
      </c>
      <c r="M185" s="12">
        <v>8380.4462553333324</v>
      </c>
      <c r="N185" s="12">
        <v>8479.0607433333334</v>
      </c>
      <c r="O185" s="12">
        <v>8545.8382266666667</v>
      </c>
      <c r="P185" s="12">
        <v>8717.5920333333324</v>
      </c>
      <c r="Q185" s="12">
        <v>8892.3893333333326</v>
      </c>
      <c r="R185" s="12">
        <v>9121.0758000000005</v>
      </c>
      <c r="S185" s="12">
        <v>9310.7849333333343</v>
      </c>
      <c r="T185" s="12">
        <v>9419.1998766666675</v>
      </c>
      <c r="U185" s="12">
        <v>9542.2628820000009</v>
      </c>
      <c r="V185" s="12">
        <v>9688.76</v>
      </c>
      <c r="W185" s="12" t="s">
        <v>790</v>
      </c>
      <c r="Y185" s="12" t="s">
        <v>789</v>
      </c>
      <c r="Z185" s="12">
        <v>7494.9434113333336</v>
      </c>
      <c r="AA185" s="12">
        <v>7509.0893233333336</v>
      </c>
      <c r="AB185" s="12">
        <v>7526.7717133333335</v>
      </c>
      <c r="AC185" s="12">
        <v>7822.6645083333333</v>
      </c>
      <c r="AD185" s="12">
        <v>8084.3440000000001</v>
      </c>
      <c r="AE185" s="12">
        <v>8166.2671916666677</v>
      </c>
      <c r="AF185" s="12">
        <v>8437.5928883333345</v>
      </c>
      <c r="AG185" s="12">
        <v>8459.1689941666664</v>
      </c>
      <c r="AH185" s="12">
        <v>8476.4298788333326</v>
      </c>
      <c r="AI185" s="12">
        <v>8622.07</v>
      </c>
      <c r="AJ185" s="12" t="s">
        <v>791</v>
      </c>
      <c r="AK185" s="12">
        <v>8427.8706373333316</v>
      </c>
      <c r="AL185" s="12">
        <v>8470.3378533333325</v>
      </c>
      <c r="AM185" s="12">
        <v>8523.4218733333346</v>
      </c>
      <c r="AN185" s="12">
        <v>8793.1432249999998</v>
      </c>
      <c r="AO185" s="12">
        <v>9108.6224333333339</v>
      </c>
      <c r="AP185" s="12">
        <v>9248.8114999999998</v>
      </c>
      <c r="AQ185" s="12">
        <v>9447.8824216666671</v>
      </c>
      <c r="AR185" s="12">
        <v>9472.6820774999997</v>
      </c>
      <c r="AS185" s="12">
        <v>9492.5218021666678</v>
      </c>
      <c r="AT185" s="12">
        <v>9628.66</v>
      </c>
      <c r="AU185" s="12" t="s">
        <v>791</v>
      </c>
      <c r="AW185" s="12">
        <f>IF(A185="","",MAX(0,MIN(1,(((IF(Статистика!$C$4="Параллельный режим (активная мощность)",B185,M185)+Статистика!$J$4))-Статистика!$C$10)/MAX(Статистика!$G$10-Статистика!$C$10,0.000001))))</f>
        <v>0.49853616422222208</v>
      </c>
      <c r="AX185" s="12">
        <f>IF(A185="","",MAX(0,MAX(0,MIN(1,(((IF(Статистика!$C$4="Параллельный режим (активная мощность)",D185,O185)+Статистика!$J$4))-Статистика!$C$10)/MAX(Статистика!$G$10-Статистика!$C$10,0.000001)))-MAX(0,MIN(1,(((IF(Статистика!$C$4="Параллельный режим (активная мощность)",B185,M185)+Статистика!$J$4))-Статистика!$C$10)/MAX(Статистика!$G$10-Статистика!$C$10,0.000001)))))</f>
        <v>2.1997962444444685E-2</v>
      </c>
      <c r="AY185" s="12">
        <f>IF(A185="","",MAX(0,MAX(0,MIN(1,(((IF(Статистика!$C$4="Параллельный режим (активная мощность)",E185,P185)+Статистика!$J$4))-Статистика!$C$10)/MAX(Статистика!$G$10-Статистика!$C$10,0.000001)))-MAX(0,MIN(1,(((IF(Статистика!$C$4="Параллельный режим (активная мощность)",D185,O185)+Статистика!$J$4))-Статистика!$C$10)/MAX(Статистика!$G$10-Статистика!$C$10,0.000001)))))</f>
        <v>6.4260017777777678E-2</v>
      </c>
      <c r="AZ185" s="12">
        <f>IF(A185="","",MAX(0,MAX(0,MIN(1,(((IF(Статистика!$C$4="Параллельный режим (активная мощность)",F185,Q185)+Статистика!$J$4))-Статистика!$C$10)/MAX(Статистика!$G$10-Статистика!$C$10,0.000001)))-MAX(0,MIN(1,(((IF(Статистика!$C$4="Параллельный режим (активная мощность)",E185,P185)+Статистика!$J$4))-Статистика!$C$10)/MAX(Статистика!$G$10-Статистика!$C$10,0.000001)))))</f>
        <v>3.6826933333333089E-2</v>
      </c>
      <c r="BA185" s="12">
        <f>IF(A185="","",MAX(0,MAX(0,MIN(1,(((IF(Статистика!$C$4="Параллельный режим (активная мощность)",G185,R185)+Статистика!$J$4))-Статистика!$C$10)/MAX(Статистика!$G$10-Статистика!$C$10,0.000001)))-MAX(0,MIN(1,(((IF(Статистика!$C$4="Параллельный режим (активная мощность)",F185,Q185)+Статистика!$J$4))-Статистика!$C$10)/MAX(Статистика!$G$10-Статистика!$C$10,0.000001)))))</f>
        <v>5.9050788888888706E-2</v>
      </c>
      <c r="BB185" s="12">
        <f>IF(A185="","",MAX(0,MAX(0,MIN(1,(((IF(Статистика!$C$4="Параллельный режим (активная мощность)",H185,S185)+Статистика!$J$4))-Статистика!$C$10)/MAX(Статистика!$G$10-Статистика!$C$10,0.000001)))-MAX(0,MIN(1,(((IF(Статистика!$C$4="Параллельный режим (активная мощность)",G185,R185)+Статистика!$J$4))-Статистика!$C$10)/MAX(Статистика!$G$10-Статистика!$C$10,0.000001)))))</f>
        <v>8.7120782222222304E-2</v>
      </c>
      <c r="BC185" s="12">
        <f>IF(A185="","",MAX(0,MAX(0,MIN(1,(((IF(Статистика!$C$4="Параллельный режим (активная мощность)",J185,U185)+Статистика!$J$4))-Статистика!$C$10)/MAX(Статистика!$G$10-Статистика!$C$10,0.000001)))-MAX(0,MIN(1,(((IF(Статистика!$C$4="Параллельный режим (активная мощность)",H185,S185)+Статистика!$J$4))-Статистика!$C$10)/MAX(Статистика!$G$10-Статистика!$C$10,0.000001)))))</f>
        <v>7.6426534666667045E-2</v>
      </c>
      <c r="BD185" s="12">
        <f>IF(A185="","",MAX(0,1-MAX(0,MIN(1,(((IF(Статистика!$C$4="Параллельный режим (активная мощность)",J185,U185)+Статистика!$J$4))-Статистика!$C$10)/MAX(Статистика!$G$10-Статистика!$C$10,0.000001)))))</f>
        <v>0.15578081644444441</v>
      </c>
      <c r="BE185" s="12">
        <f>IF(A185="",NA(),IF(Статистика!$B$8="Вкл",(((IF(Статистика!$C$4="Параллельный режим (активная мощность)",F185,Q185)+Статистика!$J$4))-Статистика!$C$10)/MAX(Статистика!$G$10-Статистика!$C$10,0.000001),NA()))</f>
        <v>0.62162107777777753</v>
      </c>
      <c r="BF185" s="12">
        <f>IF(A185="",NA(),IF(Статистика!$D$8="Вкл",(((IF(Статистика!$C$4="Параллельный режим (активная мощность)",E185,P185)+Статистика!$J$4))-Статистика!$C$10)/MAX(Статистика!$G$10-Статистика!$C$10,0.000001),NA()))</f>
        <v>0.58479414444444444</v>
      </c>
      <c r="BG185" s="12">
        <f>IF(A185="",NA(),IF(Статистика!$D$8="Вкл",(((IF(Статистика!$C$4="Параллельный режим (активная мощность)",G185,R185)+Статистика!$J$4))-Статистика!$C$10)/MAX(Статистика!$G$10-Статистика!$C$10,0.000001),NA()))</f>
        <v>0.68067186666666624</v>
      </c>
      <c r="BH185" s="12">
        <f>IF(A185="",NA(),IF(Статистика!$F$8="Вкл",(((IF(Статистика!$C$4="Параллельный режим (активная мощность)",D185,O185)+Статистика!$J$4))-Статистика!$C$10)/MAX(Статистика!$G$10-Статистика!$C$10,0.000001),NA()))</f>
        <v>0.52053412666666676</v>
      </c>
      <c r="BI185" s="12">
        <f>IF(A185="",NA(),IF(Статистика!$F$8="Вкл",(((IF(Статистика!$C$4="Параллельный режим (активная мощность)",H185,S185)+Статистика!$J$4))-Статистика!$C$10)/MAX(Статистика!$G$10-Статистика!$C$10,0.000001),NA()))</f>
        <v>0.76779264888888854</v>
      </c>
      <c r="BJ185" s="12">
        <f>IF(A185="",NA(),IF(Статистика!$H$8="Вкл",(((IF(Статистика!$C$4="Параллельный режим (активная мощность)",B185,M185)+Статистика!$J$4))-Статистика!$C$10)/MAX(Статистика!$G$10-Статистика!$C$10,0.000001),NA()))</f>
        <v>0.49853616422222208</v>
      </c>
      <c r="BK185" s="12">
        <f>IF(A185="",NA(),IF(Статистика!$H$8="Вкл",(((IF(Статистика!$C$4="Параллельный режим (активная мощность)",J185,U185)+Статистика!$J$4))-Статистика!$C$10)/MAX(Статистика!$G$10-Статистика!$C$10,0.000001),NA()))</f>
        <v>0.84421918355555559</v>
      </c>
      <c r="BL185" s="12" t="e">
        <f>IF(A185="",NA(),IF(Статистика!$J$8="Вкл",(((IF(Статистика!$C$4="Параллельный режим (активная мощность)",K185,V185)+Статистика!$J$4))-Статистика!$C$10)/MAX(Статистика!$G$10-Статистика!$C$10,0.000001),NA()))</f>
        <v>#N/A</v>
      </c>
      <c r="BM185" s="12" t="e">
        <f>IF(AND(A185&lt;&gt;"",Статистика!$C$6="Вкл",Статистика!$B$6&gt;0),(Статистика!$B$6-Статистика!$C$10)/MAX(Статистика!$G$10-Статистика!$C$10,0.000001),NA())</f>
        <v>#N/A</v>
      </c>
      <c r="BN185" s="12" t="e">
        <f>IF(AND(A185&lt;&gt;"",Статистика!$F$6="Вкл",Статистика!$E$6&gt;0),(Статистика!$E$6-Статистика!$C$10)/MAX(Статистика!$G$10-Статистика!$C$10,0.000001),NA())</f>
        <v>#N/A</v>
      </c>
      <c r="BO185" s="12" t="e">
        <f>IF(AND(A185&lt;&gt;"",Статистика!$I$6="Вкл",Статистика!$H$6&gt;0),(Статистика!$H$6-Статистика!$C$10)/MAX(Статистика!$G$10-Статистика!$C$10,0.000001),NA())</f>
        <v>#N/A</v>
      </c>
      <c r="BP185" s="12" t="e">
        <f>IF(AND(A185&lt;&gt;"",Статистика!$L$6="Вкл",Статистика!$K$6&gt;0),(Статистика!$K$6-Статистика!$C$10)/MAX(Статистика!$G$10-Статистика!$C$10,0.000001),NA())</f>
        <v>#N/A</v>
      </c>
      <c r="BQ185" s="12" t="e">
        <f>IF(AND(A185&lt;&gt;"",Статистика!$M$6="Вкл",Статистика!$O$6&gt;0),(Статистика!$O$6-Статистика!$C$10)/MAX(Статистика!$G$10-Статистика!$C$10,0.000001),NA())</f>
        <v>#N/A</v>
      </c>
      <c r="BR185" s="12">
        <f t="shared" si="4"/>
        <v>1</v>
      </c>
      <c r="BT185" s="12">
        <f>IF(Y185="","",MAX(0,MIN(1,(((IF(Статистика!$C$4="Параллельный режим (активная мощность)",Z185,AK185)+Статистика!$J$4))-Статистика!$C$10)/MAX(Статистика!$G$10-Статистика!$C$10,0.000001))))</f>
        <v>0.49831447044444455</v>
      </c>
      <c r="BU185" s="12">
        <f>IF(Y185="","",MAX(0,MAX(0,MIN(1,(((IF(Статистика!$C$4="Параллельный режим (активная мощность)",AB185,AM185)+Статистика!$J$4))-Статистика!$C$10)/MAX(Статистика!$G$10-Статистика!$C$10,0.000001)))-MAX(0,MIN(1,(((IF(Статистика!$C$4="Параллельный режим (активная мощность)",Z185,AK185)+Статистика!$J$4))-Статистика!$C$10)/MAX(Статистика!$G$10-Статистика!$C$10,0.000001)))))</f>
        <v>1.0609433999999918E-2</v>
      </c>
      <c r="BV185" s="12">
        <f>IF(Y185="","",MAX(0,MAX(0,MIN(1,(((IF(Статистика!$C$4="Параллельный режим (активная мощность)",AC185,AN185)+Статистика!$J$4))-Статистика!$C$10)/MAX(Статистика!$G$10-Статистика!$C$10,0.000001)))-MAX(0,MIN(1,(((IF(Статистика!$C$4="Параллельный режим (активная мощность)",AB185,AM185)+Статистика!$J$4))-Статистика!$C$10)/MAX(Статистика!$G$10-Статистика!$C$10,0.000001)))))</f>
        <v>9.8630931666666588E-2</v>
      </c>
      <c r="BW185" s="12">
        <f>IF(Y185="","",MAX(0,MAX(0,MIN(1,(((IF(Статистика!$C$4="Параллельный режим (активная мощность)",AD185,AO185)+Статистика!$J$4))-Статистика!$C$10)/MAX(Статистика!$G$10-Статистика!$C$10,0.000001)))-MAX(0,MIN(1,(((IF(Статистика!$C$4="Параллельный режим (активная мощность)",AC185,AN185)+Статистика!$J$4))-Статистика!$C$10)/MAX(Статистика!$G$10-Статистика!$C$10,0.000001)))))</f>
        <v>8.722649722222231E-2</v>
      </c>
      <c r="BX185" s="12">
        <f>IF(Y185="","",MAX(0,MAX(0,MIN(1,(((IF(Статистика!$C$4="Параллельный режим (активная мощность)",AE185,AP185)+Статистика!$J$4))-Статистика!$C$10)/MAX(Статистика!$G$10-Статистика!$C$10,0.000001)))-MAX(0,MIN(1,(((IF(Статистика!$C$4="Параллельный режим (активная мощность)",AD185,AO185)+Статистика!$J$4))-Статистика!$C$10)/MAX(Статистика!$G$10-Статистика!$C$10,0.000001)))))</f>
        <v>2.7307730555555909E-2</v>
      </c>
      <c r="BY185" s="12">
        <f>IF(Y185="","",MAX(0,MAX(0,MIN(1,(((IF(Статистика!$C$4="Параллельный режим (активная мощность)",AF185,AQ185)+Статистика!$J$4))-Статистика!$C$10)/MAX(Статистика!$G$10-Статистика!$C$10,0.000001)))-MAX(0,MIN(1,(((IF(Статистика!$C$4="Параллельный режим (активная мощность)",AE185,AP185)+Статистика!$J$4))-Статистика!$C$10)/MAX(Статистика!$G$10-Статистика!$C$10,0.000001)))))</f>
        <v>9.0441898888888872E-2</v>
      </c>
      <c r="BZ185" s="12">
        <f>IF(Y185="","",MAX(0,MAX(0,MIN(1,(((IF(Статистика!$C$4="Параллельный режим (активная мощность)",AH185,AS185)+Статистика!$J$4))-Статистика!$C$10)/MAX(Статистика!$G$10-Статистика!$C$10,0.000001)))-MAX(0,MIN(1,(((IF(Статистика!$C$4="Параллельный режим (активная мощность)",AF185,AQ185)+Статистика!$J$4))-Статистика!$C$10)/MAX(Статистика!$G$10-Статистика!$C$10,0.000001)))))</f>
        <v>1.2945663499999371E-2</v>
      </c>
      <c r="CA185" s="12">
        <f>IF(Y185="","",MAX(0,1-MAX(0,MIN(1,(((IF(Статистика!$C$4="Параллельный режим (активная мощность)",AH185,AS185)+Статистика!$J$4))-Статистика!$C$10)/MAX(Статистика!$G$10-Статистика!$C$10,0.000001)))))</f>
        <v>0.17452337372222249</v>
      </c>
      <c r="CB185" s="12">
        <f>IF(Y185="",NA(),IF(Статистика!$B$8="Вкл",(((IF(Статистика!$C$4="Параллельный режим (активная мощность)",AD185,AO185)+Статистика!$J$4))-Статистика!$C$10)/MAX(Статистика!$G$10-Статистика!$C$10,0.000001),NA()))</f>
        <v>0.69478133333333336</v>
      </c>
      <c r="CC185" s="12">
        <f>IF(Y185="",NA(),IF(Статистика!$D$8="Вкл",(((IF(Статистика!$C$4="Параллельный режим (активная мощность)",AC185,AN185)+Статистика!$J$4))-Статистика!$C$10)/MAX(Статистика!$G$10-Статистика!$C$10,0.000001),NA()))</f>
        <v>0.60755483611111105</v>
      </c>
      <c r="CD185" s="12">
        <f>IF(Y185="",NA(),IF(Статистика!$D$8="Вкл",(((IF(Статистика!$C$4="Параллельный режим (активная мощность)",AE185,AP185)+Статистика!$J$4))-Статистика!$C$10)/MAX(Статистика!$G$10-Статистика!$C$10,0.000001),NA()))</f>
        <v>0.72208906388888927</v>
      </c>
      <c r="CE185" s="12">
        <f>IF(Y185="",NA(),IF(Статистика!$F$8="Вкл",(((IF(Статистика!$C$4="Параллельный режим (активная мощность)",AB185,AM185)+Статистика!$J$4))-Статистика!$C$10)/MAX(Статистика!$G$10-Статистика!$C$10,0.000001),NA()))</f>
        <v>0.50892390444444446</v>
      </c>
      <c r="CF185" s="12">
        <f>IF(Y185="",NA(),IF(Статистика!$F$8="Вкл",(((IF(Статистика!$C$4="Параллельный режим (активная мощность)",AF185,AQ185)+Статистика!$J$4))-Статистика!$C$10)/MAX(Статистика!$G$10-Статистика!$C$10,0.000001),NA()))</f>
        <v>0.81253096277777814</v>
      </c>
      <c r="CG185" s="12">
        <f>IF(Y185="",NA(),IF(Статистика!$H$8="Вкл",(((IF(Статистика!$C$4="Параллельный режим (активная мощность)",Z185,AK185)+Статистика!$J$4))-Статистика!$C$10)/MAX(Статистика!$G$10-Статистика!$C$10,0.000001),NA()))</f>
        <v>0.49831447044444455</v>
      </c>
      <c r="CH185" s="12">
        <f>IF(Y185="",NA(),IF(Статистика!$H$8="Вкл",(((IF(Статистика!$C$4="Параллельный режим (активная мощность)",AH185,AS185)+Статистика!$J$4))-Статистика!$C$10)/MAX(Статистика!$G$10-Статистика!$C$10,0.000001),NA()))</f>
        <v>0.82547662627777751</v>
      </c>
      <c r="CI185" s="12" t="e">
        <f>IF(Y185="",NA(),IF(Статистика!$J$8="Вкл",(((IF(Статистика!$C$4="Параллельный режим (активная мощность)",AI185,AT185)+Статистика!$J$4))-Статистика!$C$10)/MAX(Статистика!$G$10-Статистика!$C$10,0.000001),NA()))</f>
        <v>#N/A</v>
      </c>
      <c r="CJ185" s="12" t="e">
        <f>IF(AND(Y185&lt;&gt;"",Статистика!$C$6="Вкл",Статистика!$B$6&gt;0),(Статистика!$B$6-Статистика!$C$10)/MAX(Статистика!$G$10-Статистика!$C$10,0.000001),NA())</f>
        <v>#N/A</v>
      </c>
      <c r="CK185" s="12" t="e">
        <f>IF(AND(Y185&lt;&gt;"",Статистика!$F$6="Вкл",Статистика!$E$6&gt;0),(Статистика!$E$6-Статистика!$C$10)/MAX(Статистика!$G$10-Статистика!$C$10,0.000001),NA())</f>
        <v>#N/A</v>
      </c>
      <c r="CL185" s="12" t="e">
        <f>IF(AND(Y185&lt;&gt;"",Статистика!$I$6="Вкл",Статистика!$H$6&gt;0),(Статистика!$H$6-Статистика!$C$10)/MAX(Статистика!$G$10-Статистика!$C$10,0.000001),NA())</f>
        <v>#N/A</v>
      </c>
      <c r="CM185" s="12" t="e">
        <f>IF(AND(Y185&lt;&gt;"",Статистика!$L$6="Вкл",Статистика!$K$6&gt;0),(Статистика!$K$6-Статистика!$C$10)/MAX(Статистика!$G$10-Статистика!$C$10,0.000001),NA())</f>
        <v>#N/A</v>
      </c>
      <c r="CN185" s="12" t="e">
        <f>IF(AND(Y185&lt;&gt;"",Статистика!$M$6="Вкл",Статистика!$O$6&gt;0),(Статистика!$O$6-Статистика!$C$10)/MAX(Статистика!$G$10-Статистика!$C$10,0.000001),NA())</f>
        <v>#N/A</v>
      </c>
      <c r="CO185" s="12">
        <f t="shared" si="5"/>
        <v>1</v>
      </c>
    </row>
    <row r="186" spans="1:93" ht="15" customHeight="1">
      <c r="A186" s="12" t="s">
        <v>792</v>
      </c>
      <c r="B186" s="12">
        <v>7429.676991166667</v>
      </c>
      <c r="C186" s="12">
        <v>7474.6838891666666</v>
      </c>
      <c r="D186" s="12">
        <v>7501.279861666666</v>
      </c>
      <c r="E186" s="12">
        <v>7679.0738416666672</v>
      </c>
      <c r="F186" s="12">
        <v>7888.9449833333338</v>
      </c>
      <c r="G186" s="12">
        <v>8045.8344999999999</v>
      </c>
      <c r="H186" s="12">
        <v>8429.9558916666665</v>
      </c>
      <c r="I186" s="12">
        <v>8625.4229001190488</v>
      </c>
      <c r="J186" s="12">
        <v>8818.6542943095246</v>
      </c>
      <c r="K186" s="12">
        <v>8914.0300000000007</v>
      </c>
      <c r="L186" s="12" t="s">
        <v>793</v>
      </c>
      <c r="M186" s="12">
        <v>8317.6355569999996</v>
      </c>
      <c r="N186" s="12">
        <v>8418.0025850000002</v>
      </c>
      <c r="O186" s="12">
        <v>8488.465325000001</v>
      </c>
      <c r="P186" s="12">
        <v>8662.4228833333345</v>
      </c>
      <c r="Q186" s="12">
        <v>8886.8220999999976</v>
      </c>
      <c r="R186" s="12">
        <v>9063.0339499999991</v>
      </c>
      <c r="S186" s="12">
        <v>9424.877253333334</v>
      </c>
      <c r="T186" s="12">
        <v>9613.4261351190471</v>
      </c>
      <c r="U186" s="12">
        <v>9810.7976079761902</v>
      </c>
      <c r="V186" s="12">
        <v>9905.98</v>
      </c>
      <c r="W186" s="12" t="s">
        <v>794</v>
      </c>
      <c r="Y186" s="12" t="s">
        <v>792</v>
      </c>
      <c r="Z186" s="12">
        <v>7447.7402331666653</v>
      </c>
      <c r="AA186" s="12">
        <v>7465.324899166666</v>
      </c>
      <c r="AB186" s="12">
        <v>7487.3057316666664</v>
      </c>
      <c r="AC186" s="12">
        <v>7850.9891499999994</v>
      </c>
      <c r="AD186" s="12">
        <v>8022.8505999999998</v>
      </c>
      <c r="AE186" s="12">
        <v>8106.0541166666662</v>
      </c>
      <c r="AF186" s="12">
        <v>8409.4624666666659</v>
      </c>
      <c r="AG186" s="12">
        <v>8428.9165166666662</v>
      </c>
      <c r="AH186" s="12">
        <v>8444.4797566666657</v>
      </c>
      <c r="AI186" s="12">
        <v>8612.41</v>
      </c>
      <c r="AJ186" s="12" t="s">
        <v>795</v>
      </c>
      <c r="AK186" s="12">
        <v>8373.5721556666667</v>
      </c>
      <c r="AL186" s="12">
        <v>8425.0653116666672</v>
      </c>
      <c r="AM186" s="12">
        <v>8489.4317566666668</v>
      </c>
      <c r="AN186" s="12">
        <v>8821.6221166666655</v>
      </c>
      <c r="AO186" s="12">
        <v>9062.6940833333319</v>
      </c>
      <c r="AP186" s="12">
        <v>9205.6958999999988</v>
      </c>
      <c r="AQ186" s="12">
        <v>9426.8373016666665</v>
      </c>
      <c r="AR186" s="12">
        <v>9445.5291341666671</v>
      </c>
      <c r="AS186" s="12">
        <v>9460.4826001666679</v>
      </c>
      <c r="AT186" s="12">
        <v>9605.92</v>
      </c>
      <c r="AU186" s="12" t="s">
        <v>795</v>
      </c>
      <c r="AW186" s="12">
        <f>IF(A186="","",MAX(0,MIN(1,(((IF(Статистика!$C$4="Параллельный режим (активная мощность)",B186,M186)+Статистика!$J$4))-Статистика!$C$10)/MAX(Статистика!$G$10-Статистика!$C$10,0.000001))))</f>
        <v>0.47655899705555566</v>
      </c>
      <c r="AX186" s="12">
        <f>IF(A186="","",MAX(0,MAX(0,MIN(1,(((IF(Статистика!$C$4="Параллельный режим (активная мощность)",D186,O186)+Статистика!$J$4))-Статистика!$C$10)/MAX(Статистика!$G$10-Статистика!$C$10,0.000001)))-MAX(0,MIN(1,(((IF(Статистика!$C$4="Параллельный режим (активная мощность)",B186,M186)+Статистика!$J$4))-Статистика!$C$10)/MAX(Статистика!$G$10-Статистика!$C$10,0.000001)))))</f>
        <v>2.3867623499999657E-2</v>
      </c>
      <c r="AY186" s="12">
        <f>IF(A186="","",MAX(0,MAX(0,MIN(1,(((IF(Статистика!$C$4="Параллельный режим (активная мощность)",E186,P186)+Статистика!$J$4))-Статистика!$C$10)/MAX(Статистика!$G$10-Статистика!$C$10,0.000001)))-MAX(0,MIN(1,(((IF(Статистика!$C$4="Параллельный режим (активная мощность)",D186,O186)+Статистика!$J$4))-Статистика!$C$10)/MAX(Статистика!$G$10-Статистика!$C$10,0.000001)))))</f>
        <v>5.9264660000000413E-2</v>
      </c>
      <c r="AZ186" s="12">
        <f>IF(A186="","",MAX(0,MAX(0,MIN(1,(((IF(Статистика!$C$4="Параллельный режим (активная мощность)",F186,Q186)+Статистика!$J$4))-Статистика!$C$10)/MAX(Статистика!$G$10-Статистика!$C$10,0.000001)))-MAX(0,MIN(1,(((IF(Статистика!$C$4="Параллельный режим (активная мощность)",E186,P186)+Статистика!$J$4))-Статистика!$C$10)/MAX(Статистика!$G$10-Статистика!$C$10,0.000001)))))</f>
        <v>6.995704722222218E-2</v>
      </c>
      <c r="BA186" s="12">
        <f>IF(A186="","",MAX(0,MAX(0,MIN(1,(((IF(Статистика!$C$4="Параллельный режим (активная мощность)",G186,R186)+Статистика!$J$4))-Статистика!$C$10)/MAX(Статистика!$G$10-Статистика!$C$10,0.000001)))-MAX(0,MIN(1,(((IF(Статистика!$C$4="Параллельный режим (активная мощность)",F186,Q186)+Статистика!$J$4))-Статистика!$C$10)/MAX(Статистика!$G$10-Статистика!$C$10,0.000001)))))</f>
        <v>5.2296505555555428E-2</v>
      </c>
      <c r="BB186" s="12">
        <f>IF(A186="","",MAX(0,MAX(0,MIN(1,(((IF(Статистика!$C$4="Параллельный режим (активная мощность)",H186,S186)+Статистика!$J$4))-Статистика!$C$10)/MAX(Статистика!$G$10-Статистика!$C$10,0.000001)))-MAX(0,MIN(1,(((IF(Статистика!$C$4="Параллельный режим (активная мощность)",G186,R186)+Статистика!$J$4))-Статистика!$C$10)/MAX(Статистика!$G$10-Статистика!$C$10,0.000001)))))</f>
        <v>0.12804046388888879</v>
      </c>
      <c r="BC186" s="12">
        <f>IF(A186="","",MAX(0,MAX(0,MIN(1,(((IF(Статистика!$C$4="Параллельный режим (активная мощность)",J186,U186)+Статистика!$J$4))-Статистика!$C$10)/MAX(Статистика!$G$10-Статистика!$C$10,0.000001)))-MAX(0,MIN(1,(((IF(Статистика!$C$4="Параллельный режим (активная мощность)",H186,S186)+Статистика!$J$4))-Статистика!$C$10)/MAX(Статистика!$G$10-Статистика!$C$10,0.000001)))))</f>
        <v>0.12956613421428609</v>
      </c>
      <c r="BD186" s="12">
        <f>IF(A186="","",MAX(0,1-MAX(0,MIN(1,(((IF(Статистика!$C$4="Параллельный режим (активная мощность)",J186,U186)+Статистика!$J$4))-Статистика!$C$10)/MAX(Статистика!$G$10-Статистика!$C$10,0.000001)))))</f>
        <v>6.0448568563491789E-2</v>
      </c>
      <c r="BE186" s="12">
        <f>IF(A186="",NA(),IF(Статистика!$B$8="Вкл",(((IF(Статистика!$C$4="Параллельный режим (активная мощность)",F186,Q186)+Статистика!$J$4))-Статистика!$C$10)/MAX(Статистика!$G$10-Статистика!$C$10,0.000001),NA()))</f>
        <v>0.62964832777777791</v>
      </c>
      <c r="BF186" s="12">
        <f>IF(A186="",NA(),IF(Статистика!$D$8="Вкл",(((IF(Статистика!$C$4="Параллельный режим (активная мощность)",E186,P186)+Статистика!$J$4))-Статистика!$C$10)/MAX(Статистика!$G$10-Статистика!$C$10,0.000001),NA()))</f>
        <v>0.55969128055555573</v>
      </c>
      <c r="BG186" s="12">
        <f>IF(A186="",NA(),IF(Статистика!$D$8="Вкл",(((IF(Статистика!$C$4="Параллельный режим (активная мощность)",G186,R186)+Статистика!$J$4))-Статистика!$C$10)/MAX(Статистика!$G$10-Статистика!$C$10,0.000001),NA()))</f>
        <v>0.68194483333333333</v>
      </c>
      <c r="BH186" s="12">
        <f>IF(A186="",NA(),IF(Статистика!$F$8="Вкл",(((IF(Статистика!$C$4="Параллельный режим (активная мощность)",D186,O186)+Статистика!$J$4))-Статистика!$C$10)/MAX(Статистика!$G$10-Статистика!$C$10,0.000001),NA()))</f>
        <v>0.50042662055555531</v>
      </c>
      <c r="BI186" s="12">
        <f>IF(A186="",NA(),IF(Статистика!$F$8="Вкл",(((IF(Статистика!$C$4="Параллельный режим (активная мощность)",H186,S186)+Статистика!$J$4))-Статистика!$C$10)/MAX(Статистика!$G$10-Статистика!$C$10,0.000001),NA()))</f>
        <v>0.80998529722222212</v>
      </c>
      <c r="BJ186" s="12">
        <f>IF(A186="",NA(),IF(Статистика!$H$8="Вкл",(((IF(Статистика!$C$4="Параллельный режим (активная мощность)",B186,M186)+Статистика!$J$4))-Статистика!$C$10)/MAX(Статистика!$G$10-Статистика!$C$10,0.000001),NA()))</f>
        <v>0.47655899705555566</v>
      </c>
      <c r="BK186" s="12">
        <f>IF(A186="",NA(),IF(Статистика!$H$8="Вкл",(((IF(Статистика!$C$4="Параллельный режим (активная мощность)",J186,U186)+Статистика!$J$4))-Статистика!$C$10)/MAX(Статистика!$G$10-Статистика!$C$10,0.000001),NA()))</f>
        <v>0.93955143143650821</v>
      </c>
      <c r="BL186" s="12" t="e">
        <f>IF(A186="",NA(),IF(Статистика!$J$8="Вкл",(((IF(Статистика!$C$4="Параллельный режим (активная мощность)",K186,V186)+Статистика!$J$4))-Статистика!$C$10)/MAX(Статистика!$G$10-Статистика!$C$10,0.000001),NA()))</f>
        <v>#N/A</v>
      </c>
      <c r="BM186" s="12" t="e">
        <f>IF(AND(A186&lt;&gt;"",Статистика!$C$6="Вкл",Статистика!$B$6&gt;0),(Статистика!$B$6-Статистика!$C$10)/MAX(Статистика!$G$10-Статистика!$C$10,0.000001),NA())</f>
        <v>#N/A</v>
      </c>
      <c r="BN186" s="12" t="e">
        <f>IF(AND(A186&lt;&gt;"",Статистика!$F$6="Вкл",Статистика!$E$6&gt;0),(Статистика!$E$6-Статистика!$C$10)/MAX(Статистика!$G$10-Статистика!$C$10,0.000001),NA())</f>
        <v>#N/A</v>
      </c>
      <c r="BO186" s="12" t="e">
        <f>IF(AND(A186&lt;&gt;"",Статистика!$I$6="Вкл",Статистика!$H$6&gt;0),(Статистика!$H$6-Статистика!$C$10)/MAX(Статистика!$G$10-Статистика!$C$10,0.000001),NA())</f>
        <v>#N/A</v>
      </c>
      <c r="BP186" s="12" t="e">
        <f>IF(AND(A186&lt;&gt;"",Статистика!$L$6="Вкл",Статистика!$K$6&gt;0),(Статистика!$K$6-Статистика!$C$10)/MAX(Статистика!$G$10-Статистика!$C$10,0.000001),NA())</f>
        <v>#N/A</v>
      </c>
      <c r="BQ186" s="12" t="e">
        <f>IF(AND(A186&lt;&gt;"",Статистика!$M$6="Вкл",Статистика!$O$6&gt;0),(Статистика!$O$6-Статистика!$C$10)/MAX(Статистика!$G$10-Статистика!$C$10,0.000001),NA())</f>
        <v>#N/A</v>
      </c>
      <c r="BR186" s="12">
        <f t="shared" si="4"/>
        <v>1</v>
      </c>
      <c r="BT186" s="12">
        <f>IF(Y186="","",MAX(0,MIN(1,(((IF(Статистика!$C$4="Параллельный режим (активная мощность)",Z186,AK186)+Статистика!$J$4))-Статистика!$C$10)/MAX(Статистика!$G$10-Статистика!$C$10,0.000001))))</f>
        <v>0.48258007772222178</v>
      </c>
      <c r="BU186" s="12">
        <f>IF(Y186="","",MAX(0,MAX(0,MIN(1,(((IF(Статистика!$C$4="Параллельный режим (активная мощность)",AB186,AM186)+Статистика!$J$4))-Статистика!$C$10)/MAX(Статистика!$G$10-Статистика!$C$10,0.000001)))-MAX(0,MIN(1,(((IF(Статистика!$C$4="Параллельный режим (активная мощность)",Z186,AK186)+Статистика!$J$4))-Статистика!$C$10)/MAX(Статистика!$G$10-Статистика!$C$10,0.000001)))))</f>
        <v>1.3188499500000339E-2</v>
      </c>
      <c r="BV186" s="12">
        <f>IF(Y186="","",MAX(0,MAX(0,MIN(1,(((IF(Статистика!$C$4="Параллельный режим (активная мощность)",AC186,AN186)+Статистика!$J$4))-Статистика!$C$10)/MAX(Статистика!$G$10-Статистика!$C$10,0.000001)))-MAX(0,MIN(1,(((IF(Статистика!$C$4="Параллельный режим (активная мощность)",AB186,AM186)+Статистика!$J$4))-Статистика!$C$10)/MAX(Статистика!$G$10-Статистика!$C$10,0.000001)))))</f>
        <v>0.12122780611111106</v>
      </c>
      <c r="BW186" s="12">
        <f>IF(Y186="","",MAX(0,MAX(0,MIN(1,(((IF(Статистика!$C$4="Параллельный режим (активная мощность)",AD186,AO186)+Статистика!$J$4))-Статистика!$C$10)/MAX(Статистика!$G$10-Статистика!$C$10,0.000001)))-MAX(0,MIN(1,(((IF(Статистика!$C$4="Параллельный режим (активная мощность)",AC186,AN186)+Статистика!$J$4))-Статистика!$C$10)/MAX(Статистика!$G$10-Статистика!$C$10,0.000001)))))</f>
        <v>5.7287150000000064E-2</v>
      </c>
      <c r="BX186" s="12">
        <f>IF(Y186="","",MAX(0,MAX(0,MIN(1,(((IF(Статистика!$C$4="Параллельный режим (активная мощность)",AE186,AP186)+Статистика!$J$4))-Статистика!$C$10)/MAX(Статистика!$G$10-Статистика!$C$10,0.000001)))-MAX(0,MIN(1,(((IF(Статистика!$C$4="Параллельный режим (активная мощность)",AD186,AO186)+Статистика!$J$4))-Статистика!$C$10)/MAX(Статистика!$G$10-Статистика!$C$10,0.000001)))))</f>
        <v>2.7734505555555455E-2</v>
      </c>
      <c r="BY186" s="12">
        <f>IF(Y186="","",MAX(0,MAX(0,MIN(1,(((IF(Статистика!$C$4="Параллельный режим (активная мощность)",AF186,AQ186)+Статистика!$J$4))-Статистика!$C$10)/MAX(Статистика!$G$10-Статистика!$C$10,0.000001)))-MAX(0,MIN(1,(((IF(Статистика!$C$4="Параллельный режим (активная мощность)",AE186,AP186)+Статистика!$J$4))-Статистика!$C$10)/MAX(Статистика!$G$10-Статистика!$C$10,0.000001)))))</f>
        <v>0.10113611666666666</v>
      </c>
      <c r="BZ186" s="12">
        <f>IF(Y186="","",MAX(0,MAX(0,MIN(1,(((IF(Статистика!$C$4="Параллельный режим (активная мощность)",AH186,AS186)+Статистика!$J$4))-Статистика!$C$10)/MAX(Статистика!$G$10-Статистика!$C$10,0.000001)))-MAX(0,MIN(1,(((IF(Статистика!$C$4="Параллельный режим (активная мощность)",AF186,AQ186)+Статистика!$J$4))-Статистика!$C$10)/MAX(Статистика!$G$10-Статистика!$C$10,0.000001)))))</f>
        <v>1.1672429999999845E-2</v>
      </c>
      <c r="CA186" s="12">
        <f>IF(Y186="","",MAX(0,1-MAX(0,MIN(1,(((IF(Статистика!$C$4="Параллельный режим (активная мощность)",AH186,AS186)+Статистика!$J$4))-Статистика!$C$10)/MAX(Статистика!$G$10-Статистика!$C$10,0.000001)))))</f>
        <v>0.18517341444444479</v>
      </c>
      <c r="CB186" s="12">
        <f>IF(Y186="",NA(),IF(Статистика!$B$8="Вкл",(((IF(Статистика!$C$4="Параллельный режим (активная мощность)",AD186,AO186)+Статистика!$J$4))-Статистика!$C$10)/MAX(Статистика!$G$10-Статистика!$C$10,0.000001),NA()))</f>
        <v>0.67428353333333324</v>
      </c>
      <c r="CC186" s="12">
        <f>IF(Y186="",NA(),IF(Статистика!$D$8="Вкл",(((IF(Статистика!$C$4="Параллельный режим (активная мощность)",AC186,AN186)+Статистика!$J$4))-Статистика!$C$10)/MAX(Статистика!$G$10-Статистика!$C$10,0.000001),NA()))</f>
        <v>0.61699638333333318</v>
      </c>
      <c r="CD186" s="12">
        <f>IF(Y186="",NA(),IF(Статистика!$D$8="Вкл",(((IF(Статистика!$C$4="Параллельный режим (активная мощность)",AE186,AP186)+Статистика!$J$4))-Статистика!$C$10)/MAX(Статистика!$G$10-Статистика!$C$10,0.000001),NA()))</f>
        <v>0.7020180388888887</v>
      </c>
      <c r="CE186" s="12">
        <f>IF(Y186="",NA(),IF(Статистика!$F$8="Вкл",(((IF(Статистика!$C$4="Параллельный режим (активная мощность)",AB186,AM186)+Статистика!$J$4))-Статистика!$C$10)/MAX(Статистика!$G$10-Статистика!$C$10,0.000001),NA()))</f>
        <v>0.49576857722222212</v>
      </c>
      <c r="CF186" s="12">
        <f>IF(Y186="",NA(),IF(Статистика!$F$8="Вкл",(((IF(Статистика!$C$4="Параллельный режим (активная мощность)",AF186,AQ186)+Статистика!$J$4))-Статистика!$C$10)/MAX(Статистика!$G$10-Статистика!$C$10,0.000001),NA()))</f>
        <v>0.80315415555555536</v>
      </c>
      <c r="CG186" s="12">
        <f>IF(Y186="",NA(),IF(Статистика!$H$8="Вкл",(((IF(Статистика!$C$4="Параллельный режим (активная мощность)",Z186,AK186)+Статистика!$J$4))-Статистика!$C$10)/MAX(Статистика!$G$10-Статистика!$C$10,0.000001),NA()))</f>
        <v>0.48258007772222178</v>
      </c>
      <c r="CH186" s="12">
        <f>IF(Y186="",NA(),IF(Статистика!$H$8="Вкл",(((IF(Статистика!$C$4="Параллельный режим (активная мощность)",AH186,AS186)+Статистика!$J$4))-Статистика!$C$10)/MAX(Статистика!$G$10-Статистика!$C$10,0.000001),NA()))</f>
        <v>0.81482658555555521</v>
      </c>
      <c r="CI186" s="12" t="e">
        <f>IF(Y186="",NA(),IF(Статистика!$J$8="Вкл",(((IF(Статистика!$C$4="Параллельный режим (активная мощность)",AI186,AT186)+Статистика!$J$4))-Статистика!$C$10)/MAX(Статистика!$G$10-Статистика!$C$10,0.000001),NA()))</f>
        <v>#N/A</v>
      </c>
      <c r="CJ186" s="12" t="e">
        <f>IF(AND(Y186&lt;&gt;"",Статистика!$C$6="Вкл",Статистика!$B$6&gt;0),(Статистика!$B$6-Статистика!$C$10)/MAX(Статистика!$G$10-Статистика!$C$10,0.000001),NA())</f>
        <v>#N/A</v>
      </c>
      <c r="CK186" s="12" t="e">
        <f>IF(AND(Y186&lt;&gt;"",Статистика!$F$6="Вкл",Статистика!$E$6&gt;0),(Статистика!$E$6-Статистика!$C$10)/MAX(Статистика!$G$10-Статистика!$C$10,0.000001),NA())</f>
        <v>#N/A</v>
      </c>
      <c r="CL186" s="12" t="e">
        <f>IF(AND(Y186&lt;&gt;"",Статистика!$I$6="Вкл",Статистика!$H$6&gt;0),(Статистика!$H$6-Статистика!$C$10)/MAX(Статистика!$G$10-Статистика!$C$10,0.000001),NA())</f>
        <v>#N/A</v>
      </c>
      <c r="CM186" s="12" t="e">
        <f>IF(AND(Y186&lt;&gt;"",Статистика!$L$6="Вкл",Статистика!$K$6&gt;0),(Статистика!$K$6-Статистика!$C$10)/MAX(Статистика!$G$10-Статистика!$C$10,0.000001),NA())</f>
        <v>#N/A</v>
      </c>
      <c r="CN186" s="12" t="e">
        <f>IF(AND(Y186&lt;&gt;"",Статистика!$M$6="Вкл",Статистика!$O$6&gt;0),(Статистика!$O$6-Статистика!$C$10)/MAX(Статистика!$G$10-Статистика!$C$10,0.000001),NA())</f>
        <v>#N/A</v>
      </c>
      <c r="CO186" s="12">
        <f t="shared" si="5"/>
        <v>1</v>
      </c>
    </row>
    <row r="187" spans="1:93" ht="15" customHeight="1">
      <c r="A187" s="12" t="s">
        <v>796</v>
      </c>
      <c r="B187" s="12">
        <v>7439.6259494999995</v>
      </c>
      <c r="C187" s="12">
        <v>7465.0510808333329</v>
      </c>
      <c r="D187" s="12">
        <v>7477.8642149999996</v>
      </c>
      <c r="E187" s="12">
        <v>7746.5321750000012</v>
      </c>
      <c r="F187" s="12">
        <v>7868.4088499999989</v>
      </c>
      <c r="G187" s="12">
        <v>8046.6178749999999</v>
      </c>
      <c r="H187" s="12">
        <v>8370.6177800000005</v>
      </c>
      <c r="I187" s="12">
        <v>8554.8697249999987</v>
      </c>
      <c r="J187" s="12">
        <v>8781.656105</v>
      </c>
      <c r="K187" s="12">
        <v>8946.14</v>
      </c>
      <c r="L187" s="12" t="s">
        <v>797</v>
      </c>
      <c r="M187" s="12">
        <v>8332.6269498333313</v>
      </c>
      <c r="N187" s="12">
        <v>8410.3900825000001</v>
      </c>
      <c r="O187" s="12">
        <v>8464.7392233333339</v>
      </c>
      <c r="P187" s="12">
        <v>8733.971375000001</v>
      </c>
      <c r="Q187" s="12">
        <v>8879.7938333333332</v>
      </c>
      <c r="R187" s="12">
        <v>9070.5169249999999</v>
      </c>
      <c r="S187" s="12">
        <v>9373.8342616666669</v>
      </c>
      <c r="T187" s="12">
        <v>9549.7996149999999</v>
      </c>
      <c r="U187" s="12">
        <v>9792.971149666666</v>
      </c>
      <c r="V187" s="12">
        <v>9959.51</v>
      </c>
      <c r="W187" s="12" t="s">
        <v>798</v>
      </c>
      <c r="Y187" s="12" t="s">
        <v>796</v>
      </c>
      <c r="Z187" s="12">
        <v>7382.9091261666672</v>
      </c>
      <c r="AA187" s="12">
        <v>7418.4529641666668</v>
      </c>
      <c r="AB187" s="12">
        <v>7462.8827616666676</v>
      </c>
      <c r="AC187" s="12">
        <v>7836.7387916666667</v>
      </c>
      <c r="AD187" s="12">
        <v>7998.5678499999995</v>
      </c>
      <c r="AE187" s="12">
        <v>8143.82755</v>
      </c>
      <c r="AF187" s="12">
        <v>8347.1002200000003</v>
      </c>
      <c r="AG187" s="12">
        <v>8355.498426666667</v>
      </c>
      <c r="AH187" s="12">
        <v>8362.2169919999997</v>
      </c>
      <c r="AI187" s="12">
        <v>8442.3700000000008</v>
      </c>
      <c r="AJ187" s="12" t="s">
        <v>799</v>
      </c>
      <c r="AK187" s="12">
        <v>8324.261206000001</v>
      </c>
      <c r="AL187" s="12">
        <v>8392.0936300000012</v>
      </c>
      <c r="AM187" s="12">
        <v>8476.8841599999996</v>
      </c>
      <c r="AN187" s="12">
        <v>8812.3512416666672</v>
      </c>
      <c r="AO187" s="12">
        <v>9037.6162000000004</v>
      </c>
      <c r="AP187" s="12">
        <v>9210.2586833333335</v>
      </c>
      <c r="AQ187" s="12">
        <v>9389.7213616666686</v>
      </c>
      <c r="AR187" s="12">
        <v>9403.926697500001</v>
      </c>
      <c r="AS187" s="12">
        <v>9415.290966166669</v>
      </c>
      <c r="AT187" s="12">
        <v>9539.3700000000008</v>
      </c>
      <c r="AU187" s="12" t="s">
        <v>800</v>
      </c>
      <c r="AW187" s="12">
        <f>IF(A187="","",MAX(0,MIN(1,(((IF(Статистика!$C$4="Параллельный режим (активная мощность)",B187,M187)+Статистика!$J$4))-Статистика!$C$10)/MAX(Статистика!$G$10-Статистика!$C$10,0.000001))))</f>
        <v>0.47987531649999982</v>
      </c>
      <c r="AX187" s="12">
        <f>IF(A187="","",MAX(0,MAX(0,MIN(1,(((IF(Статистика!$C$4="Параллельный режим (активная мощность)",D187,O187)+Статистика!$J$4))-Статистика!$C$10)/MAX(Статистика!$G$10-Статистика!$C$10,0.000001)))-MAX(0,MIN(1,(((IF(Статистика!$C$4="Параллельный режим (активная мощность)",B187,M187)+Статистика!$J$4))-Статистика!$C$10)/MAX(Статистика!$G$10-Статистика!$C$10,0.000001)))))</f>
        <v>1.274608850000003E-2</v>
      </c>
      <c r="AY187" s="12">
        <f>IF(A187="","",MAX(0,MAX(0,MIN(1,(((IF(Статистика!$C$4="Параллельный режим (активная мощность)",E187,P187)+Статистика!$J$4))-Статистика!$C$10)/MAX(Статистика!$G$10-Статистика!$C$10,0.000001)))-MAX(0,MIN(1,(((IF(Статистика!$C$4="Параллельный режим (активная мощность)",D187,O187)+Статистика!$J$4))-Статистика!$C$10)/MAX(Статистика!$G$10-Статистика!$C$10,0.000001)))))</f>
        <v>8.9555986666667198E-2</v>
      </c>
      <c r="AZ187" s="12">
        <f>IF(A187="","",MAX(0,MAX(0,MIN(1,(((IF(Статистика!$C$4="Параллельный режим (активная мощность)",F187,Q187)+Статистика!$J$4))-Статистика!$C$10)/MAX(Статистика!$G$10-Статистика!$C$10,0.000001)))-MAX(0,MIN(1,(((IF(Статистика!$C$4="Параллельный режим (активная мощность)",E187,P187)+Статистика!$J$4))-Статистика!$C$10)/MAX(Статистика!$G$10-Статистика!$C$10,0.000001)))))</f>
        <v>4.062555833333259E-2</v>
      </c>
      <c r="BA187" s="12">
        <f>IF(A187="","",MAX(0,MAX(0,MIN(1,(((IF(Статистика!$C$4="Параллельный режим (активная мощность)",G187,R187)+Статистика!$J$4))-Статистика!$C$10)/MAX(Статистика!$G$10-Статистика!$C$10,0.000001)))-MAX(0,MIN(1,(((IF(Статистика!$C$4="Параллельный режим (активная мощность)",F187,Q187)+Статистика!$J$4))-Статистика!$C$10)/MAX(Статистика!$G$10-Статистика!$C$10,0.000001)))))</f>
        <v>5.9403008333333673E-2</v>
      </c>
      <c r="BB187" s="12">
        <f>IF(A187="","",MAX(0,MAX(0,MIN(1,(((IF(Статистика!$C$4="Параллельный режим (активная мощность)",H187,S187)+Статистика!$J$4))-Статистика!$C$10)/MAX(Статистика!$G$10-Статистика!$C$10,0.000001)))-MAX(0,MIN(1,(((IF(Статистика!$C$4="Параллельный режим (активная мощность)",G187,R187)+Статистика!$J$4))-Статистика!$C$10)/MAX(Статистика!$G$10-Статистика!$C$10,0.000001)))))</f>
        <v>0.10799996833333347</v>
      </c>
      <c r="BC187" s="12">
        <f>IF(A187="","",MAX(0,MAX(0,MIN(1,(((IF(Статистика!$C$4="Параллельный режим (активная мощность)",J187,U187)+Статистика!$J$4))-Статистика!$C$10)/MAX(Статистика!$G$10-Статистика!$C$10,0.000001)))-MAX(0,MIN(1,(((IF(Статистика!$C$4="Параллельный режим (активная мощность)",H187,S187)+Статистика!$J$4))-Статистика!$C$10)/MAX(Статистика!$G$10-Статистика!$C$10,0.000001)))))</f>
        <v>0.13701277499999986</v>
      </c>
      <c r="BD187" s="12">
        <f>IF(A187="","",MAX(0,1-MAX(0,MIN(1,(((IF(Статистика!$C$4="Параллельный режим (активная мощность)",J187,U187)+Статистика!$J$4))-Статистика!$C$10)/MAX(Статистика!$G$10-Статистика!$C$10,0.000001)))))</f>
        <v>7.2781298333333355E-2</v>
      </c>
      <c r="BE187" s="12">
        <f>IF(A187="",NA(),IF(Статистика!$B$8="Вкл",(((IF(Статистика!$C$4="Параллельный режим (активная мощность)",F187,Q187)+Статистика!$J$4))-Статистика!$C$10)/MAX(Статистика!$G$10-Статистика!$C$10,0.000001),NA()))</f>
        <v>0.62280294999999963</v>
      </c>
      <c r="BF187" s="12">
        <f>IF(A187="",NA(),IF(Статистика!$D$8="Вкл",(((IF(Статистика!$C$4="Параллельный режим (активная мощность)",E187,P187)+Статистика!$J$4))-Статистика!$C$10)/MAX(Статистика!$G$10-Статистика!$C$10,0.000001),NA()))</f>
        <v>0.58217739166666704</v>
      </c>
      <c r="BG187" s="12">
        <f>IF(A187="",NA(),IF(Статистика!$D$8="Вкл",(((IF(Статистика!$C$4="Параллельный режим (активная мощность)",G187,R187)+Статистика!$J$4))-Статистика!$C$10)/MAX(Статистика!$G$10-Статистика!$C$10,0.000001),NA()))</f>
        <v>0.68220595833333331</v>
      </c>
      <c r="BH187" s="12">
        <f>IF(A187="",NA(),IF(Статистика!$F$8="Вкл",(((IF(Статистика!$C$4="Параллельный режим (активная мощность)",D187,O187)+Статистика!$J$4))-Статистика!$C$10)/MAX(Статистика!$G$10-Статистика!$C$10,0.000001),NA()))</f>
        <v>0.49262140499999985</v>
      </c>
      <c r="BI187" s="12">
        <f>IF(A187="",NA(),IF(Статистика!$F$8="Вкл",(((IF(Статистика!$C$4="Параллельный режим (активная мощность)",H187,S187)+Статистика!$J$4))-Статистика!$C$10)/MAX(Статистика!$G$10-Статистика!$C$10,0.000001),NA()))</f>
        <v>0.79020592666666678</v>
      </c>
      <c r="BJ187" s="12">
        <f>IF(A187="",NA(),IF(Статистика!$H$8="Вкл",(((IF(Статистика!$C$4="Параллельный режим (активная мощность)",B187,M187)+Статистика!$J$4))-Статистика!$C$10)/MAX(Статистика!$G$10-Статистика!$C$10,0.000001),NA()))</f>
        <v>0.47987531649999982</v>
      </c>
      <c r="BK187" s="12">
        <f>IF(A187="",NA(),IF(Статистика!$H$8="Вкл",(((IF(Статистика!$C$4="Параллельный режим (активная мощность)",J187,U187)+Статистика!$J$4))-Статистика!$C$10)/MAX(Статистика!$G$10-Статистика!$C$10,0.000001),NA()))</f>
        <v>0.92721870166666664</v>
      </c>
      <c r="BL187" s="12" t="e">
        <f>IF(A187="",NA(),IF(Статистика!$J$8="Вкл",(((IF(Статистика!$C$4="Параллельный режим (активная мощность)",K187,V187)+Статистика!$J$4))-Статистика!$C$10)/MAX(Статистика!$G$10-Статистика!$C$10,0.000001),NA()))</f>
        <v>#N/A</v>
      </c>
      <c r="BM187" s="12" t="e">
        <f>IF(AND(A187&lt;&gt;"",Статистика!$C$6="Вкл",Статистика!$B$6&gt;0),(Статистика!$B$6-Статистика!$C$10)/MAX(Статистика!$G$10-Статистика!$C$10,0.000001),NA())</f>
        <v>#N/A</v>
      </c>
      <c r="BN187" s="12" t="e">
        <f>IF(AND(A187&lt;&gt;"",Статистика!$F$6="Вкл",Статистика!$E$6&gt;0),(Статистика!$E$6-Статистика!$C$10)/MAX(Статистика!$G$10-Статистика!$C$10,0.000001),NA())</f>
        <v>#N/A</v>
      </c>
      <c r="BO187" s="12" t="e">
        <f>IF(AND(A187&lt;&gt;"",Статистика!$I$6="Вкл",Статистика!$H$6&gt;0),(Статистика!$H$6-Статистика!$C$10)/MAX(Статистика!$G$10-Статистика!$C$10,0.000001),NA())</f>
        <v>#N/A</v>
      </c>
      <c r="BP187" s="12" t="e">
        <f>IF(AND(A187&lt;&gt;"",Статистика!$L$6="Вкл",Статистика!$K$6&gt;0),(Статистика!$K$6-Статистика!$C$10)/MAX(Статистика!$G$10-Статистика!$C$10,0.000001),NA())</f>
        <v>#N/A</v>
      </c>
      <c r="BQ187" s="12" t="e">
        <f>IF(AND(A187&lt;&gt;"",Статистика!$M$6="Вкл",Статистика!$O$6&gt;0),(Статистика!$O$6-Статистика!$C$10)/MAX(Статистика!$G$10-Статистика!$C$10,0.000001),NA())</f>
        <v>#N/A</v>
      </c>
      <c r="BR187" s="12">
        <f t="shared" si="4"/>
        <v>1</v>
      </c>
      <c r="BT187" s="12">
        <f>IF(Y187="","",MAX(0,MIN(1,(((IF(Статистика!$C$4="Параллельный режим (активная мощность)",Z187,AK187)+Статистика!$J$4))-Статистика!$C$10)/MAX(Статистика!$G$10-Статистика!$C$10,0.000001))))</f>
        <v>0.46096970872222237</v>
      </c>
      <c r="BU187" s="12">
        <f>IF(Y187="","",MAX(0,MAX(0,MIN(1,(((IF(Статистика!$C$4="Параллельный режим (активная мощность)",AB187,AM187)+Статистика!$J$4))-Статистика!$C$10)/MAX(Статистика!$G$10-Статистика!$C$10,0.000001)))-MAX(0,MIN(1,(((IF(Статистика!$C$4="Параллельный режим (активная мощность)",Z187,AK187)+Статистика!$J$4))-Статистика!$C$10)/MAX(Статистика!$G$10-Статистика!$C$10,0.000001)))))</f>
        <v>2.6657878500000176E-2</v>
      </c>
      <c r="BV187" s="12">
        <f>IF(Y187="","",MAX(0,MAX(0,MIN(1,(((IF(Статистика!$C$4="Параллельный режим (активная мощность)",AC187,AN187)+Статистика!$J$4))-Статистика!$C$10)/MAX(Статистика!$G$10-Статистика!$C$10,0.000001)))-MAX(0,MIN(1,(((IF(Статистика!$C$4="Параллельный режим (активная мощность)",AB187,AM187)+Статистика!$J$4))-Статистика!$C$10)/MAX(Статистика!$G$10-Статистика!$C$10,0.000001)))))</f>
        <v>0.12461867666666637</v>
      </c>
      <c r="BW187" s="12">
        <f>IF(Y187="","",MAX(0,MAX(0,MIN(1,(((IF(Статистика!$C$4="Параллельный режим (активная мощность)",AD187,AO187)+Статистика!$J$4))-Статистика!$C$10)/MAX(Статистика!$G$10-Статистика!$C$10,0.000001)))-MAX(0,MIN(1,(((IF(Статистика!$C$4="Параллельный режим (активная мощность)",AC187,AN187)+Статистика!$J$4))-Статистика!$C$10)/MAX(Статистика!$G$10-Статистика!$C$10,0.000001)))))</f>
        <v>5.394301944444424E-2</v>
      </c>
      <c r="BX187" s="12">
        <f>IF(Y187="","",MAX(0,MAX(0,MIN(1,(((IF(Статистика!$C$4="Параллельный режим (активная мощность)",AE187,AP187)+Статистика!$J$4))-Статистика!$C$10)/MAX(Статистика!$G$10-Статистика!$C$10,0.000001)))-MAX(0,MIN(1,(((IF(Статистика!$C$4="Параллельный режим (активная мощность)",AD187,AO187)+Статистика!$J$4))-Статистика!$C$10)/MAX(Статистика!$G$10-Статистика!$C$10,0.000001)))))</f>
        <v>4.8419900000000182E-2</v>
      </c>
      <c r="BY187" s="12">
        <f>IF(Y187="","",MAX(0,MAX(0,MIN(1,(((IF(Статистика!$C$4="Параллельный режим (активная мощность)",AF187,AQ187)+Статистика!$J$4))-Статистика!$C$10)/MAX(Статистика!$G$10-Статистика!$C$10,0.000001)))-MAX(0,MIN(1,(((IF(Статистика!$C$4="Параллельный режим (активная мощность)",AE187,AP187)+Статистика!$J$4))-Статистика!$C$10)/MAX(Статистика!$G$10-Статистика!$C$10,0.000001)))))</f>
        <v>6.7757556666666718E-2</v>
      </c>
      <c r="BZ187" s="12">
        <f>IF(Y187="","",MAX(0,MAX(0,MIN(1,(((IF(Статистика!$C$4="Параллельный режим (активная мощность)",AH187,AS187)+Статистика!$J$4))-Статистика!$C$10)/MAX(Статистика!$G$10-Статистика!$C$10,0.000001)))-MAX(0,MIN(1,(((IF(Статистика!$C$4="Параллельный режим (активная мощность)",AF187,AQ187)+Статистика!$J$4))-Статистика!$C$10)/MAX(Статистика!$G$10-Статистика!$C$10,0.000001)))))</f>
        <v>5.0389239999998336E-3</v>
      </c>
      <c r="CA187" s="12">
        <f>IF(Y187="","",MAX(0,1-MAX(0,MIN(1,(((IF(Статистика!$C$4="Параллельный режим (активная мощность)",AH187,AS187)+Статистика!$J$4))-Статистика!$C$10)/MAX(Статистика!$G$10-Статистика!$C$10,0.000001)))))</f>
        <v>0.21259433600000011</v>
      </c>
      <c r="CB187" s="12">
        <f>IF(Y187="",NA(),IF(Статистика!$B$8="Вкл",(((IF(Статистика!$C$4="Параллельный режим (активная мощность)",AD187,AO187)+Статистика!$J$4))-Статистика!$C$10)/MAX(Статистика!$G$10-Статистика!$C$10,0.000001),NA()))</f>
        <v>0.66618928333333316</v>
      </c>
      <c r="CC187" s="12">
        <f>IF(Y187="",NA(),IF(Статистика!$D$8="Вкл",(((IF(Статистика!$C$4="Параллельный режим (активная мощность)",AC187,AN187)+Статистика!$J$4))-Статистика!$C$10)/MAX(Статистика!$G$10-Статистика!$C$10,0.000001),NA()))</f>
        <v>0.61224626388888892</v>
      </c>
      <c r="CD187" s="12">
        <f>IF(Y187="",NA(),IF(Статистика!$D$8="Вкл",(((IF(Статистика!$C$4="Параллельный режим (активная мощность)",AE187,AP187)+Статистика!$J$4))-Статистика!$C$10)/MAX(Статистика!$G$10-Статистика!$C$10,0.000001),NA()))</f>
        <v>0.71460918333333334</v>
      </c>
      <c r="CE187" s="12">
        <f>IF(Y187="",NA(),IF(Статистика!$F$8="Вкл",(((IF(Статистика!$C$4="Параллельный режим (активная мощность)",AB187,AM187)+Статистика!$J$4))-Статистика!$C$10)/MAX(Статистика!$G$10-Статистика!$C$10,0.000001),NA()))</f>
        <v>0.48762758722222255</v>
      </c>
      <c r="CF187" s="12">
        <f>IF(Y187="",NA(),IF(Статистика!$F$8="Вкл",(((IF(Статистика!$C$4="Параллельный режим (активная мощность)",AF187,AQ187)+Статистика!$J$4))-Статистика!$C$10)/MAX(Статистика!$G$10-Статистика!$C$10,0.000001),NA()))</f>
        <v>0.78236674000000006</v>
      </c>
      <c r="CG187" s="12">
        <f>IF(Y187="",NA(),IF(Статистика!$H$8="Вкл",(((IF(Статистика!$C$4="Параллельный режим (активная мощность)",Z187,AK187)+Статистика!$J$4))-Статистика!$C$10)/MAX(Статистика!$G$10-Статистика!$C$10,0.000001),NA()))</f>
        <v>0.46096970872222237</v>
      </c>
      <c r="CH187" s="12">
        <f>IF(Y187="",NA(),IF(Статистика!$H$8="Вкл",(((IF(Статистика!$C$4="Параллельный режим (активная мощность)",AH187,AS187)+Статистика!$J$4))-Статистика!$C$10)/MAX(Статистика!$G$10-Статистика!$C$10,0.000001),NA()))</f>
        <v>0.78740566399999989</v>
      </c>
      <c r="CI187" s="12" t="e">
        <f>IF(Y187="",NA(),IF(Статистика!$J$8="Вкл",(((IF(Статистика!$C$4="Параллельный режим (активная мощность)",AI187,AT187)+Статистика!$J$4))-Статистика!$C$10)/MAX(Статистика!$G$10-Статистика!$C$10,0.000001),NA()))</f>
        <v>#N/A</v>
      </c>
      <c r="CJ187" s="12" t="e">
        <f>IF(AND(Y187&lt;&gt;"",Статистика!$C$6="Вкл",Статистика!$B$6&gt;0),(Статистика!$B$6-Статистика!$C$10)/MAX(Статистика!$G$10-Статистика!$C$10,0.000001),NA())</f>
        <v>#N/A</v>
      </c>
      <c r="CK187" s="12" t="e">
        <f>IF(AND(Y187&lt;&gt;"",Статистика!$F$6="Вкл",Статистика!$E$6&gt;0),(Статистика!$E$6-Статистика!$C$10)/MAX(Статистика!$G$10-Статистика!$C$10,0.000001),NA())</f>
        <v>#N/A</v>
      </c>
      <c r="CL187" s="12" t="e">
        <f>IF(AND(Y187&lt;&gt;"",Статистика!$I$6="Вкл",Статистика!$H$6&gt;0),(Статистика!$H$6-Статистика!$C$10)/MAX(Статистика!$G$10-Статистика!$C$10,0.000001),NA())</f>
        <v>#N/A</v>
      </c>
      <c r="CM187" s="12" t="e">
        <f>IF(AND(Y187&lt;&gt;"",Статистика!$L$6="Вкл",Статистика!$K$6&gt;0),(Статистика!$K$6-Статистика!$C$10)/MAX(Статистика!$G$10-Статистика!$C$10,0.000001),NA())</f>
        <v>#N/A</v>
      </c>
      <c r="CN187" s="12" t="e">
        <f>IF(AND(Y187&lt;&gt;"",Статистика!$M$6="Вкл",Статистика!$O$6&gt;0),(Статистика!$O$6-Статистика!$C$10)/MAX(Статистика!$G$10-Статистика!$C$10,0.000001),NA())</f>
        <v>#N/A</v>
      </c>
      <c r="CO187" s="12">
        <f t="shared" si="5"/>
        <v>1</v>
      </c>
    </row>
    <row r="188" spans="1:93" ht="15" customHeight="1">
      <c r="A188" s="12" t="s">
        <v>801</v>
      </c>
      <c r="B188" s="12">
        <v>7444.1544326666653</v>
      </c>
      <c r="C188" s="12">
        <v>7454.0554966666668</v>
      </c>
      <c r="D188" s="12">
        <v>7484.6494616666678</v>
      </c>
      <c r="E188" s="12">
        <v>7781.884575</v>
      </c>
      <c r="F188" s="12">
        <v>7885.0890833333342</v>
      </c>
      <c r="G188" s="12">
        <v>8054.4722833333344</v>
      </c>
      <c r="H188" s="12">
        <v>8375.9940833333312</v>
      </c>
      <c r="I188" s="12">
        <v>8548.4548091666657</v>
      </c>
      <c r="J188" s="12">
        <v>8736.0809618333333</v>
      </c>
      <c r="K188" s="12">
        <v>8880.4500000000007</v>
      </c>
      <c r="L188" s="12" t="s">
        <v>802</v>
      </c>
      <c r="M188" s="12">
        <v>8335.0254078333328</v>
      </c>
      <c r="N188" s="12">
        <v>8423.3641058333324</v>
      </c>
      <c r="O188" s="12">
        <v>8491.5026583333329</v>
      </c>
      <c r="P188" s="12">
        <v>8794.0707750000001</v>
      </c>
      <c r="Q188" s="12">
        <v>8891.6056666666664</v>
      </c>
      <c r="R188" s="12">
        <v>9070.9269000000004</v>
      </c>
      <c r="S188" s="12">
        <v>9373.8540966666678</v>
      </c>
      <c r="T188" s="12">
        <v>9541.2146091666655</v>
      </c>
      <c r="U188" s="12">
        <v>9754.5401751666668</v>
      </c>
      <c r="V188" s="12">
        <v>9907.31</v>
      </c>
      <c r="W188" s="12" t="s">
        <v>802</v>
      </c>
      <c r="Y188" s="12" t="s">
        <v>801</v>
      </c>
      <c r="Z188" s="12">
        <v>7407.1238146666665</v>
      </c>
      <c r="AA188" s="12">
        <v>7440.30134</v>
      </c>
      <c r="AB188" s="12">
        <v>7481.7732466666657</v>
      </c>
      <c r="AC188" s="12">
        <v>7845.7531083333324</v>
      </c>
      <c r="AD188" s="12">
        <v>8017.7673833333329</v>
      </c>
      <c r="AE188" s="12">
        <v>8196.1975166666671</v>
      </c>
      <c r="AF188" s="12">
        <v>8338.2542983333333</v>
      </c>
      <c r="AG188" s="12">
        <v>8351.1452991666665</v>
      </c>
      <c r="AH188" s="12">
        <v>8361.4580998333331</v>
      </c>
      <c r="AI188" s="12">
        <v>8436.35</v>
      </c>
      <c r="AJ188" s="12" t="s">
        <v>803</v>
      </c>
      <c r="AK188" s="12">
        <v>8360.1235901666678</v>
      </c>
      <c r="AL188" s="12">
        <v>8422.9558175000002</v>
      </c>
      <c r="AM188" s="12">
        <v>8501.4961016666657</v>
      </c>
      <c r="AN188" s="12">
        <v>8839.0155250000007</v>
      </c>
      <c r="AO188" s="12">
        <v>9074.2059333333327</v>
      </c>
      <c r="AP188" s="12">
        <v>9244.1412249999994</v>
      </c>
      <c r="AQ188" s="12">
        <v>9397.8929333333326</v>
      </c>
      <c r="AR188" s="12">
        <v>9406.9468499999984</v>
      </c>
      <c r="AS188" s="12">
        <v>9414.1899833333318</v>
      </c>
      <c r="AT188" s="12">
        <v>9551.51</v>
      </c>
      <c r="AU188" s="12" t="s">
        <v>804</v>
      </c>
      <c r="AW188" s="12">
        <f>IF(A188="","",MAX(0,MIN(1,(((IF(Статистика!$C$4="Параллельный режим (активная мощность)",B188,M188)+Статистика!$J$4))-Статистика!$C$10)/MAX(Статистика!$G$10-Статистика!$C$10,0.000001))))</f>
        <v>0.48138481088888846</v>
      </c>
      <c r="AX188" s="12">
        <f>IF(A188="","",MAX(0,MAX(0,MIN(1,(((IF(Статистика!$C$4="Параллельный режим (активная мощность)",D188,O188)+Статистика!$J$4))-Статистика!$C$10)/MAX(Статистика!$G$10-Статистика!$C$10,0.000001)))-MAX(0,MIN(1,(((IF(Статистика!$C$4="Параллельный режим (активная мощность)",B188,M188)+Статистика!$J$4))-Статистика!$C$10)/MAX(Статистика!$G$10-Статистика!$C$10,0.000001)))))</f>
        <v>1.3498343000000801E-2</v>
      </c>
      <c r="AY188" s="12">
        <f>IF(A188="","",MAX(0,MAX(0,MIN(1,(((IF(Статистика!$C$4="Параллельный режим (активная мощность)",E188,P188)+Статистика!$J$4))-Статистика!$C$10)/MAX(Статистика!$G$10-Статистика!$C$10,0.000001)))-MAX(0,MIN(1,(((IF(Статистика!$C$4="Параллельный режим (активная мощность)",D188,O188)+Статистика!$J$4))-Статистика!$C$10)/MAX(Статистика!$G$10-Статистика!$C$10,0.000001)))))</f>
        <v>9.907837111111073E-2</v>
      </c>
      <c r="AZ188" s="12">
        <f>IF(A188="","",MAX(0,MAX(0,MIN(1,(((IF(Статистика!$C$4="Параллельный режим (активная мощность)",F188,Q188)+Статистика!$J$4))-Статистика!$C$10)/MAX(Статистика!$G$10-Статистика!$C$10,0.000001)))-MAX(0,MIN(1,(((IF(Статистика!$C$4="Параллельный режим (активная мощность)",E188,P188)+Статистика!$J$4))-Статистика!$C$10)/MAX(Статистика!$G$10-Статистика!$C$10,0.000001)))))</f>
        <v>3.4401502777778092E-2</v>
      </c>
      <c r="BA188" s="12">
        <f>IF(A188="","",MAX(0,MAX(0,MIN(1,(((IF(Статистика!$C$4="Параллельный режим (активная мощность)",G188,R188)+Статистика!$J$4))-Статистика!$C$10)/MAX(Статистика!$G$10-Статистика!$C$10,0.000001)))-MAX(0,MIN(1,(((IF(Статистика!$C$4="Параллельный режим (активная мощность)",F188,Q188)+Статистика!$J$4))-Статистика!$C$10)/MAX(Статистика!$G$10-Статистика!$C$10,0.000001)))))</f>
        <v>5.6461066666666726E-2</v>
      </c>
      <c r="BB188" s="12">
        <f>IF(A188="","",MAX(0,MAX(0,MIN(1,(((IF(Статистика!$C$4="Параллельный режим (активная мощность)",H188,S188)+Статистика!$J$4))-Статистика!$C$10)/MAX(Статистика!$G$10-Статистика!$C$10,0.000001)))-MAX(0,MIN(1,(((IF(Статистика!$C$4="Параллельный режим (активная мощность)",G188,R188)+Статистика!$J$4))-Статистика!$C$10)/MAX(Статистика!$G$10-Статистика!$C$10,0.000001)))))</f>
        <v>0.10717393333333225</v>
      </c>
      <c r="BC188" s="12">
        <f>IF(A188="","",MAX(0,MAX(0,MIN(1,(((IF(Статистика!$C$4="Параллельный режим (активная мощность)",J188,U188)+Статистика!$J$4))-Статистика!$C$10)/MAX(Статистика!$G$10-Статистика!$C$10,0.000001)))-MAX(0,MIN(1,(((IF(Статистика!$C$4="Параллельный режим (активная мощность)",H188,S188)+Статистика!$J$4))-Статистика!$C$10)/MAX(Статистика!$G$10-Статистика!$C$10,0.000001)))))</f>
        <v>0.1200289595000007</v>
      </c>
      <c r="BD188" s="12">
        <f>IF(A188="","",MAX(0,1-MAX(0,MIN(1,(((IF(Статистика!$C$4="Параллельный режим (активная мощность)",J188,U188)+Статистика!$J$4))-Статистика!$C$10)/MAX(Статистика!$G$10-Статистика!$C$10,0.000001)))))</f>
        <v>8.7973012722222244E-2</v>
      </c>
      <c r="BE188" s="12">
        <f>IF(A188="",NA(),IF(Статистика!$B$8="Вкл",(((IF(Статистика!$C$4="Параллельный режим (активная мощность)",F188,Q188)+Статистика!$J$4))-Статистика!$C$10)/MAX(Статистика!$G$10-Статистика!$C$10,0.000001),NA()))</f>
        <v>0.62836302777777808</v>
      </c>
      <c r="BF188" s="12">
        <f>IF(A188="",NA(),IF(Статистика!$D$8="Вкл",(((IF(Статистика!$C$4="Параллельный режим (активная мощность)",E188,P188)+Статистика!$J$4))-Статистика!$C$10)/MAX(Статистика!$G$10-Статистика!$C$10,0.000001),NA()))</f>
        <v>0.59396152499999999</v>
      </c>
      <c r="BG188" s="12">
        <f>IF(A188="",NA(),IF(Статистика!$D$8="Вкл",(((IF(Статистика!$C$4="Параллельный режим (активная мощность)",G188,R188)+Статистика!$J$4))-Статистика!$C$10)/MAX(Статистика!$G$10-Статистика!$C$10,0.000001),NA()))</f>
        <v>0.68482409444444481</v>
      </c>
      <c r="BH188" s="12">
        <f>IF(A188="",NA(),IF(Статистика!$F$8="Вкл",(((IF(Статистика!$C$4="Параллельный режим (активная мощность)",D188,O188)+Статистика!$J$4))-Статистика!$C$10)/MAX(Статистика!$G$10-Статистика!$C$10,0.000001),NA()))</f>
        <v>0.49488315388888926</v>
      </c>
      <c r="BI188" s="12">
        <f>IF(A188="",NA(),IF(Статистика!$F$8="Вкл",(((IF(Статистика!$C$4="Параллельный режим (активная мощность)",H188,S188)+Статистика!$J$4))-Статистика!$C$10)/MAX(Статистика!$G$10-Статистика!$C$10,0.000001),NA()))</f>
        <v>0.79199802777777706</v>
      </c>
      <c r="BJ188" s="12">
        <f>IF(A188="",NA(),IF(Статистика!$H$8="Вкл",(((IF(Статистика!$C$4="Параллельный режим (активная мощность)",B188,M188)+Статистика!$J$4))-Статистика!$C$10)/MAX(Статистика!$G$10-Статистика!$C$10,0.000001),NA()))</f>
        <v>0.48138481088888846</v>
      </c>
      <c r="BK188" s="12">
        <f>IF(A188="",NA(),IF(Статистика!$H$8="Вкл",(((IF(Статистика!$C$4="Параллельный режим (активная мощность)",J188,U188)+Статистика!$J$4))-Статистика!$C$10)/MAX(Статистика!$G$10-Статистика!$C$10,0.000001),NA()))</f>
        <v>0.91202698727777776</v>
      </c>
      <c r="BL188" s="12" t="e">
        <f>IF(A188="",NA(),IF(Статистика!$J$8="Вкл",(((IF(Статистика!$C$4="Параллельный режим (активная мощность)",K188,V188)+Статистика!$J$4))-Статистика!$C$10)/MAX(Статистика!$G$10-Статистика!$C$10,0.000001),NA()))</f>
        <v>#N/A</v>
      </c>
      <c r="BM188" s="12" t="e">
        <f>IF(AND(A188&lt;&gt;"",Статистика!$C$6="Вкл",Статистика!$B$6&gt;0),(Статистика!$B$6-Статистика!$C$10)/MAX(Статистика!$G$10-Статистика!$C$10,0.000001),NA())</f>
        <v>#N/A</v>
      </c>
      <c r="BN188" s="12" t="e">
        <f>IF(AND(A188&lt;&gt;"",Статистика!$F$6="Вкл",Статистика!$E$6&gt;0),(Статистика!$E$6-Статистика!$C$10)/MAX(Статистика!$G$10-Статистика!$C$10,0.000001),NA())</f>
        <v>#N/A</v>
      </c>
      <c r="BO188" s="12" t="e">
        <f>IF(AND(A188&lt;&gt;"",Статистика!$I$6="Вкл",Статистика!$H$6&gt;0),(Статистика!$H$6-Статистика!$C$10)/MAX(Статистика!$G$10-Статистика!$C$10,0.000001),NA())</f>
        <v>#N/A</v>
      </c>
      <c r="BP188" s="12" t="e">
        <f>IF(AND(A188&lt;&gt;"",Статистика!$L$6="Вкл",Статистика!$K$6&gt;0),(Статистика!$K$6-Статистика!$C$10)/MAX(Статистика!$G$10-Статистика!$C$10,0.000001),NA())</f>
        <v>#N/A</v>
      </c>
      <c r="BQ188" s="12" t="e">
        <f>IF(AND(A188&lt;&gt;"",Статистика!$M$6="Вкл",Статистика!$O$6&gt;0),(Статистика!$O$6-Статистика!$C$10)/MAX(Статистика!$G$10-Статистика!$C$10,0.000001),NA())</f>
        <v>#N/A</v>
      </c>
      <c r="BR188" s="12">
        <f t="shared" si="4"/>
        <v>1</v>
      </c>
      <c r="BT188" s="12">
        <f>IF(Y188="","",MAX(0,MIN(1,(((IF(Статистика!$C$4="Параллельный режим (активная мощность)",Z188,AK188)+Статистика!$J$4))-Статистика!$C$10)/MAX(Статистика!$G$10-Статистика!$C$10,0.000001))))</f>
        <v>0.46904127155555547</v>
      </c>
      <c r="BU188" s="12">
        <f>IF(Y188="","",MAX(0,MAX(0,MIN(1,(((IF(Статистика!$C$4="Параллельный режим (активная мощность)",AB188,AM188)+Статистика!$J$4))-Статистика!$C$10)/MAX(Статистика!$G$10-Статистика!$C$10,0.000001)))-MAX(0,MIN(1,(((IF(Статистика!$C$4="Параллельный режим (активная мощность)",Z188,AK188)+Статистика!$J$4))-Статистика!$C$10)/MAX(Статистика!$G$10-Статистика!$C$10,0.000001)))))</f>
        <v>2.4883143999999746E-2</v>
      </c>
      <c r="BV188" s="12">
        <f>IF(Y188="","",MAX(0,MAX(0,MIN(1,(((IF(Статистика!$C$4="Параллельный режим (активная мощность)",AC188,AN188)+Статистика!$J$4))-Статистика!$C$10)/MAX(Статистика!$G$10-Статистика!$C$10,0.000001)))-MAX(0,MIN(1,(((IF(Статистика!$C$4="Параллельный режим (активная мощность)",AB188,AM188)+Статистика!$J$4))-Статистика!$C$10)/MAX(Статистика!$G$10-Статистика!$C$10,0.000001)))))</f>
        <v>0.12132662055555554</v>
      </c>
      <c r="BW188" s="12">
        <f>IF(Y188="","",MAX(0,MAX(0,MIN(1,(((IF(Статистика!$C$4="Параллельный режим (активная мощность)",AD188,AO188)+Статистика!$J$4))-Статистика!$C$10)/MAX(Статистика!$G$10-Статистика!$C$10,0.000001)))-MAX(0,MIN(1,(((IF(Статистика!$C$4="Параллельный режим (активная мощность)",AC188,AN188)+Статистика!$J$4))-Статистика!$C$10)/MAX(Статистика!$G$10-Статистика!$C$10,0.000001)))))</f>
        <v>5.7338091666666813E-2</v>
      </c>
      <c r="BX188" s="12">
        <f>IF(Y188="","",MAX(0,MAX(0,MIN(1,(((IF(Статистика!$C$4="Параллельный режим (активная мощность)",AE188,AP188)+Статистика!$J$4))-Статистика!$C$10)/MAX(Статистика!$G$10-Статистика!$C$10,0.000001)))-MAX(0,MIN(1,(((IF(Статистика!$C$4="Параллельный режим (активная мощность)",AD188,AO188)+Статистика!$J$4))-Статистика!$C$10)/MAX(Статистика!$G$10-Статистика!$C$10,0.000001)))))</f>
        <v>5.9476711111111413E-2</v>
      </c>
      <c r="BY188" s="12">
        <f>IF(Y188="","",MAX(0,MAX(0,MIN(1,(((IF(Статистика!$C$4="Параллельный режим (активная мощность)",AF188,AQ188)+Статистика!$J$4))-Статистика!$C$10)/MAX(Статистика!$G$10-Статистика!$C$10,0.000001)))-MAX(0,MIN(1,(((IF(Статистика!$C$4="Параллельный режим (активная мощность)",AE188,AP188)+Статистика!$J$4))-Статистика!$C$10)/MAX(Статистика!$G$10-Статистика!$C$10,0.000001)))))</f>
        <v>4.7352260555555414E-2</v>
      </c>
      <c r="BZ188" s="12">
        <f>IF(Y188="","",MAX(0,MAX(0,MIN(1,(((IF(Статистика!$C$4="Параллельный режим (активная мощность)",AH188,AS188)+Статистика!$J$4))-Статистика!$C$10)/MAX(Статистика!$G$10-Статистика!$C$10,0.000001)))-MAX(0,MIN(1,(((IF(Статистика!$C$4="Параллельный режим (активная мощность)",AF188,AQ188)+Статистика!$J$4))-Статистика!$C$10)/MAX(Статистика!$G$10-Статистика!$C$10,0.000001)))))</f>
        <v>7.7346004999999662E-3</v>
      </c>
      <c r="CA188" s="12">
        <f>IF(Y188="","",MAX(0,1-MAX(0,MIN(1,(((IF(Статистика!$C$4="Параллельный режим (активная мощность)",AH188,AS188)+Статистика!$J$4))-Статистика!$C$10)/MAX(Статистика!$G$10-Статистика!$C$10,0.000001)))))</f>
        <v>0.21284730005555563</v>
      </c>
      <c r="CB188" s="12">
        <f>IF(Y188="",NA(),IF(Статистика!$B$8="Вкл",(((IF(Статистика!$C$4="Параллельный режим (активная мощность)",AD188,AO188)+Статистика!$J$4))-Статистика!$C$10)/MAX(Статистика!$G$10-Статистика!$C$10,0.000001),NA()))</f>
        <v>0.67258912777777757</v>
      </c>
      <c r="CC188" s="12">
        <f>IF(Y188="",NA(),IF(Статистика!$D$8="Вкл",(((IF(Статистика!$C$4="Параллельный режим (активная мощность)",AC188,AN188)+Статистика!$J$4))-Статистика!$C$10)/MAX(Статистика!$G$10-Статистика!$C$10,0.000001),NA()))</f>
        <v>0.61525103611111076</v>
      </c>
      <c r="CD188" s="12">
        <f>IF(Y188="",NA(),IF(Статистика!$D$8="Вкл",(((IF(Статистика!$C$4="Параллельный режим (активная мощность)",AE188,AP188)+Статистика!$J$4))-Статистика!$C$10)/MAX(Статистика!$G$10-Статистика!$C$10,0.000001),NA()))</f>
        <v>0.73206583888888899</v>
      </c>
      <c r="CE188" s="12">
        <f>IF(Y188="",NA(),IF(Статистика!$F$8="Вкл",(((IF(Статистика!$C$4="Параллельный режим (активная мощность)",AB188,AM188)+Статистика!$J$4))-Статистика!$C$10)/MAX(Статистика!$G$10-Статистика!$C$10,0.000001),NA()))</f>
        <v>0.49392441555555522</v>
      </c>
      <c r="CF188" s="12">
        <f>IF(Y188="",NA(),IF(Статистика!$F$8="Вкл",(((IF(Статистика!$C$4="Параллельный режим (активная мощность)",AF188,AQ188)+Статистика!$J$4))-Статистика!$C$10)/MAX(Статистика!$G$10-Статистика!$C$10,0.000001),NA()))</f>
        <v>0.7794180994444444</v>
      </c>
      <c r="CG188" s="12">
        <f>IF(Y188="",NA(),IF(Статистика!$H$8="Вкл",(((IF(Статистика!$C$4="Параллельный режим (активная мощность)",Z188,AK188)+Статистика!$J$4))-Статистика!$C$10)/MAX(Статистика!$G$10-Статистика!$C$10,0.000001),NA()))</f>
        <v>0.46904127155555547</v>
      </c>
      <c r="CH188" s="12">
        <f>IF(Y188="",NA(),IF(Статистика!$H$8="Вкл",(((IF(Статистика!$C$4="Параллельный режим (активная мощность)",AH188,AS188)+Статистика!$J$4))-Статистика!$C$10)/MAX(Статистика!$G$10-Статистика!$C$10,0.000001),NA()))</f>
        <v>0.78715269994444437</v>
      </c>
      <c r="CI188" s="12" t="e">
        <f>IF(Y188="",NA(),IF(Статистика!$J$8="Вкл",(((IF(Статистика!$C$4="Параллельный режим (активная мощность)",AI188,AT188)+Статистика!$J$4))-Статистика!$C$10)/MAX(Статистика!$G$10-Статистика!$C$10,0.000001),NA()))</f>
        <v>#N/A</v>
      </c>
      <c r="CJ188" s="12" t="e">
        <f>IF(AND(Y188&lt;&gt;"",Статистика!$C$6="Вкл",Статистика!$B$6&gt;0),(Статистика!$B$6-Статистика!$C$10)/MAX(Статистика!$G$10-Статистика!$C$10,0.000001),NA())</f>
        <v>#N/A</v>
      </c>
      <c r="CK188" s="12" t="e">
        <f>IF(AND(Y188&lt;&gt;"",Статистика!$F$6="Вкл",Статистика!$E$6&gt;0),(Статистика!$E$6-Статистика!$C$10)/MAX(Статистика!$G$10-Статистика!$C$10,0.000001),NA())</f>
        <v>#N/A</v>
      </c>
      <c r="CL188" s="12" t="e">
        <f>IF(AND(Y188&lt;&gt;"",Статистика!$I$6="Вкл",Статистика!$H$6&gt;0),(Статистика!$H$6-Статистика!$C$10)/MAX(Статистика!$G$10-Статистика!$C$10,0.000001),NA())</f>
        <v>#N/A</v>
      </c>
      <c r="CM188" s="12" t="e">
        <f>IF(AND(Y188&lt;&gt;"",Статистика!$L$6="Вкл",Статистика!$K$6&gt;0),(Статистика!$K$6-Статистика!$C$10)/MAX(Статистика!$G$10-Статистика!$C$10,0.000001),NA())</f>
        <v>#N/A</v>
      </c>
      <c r="CN188" s="12" t="e">
        <f>IF(AND(Y188&lt;&gt;"",Статистика!$M$6="Вкл",Статистика!$O$6&gt;0),(Статистика!$O$6-Статистика!$C$10)/MAX(Статистика!$G$10-Статистика!$C$10,0.000001),NA())</f>
        <v>#N/A</v>
      </c>
      <c r="CO188" s="12">
        <f t="shared" si="5"/>
        <v>1</v>
      </c>
    </row>
    <row r="189" spans="1:93" ht="15" customHeight="1">
      <c r="A189" s="12" t="s">
        <v>805</v>
      </c>
      <c r="B189" s="12">
        <v>7479.2735353333328</v>
      </c>
      <c r="C189" s="12">
        <v>7479.4403433333337</v>
      </c>
      <c r="D189" s="12">
        <v>7513.2453883333337</v>
      </c>
      <c r="E189" s="12">
        <v>7793.4906916666669</v>
      </c>
      <c r="F189" s="12">
        <v>7881.1082333333334</v>
      </c>
      <c r="G189" s="12">
        <v>8082.4481333333342</v>
      </c>
      <c r="H189" s="12">
        <v>8375.8106449999996</v>
      </c>
      <c r="I189" s="12">
        <v>8520.6524091666652</v>
      </c>
      <c r="J189" s="12">
        <v>8694.4923485000018</v>
      </c>
      <c r="K189" s="12">
        <v>8819.92</v>
      </c>
      <c r="L189" s="12" t="s">
        <v>806</v>
      </c>
      <c r="M189" s="12">
        <v>8392.1668451666665</v>
      </c>
      <c r="N189" s="12">
        <v>8467.0042258333342</v>
      </c>
      <c r="O189" s="12">
        <v>8526.280796666666</v>
      </c>
      <c r="P189" s="12">
        <v>8755.7751666666663</v>
      </c>
      <c r="Q189" s="12">
        <v>8894.5622000000003</v>
      </c>
      <c r="R189" s="12">
        <v>9134.1666499999992</v>
      </c>
      <c r="S189" s="12">
        <v>9384.0992700000006</v>
      </c>
      <c r="T189" s="12">
        <v>9513.9119108333325</v>
      </c>
      <c r="U189" s="12">
        <v>9712.2862755000006</v>
      </c>
      <c r="V189" s="12">
        <v>9851.93</v>
      </c>
      <c r="W189" s="12" t="s">
        <v>806</v>
      </c>
      <c r="Y189" s="12" t="s">
        <v>805</v>
      </c>
      <c r="Z189" s="12">
        <v>7511.4027913333348</v>
      </c>
      <c r="AA189" s="12">
        <v>7517.1042233333346</v>
      </c>
      <c r="AB189" s="12">
        <v>7524.231013333334</v>
      </c>
      <c r="AC189" s="12">
        <v>7831.1604583333328</v>
      </c>
      <c r="AD189" s="12">
        <v>8049.7868833333341</v>
      </c>
      <c r="AE189" s="12">
        <v>8157.5733</v>
      </c>
      <c r="AF189" s="12">
        <v>8410.2035899999992</v>
      </c>
      <c r="AG189" s="12">
        <v>8411.8705116666661</v>
      </c>
      <c r="AH189" s="12">
        <v>8413.2040489999999</v>
      </c>
      <c r="AI189" s="12">
        <v>8508.49</v>
      </c>
      <c r="AJ189" s="12" t="s">
        <v>807</v>
      </c>
      <c r="AK189" s="12">
        <v>8464.3104129999992</v>
      </c>
      <c r="AL189" s="12">
        <v>8499.9159316666664</v>
      </c>
      <c r="AM189" s="12">
        <v>8544.4228300000013</v>
      </c>
      <c r="AN189" s="12">
        <v>8805.119200000001</v>
      </c>
      <c r="AO189" s="12">
        <v>9103.1806666666671</v>
      </c>
      <c r="AP189" s="12">
        <v>9228.2027666666672</v>
      </c>
      <c r="AQ189" s="12">
        <v>9446.8533549999993</v>
      </c>
      <c r="AR189" s="12">
        <v>9460.3998274999994</v>
      </c>
      <c r="AS189" s="12">
        <v>9471.2370054999992</v>
      </c>
      <c r="AT189" s="12">
        <v>9550.85</v>
      </c>
      <c r="AU189" s="12" t="s">
        <v>808</v>
      </c>
      <c r="AW189" s="12">
        <f>IF(A189="","",MAX(0,MIN(1,(((IF(Статистика!$C$4="Параллельный режим (активная мощность)",B189,M189)+Статистика!$J$4))-Статистика!$C$10)/MAX(Статистика!$G$10-Статистика!$C$10,0.000001))))</f>
        <v>0.49309117844444428</v>
      </c>
      <c r="AX189" s="12">
        <f>IF(A189="","",MAX(0,MAX(0,MIN(1,(((IF(Статистика!$C$4="Параллельный режим (активная мощность)",D189,O189)+Статистика!$J$4))-Статистика!$C$10)/MAX(Статистика!$G$10-Статистика!$C$10,0.000001)))-MAX(0,MIN(1,(((IF(Статистика!$C$4="Параллельный режим (активная мощность)",B189,M189)+Статистика!$J$4))-Статистика!$C$10)/MAX(Статистика!$G$10-Статистика!$C$10,0.000001)))))</f>
        <v>1.1323951000000276E-2</v>
      </c>
      <c r="AY189" s="12">
        <f>IF(A189="","",MAX(0,MAX(0,MIN(1,(((IF(Статистика!$C$4="Параллельный режим (активная мощность)",E189,P189)+Статистика!$J$4))-Статистика!$C$10)/MAX(Статистика!$G$10-Статистика!$C$10,0.000001)))-MAX(0,MIN(1,(((IF(Статистика!$C$4="Параллельный режим (активная мощность)",D189,O189)+Статистика!$J$4))-Статистика!$C$10)/MAX(Статистика!$G$10-Статистика!$C$10,0.000001)))))</f>
        <v>9.3415101111111065E-2</v>
      </c>
      <c r="AZ189" s="12">
        <f>IF(A189="","",MAX(0,MAX(0,MIN(1,(((IF(Статистика!$C$4="Параллельный режим (активная мощность)",F189,Q189)+Статистика!$J$4))-Статистика!$C$10)/MAX(Статистика!$G$10-Статистика!$C$10,0.000001)))-MAX(0,MIN(1,(((IF(Статистика!$C$4="Параллельный режим (активная мощность)",E189,P189)+Статистика!$J$4))-Статистика!$C$10)/MAX(Статистика!$G$10-Статистика!$C$10,0.000001)))))</f>
        <v>2.9205847222222192E-2</v>
      </c>
      <c r="BA189" s="12">
        <f>IF(A189="","",MAX(0,MAX(0,MIN(1,(((IF(Статистика!$C$4="Параллельный режим (активная мощность)",G189,R189)+Статистика!$J$4))-Статистика!$C$10)/MAX(Статистика!$G$10-Статистика!$C$10,0.000001)))-MAX(0,MIN(1,(((IF(Статистика!$C$4="Параллельный режим (активная мощность)",F189,Q189)+Статистика!$J$4))-Статистика!$C$10)/MAX(Статистика!$G$10-Статистика!$C$10,0.000001)))))</f>
        <v>6.7113300000000264E-2</v>
      </c>
      <c r="BB189" s="12">
        <f>IF(A189="","",MAX(0,MAX(0,MIN(1,(((IF(Статистика!$C$4="Параллельный режим (активная мощность)",H189,S189)+Статистика!$J$4))-Статистика!$C$10)/MAX(Статистика!$G$10-Статистика!$C$10,0.000001)))-MAX(0,MIN(1,(((IF(Статистика!$C$4="Параллельный режим (активная мощность)",G189,R189)+Статистика!$J$4))-Статистика!$C$10)/MAX(Статистика!$G$10-Статистика!$C$10,0.000001)))))</f>
        <v>9.7787503888888461E-2</v>
      </c>
      <c r="BC189" s="12">
        <f>IF(A189="","",MAX(0,MAX(0,MIN(1,(((IF(Статистика!$C$4="Параллельный режим (активная мощность)",J189,U189)+Статистика!$J$4))-Статистика!$C$10)/MAX(Статистика!$G$10-Статистика!$C$10,0.000001)))-MAX(0,MIN(1,(((IF(Статистика!$C$4="Параллельный режим (активная мощность)",H189,S189)+Статистика!$J$4))-Статистика!$C$10)/MAX(Статистика!$G$10-Статистика!$C$10,0.000001)))))</f>
        <v>0.10622723450000071</v>
      </c>
      <c r="BD189" s="12">
        <f>IF(A189="","",MAX(0,1-MAX(0,MIN(1,(((IF(Статистика!$C$4="Параллельный режим (активная мощность)",J189,U189)+Статистика!$J$4))-Статистика!$C$10)/MAX(Статистика!$G$10-Статистика!$C$10,0.000001)))))</f>
        <v>0.10183588383333275</v>
      </c>
      <c r="BE189" s="12">
        <f>IF(A189="",NA(),IF(Статистика!$B$8="Вкл",(((IF(Статистика!$C$4="Параллельный режим (активная мощность)",F189,Q189)+Статистика!$J$4))-Статистика!$C$10)/MAX(Статистика!$G$10-Статистика!$C$10,0.000001),NA()))</f>
        <v>0.62703607777777781</v>
      </c>
      <c r="BF189" s="12">
        <f>IF(A189="",NA(),IF(Статистика!$D$8="Вкл",(((IF(Статистика!$C$4="Параллельный режим (активная мощность)",E189,P189)+Статистика!$J$4))-Статистика!$C$10)/MAX(Статистика!$G$10-Статистика!$C$10,0.000001),NA()))</f>
        <v>0.59783023055555562</v>
      </c>
      <c r="BG189" s="12">
        <f>IF(A189="",NA(),IF(Статистика!$D$8="Вкл",(((IF(Статистика!$C$4="Параллельный режим (активная мощность)",G189,R189)+Статистика!$J$4))-Статистика!$C$10)/MAX(Статистика!$G$10-Статистика!$C$10,0.000001),NA()))</f>
        <v>0.69414937777777808</v>
      </c>
      <c r="BH189" s="12">
        <f>IF(A189="",NA(),IF(Статистика!$F$8="Вкл",(((IF(Статистика!$C$4="Параллельный режим (активная мощность)",D189,O189)+Статистика!$J$4))-Статистика!$C$10)/MAX(Статистика!$G$10-Статистика!$C$10,0.000001),NA()))</f>
        <v>0.50441512944444455</v>
      </c>
      <c r="BI189" s="12">
        <f>IF(A189="",NA(),IF(Статистика!$F$8="Вкл",(((IF(Статистика!$C$4="Параллельный режим (активная мощность)",H189,S189)+Статистика!$J$4))-Статистика!$C$10)/MAX(Статистика!$G$10-Статистика!$C$10,0.000001),NA()))</f>
        <v>0.79193688166666654</v>
      </c>
      <c r="BJ189" s="12">
        <f>IF(A189="",NA(),IF(Статистика!$H$8="Вкл",(((IF(Статистика!$C$4="Параллельный режим (активная мощность)",B189,M189)+Статистика!$J$4))-Статистика!$C$10)/MAX(Статистика!$G$10-Статистика!$C$10,0.000001),NA()))</f>
        <v>0.49309117844444428</v>
      </c>
      <c r="BK189" s="12">
        <f>IF(A189="",NA(),IF(Статистика!$H$8="Вкл",(((IF(Статистика!$C$4="Параллельный режим (активная мощность)",J189,U189)+Статистика!$J$4))-Статистика!$C$10)/MAX(Статистика!$G$10-Статистика!$C$10,0.000001),NA()))</f>
        <v>0.89816411616666725</v>
      </c>
      <c r="BL189" s="12" t="e">
        <f>IF(A189="",NA(),IF(Статистика!$J$8="Вкл",(((IF(Статистика!$C$4="Параллельный режим (активная мощность)",K189,V189)+Статистика!$J$4))-Статистика!$C$10)/MAX(Статистика!$G$10-Статистика!$C$10,0.000001),NA()))</f>
        <v>#N/A</v>
      </c>
      <c r="BM189" s="12" t="e">
        <f>IF(AND(A189&lt;&gt;"",Статистика!$C$6="Вкл",Статистика!$B$6&gt;0),(Статистика!$B$6-Статистика!$C$10)/MAX(Статистика!$G$10-Статистика!$C$10,0.000001),NA())</f>
        <v>#N/A</v>
      </c>
      <c r="BN189" s="12" t="e">
        <f>IF(AND(A189&lt;&gt;"",Статистика!$F$6="Вкл",Статистика!$E$6&gt;0),(Статистика!$E$6-Статистика!$C$10)/MAX(Статистика!$G$10-Статистика!$C$10,0.000001),NA())</f>
        <v>#N/A</v>
      </c>
      <c r="BO189" s="12" t="e">
        <f>IF(AND(A189&lt;&gt;"",Статистика!$I$6="Вкл",Статистика!$H$6&gt;0),(Статистика!$H$6-Статистика!$C$10)/MAX(Статистика!$G$10-Статистика!$C$10,0.000001),NA())</f>
        <v>#N/A</v>
      </c>
      <c r="BP189" s="12" t="e">
        <f>IF(AND(A189&lt;&gt;"",Статистика!$L$6="Вкл",Статистика!$K$6&gt;0),(Статистика!$K$6-Статистика!$C$10)/MAX(Статистика!$G$10-Статистика!$C$10,0.000001),NA())</f>
        <v>#N/A</v>
      </c>
      <c r="BQ189" s="12" t="e">
        <f>IF(AND(A189&lt;&gt;"",Статистика!$M$6="Вкл",Статистика!$O$6&gt;0),(Статистика!$O$6-Статистика!$C$10)/MAX(Статистика!$G$10-Статистика!$C$10,0.000001),NA())</f>
        <v>#N/A</v>
      </c>
      <c r="BR189" s="12">
        <f t="shared" si="4"/>
        <v>1</v>
      </c>
      <c r="BT189" s="12">
        <f>IF(Y189="","",MAX(0,MIN(1,(((IF(Статистика!$C$4="Параллельный режим (активная мощность)",Z189,AK189)+Статистика!$J$4))-Статистика!$C$10)/MAX(Статистика!$G$10-Статистика!$C$10,0.000001))))</f>
        <v>0.50380093044444496</v>
      </c>
      <c r="BU189" s="12">
        <f>IF(Y189="","",MAX(0,MAX(0,MIN(1,(((IF(Статистика!$C$4="Параллельный режим (активная мощность)",AB189,AM189)+Статистика!$J$4))-Статистика!$C$10)/MAX(Статистика!$G$10-Статистика!$C$10,0.000001)))-MAX(0,MIN(1,(((IF(Статистика!$C$4="Параллельный режим (активная мощность)",Z189,AK189)+Статистика!$J$4))-Статистика!$C$10)/MAX(Статистика!$G$10-Статистика!$C$10,0.000001)))))</f>
        <v>4.276073999999741E-3</v>
      </c>
      <c r="BV189" s="12">
        <f>IF(Y189="","",MAX(0,MAX(0,MIN(1,(((IF(Статистика!$C$4="Параллельный режим (активная мощность)",AC189,AN189)+Статистика!$J$4))-Статистика!$C$10)/MAX(Статистика!$G$10-Статистика!$C$10,0.000001)))-MAX(0,MIN(1,(((IF(Статистика!$C$4="Параллельный режим (активная мощность)",AB189,AM189)+Статистика!$J$4))-Статистика!$C$10)/MAX(Статистика!$G$10-Статистика!$C$10,0.000001)))))</f>
        <v>0.10230981499999958</v>
      </c>
      <c r="BW189" s="12">
        <f>IF(Y189="","",MAX(0,MAX(0,MIN(1,(((IF(Статистика!$C$4="Параллельный режим (активная мощность)",AD189,AO189)+Статистика!$J$4))-Статистика!$C$10)/MAX(Статистика!$G$10-Статистика!$C$10,0.000001)))-MAX(0,MIN(1,(((IF(Статистика!$C$4="Параллельный режим (активная мощность)",AC189,AN189)+Статистика!$J$4))-Статистика!$C$10)/MAX(Статистика!$G$10-Статистика!$C$10,0.000001)))))</f>
        <v>7.2875475000000467E-2</v>
      </c>
      <c r="BX189" s="12">
        <f>IF(Y189="","",MAX(0,MAX(0,MIN(1,(((IF(Статистика!$C$4="Параллельный режим (активная мощность)",AE189,AP189)+Статистика!$J$4))-Статистика!$C$10)/MAX(Статистика!$G$10-Статистика!$C$10,0.000001)))-MAX(0,MIN(1,(((IF(Статистика!$C$4="Параллельный режим (активная мощность)",AD189,AO189)+Статистика!$J$4))-Статистика!$C$10)/MAX(Статистика!$G$10-Статистика!$C$10,0.000001)))))</f>
        <v>3.5928805555555221E-2</v>
      </c>
      <c r="BY189" s="12">
        <f>IF(Y189="","",MAX(0,MAX(0,MIN(1,(((IF(Статистика!$C$4="Параллельный режим (активная мощность)",AF189,AQ189)+Статистика!$J$4))-Статистика!$C$10)/MAX(Статистика!$G$10-Статистика!$C$10,0.000001)))-MAX(0,MIN(1,(((IF(Статистика!$C$4="Параллельный режим (активная мощность)",AE189,AP189)+Статистика!$J$4))-Статистика!$C$10)/MAX(Статистика!$G$10-Статистика!$C$10,0.000001)))))</f>
        <v>8.4210096666666456E-2</v>
      </c>
      <c r="BZ189" s="12">
        <f>IF(Y189="","",MAX(0,MAX(0,MIN(1,(((IF(Статистика!$C$4="Параллельный режим (активная мощность)",AH189,AS189)+Статистика!$J$4))-Статистика!$C$10)/MAX(Статистика!$G$10-Статистика!$C$10,0.000001)))-MAX(0,MIN(1,(((IF(Статистика!$C$4="Параллельный режим (активная мощность)",AF189,AQ189)+Статистика!$J$4))-Статистика!$C$10)/MAX(Статистика!$G$10-Статистика!$C$10,0.000001)))))</f>
        <v>1.0001530000002257E-3</v>
      </c>
      <c r="CA189" s="12">
        <f>IF(Y189="","",MAX(0,1-MAX(0,MIN(1,(((IF(Статистика!$C$4="Параллельный режим (активная мощность)",AH189,AS189)+Статистика!$J$4))-Статистика!$C$10)/MAX(Статистика!$G$10-Статистика!$C$10,0.000001)))))</f>
        <v>0.19559865033333335</v>
      </c>
      <c r="CB189" s="12">
        <f>IF(Y189="",NA(),IF(Статистика!$B$8="Вкл",(((IF(Статистика!$C$4="Параллельный режим (активная мощность)",AD189,AO189)+Статистика!$J$4))-Статистика!$C$10)/MAX(Статистика!$G$10-Статистика!$C$10,0.000001),NA()))</f>
        <v>0.68326229444444475</v>
      </c>
      <c r="CC189" s="12">
        <f>IF(Y189="",NA(),IF(Статистика!$D$8="Вкл",(((IF(Статистика!$C$4="Параллельный режим (активная мощность)",AC189,AN189)+Статистика!$J$4))-Статистика!$C$10)/MAX(Статистика!$G$10-Статистика!$C$10,0.000001),NA()))</f>
        <v>0.61038681944444428</v>
      </c>
      <c r="CD189" s="12">
        <f>IF(Y189="",NA(),IF(Статистика!$D$8="Вкл",(((IF(Статистика!$C$4="Параллельный режим (активная мощность)",AE189,AP189)+Статистика!$J$4))-Статистика!$C$10)/MAX(Статистика!$G$10-Статистика!$C$10,0.000001),NA()))</f>
        <v>0.71919109999999997</v>
      </c>
      <c r="CE189" s="12">
        <f>IF(Y189="",NA(),IF(Статистика!$F$8="Вкл",(((IF(Статистика!$C$4="Параллельный режим (активная мощность)",AB189,AM189)+Статистика!$J$4))-Статистика!$C$10)/MAX(Статистика!$G$10-Статистика!$C$10,0.000001),NA()))</f>
        <v>0.5080770044444447</v>
      </c>
      <c r="CF189" s="12">
        <f>IF(Y189="",NA(),IF(Статистика!$F$8="Вкл",(((IF(Статистика!$C$4="Параллельный режим (активная мощность)",AF189,AQ189)+Статистика!$J$4))-Статистика!$C$10)/MAX(Статистика!$G$10-Статистика!$C$10,0.000001),NA()))</f>
        <v>0.80340119666666643</v>
      </c>
      <c r="CG189" s="12">
        <f>IF(Y189="",NA(),IF(Статистика!$H$8="Вкл",(((IF(Статистика!$C$4="Параллельный режим (активная мощность)",Z189,AK189)+Статистика!$J$4))-Статистика!$C$10)/MAX(Статистика!$G$10-Статистика!$C$10,0.000001),NA()))</f>
        <v>0.50380093044444496</v>
      </c>
      <c r="CH189" s="12">
        <f>IF(Y189="",NA(),IF(Статистика!$H$8="Вкл",(((IF(Статистика!$C$4="Параллельный режим (активная мощность)",AH189,AS189)+Статистика!$J$4))-Статистика!$C$10)/MAX(Статистика!$G$10-Статистика!$C$10,0.000001),NA()))</f>
        <v>0.80440134966666665</v>
      </c>
      <c r="CI189" s="12" t="e">
        <f>IF(Y189="",NA(),IF(Статистика!$J$8="Вкл",(((IF(Статистика!$C$4="Параллельный режим (активная мощность)",AI189,AT189)+Статистика!$J$4))-Статистика!$C$10)/MAX(Статистика!$G$10-Статистика!$C$10,0.000001),NA()))</f>
        <v>#N/A</v>
      </c>
      <c r="CJ189" s="12" t="e">
        <f>IF(AND(Y189&lt;&gt;"",Статистика!$C$6="Вкл",Статистика!$B$6&gt;0),(Статистика!$B$6-Статистика!$C$10)/MAX(Статистика!$G$10-Статистика!$C$10,0.000001),NA())</f>
        <v>#N/A</v>
      </c>
      <c r="CK189" s="12" t="e">
        <f>IF(AND(Y189&lt;&gt;"",Статистика!$F$6="Вкл",Статистика!$E$6&gt;0),(Статистика!$E$6-Статистика!$C$10)/MAX(Статистика!$G$10-Статистика!$C$10,0.000001),NA())</f>
        <v>#N/A</v>
      </c>
      <c r="CL189" s="12" t="e">
        <f>IF(AND(Y189&lt;&gt;"",Статистика!$I$6="Вкл",Статистика!$H$6&gt;0),(Статистика!$H$6-Статистика!$C$10)/MAX(Статистика!$G$10-Статистика!$C$10,0.000001),NA())</f>
        <v>#N/A</v>
      </c>
      <c r="CM189" s="12" t="e">
        <f>IF(AND(Y189&lt;&gt;"",Статистика!$L$6="Вкл",Статистика!$K$6&gt;0),(Статистика!$K$6-Статистика!$C$10)/MAX(Статистика!$G$10-Статистика!$C$10,0.000001),NA())</f>
        <v>#N/A</v>
      </c>
      <c r="CN189" s="12" t="e">
        <f>IF(AND(Y189&lt;&gt;"",Статистика!$M$6="Вкл",Статистика!$O$6&gt;0),(Статистика!$O$6-Статистика!$C$10)/MAX(Статистика!$G$10-Статистика!$C$10,0.000001),NA())</f>
        <v>#N/A</v>
      </c>
      <c r="CO189" s="12">
        <f t="shared" si="5"/>
        <v>1</v>
      </c>
    </row>
    <row r="190" spans="1:93" ht="15" customHeight="1">
      <c r="A190" s="12" t="s">
        <v>809</v>
      </c>
      <c r="B190" s="12">
        <v>7414.6527080000014</v>
      </c>
      <c r="C190" s="12">
        <v>7511.7932733333328</v>
      </c>
      <c r="D190" s="12">
        <v>7585.9243550000001</v>
      </c>
      <c r="E190" s="12">
        <v>7800.4269583333344</v>
      </c>
      <c r="F190" s="12">
        <v>7884.4264000000003</v>
      </c>
      <c r="G190" s="12">
        <v>8052.9652916666673</v>
      </c>
      <c r="H190" s="12">
        <v>8364.3312166666674</v>
      </c>
      <c r="I190" s="12">
        <v>8518.0566958333329</v>
      </c>
      <c r="J190" s="12">
        <v>8700.798939166667</v>
      </c>
      <c r="K190" s="12">
        <v>8840.56</v>
      </c>
      <c r="L190" s="12" t="s">
        <v>810</v>
      </c>
      <c r="M190" s="12">
        <v>8422.5865718333334</v>
      </c>
      <c r="N190" s="12">
        <v>8467.0520591666664</v>
      </c>
      <c r="O190" s="12">
        <v>8528.2610783333348</v>
      </c>
      <c r="P190" s="12">
        <v>8785.9009916666655</v>
      </c>
      <c r="Q190" s="12">
        <v>8885.5573666666678</v>
      </c>
      <c r="R190" s="12">
        <v>9100.4892166666668</v>
      </c>
      <c r="S190" s="12">
        <v>9367.7447999999986</v>
      </c>
      <c r="T190" s="12">
        <v>9489.3600133333312</v>
      </c>
      <c r="U190" s="12">
        <v>9680.7866159999994</v>
      </c>
      <c r="V190" s="12">
        <v>9829.89</v>
      </c>
      <c r="W190" s="12" t="s">
        <v>810</v>
      </c>
      <c r="Y190" s="12" t="s">
        <v>809</v>
      </c>
      <c r="Z190" s="12">
        <v>7578.6796155000011</v>
      </c>
      <c r="AA190" s="12">
        <v>7599.7238108333349</v>
      </c>
      <c r="AB190" s="12">
        <v>7626.0290550000009</v>
      </c>
      <c r="AC190" s="12">
        <v>7875.7630333333336</v>
      </c>
      <c r="AD190" s="12">
        <v>8033.7161999999989</v>
      </c>
      <c r="AE190" s="12">
        <v>8148.5732583333329</v>
      </c>
      <c r="AF190" s="12">
        <v>8453.7227516666662</v>
      </c>
      <c r="AG190" s="12">
        <v>8504.8877758333329</v>
      </c>
      <c r="AH190" s="12">
        <v>8545.8197951666662</v>
      </c>
      <c r="AI190" s="12">
        <v>8645.4</v>
      </c>
      <c r="AJ190" s="12" t="s">
        <v>811</v>
      </c>
      <c r="AK190" s="12">
        <v>8587.0430553333317</v>
      </c>
      <c r="AL190" s="12">
        <v>8605.2562099999996</v>
      </c>
      <c r="AM190" s="12">
        <v>8628.0226533333334</v>
      </c>
      <c r="AN190" s="12">
        <v>8853.8823749999992</v>
      </c>
      <c r="AO190" s="12">
        <v>9087.6017833333317</v>
      </c>
      <c r="AP190" s="12">
        <v>9226.5458416666661</v>
      </c>
      <c r="AQ190" s="12">
        <v>9491.1040450000019</v>
      </c>
      <c r="AR190" s="12">
        <v>9521.7311891666668</v>
      </c>
      <c r="AS190" s="12">
        <v>9546.2329045000006</v>
      </c>
      <c r="AT190" s="12">
        <v>9672.84</v>
      </c>
      <c r="AU190" s="12" t="s">
        <v>811</v>
      </c>
      <c r="AW190" s="12">
        <f>IF(A190="","",MAX(0,MIN(1,(((IF(Статистика!$C$4="Параллельный режим (активная мощность)",B190,M190)+Статистика!$J$4))-Статистика!$C$10)/MAX(Статистика!$G$10-Статистика!$C$10,0.000001))))</f>
        <v>0.47155090266666716</v>
      </c>
      <c r="AX190" s="12">
        <f>IF(A190="","",MAX(0,MAX(0,MIN(1,(((IF(Статистика!$C$4="Параллельный режим (активная мощность)",D190,O190)+Статистика!$J$4))-Статистика!$C$10)/MAX(Статистика!$G$10-Статистика!$C$10,0.000001)))-MAX(0,MIN(1,(((IF(Статистика!$C$4="Параллельный режим (активная мощность)",B190,M190)+Статистика!$J$4))-Статистика!$C$10)/MAX(Статистика!$G$10-Статистика!$C$10,0.000001)))))</f>
        <v>5.7090548999999491E-2</v>
      </c>
      <c r="AY190" s="12">
        <f>IF(A190="","",MAX(0,MAX(0,MIN(1,(((IF(Статистика!$C$4="Параллельный режим (активная мощность)",E190,P190)+Статистика!$J$4))-Статистика!$C$10)/MAX(Статистика!$G$10-Статистика!$C$10,0.000001)))-MAX(0,MIN(1,(((IF(Статистика!$C$4="Параллельный режим (активная мощность)",D190,O190)+Статистика!$J$4))-Статистика!$C$10)/MAX(Статистика!$G$10-Статистика!$C$10,0.000001)))))</f>
        <v>7.1500867777778088E-2</v>
      </c>
      <c r="AZ190" s="12">
        <f>IF(A190="","",MAX(0,MAX(0,MIN(1,(((IF(Статистика!$C$4="Параллельный режим (активная мощность)",F190,Q190)+Статистика!$J$4))-Статистика!$C$10)/MAX(Статистика!$G$10-Статистика!$C$10,0.000001)))-MAX(0,MIN(1,(((IF(Статистика!$C$4="Параллельный режим (активная мощность)",E190,P190)+Статистика!$J$4))-Статистика!$C$10)/MAX(Статистика!$G$10-Статистика!$C$10,0.000001)))))</f>
        <v>2.7999813888888725E-2</v>
      </c>
      <c r="BA190" s="12">
        <f>IF(A190="","",MAX(0,MAX(0,MIN(1,(((IF(Статистика!$C$4="Параллельный режим (активная мощность)",G190,R190)+Статистика!$J$4))-Статистика!$C$10)/MAX(Статистика!$G$10-Статистика!$C$10,0.000001)))-MAX(0,MIN(1,(((IF(Статистика!$C$4="Параллельный режим (активная мощность)",F190,Q190)+Статистика!$J$4))-Статистика!$C$10)/MAX(Статистика!$G$10-Статистика!$C$10,0.000001)))))</f>
        <v>5.6179630555555637E-2</v>
      </c>
      <c r="BB190" s="12">
        <f>IF(A190="","",MAX(0,MAX(0,MIN(1,(((IF(Статистика!$C$4="Параллельный режим (активная мощность)",H190,S190)+Статистика!$J$4))-Статистика!$C$10)/MAX(Статистика!$G$10-Статистика!$C$10,0.000001)))-MAX(0,MIN(1,(((IF(Статистика!$C$4="Параллельный режим (активная мощность)",G190,R190)+Статистика!$J$4))-Статистика!$C$10)/MAX(Статистика!$G$10-Статистика!$C$10,0.000001)))))</f>
        <v>0.10378864166666668</v>
      </c>
      <c r="BC190" s="12">
        <f>IF(A190="","",MAX(0,MAX(0,MIN(1,(((IF(Статистика!$C$4="Параллельный режим (активная мощность)",J190,U190)+Статистика!$J$4))-Статистика!$C$10)/MAX(Статистика!$G$10-Статистика!$C$10,0.000001)))-MAX(0,MIN(1,(((IF(Статистика!$C$4="Параллельный режим (активная мощность)",H190,S190)+Статистика!$J$4))-Статистика!$C$10)/MAX(Статистика!$G$10-Статистика!$C$10,0.000001)))))</f>
        <v>0.11215590749999993</v>
      </c>
      <c r="BD190" s="12">
        <f>IF(A190="","",MAX(0,1-MAX(0,MIN(1,(((IF(Статистика!$C$4="Параллельный режим (активная мощность)",J190,U190)+Статистика!$J$4))-Статистика!$C$10)/MAX(Статистика!$G$10-Статистика!$C$10,0.000001)))))</f>
        <v>9.9733686944444289E-2</v>
      </c>
      <c r="BE190" s="12">
        <f>IF(A190="",NA(),IF(Статистика!$B$8="Вкл",(((IF(Статистика!$C$4="Параллельный режим (активная мощность)",F190,Q190)+Статистика!$J$4))-Статистика!$C$10)/MAX(Статистика!$G$10-Статистика!$C$10,0.000001),NA()))</f>
        <v>0.62814213333333346</v>
      </c>
      <c r="BF190" s="12">
        <f>IF(A190="",NA(),IF(Статистика!$D$8="Вкл",(((IF(Статистика!$C$4="Параллельный режим (активная мощность)",E190,P190)+Статистика!$J$4))-Статистика!$C$10)/MAX(Статистика!$G$10-Статистика!$C$10,0.000001),NA()))</f>
        <v>0.60014231944444474</v>
      </c>
      <c r="BG190" s="12">
        <f>IF(A190="",NA(),IF(Статистика!$D$8="Вкл",(((IF(Статистика!$C$4="Параллельный режим (активная мощность)",G190,R190)+Статистика!$J$4))-Статистика!$C$10)/MAX(Статистика!$G$10-Статистика!$C$10,0.000001),NA()))</f>
        <v>0.6843217638888891</v>
      </c>
      <c r="BH190" s="12">
        <f>IF(A190="",NA(),IF(Статистика!$F$8="Вкл",(((IF(Статистика!$C$4="Параллельный режим (активная мощность)",D190,O190)+Статистика!$J$4))-Статистика!$C$10)/MAX(Статистика!$G$10-Статистика!$C$10,0.000001),NA()))</f>
        <v>0.52864145166666665</v>
      </c>
      <c r="BI190" s="12">
        <f>IF(A190="",NA(),IF(Статистика!$F$8="Вкл",(((IF(Статистика!$C$4="Параллельный режим (активная мощность)",H190,S190)+Статистика!$J$4))-Статистика!$C$10)/MAX(Статистика!$G$10-Статистика!$C$10,0.000001),NA()))</f>
        <v>0.78811040555555578</v>
      </c>
      <c r="BJ190" s="12">
        <f>IF(A190="",NA(),IF(Статистика!$H$8="Вкл",(((IF(Статистика!$C$4="Параллельный режим (активная мощность)",B190,M190)+Статистика!$J$4))-Статистика!$C$10)/MAX(Статистика!$G$10-Статистика!$C$10,0.000001),NA()))</f>
        <v>0.47155090266666716</v>
      </c>
      <c r="BK190" s="12">
        <f>IF(A190="",NA(),IF(Статистика!$H$8="Вкл",(((IF(Статистика!$C$4="Параллельный режим (активная мощность)",J190,U190)+Статистика!$J$4))-Статистика!$C$10)/MAX(Статистика!$G$10-Статистика!$C$10,0.000001),NA()))</f>
        <v>0.90026631305555571</v>
      </c>
      <c r="BL190" s="12" t="e">
        <f>IF(A190="",NA(),IF(Статистика!$J$8="Вкл",(((IF(Статистика!$C$4="Параллельный режим (активная мощность)",K190,V190)+Статистика!$J$4))-Статистика!$C$10)/MAX(Статистика!$G$10-Статистика!$C$10,0.000001),NA()))</f>
        <v>#N/A</v>
      </c>
      <c r="BM190" s="12" t="e">
        <f>IF(AND(A190&lt;&gt;"",Статистика!$C$6="Вкл",Статистика!$B$6&gt;0),(Статистика!$B$6-Статистика!$C$10)/MAX(Статистика!$G$10-Статистика!$C$10,0.000001),NA())</f>
        <v>#N/A</v>
      </c>
      <c r="BN190" s="12" t="e">
        <f>IF(AND(A190&lt;&gt;"",Статистика!$F$6="Вкл",Статистика!$E$6&gt;0),(Статистика!$E$6-Статистика!$C$10)/MAX(Статистика!$G$10-Статистика!$C$10,0.000001),NA())</f>
        <v>#N/A</v>
      </c>
      <c r="BO190" s="12" t="e">
        <f>IF(AND(A190&lt;&gt;"",Статистика!$I$6="Вкл",Статистика!$H$6&gt;0),(Статистика!$H$6-Статистика!$C$10)/MAX(Статистика!$G$10-Статистика!$C$10,0.000001),NA())</f>
        <v>#N/A</v>
      </c>
      <c r="BP190" s="12" t="e">
        <f>IF(AND(A190&lt;&gt;"",Статистика!$L$6="Вкл",Статистика!$K$6&gt;0),(Статистика!$K$6-Статистика!$C$10)/MAX(Статистика!$G$10-Статистика!$C$10,0.000001),NA())</f>
        <v>#N/A</v>
      </c>
      <c r="BQ190" s="12" t="e">
        <f>IF(AND(A190&lt;&gt;"",Статистика!$M$6="Вкл",Статистика!$O$6&gt;0),(Статистика!$O$6-Статистика!$C$10)/MAX(Статистика!$G$10-Статистика!$C$10,0.000001),NA())</f>
        <v>#N/A</v>
      </c>
      <c r="BR190" s="12">
        <f t="shared" si="4"/>
        <v>1</v>
      </c>
      <c r="BT190" s="12">
        <f>IF(Y190="","",MAX(0,MIN(1,(((IF(Статистика!$C$4="Параллельный режим (активная мощность)",Z190,AK190)+Статистика!$J$4))-Статистика!$C$10)/MAX(Статистика!$G$10-Статистика!$C$10,0.000001))))</f>
        <v>0.52622653850000034</v>
      </c>
      <c r="BU190" s="12">
        <f>IF(Y190="","",MAX(0,MAX(0,MIN(1,(((IF(Статистика!$C$4="Параллельный режим (активная мощность)",AB190,AM190)+Статистика!$J$4))-Статистика!$C$10)/MAX(Статистика!$G$10-Статистика!$C$10,0.000001)))-MAX(0,MIN(1,(((IF(Статистика!$C$4="Параллельный режим (активная мощность)",Z190,AK190)+Статистика!$J$4))-Статистика!$C$10)/MAX(Статистика!$G$10-Статистика!$C$10,0.000001)))))</f>
        <v>1.57831464999999E-2</v>
      </c>
      <c r="BV190" s="12">
        <f>IF(Y190="","",MAX(0,MAX(0,MIN(1,(((IF(Статистика!$C$4="Параллельный режим (активная мощность)",AC190,AN190)+Статистика!$J$4))-Статистика!$C$10)/MAX(Статистика!$G$10-Статистика!$C$10,0.000001)))-MAX(0,MIN(1,(((IF(Статистика!$C$4="Параллельный режим (активная мощность)",AB190,AM190)+Статистика!$J$4))-Статистика!$C$10)/MAX(Статистика!$G$10-Статистика!$C$10,0.000001)))))</f>
        <v>8.3244659444444258E-2</v>
      </c>
      <c r="BW190" s="12">
        <f>IF(Y190="","",MAX(0,MAX(0,MIN(1,(((IF(Статистика!$C$4="Параллельный режим (активная мощность)",AD190,AO190)+Статистика!$J$4))-Статистика!$C$10)/MAX(Статистика!$G$10-Статистика!$C$10,0.000001)))-MAX(0,MIN(1,(((IF(Статистика!$C$4="Параллельный режим (активная мощность)",AC190,AN190)+Статистика!$J$4))-Статистика!$C$10)/MAX(Статистика!$G$10-Статистика!$C$10,0.000001)))))</f>
        <v>5.265105555555516E-2</v>
      </c>
      <c r="BX190" s="12">
        <f>IF(Y190="","",MAX(0,MAX(0,MIN(1,(((IF(Статистика!$C$4="Параллельный режим (активная мощность)",AE190,AP190)+Статистика!$J$4))-Статистика!$C$10)/MAX(Статистика!$G$10-Статистика!$C$10,0.000001)))-MAX(0,MIN(1,(((IF(Статистика!$C$4="Параллельный режим (активная мощность)",AD190,AO190)+Статистика!$J$4))-Статистика!$C$10)/MAX(Статистика!$G$10-Статистика!$C$10,0.000001)))))</f>
        <v>3.8285686111111272E-2</v>
      </c>
      <c r="BY190" s="12">
        <f>IF(Y190="","",MAX(0,MAX(0,MIN(1,(((IF(Статистика!$C$4="Параллельный режим (активная мощность)",AF190,AQ190)+Статистика!$J$4))-Статистика!$C$10)/MAX(Статистика!$G$10-Статистика!$C$10,0.000001)))-MAX(0,MIN(1,(((IF(Статистика!$C$4="Параллельный режим (активная мощность)",AE190,AP190)+Статистика!$J$4))-Статистика!$C$10)/MAX(Статистика!$G$10-Статистика!$C$10,0.000001)))))</f>
        <v>0.1017164977777778</v>
      </c>
      <c r="BZ190" s="12">
        <f>IF(Y190="","",MAX(0,MAX(0,MIN(1,(((IF(Статистика!$C$4="Параллельный режим (активная мощность)",AH190,AS190)+Статистика!$J$4))-Статистика!$C$10)/MAX(Статистика!$G$10-Статистика!$C$10,0.000001)))-MAX(0,MIN(1,(((IF(Статистика!$C$4="Параллельный режим (активная мощность)",AF190,AQ190)+Статистика!$J$4))-Статистика!$C$10)/MAX(Статистика!$G$10-Статистика!$C$10,0.000001)))))</f>
        <v>3.069901450000001E-2</v>
      </c>
      <c r="CA190" s="12">
        <f>IF(Y190="","",MAX(0,1-MAX(0,MIN(1,(((IF(Статистика!$C$4="Параллельный режим (активная мощность)",AH190,AS190)+Статистика!$J$4))-Статистика!$C$10)/MAX(Статистика!$G$10-Статистика!$C$10,0.000001)))))</f>
        <v>0.15139340161111126</v>
      </c>
      <c r="CB190" s="12">
        <f>IF(Y190="",NA(),IF(Статистика!$B$8="Вкл",(((IF(Статистика!$C$4="Параллельный режим (активная мощность)",AD190,AO190)+Статистика!$J$4))-Статистика!$C$10)/MAX(Статистика!$G$10-Статистика!$C$10,0.000001),NA()))</f>
        <v>0.67790539999999966</v>
      </c>
      <c r="CC190" s="12">
        <f>IF(Y190="",NA(),IF(Статистика!$D$8="Вкл",(((IF(Статистика!$C$4="Параллельный режим (активная мощность)",AC190,AN190)+Статистика!$J$4))-Статистика!$C$10)/MAX(Статистика!$G$10-Статистика!$C$10,0.000001),NA()))</f>
        <v>0.6252543444444445</v>
      </c>
      <c r="CD190" s="12">
        <f>IF(Y190="",NA(),IF(Статистика!$D$8="Вкл",(((IF(Статистика!$C$4="Параллельный режим (активная мощность)",AE190,AP190)+Статистика!$J$4))-Статистика!$C$10)/MAX(Статистика!$G$10-Статистика!$C$10,0.000001),NA()))</f>
        <v>0.71619108611111093</v>
      </c>
      <c r="CE190" s="12">
        <f>IF(Y190="",NA(),IF(Статистика!$F$8="Вкл",(((IF(Статистика!$C$4="Параллельный режим (активная мощность)",AB190,AM190)+Статистика!$J$4))-Статистика!$C$10)/MAX(Статистика!$G$10-Статистика!$C$10,0.000001),NA()))</f>
        <v>0.54200968500000024</v>
      </c>
      <c r="CF190" s="12">
        <f>IF(Y190="",NA(),IF(Статистика!$F$8="Вкл",(((IF(Статистика!$C$4="Параллельный режим (активная мощность)",AF190,AQ190)+Статистика!$J$4))-Статистика!$C$10)/MAX(Статистика!$G$10-Статистика!$C$10,0.000001),NA()))</f>
        <v>0.81790758388888873</v>
      </c>
      <c r="CG190" s="12">
        <f>IF(Y190="",NA(),IF(Статистика!$H$8="Вкл",(((IF(Статистика!$C$4="Параллельный режим (активная мощность)",Z190,AK190)+Статистика!$J$4))-Статистика!$C$10)/MAX(Статистика!$G$10-Статистика!$C$10,0.000001),NA()))</f>
        <v>0.52622653850000034</v>
      </c>
      <c r="CH190" s="12">
        <f>IF(Y190="",NA(),IF(Статистика!$H$8="Вкл",(((IF(Статистика!$C$4="Параллельный режим (активная мощность)",AH190,AS190)+Статистика!$J$4))-Статистика!$C$10)/MAX(Статистика!$G$10-Статистика!$C$10,0.000001),NA()))</f>
        <v>0.84860659838888874</v>
      </c>
      <c r="CI190" s="12" t="e">
        <f>IF(Y190="",NA(),IF(Статистика!$J$8="Вкл",(((IF(Статистика!$C$4="Параллельный режим (активная мощность)",AI190,AT190)+Статистика!$J$4))-Статистика!$C$10)/MAX(Статистика!$G$10-Статистика!$C$10,0.000001),NA()))</f>
        <v>#N/A</v>
      </c>
      <c r="CJ190" s="12" t="e">
        <f>IF(AND(Y190&lt;&gt;"",Статистика!$C$6="Вкл",Статистика!$B$6&gt;0),(Статистика!$B$6-Статистика!$C$10)/MAX(Статистика!$G$10-Статистика!$C$10,0.000001),NA())</f>
        <v>#N/A</v>
      </c>
      <c r="CK190" s="12" t="e">
        <f>IF(AND(Y190&lt;&gt;"",Статистика!$F$6="Вкл",Статистика!$E$6&gt;0),(Статистика!$E$6-Статистика!$C$10)/MAX(Статистика!$G$10-Статистика!$C$10,0.000001),NA())</f>
        <v>#N/A</v>
      </c>
      <c r="CL190" s="12" t="e">
        <f>IF(AND(Y190&lt;&gt;"",Статистика!$I$6="Вкл",Статистика!$H$6&gt;0),(Статистика!$H$6-Статистика!$C$10)/MAX(Статистика!$G$10-Статистика!$C$10,0.000001),NA())</f>
        <v>#N/A</v>
      </c>
      <c r="CM190" s="12" t="e">
        <f>IF(AND(Y190&lt;&gt;"",Статистика!$L$6="Вкл",Статистика!$K$6&gt;0),(Статистика!$K$6-Статистика!$C$10)/MAX(Статистика!$G$10-Статистика!$C$10,0.000001),NA())</f>
        <v>#N/A</v>
      </c>
      <c r="CN190" s="12" t="e">
        <f>IF(AND(Y190&lt;&gt;"",Статистика!$M$6="Вкл",Статистика!$O$6&gt;0),(Статистика!$O$6-Статистика!$C$10)/MAX(Статистика!$G$10-Статистика!$C$10,0.000001),NA())</f>
        <v>#N/A</v>
      </c>
      <c r="CO190" s="12">
        <f t="shared" si="5"/>
        <v>1</v>
      </c>
    </row>
    <row r="191" spans="1:93" ht="15" customHeight="1">
      <c r="A191" s="12" t="s">
        <v>812</v>
      </c>
      <c r="B191" s="12">
        <v>7401.7363458333339</v>
      </c>
      <c r="C191" s="12">
        <v>7489.5981291666667</v>
      </c>
      <c r="D191" s="12">
        <v>7556.2026483333329</v>
      </c>
      <c r="E191" s="12">
        <v>7798.9356249999992</v>
      </c>
      <c r="F191" s="12">
        <v>7889.6423166666682</v>
      </c>
      <c r="G191" s="12">
        <v>8073.0052583333336</v>
      </c>
      <c r="H191" s="12">
        <v>8423.5063099999988</v>
      </c>
      <c r="I191" s="12">
        <v>8537.2778366666662</v>
      </c>
      <c r="J191" s="12">
        <v>8642.9794340000008</v>
      </c>
      <c r="K191" s="12">
        <v>8816.91</v>
      </c>
      <c r="L191" s="12" t="s">
        <v>813</v>
      </c>
      <c r="M191" s="12">
        <v>8418.0288850000015</v>
      </c>
      <c r="N191" s="12">
        <v>8441.1900250000017</v>
      </c>
      <c r="O191" s="12">
        <v>8492.4162400000005</v>
      </c>
      <c r="P191" s="12">
        <v>8789.9769749999996</v>
      </c>
      <c r="Q191" s="12">
        <v>8898.8191166666656</v>
      </c>
      <c r="R191" s="12">
        <v>9113.3911583333338</v>
      </c>
      <c r="S191" s="12">
        <v>9437.3499150000007</v>
      </c>
      <c r="T191" s="12">
        <v>9530.8054174999997</v>
      </c>
      <c r="U191" s="12">
        <v>9607.5137234999984</v>
      </c>
      <c r="V191" s="12">
        <v>9961.9599999999991</v>
      </c>
      <c r="W191" s="12" t="s">
        <v>813</v>
      </c>
      <c r="Y191" s="12" t="s">
        <v>812</v>
      </c>
      <c r="Z191" s="12">
        <v>7575.6788856666672</v>
      </c>
      <c r="AA191" s="12">
        <v>7615.919628333334</v>
      </c>
      <c r="AB191" s="12">
        <v>7666.2205566666671</v>
      </c>
      <c r="AC191" s="12">
        <v>7911.0573833333328</v>
      </c>
      <c r="AD191" s="12">
        <v>8023.5144</v>
      </c>
      <c r="AE191" s="12">
        <v>8140.2580666666672</v>
      </c>
      <c r="AF191" s="12">
        <v>8458.0151416666668</v>
      </c>
      <c r="AG191" s="12">
        <v>8517.1449541666661</v>
      </c>
      <c r="AH191" s="12">
        <v>8564.4488041666664</v>
      </c>
      <c r="AI191" s="12">
        <v>8719.51</v>
      </c>
      <c r="AJ191" s="12" t="s">
        <v>814</v>
      </c>
      <c r="AK191" s="12">
        <v>8672.2766625000004</v>
      </c>
      <c r="AL191" s="12">
        <v>8684.427445833333</v>
      </c>
      <c r="AM191" s="12">
        <v>8699.6159250000001</v>
      </c>
      <c r="AN191" s="12">
        <v>8878.3955333333342</v>
      </c>
      <c r="AO191" s="12">
        <v>9088.6322499999987</v>
      </c>
      <c r="AP191" s="12">
        <v>9187.6380583333339</v>
      </c>
      <c r="AQ191" s="12">
        <v>9503.3920383333334</v>
      </c>
      <c r="AR191" s="12">
        <v>9547.8522691666658</v>
      </c>
      <c r="AS191" s="12">
        <v>9583.4204538333342</v>
      </c>
      <c r="AT191" s="12">
        <v>9796.42</v>
      </c>
      <c r="AU191" s="12" t="s">
        <v>814</v>
      </c>
      <c r="AW191" s="12">
        <f>IF(A191="","",MAX(0,MIN(1,(((IF(Статистика!$C$4="Параллельный режим (активная мощность)",B191,M191)+Статистика!$J$4))-Статистика!$C$10)/MAX(Статистика!$G$10-Статистика!$C$10,0.000001))))</f>
        <v>0.46724544861111128</v>
      </c>
      <c r="AX191" s="12">
        <f>IF(A191="","",MAX(0,MAX(0,MIN(1,(((IF(Статистика!$C$4="Параллельный режим (активная мощность)",D191,O191)+Статистика!$J$4))-Статистика!$C$10)/MAX(Статистика!$G$10-Статистика!$C$10,0.000001)))-MAX(0,MIN(1,(((IF(Статистика!$C$4="Параллельный режим (активная мощность)",B191,M191)+Статистика!$J$4))-Статистика!$C$10)/MAX(Статистика!$G$10-Статистика!$C$10,0.000001)))))</f>
        <v>5.1488767499999755E-2</v>
      </c>
      <c r="AY191" s="12">
        <f>IF(A191="","",MAX(0,MAX(0,MIN(1,(((IF(Статистика!$C$4="Параллельный режим (активная мощность)",E191,P191)+Статистика!$J$4))-Статистика!$C$10)/MAX(Статистика!$G$10-Статистика!$C$10,0.000001)))-MAX(0,MIN(1,(((IF(Статистика!$C$4="Параллельный режим (активная мощность)",D191,O191)+Статистика!$J$4))-Статистика!$C$10)/MAX(Статистика!$G$10-Статистика!$C$10,0.000001)))))</f>
        <v>8.0910992222221978E-2</v>
      </c>
      <c r="AZ191" s="12">
        <f>IF(A191="","",MAX(0,MAX(0,MIN(1,(((IF(Статистика!$C$4="Параллельный режим (активная мощность)",F191,Q191)+Статистика!$J$4))-Статистика!$C$10)/MAX(Статистика!$G$10-Статистика!$C$10,0.000001)))-MAX(0,MIN(1,(((IF(Статистика!$C$4="Параллельный режим (активная мощность)",E191,P191)+Статистика!$J$4))-Статистика!$C$10)/MAX(Статистика!$G$10-Статистика!$C$10,0.000001)))))</f>
        <v>3.0235563888889705E-2</v>
      </c>
      <c r="BA191" s="12">
        <f>IF(A191="","",MAX(0,MAX(0,MIN(1,(((IF(Статистика!$C$4="Параллельный режим (активная мощность)",G191,R191)+Статистика!$J$4))-Статистика!$C$10)/MAX(Статистика!$G$10-Статистика!$C$10,0.000001)))-MAX(0,MIN(1,(((IF(Статистика!$C$4="Параллельный режим (активная мощность)",F191,Q191)+Статистика!$J$4))-Статистика!$C$10)/MAX(Статистика!$G$10-Статистика!$C$10,0.000001)))))</f>
        <v>6.1120980555555149E-2</v>
      </c>
      <c r="BB191" s="12">
        <f>IF(A191="","",MAX(0,MAX(0,MIN(1,(((IF(Статистика!$C$4="Параллельный режим (активная мощность)",H191,S191)+Статистика!$J$4))-Статистика!$C$10)/MAX(Статистика!$G$10-Статистика!$C$10,0.000001)))-MAX(0,MIN(1,(((IF(Статистика!$C$4="Параллельный режим (активная мощность)",G191,R191)+Статистика!$J$4))-Статистика!$C$10)/MAX(Статистика!$G$10-Статистика!$C$10,0.000001)))))</f>
        <v>0.11683368388888837</v>
      </c>
      <c r="BC191" s="12">
        <f>IF(A191="","",MAX(0,MAX(0,MIN(1,(((IF(Статистика!$C$4="Параллельный режим (активная мощность)",J191,U191)+Статистика!$J$4))-Статистика!$C$10)/MAX(Статистика!$G$10-Статистика!$C$10,0.000001)))-MAX(0,MIN(1,(((IF(Статистика!$C$4="Параллельный режим (активная мощность)",H191,S191)+Статистика!$J$4))-Статистика!$C$10)/MAX(Статистика!$G$10-Статистика!$C$10,0.000001)))))</f>
        <v>7.3157708000000654E-2</v>
      </c>
      <c r="BD191" s="12">
        <f>IF(A191="","",MAX(0,1-MAX(0,MIN(1,(((IF(Статистика!$C$4="Параллельный режим (активная мощность)",J191,U191)+Статистика!$J$4))-Статистика!$C$10)/MAX(Статистика!$G$10-Статистика!$C$10,0.000001)))))</f>
        <v>0.11900685533333311</v>
      </c>
      <c r="BE191" s="12">
        <f>IF(A191="",NA(),IF(Статистика!$B$8="Вкл",(((IF(Статистика!$C$4="Параллельный режим (активная мощность)",F191,Q191)+Статистика!$J$4))-Статистика!$C$10)/MAX(Статистика!$G$10-Статистика!$C$10,0.000001),NA()))</f>
        <v>0.62988077222222272</v>
      </c>
      <c r="BF191" s="12">
        <f>IF(A191="",NA(),IF(Статистика!$D$8="Вкл",(((IF(Статистика!$C$4="Параллельный режим (активная мощность)",E191,P191)+Статистика!$J$4))-Статистика!$C$10)/MAX(Статистика!$G$10-Статистика!$C$10,0.000001),NA()))</f>
        <v>0.59964520833333301</v>
      </c>
      <c r="BG191" s="12">
        <f>IF(A191="",NA(),IF(Статистика!$D$8="Вкл",(((IF(Статистика!$C$4="Параллельный режим (активная мощность)",G191,R191)+Статистика!$J$4))-Статистика!$C$10)/MAX(Статистика!$G$10-Статистика!$C$10,0.000001),NA()))</f>
        <v>0.69100175277777787</v>
      </c>
      <c r="BH191" s="12">
        <f>IF(A191="",NA(),IF(Статистика!$F$8="Вкл",(((IF(Статистика!$C$4="Параллельный режим (активная мощность)",D191,O191)+Статистика!$J$4))-Статистика!$C$10)/MAX(Статистика!$G$10-Статистика!$C$10,0.000001),NA()))</f>
        <v>0.51873421611111104</v>
      </c>
      <c r="BI191" s="12">
        <f>IF(A191="",NA(),IF(Статистика!$F$8="Вкл",(((IF(Статистика!$C$4="Параллельный режим (активная мощность)",H191,S191)+Статистика!$J$4))-Статистика!$C$10)/MAX(Статистика!$G$10-Статистика!$C$10,0.000001),NA()))</f>
        <v>0.80783543666666624</v>
      </c>
      <c r="BJ191" s="12">
        <f>IF(A191="",NA(),IF(Статистика!$H$8="Вкл",(((IF(Статистика!$C$4="Параллельный режим (активная мощность)",B191,M191)+Статистика!$J$4))-Статистика!$C$10)/MAX(Статистика!$G$10-Статистика!$C$10,0.000001),NA()))</f>
        <v>0.46724544861111128</v>
      </c>
      <c r="BK191" s="12">
        <f>IF(A191="",NA(),IF(Статистика!$H$8="Вкл",(((IF(Статистика!$C$4="Параллельный режим (активная мощность)",J191,U191)+Статистика!$J$4))-Статистика!$C$10)/MAX(Статистика!$G$10-Статистика!$C$10,0.000001),NA()))</f>
        <v>0.88099314466666689</v>
      </c>
      <c r="BL191" s="12" t="e">
        <f>IF(A191="",NA(),IF(Статистика!$J$8="Вкл",(((IF(Статистика!$C$4="Параллельный режим (активная мощность)",K191,V191)+Статистика!$J$4))-Статистика!$C$10)/MAX(Статистика!$G$10-Статистика!$C$10,0.000001),NA()))</f>
        <v>#N/A</v>
      </c>
      <c r="BM191" s="12" t="e">
        <f>IF(AND(A191&lt;&gt;"",Статистика!$C$6="Вкл",Статистика!$B$6&gt;0),(Статистика!$B$6-Статистика!$C$10)/MAX(Статистика!$G$10-Статистика!$C$10,0.000001),NA())</f>
        <v>#N/A</v>
      </c>
      <c r="BN191" s="12" t="e">
        <f>IF(AND(A191&lt;&gt;"",Статистика!$F$6="Вкл",Статистика!$E$6&gt;0),(Статистика!$E$6-Статистика!$C$10)/MAX(Статистика!$G$10-Статистика!$C$10,0.000001),NA())</f>
        <v>#N/A</v>
      </c>
      <c r="BO191" s="12" t="e">
        <f>IF(AND(A191&lt;&gt;"",Статистика!$I$6="Вкл",Статистика!$H$6&gt;0),(Статистика!$H$6-Статистика!$C$10)/MAX(Статистика!$G$10-Статистика!$C$10,0.000001),NA())</f>
        <v>#N/A</v>
      </c>
      <c r="BP191" s="12" t="e">
        <f>IF(AND(A191&lt;&gt;"",Статистика!$L$6="Вкл",Статистика!$K$6&gt;0),(Статистика!$K$6-Статистика!$C$10)/MAX(Статистика!$G$10-Статистика!$C$10,0.000001),NA())</f>
        <v>#N/A</v>
      </c>
      <c r="BQ191" s="12" t="e">
        <f>IF(AND(A191&lt;&gt;"",Статистика!$M$6="Вкл",Статистика!$O$6&gt;0),(Статистика!$O$6-Статистика!$C$10)/MAX(Статистика!$G$10-Статистика!$C$10,0.000001),NA())</f>
        <v>#N/A</v>
      </c>
      <c r="BR191" s="12">
        <f t="shared" si="4"/>
        <v>1</v>
      </c>
      <c r="BT191" s="12">
        <f>IF(Y191="","",MAX(0,MIN(1,(((IF(Статистика!$C$4="Параллельный режим (активная мощность)",Z191,AK191)+Статистика!$J$4))-Статистика!$C$10)/MAX(Статистика!$G$10-Статистика!$C$10,0.000001))))</f>
        <v>0.52522629522222242</v>
      </c>
      <c r="BU191" s="12">
        <f>IF(Y191="","",MAX(0,MAX(0,MIN(1,(((IF(Статистика!$C$4="Параллельный режим (активная мощность)",AB191,AM191)+Статистика!$J$4))-Статистика!$C$10)/MAX(Статистика!$G$10-Статистика!$C$10,0.000001)))-MAX(0,MIN(1,(((IF(Статистика!$C$4="Параллельный режим (активная мощность)",Z191,AK191)+Статистика!$J$4))-Статистика!$C$10)/MAX(Статистика!$G$10-Статистика!$C$10,0.000001)))))</f>
        <v>3.0180556999999997E-2</v>
      </c>
      <c r="BV191" s="12">
        <f>IF(Y191="","",MAX(0,MAX(0,MIN(1,(((IF(Статистика!$C$4="Параллельный режим (активная мощность)",AC191,AN191)+Статистика!$J$4))-Статистика!$C$10)/MAX(Статистика!$G$10-Статистика!$C$10,0.000001)))-MAX(0,MIN(1,(((IF(Статистика!$C$4="Параллельный режим (активная мощность)",AB191,AM191)+Статистика!$J$4))-Статистика!$C$10)/MAX(Статистика!$G$10-Статистика!$C$10,0.000001)))))</f>
        <v>8.1612275555555169E-2</v>
      </c>
      <c r="BW191" s="12">
        <f>IF(Y191="","",MAX(0,MAX(0,MIN(1,(((IF(Статистика!$C$4="Параллельный режим (активная мощность)",AD191,AO191)+Статистика!$J$4))-Статистика!$C$10)/MAX(Статистика!$G$10-Статистика!$C$10,0.000001)))-MAX(0,MIN(1,(((IF(Статистика!$C$4="Параллельный режим (активная мощность)",AC191,AN191)+Статистика!$J$4))-Статистика!$C$10)/MAX(Статистика!$G$10-Статистика!$C$10,0.000001)))))</f>
        <v>3.7485672222222433E-2</v>
      </c>
      <c r="BX191" s="12">
        <f>IF(Y191="","",MAX(0,MAX(0,MIN(1,(((IF(Статистика!$C$4="Параллельный режим (активная мощность)",AE191,AP191)+Статистика!$J$4))-Статистика!$C$10)/MAX(Статистика!$G$10-Статистика!$C$10,0.000001)))-MAX(0,MIN(1,(((IF(Статистика!$C$4="Параллельный режим (активная мощность)",AD191,AO191)+Статистика!$J$4))-Статистика!$C$10)/MAX(Статистика!$G$10-Статистика!$C$10,0.000001)))))</f>
        <v>3.8914555555555674E-2</v>
      </c>
      <c r="BY191" s="12">
        <f>IF(Y191="","",MAX(0,MAX(0,MIN(1,(((IF(Статистика!$C$4="Параллельный режим (активная мощность)",AF191,AQ191)+Статистика!$J$4))-Статистика!$C$10)/MAX(Статистика!$G$10-Статистика!$C$10,0.000001)))-MAX(0,MIN(1,(((IF(Статистика!$C$4="Параллельный режим (активная мощность)",AE191,AP191)+Статистика!$J$4))-Статистика!$C$10)/MAX(Статистика!$G$10-Статистика!$C$10,0.000001)))))</f>
        <v>0.10591902499999994</v>
      </c>
      <c r="BZ191" s="12">
        <f>IF(Y191="","",MAX(0,MAX(0,MIN(1,(((IF(Статистика!$C$4="Параллельный режим (активная мощность)",AH191,AS191)+Статистика!$J$4))-Статистика!$C$10)/MAX(Статистика!$G$10-Статистика!$C$10,0.000001)))-MAX(0,MIN(1,(((IF(Статистика!$C$4="Параллельный режим (активная мощность)",AF191,AQ191)+Статистика!$J$4))-Статистика!$C$10)/MAX(Статистика!$G$10-Статистика!$C$10,0.000001)))))</f>
        <v>3.5477887499999805E-2</v>
      </c>
      <c r="CA191" s="12">
        <f>IF(Y191="","",MAX(0,1-MAX(0,MIN(1,(((IF(Статистика!$C$4="Параллельный режим (активная мощность)",AH191,AS191)+Статистика!$J$4))-Статистика!$C$10)/MAX(Статистика!$G$10-Статистика!$C$10,0.000001)))))</f>
        <v>0.14518373194444456</v>
      </c>
      <c r="CB191" s="12">
        <f>IF(Y191="",NA(),IF(Статистика!$B$8="Вкл",(((IF(Статистика!$C$4="Параллельный режим (активная мощность)",AD191,AO191)+Статистика!$J$4))-Статистика!$C$10)/MAX(Статистика!$G$10-Статистика!$C$10,0.000001),NA()))</f>
        <v>0.67450480000000002</v>
      </c>
      <c r="CC191" s="12">
        <f>IF(Y191="",NA(),IF(Статистика!$D$8="Вкл",(((IF(Статистика!$C$4="Параллельный режим (активная мощность)",AC191,AN191)+Статистика!$J$4))-Статистика!$C$10)/MAX(Статистика!$G$10-Статистика!$C$10,0.000001),NA()))</f>
        <v>0.63701912777777758</v>
      </c>
      <c r="CD191" s="12">
        <f>IF(Y191="",NA(),IF(Статистика!$D$8="Вкл",(((IF(Статистика!$C$4="Параллельный режим (активная мощность)",AE191,AP191)+Статистика!$J$4))-Статистика!$C$10)/MAX(Статистика!$G$10-Статистика!$C$10,0.000001),NA()))</f>
        <v>0.71341935555555569</v>
      </c>
      <c r="CE191" s="12">
        <f>IF(Y191="",NA(),IF(Статистика!$F$8="Вкл",(((IF(Статистика!$C$4="Параллельный режим (активная мощность)",AB191,AM191)+Статистика!$J$4))-Статистика!$C$10)/MAX(Статистика!$G$10-Статистика!$C$10,0.000001),NA()))</f>
        <v>0.55540685222222241</v>
      </c>
      <c r="CF191" s="12">
        <f>IF(Y191="",NA(),IF(Статистика!$F$8="Вкл",(((IF(Статистика!$C$4="Параллельный режим (активная мощность)",AF191,AQ191)+Статистика!$J$4))-Статистика!$C$10)/MAX(Статистика!$G$10-Статистика!$C$10,0.000001),NA()))</f>
        <v>0.81933838055555563</v>
      </c>
      <c r="CG191" s="12">
        <f>IF(Y191="",NA(),IF(Статистика!$H$8="Вкл",(((IF(Статистика!$C$4="Параллельный режим (активная мощность)",Z191,AK191)+Статистика!$J$4))-Статистика!$C$10)/MAX(Статистика!$G$10-Статистика!$C$10,0.000001),NA()))</f>
        <v>0.52522629522222242</v>
      </c>
      <c r="CH191" s="12">
        <f>IF(Y191="",NA(),IF(Статистика!$H$8="Вкл",(((IF(Статистика!$C$4="Параллельный режим (активная мощность)",AH191,AS191)+Статистика!$J$4))-Статистика!$C$10)/MAX(Статистика!$G$10-Статистика!$C$10,0.000001),NA()))</f>
        <v>0.85481626805555544</v>
      </c>
      <c r="CI191" s="12" t="e">
        <f>IF(Y191="",NA(),IF(Статистика!$J$8="Вкл",(((IF(Статистика!$C$4="Параллельный режим (активная мощность)",AI191,AT191)+Статистика!$J$4))-Статистика!$C$10)/MAX(Статистика!$G$10-Статистика!$C$10,0.000001),NA()))</f>
        <v>#N/A</v>
      </c>
      <c r="CJ191" s="12" t="e">
        <f>IF(AND(Y191&lt;&gt;"",Статистика!$C$6="Вкл",Статистика!$B$6&gt;0),(Статистика!$B$6-Статистика!$C$10)/MAX(Статистика!$G$10-Статистика!$C$10,0.000001),NA())</f>
        <v>#N/A</v>
      </c>
      <c r="CK191" s="12" t="e">
        <f>IF(AND(Y191&lt;&gt;"",Статистика!$F$6="Вкл",Статистика!$E$6&gt;0),(Статистика!$E$6-Статистика!$C$10)/MAX(Статистика!$G$10-Статистика!$C$10,0.000001),NA())</f>
        <v>#N/A</v>
      </c>
      <c r="CL191" s="12" t="e">
        <f>IF(AND(Y191&lt;&gt;"",Статистика!$I$6="Вкл",Статистика!$H$6&gt;0),(Статистика!$H$6-Статистика!$C$10)/MAX(Статистика!$G$10-Статистика!$C$10,0.000001),NA())</f>
        <v>#N/A</v>
      </c>
      <c r="CM191" s="12" t="e">
        <f>IF(AND(Y191&lt;&gt;"",Статистика!$L$6="Вкл",Статистика!$K$6&gt;0),(Статистика!$K$6-Статистика!$C$10)/MAX(Статистика!$G$10-Статистика!$C$10,0.000001),NA())</f>
        <v>#N/A</v>
      </c>
      <c r="CN191" s="12" t="e">
        <f>IF(AND(Y191&lt;&gt;"",Статистика!$M$6="Вкл",Статистика!$O$6&gt;0),(Статистика!$O$6-Статистика!$C$10)/MAX(Статистика!$G$10-Статистика!$C$10,0.000001),NA())</f>
        <v>#N/A</v>
      </c>
      <c r="CO191" s="12">
        <f t="shared" si="5"/>
        <v>1</v>
      </c>
    </row>
    <row r="192" spans="1:93" ht="15" customHeight="1">
      <c r="A192" s="12" t="s">
        <v>815</v>
      </c>
      <c r="B192" s="12">
        <v>7404.6178694999999</v>
      </c>
      <c r="C192" s="12">
        <v>7493.7904141666668</v>
      </c>
      <c r="D192" s="12">
        <v>7539.4374150000003</v>
      </c>
      <c r="E192" s="12">
        <v>7791.943091666667</v>
      </c>
      <c r="F192" s="12">
        <v>7860.229816666666</v>
      </c>
      <c r="G192" s="12">
        <v>8081.6860999999999</v>
      </c>
      <c r="H192" s="12">
        <v>8418.9296533333345</v>
      </c>
      <c r="I192" s="12">
        <v>8536.6054808333338</v>
      </c>
      <c r="J192" s="12">
        <v>8646.8361628333332</v>
      </c>
      <c r="K192" s="12">
        <v>8880.34</v>
      </c>
      <c r="L192" s="12" t="s">
        <v>816</v>
      </c>
      <c r="M192" s="12">
        <v>8430.991987833333</v>
      </c>
      <c r="N192" s="12">
        <v>8448.6232724999991</v>
      </c>
      <c r="O192" s="12">
        <v>8495.5493283333326</v>
      </c>
      <c r="P192" s="12">
        <v>8787.7770666666656</v>
      </c>
      <c r="Q192" s="12">
        <v>8898.9187833333326</v>
      </c>
      <c r="R192" s="12">
        <v>9128.1746500000008</v>
      </c>
      <c r="S192" s="12">
        <v>9452.2151333333331</v>
      </c>
      <c r="T192" s="12">
        <v>9537.5517208333331</v>
      </c>
      <c r="U192" s="12">
        <v>9603.2416508333336</v>
      </c>
      <c r="V192" s="12">
        <v>9819.11</v>
      </c>
      <c r="W192" s="12" t="s">
        <v>816</v>
      </c>
      <c r="Y192" s="12" t="s">
        <v>815</v>
      </c>
      <c r="Z192" s="12">
        <v>7558.323773000001</v>
      </c>
      <c r="AA192" s="12">
        <v>7602.4297983333345</v>
      </c>
      <c r="AB192" s="12">
        <v>7657.5623300000007</v>
      </c>
      <c r="AC192" s="12">
        <v>7867.5934083333332</v>
      </c>
      <c r="AD192" s="12">
        <v>8047.7237333333342</v>
      </c>
      <c r="AE192" s="12">
        <v>8094.5127666666667</v>
      </c>
      <c r="AF192" s="12">
        <v>8456.8309216666657</v>
      </c>
      <c r="AG192" s="12">
        <v>8520.3661608333332</v>
      </c>
      <c r="AH192" s="12">
        <v>8571.1943521666672</v>
      </c>
      <c r="AI192" s="12">
        <v>8688.36</v>
      </c>
      <c r="AJ192" s="12" t="s">
        <v>817</v>
      </c>
      <c r="AK192" s="12">
        <v>8627.3986523333351</v>
      </c>
      <c r="AL192" s="12">
        <v>8641.7585950000012</v>
      </c>
      <c r="AM192" s="12">
        <v>8659.7085233333346</v>
      </c>
      <c r="AN192" s="12">
        <v>8824.6658833333331</v>
      </c>
      <c r="AO192" s="12">
        <v>9087.6024333333335</v>
      </c>
      <c r="AP192" s="12">
        <v>9155.0300500000012</v>
      </c>
      <c r="AQ192" s="12">
        <v>9508.0485833333332</v>
      </c>
      <c r="AR192" s="12">
        <v>9561.9963416666669</v>
      </c>
      <c r="AS192" s="12">
        <v>9605.1545483333339</v>
      </c>
      <c r="AT192" s="12">
        <v>9733.61</v>
      </c>
      <c r="AU192" s="12" t="s">
        <v>817</v>
      </c>
      <c r="AW192" s="12">
        <f>IF(A192="","",MAX(0,MIN(1,(((IF(Статистика!$C$4="Параллельный режим (активная мощность)",B192,M192)+Статистика!$J$4))-Статистика!$C$10)/MAX(Статистика!$G$10-Статистика!$C$10,0.000001))))</f>
        <v>0.46820595649999996</v>
      </c>
      <c r="AX192" s="12">
        <f>IF(A192="","",MAX(0,MAX(0,MIN(1,(((IF(Статистика!$C$4="Параллельный режим (активная мощность)",D192,O192)+Статистика!$J$4))-Статистика!$C$10)/MAX(Статистика!$G$10-Статистика!$C$10,0.000001)))-MAX(0,MIN(1,(((IF(Статистика!$C$4="Параллельный режим (активная мощность)",B192,M192)+Статистика!$J$4))-Статистика!$C$10)/MAX(Статистика!$G$10-Статистика!$C$10,0.000001)))))</f>
        <v>4.4939848500000101E-2</v>
      </c>
      <c r="AY192" s="12">
        <f>IF(A192="","",MAX(0,MAX(0,MIN(1,(((IF(Статистика!$C$4="Параллельный режим (активная мощность)",E192,P192)+Статистика!$J$4))-Статистика!$C$10)/MAX(Статистика!$G$10-Статистика!$C$10,0.000001)))-MAX(0,MIN(1,(((IF(Статистика!$C$4="Параллельный режим (активная мощность)",D192,O192)+Статистика!$J$4))-Статистика!$C$10)/MAX(Статистика!$G$10-Статистика!$C$10,0.000001)))))</f>
        <v>8.4168558888888967E-2</v>
      </c>
      <c r="AZ192" s="12">
        <f>IF(A192="","",MAX(0,MAX(0,MIN(1,(((IF(Статистика!$C$4="Параллельный режим (активная мощность)",F192,Q192)+Статистика!$J$4))-Статистика!$C$10)/MAX(Статистика!$G$10-Статистика!$C$10,0.000001)))-MAX(0,MIN(1,(((IF(Статистика!$C$4="Параллельный режим (активная мощность)",E192,P192)+Статистика!$J$4))-Статистика!$C$10)/MAX(Статистика!$G$10-Статистика!$C$10,0.000001)))))</f>
        <v>2.2762241666666294E-2</v>
      </c>
      <c r="BA192" s="12">
        <f>IF(A192="","",MAX(0,MAX(0,MIN(1,(((IF(Статистика!$C$4="Параллельный режим (активная мощность)",G192,R192)+Статистика!$J$4))-Статистика!$C$10)/MAX(Статистика!$G$10-Статистика!$C$10,0.000001)))-MAX(0,MIN(1,(((IF(Статистика!$C$4="Параллельный режим (активная мощность)",F192,Q192)+Статистика!$J$4))-Статистика!$C$10)/MAX(Статистика!$G$10-Статистика!$C$10,0.000001)))))</f>
        <v>7.3818761111111297E-2</v>
      </c>
      <c r="BB192" s="12">
        <f>IF(A192="","",MAX(0,MAX(0,MIN(1,(((IF(Статистика!$C$4="Параллельный режим (активная мощность)",H192,S192)+Статистика!$J$4))-Статистика!$C$10)/MAX(Статистика!$G$10-Статистика!$C$10,0.000001)))-MAX(0,MIN(1,(((IF(Статистика!$C$4="Параллельный режим (активная мощность)",G192,R192)+Статистика!$J$4))-Статистика!$C$10)/MAX(Статистика!$G$10-Статистика!$C$10,0.000001)))))</f>
        <v>0.11241451777777822</v>
      </c>
      <c r="BC192" s="12">
        <f>IF(A192="","",MAX(0,MAX(0,MIN(1,(((IF(Статистика!$C$4="Параллельный режим (активная мощность)",J192,U192)+Статистика!$J$4))-Статистика!$C$10)/MAX(Статистика!$G$10-Статистика!$C$10,0.000001)))-MAX(0,MIN(1,(((IF(Статистика!$C$4="Параллельный режим (активная мощность)",H192,S192)+Статистика!$J$4))-Статистика!$C$10)/MAX(Статистика!$G$10-Статистика!$C$10,0.000001)))))</f>
        <v>7.5968836499999526E-2</v>
      </c>
      <c r="BD192" s="12">
        <f>IF(A192="","",MAX(0,1-MAX(0,MIN(1,(((IF(Статистика!$C$4="Параллельный режим (активная мощность)",J192,U192)+Статистика!$J$4))-Статистика!$C$10)/MAX(Статистика!$G$10-Статистика!$C$10,0.000001)))))</f>
        <v>0.11772127905555563</v>
      </c>
      <c r="BE192" s="12">
        <f>IF(A192="",NA(),IF(Статистика!$B$8="Вкл",(((IF(Статистика!$C$4="Параллельный режим (активная мощность)",F192,Q192)+Статистика!$J$4))-Статистика!$C$10)/MAX(Статистика!$G$10-Статистика!$C$10,0.000001),NA()))</f>
        <v>0.62007660555555533</v>
      </c>
      <c r="BF192" s="12">
        <f>IF(A192="",NA(),IF(Статистика!$D$8="Вкл",(((IF(Статистика!$C$4="Параллельный режим (активная мощность)",E192,P192)+Статистика!$J$4))-Статистика!$C$10)/MAX(Статистика!$G$10-Статистика!$C$10,0.000001),NA()))</f>
        <v>0.59731436388888903</v>
      </c>
      <c r="BG192" s="12">
        <f>IF(A192="",NA(),IF(Статистика!$D$8="Вкл",(((IF(Статистика!$C$4="Параллельный режим (активная мощность)",G192,R192)+Статистика!$J$4))-Статистика!$C$10)/MAX(Статистика!$G$10-Статистика!$C$10,0.000001),NA()))</f>
        <v>0.69389536666666662</v>
      </c>
      <c r="BH192" s="12">
        <f>IF(A192="",NA(),IF(Статистика!$F$8="Вкл",(((IF(Статистика!$C$4="Параллельный режим (активная мощность)",D192,O192)+Статистика!$J$4))-Статистика!$C$10)/MAX(Статистика!$G$10-Статистика!$C$10,0.000001),NA()))</f>
        <v>0.51314580500000007</v>
      </c>
      <c r="BI192" s="12">
        <f>IF(A192="",NA(),IF(Статистика!$F$8="Вкл",(((IF(Статистика!$C$4="Параллельный режим (активная мощность)",H192,S192)+Статистика!$J$4))-Статистика!$C$10)/MAX(Статистика!$G$10-Статистика!$C$10,0.000001),NA()))</f>
        <v>0.80630988444444485</v>
      </c>
      <c r="BJ192" s="12">
        <f>IF(A192="",NA(),IF(Статистика!$H$8="Вкл",(((IF(Статистика!$C$4="Параллельный режим (активная мощность)",B192,M192)+Статистика!$J$4))-Статистика!$C$10)/MAX(Статистика!$G$10-Статистика!$C$10,0.000001),NA()))</f>
        <v>0.46820595649999996</v>
      </c>
      <c r="BK192" s="12">
        <f>IF(A192="",NA(),IF(Статистика!$H$8="Вкл",(((IF(Статистика!$C$4="Параллельный режим (активная мощность)",J192,U192)+Статистика!$J$4))-Статистика!$C$10)/MAX(Статистика!$G$10-Статистика!$C$10,0.000001),NA()))</f>
        <v>0.88227872094444437</v>
      </c>
      <c r="BL192" s="12" t="e">
        <f>IF(A192="",NA(),IF(Статистика!$J$8="Вкл",(((IF(Статистика!$C$4="Параллельный режим (активная мощность)",K192,V192)+Статистика!$J$4))-Статистика!$C$10)/MAX(Статистика!$G$10-Статистика!$C$10,0.000001),NA()))</f>
        <v>#N/A</v>
      </c>
      <c r="BM192" s="12" t="e">
        <f>IF(AND(A192&lt;&gt;"",Статистика!$C$6="Вкл",Статистика!$B$6&gt;0),(Статистика!$B$6-Статистика!$C$10)/MAX(Статистика!$G$10-Статистика!$C$10,0.000001),NA())</f>
        <v>#N/A</v>
      </c>
      <c r="BN192" s="12" t="e">
        <f>IF(AND(A192&lt;&gt;"",Статистика!$F$6="Вкл",Статистика!$E$6&gt;0),(Статистика!$E$6-Статистика!$C$10)/MAX(Статистика!$G$10-Статистика!$C$10,0.000001),NA())</f>
        <v>#N/A</v>
      </c>
      <c r="BO192" s="12" t="e">
        <f>IF(AND(A192&lt;&gt;"",Статистика!$I$6="Вкл",Статистика!$H$6&gt;0),(Статистика!$H$6-Статистика!$C$10)/MAX(Статистика!$G$10-Статистика!$C$10,0.000001),NA())</f>
        <v>#N/A</v>
      </c>
      <c r="BP192" s="12" t="e">
        <f>IF(AND(A192&lt;&gt;"",Статистика!$L$6="Вкл",Статистика!$K$6&gt;0),(Статистика!$K$6-Статистика!$C$10)/MAX(Статистика!$G$10-Статистика!$C$10,0.000001),NA())</f>
        <v>#N/A</v>
      </c>
      <c r="BQ192" s="12" t="e">
        <f>IF(AND(A192&lt;&gt;"",Статистика!$M$6="Вкл",Статистика!$O$6&gt;0),(Статистика!$O$6-Статистика!$C$10)/MAX(Статистика!$G$10-Статистика!$C$10,0.000001),NA())</f>
        <v>#N/A</v>
      </c>
      <c r="BR192" s="12">
        <f t="shared" si="4"/>
        <v>1</v>
      </c>
      <c r="BT192" s="12">
        <f>IF(Y192="","",MAX(0,MIN(1,(((IF(Статистика!$C$4="Параллельный режим (активная мощность)",Z192,AK192)+Статистика!$J$4))-Статистика!$C$10)/MAX(Статистика!$G$10-Статистика!$C$10,0.000001))))</f>
        <v>0.51944125766666704</v>
      </c>
      <c r="BU192" s="12">
        <f>IF(Y192="","",MAX(0,MAX(0,MIN(1,(((IF(Статистика!$C$4="Параллельный режим (активная мощность)",AB192,AM192)+Статистика!$J$4))-Статистика!$C$10)/MAX(Статистика!$G$10-Статистика!$C$10,0.000001)))-MAX(0,MIN(1,(((IF(Статистика!$C$4="Параллельный режим (активная мощность)",Z192,AK192)+Статистика!$J$4))-Статистика!$C$10)/MAX(Статистика!$G$10-Статистика!$C$10,0.000001)))))</f>
        <v>3.3079518999999835E-2</v>
      </c>
      <c r="BV192" s="12">
        <f>IF(Y192="","",MAX(0,MAX(0,MIN(1,(((IF(Статистика!$C$4="Параллельный режим (активная мощность)",AC192,AN192)+Статистика!$J$4))-Статистика!$C$10)/MAX(Статистика!$G$10-Статистика!$C$10,0.000001)))-MAX(0,MIN(1,(((IF(Статистика!$C$4="Параллельный режим (активная мощность)",AB192,AM192)+Статистика!$J$4))-Статистика!$C$10)/MAX(Статистика!$G$10-Статистика!$C$10,0.000001)))))</f>
        <v>7.0010359444444226E-2</v>
      </c>
      <c r="BW192" s="12">
        <f>IF(Y192="","",MAX(0,MAX(0,MIN(1,(((IF(Статистика!$C$4="Параллельный режим (активная мощность)",AD192,AO192)+Статистика!$J$4))-Статистика!$C$10)/MAX(Статистика!$G$10-Статистика!$C$10,0.000001)))-MAX(0,MIN(1,(((IF(Статистика!$C$4="Параллельный режим (активная мощность)",AC192,AN192)+Статистика!$J$4))-Статистика!$C$10)/MAX(Статистика!$G$10-Статистика!$C$10,0.000001)))))</f>
        <v>6.0043441666666975E-2</v>
      </c>
      <c r="BX192" s="12">
        <f>IF(Y192="","",MAX(0,MAX(0,MIN(1,(((IF(Статистика!$C$4="Параллельный режим (активная мощность)",AE192,AP192)+Статистика!$J$4))-Статистика!$C$10)/MAX(Статистика!$G$10-Статистика!$C$10,0.000001)))-MAX(0,MIN(1,(((IF(Статистика!$C$4="Параллельный режим (активная мощность)",AD192,AO192)+Статистика!$J$4))-Статистика!$C$10)/MAX(Статистика!$G$10-Статистика!$C$10,0.000001)))))</f>
        <v>1.5596344444444132E-2</v>
      </c>
      <c r="BY192" s="12">
        <f>IF(Y192="","",MAX(0,MAX(0,MIN(1,(((IF(Статистика!$C$4="Параллельный режим (активная мощность)",AF192,AQ192)+Статистика!$J$4))-Статистика!$C$10)/MAX(Статистика!$G$10-Статистика!$C$10,0.000001)))-MAX(0,MIN(1,(((IF(Статистика!$C$4="Параллельный режим (активная мощность)",AE192,AP192)+Статистика!$J$4))-Статистика!$C$10)/MAX(Статистика!$G$10-Статистика!$C$10,0.000001)))))</f>
        <v>0.12077271833333303</v>
      </c>
      <c r="BZ192" s="12">
        <f>IF(Y192="","",MAX(0,MAX(0,MIN(1,(((IF(Статистика!$C$4="Параллельный режим (активная мощность)",AH192,AS192)+Статистика!$J$4))-Статистика!$C$10)/MAX(Статистика!$G$10-Статистика!$C$10,0.000001)))-MAX(0,MIN(1,(((IF(Статистика!$C$4="Параллельный режим (активная мощность)",AF192,AQ192)+Статистика!$J$4))-Статистика!$C$10)/MAX(Статистика!$G$10-Статистика!$C$10,0.000001)))))</f>
        <v>3.8121143500000509E-2</v>
      </c>
      <c r="CA192" s="12">
        <f>IF(Y192="","",MAX(0,1-MAX(0,MIN(1,(((IF(Статистика!$C$4="Параллельный режим (активная мощность)",AH192,AS192)+Статистика!$J$4))-Статистика!$C$10)/MAX(Статистика!$G$10-Статистика!$C$10,0.000001)))))</f>
        <v>0.14293521594444425</v>
      </c>
      <c r="CB192" s="12">
        <f>IF(Y192="",NA(),IF(Статистика!$B$8="Вкл",(((IF(Статистика!$C$4="Параллельный режим (активная мощность)",AD192,AO192)+Статистика!$J$4))-Статистика!$C$10)/MAX(Статистика!$G$10-Статистика!$C$10,0.000001),NA()))</f>
        <v>0.68257457777777808</v>
      </c>
      <c r="CC192" s="12">
        <f>IF(Y192="",NA(),IF(Статистика!$D$8="Вкл",(((IF(Статистика!$C$4="Параллельный режим (активная мощность)",AC192,AN192)+Статистика!$J$4))-Статистика!$C$10)/MAX(Статистика!$G$10-Статистика!$C$10,0.000001),NA()))</f>
        <v>0.62253113611111111</v>
      </c>
      <c r="CD192" s="12">
        <f>IF(Y192="",NA(),IF(Статистика!$D$8="Вкл",(((IF(Статистика!$C$4="Параллельный режим (активная мощность)",AE192,AP192)+Статистика!$J$4))-Статистика!$C$10)/MAX(Статистика!$G$10-Статистика!$C$10,0.000001),NA()))</f>
        <v>0.69817092222222221</v>
      </c>
      <c r="CE192" s="12">
        <f>IF(Y192="",NA(),IF(Статистика!$F$8="Вкл",(((IF(Статистика!$C$4="Параллельный режим (активная мощность)",AB192,AM192)+Статистика!$J$4))-Статистика!$C$10)/MAX(Статистика!$G$10-Статистика!$C$10,0.000001),NA()))</f>
        <v>0.55252077666666688</v>
      </c>
      <c r="CF192" s="12">
        <f>IF(Y192="",NA(),IF(Статистика!$F$8="Вкл",(((IF(Статистика!$C$4="Параллельный режим (активная мощность)",AF192,AQ192)+Статистика!$J$4))-Статистика!$C$10)/MAX(Статистика!$G$10-Статистика!$C$10,0.000001),NA()))</f>
        <v>0.81894364055555524</v>
      </c>
      <c r="CG192" s="12">
        <f>IF(Y192="",NA(),IF(Статистика!$H$8="Вкл",(((IF(Статистика!$C$4="Параллельный режим (активная мощность)",Z192,AK192)+Статистика!$J$4))-Статистика!$C$10)/MAX(Статистика!$G$10-Статистика!$C$10,0.000001),NA()))</f>
        <v>0.51944125766666704</v>
      </c>
      <c r="CH192" s="12">
        <f>IF(Y192="",NA(),IF(Статистика!$H$8="Вкл",(((IF(Статистика!$C$4="Параллельный режим (активная мощность)",AH192,AS192)+Статистика!$J$4))-Статистика!$C$10)/MAX(Статистика!$G$10-Статистика!$C$10,0.000001),NA()))</f>
        <v>0.85706478405555575</v>
      </c>
      <c r="CI192" s="12" t="e">
        <f>IF(Y192="",NA(),IF(Статистика!$J$8="Вкл",(((IF(Статистика!$C$4="Параллельный режим (активная мощность)",AI192,AT192)+Статистика!$J$4))-Статистика!$C$10)/MAX(Статистика!$G$10-Статистика!$C$10,0.000001),NA()))</f>
        <v>#N/A</v>
      </c>
      <c r="CJ192" s="12" t="e">
        <f>IF(AND(Y192&lt;&gt;"",Статистика!$C$6="Вкл",Статистика!$B$6&gt;0),(Статистика!$B$6-Статистика!$C$10)/MAX(Статистика!$G$10-Статистика!$C$10,0.000001),NA())</f>
        <v>#N/A</v>
      </c>
      <c r="CK192" s="12" t="e">
        <f>IF(AND(Y192&lt;&gt;"",Статистика!$F$6="Вкл",Статистика!$E$6&gt;0),(Статистика!$E$6-Статистика!$C$10)/MAX(Статистика!$G$10-Статистика!$C$10,0.000001),NA())</f>
        <v>#N/A</v>
      </c>
      <c r="CL192" s="12" t="e">
        <f>IF(AND(Y192&lt;&gt;"",Статистика!$I$6="Вкл",Статистика!$H$6&gt;0),(Статистика!$H$6-Статистика!$C$10)/MAX(Статистика!$G$10-Статистика!$C$10,0.000001),NA())</f>
        <v>#N/A</v>
      </c>
      <c r="CM192" s="12" t="e">
        <f>IF(AND(Y192&lt;&gt;"",Статистика!$L$6="Вкл",Статистика!$K$6&gt;0),(Статистика!$K$6-Статистика!$C$10)/MAX(Статистика!$G$10-Статистика!$C$10,0.000001),NA())</f>
        <v>#N/A</v>
      </c>
      <c r="CN192" s="12" t="e">
        <f>IF(AND(Y192&lt;&gt;"",Статистика!$M$6="Вкл",Статистика!$O$6&gt;0),(Статистика!$O$6-Статистика!$C$10)/MAX(Статистика!$G$10-Статистика!$C$10,0.000001),NA())</f>
        <v>#N/A</v>
      </c>
      <c r="CO192" s="12">
        <f t="shared" si="5"/>
        <v>1</v>
      </c>
    </row>
    <row r="193" spans="1:93" ht="15" customHeight="1">
      <c r="A193" s="12" t="s">
        <v>818</v>
      </c>
      <c r="B193" s="12">
        <v>7380.1998793333341</v>
      </c>
      <c r="C193" s="12">
        <v>7464.9039299999995</v>
      </c>
      <c r="D193" s="12">
        <v>7513.8986233333326</v>
      </c>
      <c r="E193" s="12">
        <v>7790.2155166666653</v>
      </c>
      <c r="F193" s="12">
        <v>7853.2220166666666</v>
      </c>
      <c r="G193" s="12">
        <v>8028.562883333334</v>
      </c>
      <c r="H193" s="12">
        <v>8456.4321300000011</v>
      </c>
      <c r="I193" s="12">
        <v>8546.5660525000003</v>
      </c>
      <c r="J193" s="12">
        <v>8615.077450499999</v>
      </c>
      <c r="K193" s="12">
        <v>8735.7000000000007</v>
      </c>
      <c r="L193" s="12" t="s">
        <v>819</v>
      </c>
      <c r="M193" s="12">
        <v>8423.2992331666665</v>
      </c>
      <c r="N193" s="12">
        <v>8443.539899166668</v>
      </c>
      <c r="O193" s="12">
        <v>8473.6213666666663</v>
      </c>
      <c r="P193" s="12">
        <v>8791.072191666668</v>
      </c>
      <c r="Q193" s="12">
        <v>8894.9838500000005</v>
      </c>
      <c r="R193" s="12">
        <v>9083.1280499999993</v>
      </c>
      <c r="S193" s="12">
        <v>9475.2733383333325</v>
      </c>
      <c r="T193" s="12">
        <v>9552.2117833333323</v>
      </c>
      <c r="U193" s="12">
        <v>9553.382223333334</v>
      </c>
      <c r="V193" s="12">
        <v>9665.35</v>
      </c>
      <c r="W193" s="12" t="s">
        <v>819</v>
      </c>
      <c r="Y193" s="12" t="s">
        <v>818</v>
      </c>
      <c r="Z193" s="12">
        <v>7525.5353081666663</v>
      </c>
      <c r="AA193" s="12">
        <v>7564.1017408333337</v>
      </c>
      <c r="AB193" s="12">
        <v>7612.3097816666668</v>
      </c>
      <c r="AC193" s="12">
        <v>7831.8496833333329</v>
      </c>
      <c r="AD193" s="12">
        <v>8006.1656166666671</v>
      </c>
      <c r="AE193" s="12">
        <v>8138.9394916666661</v>
      </c>
      <c r="AF193" s="12">
        <v>8424.1950899999993</v>
      </c>
      <c r="AG193" s="12">
        <v>8488.4327616666669</v>
      </c>
      <c r="AH193" s="12">
        <v>8539.8228989999989</v>
      </c>
      <c r="AI193" s="12">
        <v>8646.6200000000008</v>
      </c>
      <c r="AJ193" s="12" t="s">
        <v>820</v>
      </c>
      <c r="AK193" s="12">
        <v>8590.1313969999992</v>
      </c>
      <c r="AL193" s="12">
        <v>8604.7669850000002</v>
      </c>
      <c r="AM193" s="12">
        <v>8623.0614700000006</v>
      </c>
      <c r="AN193" s="12">
        <v>8789.6322833333343</v>
      </c>
      <c r="AO193" s="12">
        <v>9040.0914666666667</v>
      </c>
      <c r="AP193" s="12">
        <v>9210.0970083333341</v>
      </c>
      <c r="AQ193" s="12">
        <v>9471.7483516666671</v>
      </c>
      <c r="AR193" s="12">
        <v>9524.7859425000006</v>
      </c>
      <c r="AS193" s="12">
        <v>9567.2160151666667</v>
      </c>
      <c r="AT193" s="12">
        <v>9669.64</v>
      </c>
      <c r="AU193" s="12" t="s">
        <v>821</v>
      </c>
      <c r="AW193" s="12">
        <f>IF(A193="","",MAX(0,MIN(1,(((IF(Статистика!$C$4="Параллельный режим (активная мощность)",B193,M193)+Статистика!$J$4))-Статистика!$C$10)/MAX(Статистика!$G$10-Статистика!$C$10,0.000001))))</f>
        <v>0.46006662644444474</v>
      </c>
      <c r="AX193" s="12">
        <f>IF(A193="","",MAX(0,MAX(0,MIN(1,(((IF(Статистика!$C$4="Параллельный режим (активная мощность)",D193,O193)+Статистика!$J$4))-Статистика!$C$10)/MAX(Статистика!$G$10-Статистика!$C$10,0.000001)))-MAX(0,MIN(1,(((IF(Статистика!$C$4="Параллельный режим (активная мощность)",B193,M193)+Статистика!$J$4))-Статистика!$C$10)/MAX(Статистика!$G$10-Статистика!$C$10,0.000001)))))</f>
        <v>4.456624799999942E-2</v>
      </c>
      <c r="AY193" s="12">
        <f>IF(A193="","",MAX(0,MAX(0,MIN(1,(((IF(Статистика!$C$4="Параллельный режим (активная мощность)",E193,P193)+Статистика!$J$4))-Статистика!$C$10)/MAX(Статистика!$G$10-Статистика!$C$10,0.000001)))-MAX(0,MIN(1,(((IF(Статистика!$C$4="Параллельный режим (активная мощность)",D193,O193)+Статистика!$J$4))-Статистика!$C$10)/MAX(Статистика!$G$10-Статистика!$C$10,0.000001)))))</f>
        <v>9.2105631111110919E-2</v>
      </c>
      <c r="AZ193" s="12">
        <f>IF(A193="","",MAX(0,MAX(0,MIN(1,(((IF(Статистика!$C$4="Параллельный режим (активная мощность)",F193,Q193)+Статистика!$J$4))-Статистика!$C$10)/MAX(Статистика!$G$10-Статистика!$C$10,0.000001)))-MAX(0,MIN(1,(((IF(Статистика!$C$4="Параллельный режим (активная мощность)",E193,P193)+Статистика!$J$4))-Статистика!$C$10)/MAX(Статистика!$G$10-Статистика!$C$10,0.000001)))))</f>
        <v>2.1002166666667099E-2</v>
      </c>
      <c r="BA193" s="12">
        <f>IF(A193="","",MAX(0,MAX(0,MIN(1,(((IF(Статистика!$C$4="Параллельный режим (активная мощность)",G193,R193)+Статистика!$J$4))-Статистика!$C$10)/MAX(Статистика!$G$10-Статистика!$C$10,0.000001)))-MAX(0,MIN(1,(((IF(Статистика!$C$4="Параллельный режим (активная мощность)",F193,Q193)+Статистика!$J$4))-Статистика!$C$10)/MAX(Статистика!$G$10-Статистика!$C$10,0.000001)))))</f>
        <v>5.8446955555555791E-2</v>
      </c>
      <c r="BB193" s="12">
        <f>IF(A193="","",MAX(0,MAX(0,MIN(1,(((IF(Статистика!$C$4="Параллельный режим (активная мощность)",H193,S193)+Статистика!$J$4))-Статистика!$C$10)/MAX(Статистика!$G$10-Статистика!$C$10,0.000001)))-MAX(0,MIN(1,(((IF(Статистика!$C$4="Параллельный режим (активная мощность)",G193,R193)+Статистика!$J$4))-Статистика!$C$10)/MAX(Статистика!$G$10-Статистика!$C$10,0.000001)))))</f>
        <v>0.14262308222222242</v>
      </c>
      <c r="BC193" s="12">
        <f>IF(A193="","",MAX(0,MAX(0,MIN(1,(((IF(Статистика!$C$4="Параллельный режим (активная мощность)",J193,U193)+Статистика!$J$4))-Статистика!$C$10)/MAX(Статистика!$G$10-Статистика!$C$10,0.000001)))-MAX(0,MIN(1,(((IF(Статистика!$C$4="Параллельный режим (активная мощность)",H193,S193)+Статистика!$J$4))-Статистика!$C$10)/MAX(Статистика!$G$10-Статистика!$C$10,0.000001)))))</f>
        <v>5.2881773499999341E-2</v>
      </c>
      <c r="BD193" s="12">
        <f>IF(A193="","",MAX(0,1-MAX(0,MIN(1,(((IF(Статистика!$C$4="Параллельный режим (активная мощность)",J193,U193)+Статистика!$J$4))-Статистика!$C$10)/MAX(Статистика!$G$10-Статистика!$C$10,0.000001)))))</f>
        <v>0.12830751650000027</v>
      </c>
      <c r="BE193" s="12">
        <f>IF(A193="",NA(),IF(Статистика!$B$8="Вкл",(((IF(Статистика!$C$4="Параллельный режим (активная мощность)",F193,Q193)+Статистика!$J$4))-Статистика!$C$10)/MAX(Статистика!$G$10-Статистика!$C$10,0.000001),NA()))</f>
        <v>0.61774067222222218</v>
      </c>
      <c r="BF193" s="12">
        <f>IF(A193="",NA(),IF(Статистика!$D$8="Вкл",(((IF(Статистика!$C$4="Параллельный режим (активная мощность)",E193,P193)+Статистика!$J$4))-Статистика!$C$10)/MAX(Статистика!$G$10-Статистика!$C$10,0.000001),NA()))</f>
        <v>0.59673850555555508</v>
      </c>
      <c r="BG193" s="12">
        <f>IF(A193="",NA(),IF(Статистика!$D$8="Вкл",(((IF(Статистика!$C$4="Параллельный режим (активная мощность)",G193,R193)+Статистика!$J$4))-Статистика!$C$10)/MAX(Статистика!$G$10-Статистика!$C$10,0.000001),NA()))</f>
        <v>0.67618762777777797</v>
      </c>
      <c r="BH193" s="12">
        <f>IF(A193="",NA(),IF(Статистика!$F$8="Вкл",(((IF(Статистика!$C$4="Параллельный режим (активная мощность)",D193,O193)+Статистика!$J$4))-Статистика!$C$10)/MAX(Статистика!$G$10-Статистика!$C$10,0.000001),NA()))</f>
        <v>0.50463287444444416</v>
      </c>
      <c r="BI193" s="12">
        <f>IF(A193="",NA(),IF(Статистика!$F$8="Вкл",(((IF(Статистика!$C$4="Параллельный режим (активная мощность)",H193,S193)+Статистика!$J$4))-Статистика!$C$10)/MAX(Статистика!$G$10-Статистика!$C$10,0.000001),NA()))</f>
        <v>0.81881071000000039</v>
      </c>
      <c r="BJ193" s="12">
        <f>IF(A193="",NA(),IF(Статистика!$H$8="Вкл",(((IF(Статистика!$C$4="Параллельный режим (активная мощность)",B193,M193)+Статистика!$J$4))-Статистика!$C$10)/MAX(Статистика!$G$10-Статистика!$C$10,0.000001),NA()))</f>
        <v>0.46006662644444474</v>
      </c>
      <c r="BK193" s="12">
        <f>IF(A193="",NA(),IF(Статистика!$H$8="Вкл",(((IF(Статистика!$C$4="Параллельный режим (активная мощность)",J193,U193)+Статистика!$J$4))-Статистика!$C$10)/MAX(Статистика!$G$10-Статистика!$C$10,0.000001),NA()))</f>
        <v>0.87169248349999973</v>
      </c>
      <c r="BL193" s="12" t="e">
        <f>IF(A193="",NA(),IF(Статистика!$J$8="Вкл",(((IF(Статистика!$C$4="Параллельный режим (активная мощность)",K193,V193)+Статистика!$J$4))-Статистика!$C$10)/MAX(Статистика!$G$10-Статистика!$C$10,0.000001),NA()))</f>
        <v>#N/A</v>
      </c>
      <c r="BM193" s="12" t="e">
        <f>IF(AND(A193&lt;&gt;"",Статистика!$C$6="Вкл",Статистика!$B$6&gt;0),(Статистика!$B$6-Статистика!$C$10)/MAX(Статистика!$G$10-Статистика!$C$10,0.000001),NA())</f>
        <v>#N/A</v>
      </c>
      <c r="BN193" s="12" t="e">
        <f>IF(AND(A193&lt;&gt;"",Статистика!$F$6="Вкл",Статистика!$E$6&gt;0),(Статистика!$E$6-Статистика!$C$10)/MAX(Статистика!$G$10-Статистика!$C$10,0.000001),NA())</f>
        <v>#N/A</v>
      </c>
      <c r="BO193" s="12" t="e">
        <f>IF(AND(A193&lt;&gt;"",Статистика!$I$6="Вкл",Статистика!$H$6&gt;0),(Статистика!$H$6-Статистика!$C$10)/MAX(Статистика!$G$10-Статистика!$C$10,0.000001),NA())</f>
        <v>#N/A</v>
      </c>
      <c r="BP193" s="12" t="e">
        <f>IF(AND(A193&lt;&gt;"",Статистика!$L$6="Вкл",Статистика!$K$6&gt;0),(Статистика!$K$6-Статистика!$C$10)/MAX(Статистика!$G$10-Статистика!$C$10,0.000001),NA())</f>
        <v>#N/A</v>
      </c>
      <c r="BQ193" s="12" t="e">
        <f>IF(AND(A193&lt;&gt;"",Статистика!$M$6="Вкл",Статистика!$O$6&gt;0),(Статистика!$O$6-Статистика!$C$10)/MAX(Статистика!$G$10-Статистика!$C$10,0.000001),NA())</f>
        <v>#N/A</v>
      </c>
      <c r="BR193" s="12">
        <f t="shared" si="4"/>
        <v>1</v>
      </c>
      <c r="BT193" s="12">
        <f>IF(Y193="","",MAX(0,MIN(1,(((IF(Статистика!$C$4="Параллельный режим (активная мощность)",Z193,AK193)+Статистика!$J$4))-Статистика!$C$10)/MAX(Статистика!$G$10-Статистика!$C$10,0.000001))))</f>
        <v>0.50851176938888876</v>
      </c>
      <c r="BU193" s="12">
        <f>IF(Y193="","",MAX(0,MAX(0,MIN(1,(((IF(Статистика!$C$4="Параллельный режим (активная мощность)",AB193,AM193)+Статистика!$J$4))-Статистика!$C$10)/MAX(Статистика!$G$10-Статистика!$C$10,0.000001)))-MAX(0,MIN(1,(((IF(Статистика!$C$4="Параллельный режим (активная мощность)",Z193,AK193)+Статистика!$J$4))-Статистика!$C$10)/MAX(Статистика!$G$10-Статистика!$C$10,0.000001)))))</f>
        <v>2.8924824500000224E-2</v>
      </c>
      <c r="BV193" s="12">
        <f>IF(Y193="","",MAX(0,MAX(0,MIN(1,(((IF(Статистика!$C$4="Параллельный режим (активная мощность)",AC193,AN193)+Статистика!$J$4))-Статистика!$C$10)/MAX(Статистика!$G$10-Статистика!$C$10,0.000001)))-MAX(0,MIN(1,(((IF(Статистика!$C$4="Параллельный режим (активная мощность)",AB193,AM193)+Статистика!$J$4))-Статистика!$C$10)/MAX(Статистика!$G$10-Статистика!$C$10,0.000001)))))</f>
        <v>7.3179967222221975E-2</v>
      </c>
      <c r="BW193" s="12">
        <f>IF(Y193="","",MAX(0,MAX(0,MIN(1,(((IF(Статистика!$C$4="Параллельный режим (активная мощность)",AD193,AO193)+Статистика!$J$4))-Статистика!$C$10)/MAX(Статистика!$G$10-Статистика!$C$10,0.000001)))-MAX(0,MIN(1,(((IF(Статистика!$C$4="Параллельный режим (активная мощность)",AC193,AN193)+Статистика!$J$4))-Статистика!$C$10)/MAX(Статистика!$G$10-Статистика!$C$10,0.000001)))))</f>
        <v>5.8105311111111391E-2</v>
      </c>
      <c r="BX193" s="12">
        <f>IF(Y193="","",MAX(0,MAX(0,MIN(1,(((IF(Статистика!$C$4="Параллельный режим (активная мощность)",AE193,AP193)+Статистика!$J$4))-Статистика!$C$10)/MAX(Статистика!$G$10-Статистика!$C$10,0.000001)))-MAX(0,MIN(1,(((IF(Статистика!$C$4="Параллельный режим (активная мощность)",AD193,AO193)+Статистика!$J$4))-Статистика!$C$10)/MAX(Статистика!$G$10-Статистика!$C$10,0.000001)))))</f>
        <v>4.4257958333333014E-2</v>
      </c>
      <c r="BY193" s="12">
        <f>IF(Y193="","",MAX(0,MAX(0,MIN(1,(((IF(Статистика!$C$4="Параллельный режим (активная мощность)",AF193,AQ193)+Статистика!$J$4))-Статистика!$C$10)/MAX(Статистика!$G$10-Статистика!$C$10,0.000001)))-MAX(0,MIN(1,(((IF(Статистика!$C$4="Параллельный режим (активная мощность)",AE193,AP193)+Статистика!$J$4))-Статистика!$C$10)/MAX(Статистика!$G$10-Статистика!$C$10,0.000001)))))</f>
        <v>9.5085199444444379E-2</v>
      </c>
      <c r="BZ193" s="12">
        <f>IF(Y193="","",MAX(0,MAX(0,MIN(1,(((IF(Статистика!$C$4="Параллельный режим (активная мощность)",AH193,AS193)+Статистика!$J$4))-Статистика!$C$10)/MAX(Статистика!$G$10-Статистика!$C$10,0.000001)))-MAX(0,MIN(1,(((IF(Статистика!$C$4="Параллельный режим (активная мощность)",AF193,AQ193)+Статистика!$J$4))-Статистика!$C$10)/MAX(Статистика!$G$10-Статистика!$C$10,0.000001)))))</f>
        <v>3.8542602999999898E-2</v>
      </c>
      <c r="CA193" s="12">
        <f>IF(Y193="","",MAX(0,1-MAX(0,MIN(1,(((IF(Статистика!$C$4="Параллельный режим (активная мощность)",AH193,AS193)+Статистика!$J$4))-Статистика!$C$10)/MAX(Статистика!$G$10-Статистика!$C$10,0.000001)))))</f>
        <v>0.15339236700000036</v>
      </c>
      <c r="CB193" s="12">
        <f>IF(Y193="",NA(),IF(Статистика!$B$8="Вкл",(((IF(Статистика!$C$4="Параллельный режим (активная мощность)",AD193,AO193)+Статистика!$J$4))-Статистика!$C$10)/MAX(Статистика!$G$10-Статистика!$C$10,0.000001),NA()))</f>
        <v>0.66872187222222235</v>
      </c>
      <c r="CC193" s="12">
        <f>IF(Y193="",NA(),IF(Статистика!$D$8="Вкл",(((IF(Статистика!$C$4="Параллельный режим (активная мощность)",AC193,AN193)+Статистика!$J$4))-Статистика!$C$10)/MAX(Статистика!$G$10-Статистика!$C$10,0.000001),NA()))</f>
        <v>0.61061656111111096</v>
      </c>
      <c r="CD193" s="12">
        <f>IF(Y193="",NA(),IF(Статистика!$D$8="Вкл",(((IF(Статистика!$C$4="Параллельный режим (активная мощность)",AE193,AP193)+Статистика!$J$4))-Статистика!$C$10)/MAX(Статистика!$G$10-Статистика!$C$10,0.000001),NA()))</f>
        <v>0.71297983055555536</v>
      </c>
      <c r="CE193" s="12">
        <f>IF(Y193="",NA(),IF(Статистика!$F$8="Вкл",(((IF(Статистика!$C$4="Параллельный режим (активная мощность)",AB193,AM193)+Статистика!$J$4))-Статистика!$C$10)/MAX(Статистика!$G$10-Статистика!$C$10,0.000001),NA()))</f>
        <v>0.53743659388888898</v>
      </c>
      <c r="CF193" s="12">
        <f>IF(Y193="",NA(),IF(Статистика!$F$8="Вкл",(((IF(Статистика!$C$4="Параллельный режим (активная мощность)",AF193,AQ193)+Статистика!$J$4))-Статистика!$C$10)/MAX(Статистика!$G$10-Статистика!$C$10,0.000001),NA()))</f>
        <v>0.80806502999999974</v>
      </c>
      <c r="CG193" s="12">
        <f>IF(Y193="",NA(),IF(Статистика!$H$8="Вкл",(((IF(Статистика!$C$4="Параллельный режим (активная мощность)",Z193,AK193)+Статистика!$J$4))-Статистика!$C$10)/MAX(Статистика!$G$10-Статистика!$C$10,0.000001),NA()))</f>
        <v>0.50851176938888876</v>
      </c>
      <c r="CH193" s="12">
        <f>IF(Y193="",NA(),IF(Статистика!$H$8="Вкл",(((IF(Статистика!$C$4="Параллельный режим (активная мощность)",AH193,AS193)+Статистика!$J$4))-Статистика!$C$10)/MAX(Статистика!$G$10-Статистика!$C$10,0.000001),NA()))</f>
        <v>0.84660763299999964</v>
      </c>
      <c r="CI193" s="12" t="e">
        <f>IF(Y193="",NA(),IF(Статистика!$J$8="Вкл",(((IF(Статистика!$C$4="Параллельный режим (активная мощность)",AI193,AT193)+Статистика!$J$4))-Статистика!$C$10)/MAX(Статистика!$G$10-Статистика!$C$10,0.000001),NA()))</f>
        <v>#N/A</v>
      </c>
      <c r="CJ193" s="12" t="e">
        <f>IF(AND(Y193&lt;&gt;"",Статистика!$C$6="Вкл",Статистика!$B$6&gt;0),(Статистика!$B$6-Статистика!$C$10)/MAX(Статистика!$G$10-Статистика!$C$10,0.000001),NA())</f>
        <v>#N/A</v>
      </c>
      <c r="CK193" s="12" t="e">
        <f>IF(AND(Y193&lt;&gt;"",Статистика!$F$6="Вкл",Статистика!$E$6&gt;0),(Статистика!$E$6-Статистика!$C$10)/MAX(Статистика!$G$10-Статистика!$C$10,0.000001),NA())</f>
        <v>#N/A</v>
      </c>
      <c r="CL193" s="12" t="e">
        <f>IF(AND(Y193&lt;&gt;"",Статистика!$I$6="Вкл",Статистика!$H$6&gt;0),(Статистика!$H$6-Статистика!$C$10)/MAX(Статистика!$G$10-Статистика!$C$10,0.000001),NA())</f>
        <v>#N/A</v>
      </c>
      <c r="CM193" s="12" t="e">
        <f>IF(AND(Y193&lt;&gt;"",Статистика!$L$6="Вкл",Статистика!$K$6&gt;0),(Статистика!$K$6-Статистика!$C$10)/MAX(Статистика!$G$10-Статистика!$C$10,0.000001),NA())</f>
        <v>#N/A</v>
      </c>
      <c r="CN193" s="12" t="e">
        <f>IF(AND(Y193&lt;&gt;"",Статистика!$M$6="Вкл",Статистика!$O$6&gt;0),(Статистика!$O$6-Статистика!$C$10)/MAX(Статистика!$G$10-Статистика!$C$10,0.000001),NA())</f>
        <v>#N/A</v>
      </c>
      <c r="CO193" s="12">
        <f t="shared" si="5"/>
        <v>1</v>
      </c>
    </row>
    <row r="194" spans="1:93" ht="15" customHeight="1">
      <c r="A194" s="12" t="s">
        <v>822</v>
      </c>
      <c r="B194" s="12">
        <v>7392.2274006666667</v>
      </c>
      <c r="C194" s="12">
        <v>7446.3544700000002</v>
      </c>
      <c r="D194" s="12">
        <v>7494.9746166666673</v>
      </c>
      <c r="E194" s="12">
        <v>7727.5047166666664</v>
      </c>
      <c r="F194" s="12">
        <v>7888.945616666666</v>
      </c>
      <c r="G194" s="12">
        <v>7981.2415833333325</v>
      </c>
      <c r="H194" s="12">
        <v>8448.2098600000008</v>
      </c>
      <c r="I194" s="12">
        <v>8522.1356475000011</v>
      </c>
      <c r="J194" s="12">
        <v>8625.8355295000019</v>
      </c>
      <c r="K194" s="12">
        <v>8872.56</v>
      </c>
      <c r="L194" s="12" t="s">
        <v>823</v>
      </c>
      <c r="M194" s="12">
        <v>8445.8264870000003</v>
      </c>
      <c r="N194" s="12">
        <v>8450.6911016666654</v>
      </c>
      <c r="O194" s="12">
        <v>8454.950644999999</v>
      </c>
      <c r="P194" s="12">
        <v>8770.7221166666659</v>
      </c>
      <c r="Q194" s="12">
        <v>8897.1396499999973</v>
      </c>
      <c r="R194" s="12">
        <v>9022.4715916666664</v>
      </c>
      <c r="S194" s="12">
        <v>9503.2122250000011</v>
      </c>
      <c r="T194" s="12">
        <v>9537.4065916666659</v>
      </c>
      <c r="U194" s="12">
        <v>9591.0428649999994</v>
      </c>
      <c r="V194" s="12">
        <v>9870.0400000000009</v>
      </c>
      <c r="W194" s="12" t="s">
        <v>823</v>
      </c>
      <c r="Y194" s="12" t="s">
        <v>822</v>
      </c>
      <c r="Z194" s="12">
        <v>7503.9578474999989</v>
      </c>
      <c r="AA194" s="12">
        <v>7543.9240374999999</v>
      </c>
      <c r="AB194" s="12">
        <v>7593.8817749999998</v>
      </c>
      <c r="AC194" s="12">
        <v>7806.6083749999998</v>
      </c>
      <c r="AD194" s="12">
        <v>7996.5325000000003</v>
      </c>
      <c r="AE194" s="12">
        <v>8090.6426083333326</v>
      </c>
      <c r="AF194" s="12">
        <v>8454.3402700000006</v>
      </c>
      <c r="AG194" s="12">
        <v>8499.9150850000005</v>
      </c>
      <c r="AH194" s="12">
        <v>8536.3749370000005</v>
      </c>
      <c r="AI194" s="12">
        <v>8636.7900000000009</v>
      </c>
      <c r="AJ194" s="12" t="s">
        <v>824</v>
      </c>
      <c r="AK194" s="12">
        <v>8573.6292490000014</v>
      </c>
      <c r="AL194" s="12">
        <v>8590.2990449999998</v>
      </c>
      <c r="AM194" s="12">
        <v>8611.1362900000004</v>
      </c>
      <c r="AN194" s="12">
        <v>8768.4153249999999</v>
      </c>
      <c r="AO194" s="12">
        <v>9035.4113833333322</v>
      </c>
      <c r="AP194" s="12">
        <v>9133.2847750000001</v>
      </c>
      <c r="AQ194" s="12">
        <v>9520.6346833333337</v>
      </c>
      <c r="AR194" s="12">
        <v>9551.0899250000002</v>
      </c>
      <c r="AS194" s="12">
        <v>9575.4541183333331</v>
      </c>
      <c r="AT194" s="12">
        <v>9683.43</v>
      </c>
      <c r="AU194" s="12" t="s">
        <v>824</v>
      </c>
      <c r="AW194" s="12">
        <f>IF(A194="","",MAX(0,MIN(1,(((IF(Статистика!$C$4="Параллельный режим (активная мощность)",B194,M194)+Статистика!$J$4))-Статистика!$C$10)/MAX(Статистика!$G$10-Статистика!$C$10,0.000001))))</f>
        <v>0.46407580022222222</v>
      </c>
      <c r="AX194" s="12">
        <f>IF(A194="","",MAX(0,MAX(0,MIN(1,(((IF(Статистика!$C$4="Параллельный режим (активная мощность)",D194,O194)+Статистика!$J$4))-Статистика!$C$10)/MAX(Статистика!$G$10-Статистика!$C$10,0.000001)))-MAX(0,MIN(1,(((IF(Статистика!$C$4="Параллельный режим (активная мощность)",B194,M194)+Статистика!$J$4))-Статистика!$C$10)/MAX(Статистика!$G$10-Статистика!$C$10,0.000001)))))</f>
        <v>3.4249072000000214E-2</v>
      </c>
      <c r="AY194" s="12">
        <f>IF(A194="","",MAX(0,MAX(0,MIN(1,(((IF(Статистика!$C$4="Параллельный режим (активная мощность)",E194,P194)+Статистика!$J$4))-Статистика!$C$10)/MAX(Статистика!$G$10-Статистика!$C$10,0.000001)))-MAX(0,MIN(1,(((IF(Статистика!$C$4="Параллельный режим (активная мощность)",D194,O194)+Статистика!$J$4))-Статистика!$C$10)/MAX(Статистика!$G$10-Статистика!$C$10,0.000001)))))</f>
        <v>7.7510033333333062E-2</v>
      </c>
      <c r="AZ194" s="12">
        <f>IF(A194="","",MAX(0,MAX(0,MIN(1,(((IF(Статистика!$C$4="Параллельный режим (активная мощность)",F194,Q194)+Статистика!$J$4))-Статистика!$C$10)/MAX(Статистика!$G$10-Статистика!$C$10,0.000001)))-MAX(0,MIN(1,(((IF(Статистика!$C$4="Параллельный режим (активная мощность)",E194,P194)+Статистика!$J$4))-Статистика!$C$10)/MAX(Статистика!$G$10-Статистика!$C$10,0.000001)))))</f>
        <v>5.3813633333333111E-2</v>
      </c>
      <c r="BA194" s="12">
        <f>IF(A194="","",MAX(0,MAX(0,MIN(1,(((IF(Статистика!$C$4="Параллельный режим (активная мощность)",G194,R194)+Статистика!$J$4))-Статистика!$C$10)/MAX(Статистика!$G$10-Статистика!$C$10,0.000001)))-MAX(0,MIN(1,(((IF(Статистика!$C$4="Параллельный режим (активная мощность)",F194,Q194)+Статистика!$J$4))-Статистика!$C$10)/MAX(Статистика!$G$10-Статистика!$C$10,0.000001)))))</f>
        <v>3.076532222222228E-2</v>
      </c>
      <c r="BB194" s="12">
        <f>IF(A194="","",MAX(0,MAX(0,MIN(1,(((IF(Статистика!$C$4="Параллельный режим (активная мощность)",H194,S194)+Статистика!$J$4))-Статистика!$C$10)/MAX(Статистика!$G$10-Статистика!$C$10,0.000001)))-MAX(0,MIN(1,(((IF(Статистика!$C$4="Параллельный режим (активная мощность)",G194,R194)+Статистика!$J$4))-Статистика!$C$10)/MAX(Статистика!$G$10-Статистика!$C$10,0.000001)))))</f>
        <v>0.15565609222222276</v>
      </c>
      <c r="BC194" s="12">
        <f>IF(A194="","",MAX(0,MAX(0,MIN(1,(((IF(Статистика!$C$4="Параллельный режим (активная мощность)",J194,U194)+Статистика!$J$4))-Статистика!$C$10)/MAX(Статистика!$G$10-Статистика!$C$10,0.000001)))-MAX(0,MIN(1,(((IF(Статистика!$C$4="Параллельный режим (активная мощность)",H194,S194)+Статистика!$J$4))-Статистика!$C$10)/MAX(Статистика!$G$10-Статистика!$C$10,0.000001)))))</f>
        <v>5.9208556500000342E-2</v>
      </c>
      <c r="BD194" s="12">
        <f>IF(A194="","",MAX(0,1-MAX(0,MIN(1,(((IF(Статистика!$C$4="Параллельный режим (активная мощность)",J194,U194)+Статистика!$J$4))-Статистика!$C$10)/MAX(Статистика!$G$10-Статистика!$C$10,0.000001)))))</f>
        <v>0.124721490166666</v>
      </c>
      <c r="BE194" s="12">
        <f>IF(A194="",NA(),IF(Статистика!$B$8="Вкл",(((IF(Статистика!$C$4="Параллельный режим (активная мощность)",F194,Q194)+Статистика!$J$4))-Статистика!$C$10)/MAX(Статистика!$G$10-Статистика!$C$10,0.000001),NA()))</f>
        <v>0.62964853888888861</v>
      </c>
      <c r="BF194" s="12">
        <f>IF(A194="",NA(),IF(Статистика!$D$8="Вкл",(((IF(Статистика!$C$4="Параллельный режим (активная мощность)",E194,P194)+Статистика!$J$4))-Статистика!$C$10)/MAX(Статистика!$G$10-Статистика!$C$10,0.000001),NA()))</f>
        <v>0.5758349055555555</v>
      </c>
      <c r="BG194" s="12">
        <f>IF(A194="",NA(),IF(Статистика!$D$8="Вкл",(((IF(Статистика!$C$4="Параллельный режим (активная мощность)",G194,R194)+Статистика!$J$4))-Статистика!$C$10)/MAX(Статистика!$G$10-Статистика!$C$10,0.000001),NA()))</f>
        <v>0.66041386111111089</v>
      </c>
      <c r="BH194" s="12">
        <f>IF(A194="",NA(),IF(Статистика!$F$8="Вкл",(((IF(Статистика!$C$4="Параллельный режим (активная мощность)",D194,O194)+Статистика!$J$4))-Статистика!$C$10)/MAX(Статистика!$G$10-Статистика!$C$10,0.000001),NA()))</f>
        <v>0.49832487222222244</v>
      </c>
      <c r="BI194" s="12">
        <f>IF(A194="",NA(),IF(Статистика!$F$8="Вкл",(((IF(Статистика!$C$4="Параллельный режим (активная мощность)",H194,S194)+Статистика!$J$4))-Статистика!$C$10)/MAX(Статистика!$G$10-Статистика!$C$10,0.000001),NA()))</f>
        <v>0.81606995333333365</v>
      </c>
      <c r="BJ194" s="12">
        <f>IF(A194="",NA(),IF(Статистика!$H$8="Вкл",(((IF(Статистика!$C$4="Параллельный режим (активная мощность)",B194,M194)+Статистика!$J$4))-Статистика!$C$10)/MAX(Статистика!$G$10-Статистика!$C$10,0.000001),NA()))</f>
        <v>0.46407580022222222</v>
      </c>
      <c r="BK194" s="12">
        <f>IF(A194="",NA(),IF(Статистика!$H$8="Вкл",(((IF(Статистика!$C$4="Параллельный режим (активная мощность)",J194,U194)+Статистика!$J$4))-Статистика!$C$10)/MAX(Статистика!$G$10-Статистика!$C$10,0.000001),NA()))</f>
        <v>0.875278509833334</v>
      </c>
      <c r="BL194" s="12" t="e">
        <f>IF(A194="",NA(),IF(Статистика!$J$8="Вкл",(((IF(Статистика!$C$4="Параллельный режим (активная мощность)",K194,V194)+Статистика!$J$4))-Статистика!$C$10)/MAX(Статистика!$G$10-Статистика!$C$10,0.000001),NA()))</f>
        <v>#N/A</v>
      </c>
      <c r="BM194" s="12" t="e">
        <f>IF(AND(A194&lt;&gt;"",Статистика!$C$6="Вкл",Статистика!$B$6&gt;0),(Статистика!$B$6-Статистика!$C$10)/MAX(Статистика!$G$10-Статистика!$C$10,0.000001),NA())</f>
        <v>#N/A</v>
      </c>
      <c r="BN194" s="12" t="e">
        <f>IF(AND(A194&lt;&gt;"",Статистика!$F$6="Вкл",Статистика!$E$6&gt;0),(Статистика!$E$6-Статистика!$C$10)/MAX(Статистика!$G$10-Статистика!$C$10,0.000001),NA())</f>
        <v>#N/A</v>
      </c>
      <c r="BO194" s="12" t="e">
        <f>IF(AND(A194&lt;&gt;"",Статистика!$I$6="Вкл",Статистика!$H$6&gt;0),(Статистика!$H$6-Статистика!$C$10)/MAX(Статистика!$G$10-Статистика!$C$10,0.000001),NA())</f>
        <v>#N/A</v>
      </c>
      <c r="BP194" s="12" t="e">
        <f>IF(AND(A194&lt;&gt;"",Статистика!$L$6="Вкл",Статистика!$K$6&gt;0),(Статистика!$K$6-Статистика!$C$10)/MAX(Статистика!$G$10-Статистика!$C$10,0.000001),NA())</f>
        <v>#N/A</v>
      </c>
      <c r="BQ194" s="12" t="e">
        <f>IF(AND(A194&lt;&gt;"",Статистика!$M$6="Вкл",Статистика!$O$6&gt;0),(Статистика!$O$6-Статистика!$C$10)/MAX(Статистика!$G$10-Статистика!$C$10,0.000001),NA())</f>
        <v>#N/A</v>
      </c>
      <c r="BR194" s="12">
        <f t="shared" ref="BR194:BR257" si="6">IF(A194="",NA(),1)</f>
        <v>1</v>
      </c>
      <c r="BT194" s="12">
        <f>IF(Y194="","",MAX(0,MIN(1,(((IF(Статистика!$C$4="Параллельный режим (активная мощность)",Z194,AK194)+Статистика!$J$4))-Статистика!$C$10)/MAX(Статистика!$G$10-Статистика!$C$10,0.000001))))</f>
        <v>0.50131928249999969</v>
      </c>
      <c r="BU194" s="12">
        <f>IF(Y194="","",MAX(0,MAX(0,MIN(1,(((IF(Статистика!$C$4="Параллельный режим (активная мощность)",AB194,AM194)+Статистика!$J$4))-Статистика!$C$10)/MAX(Статистика!$G$10-Статистика!$C$10,0.000001)))-MAX(0,MIN(1,(((IF(Статистика!$C$4="Параллельный режим (активная мощность)",Z194,AK194)+Статистика!$J$4))-Статистика!$C$10)/MAX(Статистика!$G$10-Статистика!$C$10,0.000001)))))</f>
        <v>2.9974642500000259E-2</v>
      </c>
      <c r="BV194" s="12">
        <f>IF(Y194="","",MAX(0,MAX(0,MIN(1,(((IF(Статистика!$C$4="Параллельный режим (активная мощность)",AC194,AN194)+Статистика!$J$4))-Статистика!$C$10)/MAX(Статистика!$G$10-Статистика!$C$10,0.000001)))-MAX(0,MIN(1,(((IF(Статистика!$C$4="Параллельный режим (активная мощность)",AB194,AM194)+Статистика!$J$4))-Статистика!$C$10)/MAX(Статистика!$G$10-Статистика!$C$10,0.000001)))))</f>
        <v>7.0908866666666626E-2</v>
      </c>
      <c r="BW194" s="12">
        <f>IF(Y194="","",MAX(0,MAX(0,MIN(1,(((IF(Статистика!$C$4="Параллельный режим (активная мощность)",AD194,AO194)+Статистика!$J$4))-Статистика!$C$10)/MAX(Статистика!$G$10-Статистика!$C$10,0.000001)))-MAX(0,MIN(1,(((IF(Статистика!$C$4="Параллельный режим (активная мощность)",AC194,AN194)+Статистика!$J$4))-Статистика!$C$10)/MAX(Статистика!$G$10-Статистика!$C$10,0.000001)))))</f>
        <v>6.3308041666666814E-2</v>
      </c>
      <c r="BX194" s="12">
        <f>IF(Y194="","",MAX(0,MAX(0,MIN(1,(((IF(Статистика!$C$4="Параллельный режим (активная мощность)",AE194,AP194)+Статистика!$J$4))-Статистика!$C$10)/MAX(Статистика!$G$10-Статистика!$C$10,0.000001)))-MAX(0,MIN(1,(((IF(Статистика!$C$4="Параллельный режим (активная мощность)",AD194,AO194)+Статистика!$J$4))-Статистика!$C$10)/MAX(Статистика!$G$10-Статистика!$C$10,0.000001)))))</f>
        <v>3.1370036111110777E-2</v>
      </c>
      <c r="BY194" s="12">
        <f>IF(Y194="","",MAX(0,MAX(0,MIN(1,(((IF(Статистика!$C$4="Параллельный режим (активная мощность)",AF194,AQ194)+Статистика!$J$4))-Статистика!$C$10)/MAX(Статистика!$G$10-Статистика!$C$10,0.000001)))-MAX(0,MIN(1,(((IF(Статистика!$C$4="Параллельный режим (активная мощность)",AE194,AP194)+Статистика!$J$4))-Статистика!$C$10)/MAX(Статистика!$G$10-Статистика!$C$10,0.000001)))))</f>
        <v>0.12123255388888932</v>
      </c>
      <c r="BZ194" s="12">
        <f>IF(Y194="","",MAX(0,MAX(0,MIN(1,(((IF(Статистика!$C$4="Параллельный режим (активная мощность)",AH194,AS194)+Статистика!$J$4))-Статистика!$C$10)/MAX(Статистика!$G$10-Статистика!$C$10,0.000001)))-MAX(0,MIN(1,(((IF(Статистика!$C$4="Параллельный режим (активная мощность)",AF194,AQ194)+Статистика!$J$4))-Статистика!$C$10)/MAX(Статистика!$G$10-Статистика!$C$10,0.000001)))))</f>
        <v>2.7344888999999983E-2</v>
      </c>
      <c r="CA194" s="12">
        <f>IF(Y194="","",MAX(0,1-MAX(0,MIN(1,(((IF(Статистика!$C$4="Параллельный режим (активная мощность)",AH194,AS194)+Статистика!$J$4))-Статистика!$C$10)/MAX(Статистика!$G$10-Статистика!$C$10,0.000001)))))</f>
        <v>0.15454168766666654</v>
      </c>
      <c r="CB194" s="12">
        <f>IF(Y194="",NA(),IF(Статистика!$B$8="Вкл",(((IF(Статистика!$C$4="Параллельный режим (активная мощность)",AD194,AO194)+Статистика!$J$4))-Статистика!$C$10)/MAX(Статистика!$G$10-Статистика!$C$10,0.000001),NA()))</f>
        <v>0.66551083333333338</v>
      </c>
      <c r="CC194" s="12">
        <f>IF(Y194="",NA(),IF(Статистика!$D$8="Вкл",(((IF(Статистика!$C$4="Параллельный режим (активная мощность)",AC194,AN194)+Статистика!$J$4))-Статистика!$C$10)/MAX(Статистика!$G$10-Статистика!$C$10,0.000001),NA()))</f>
        <v>0.60220279166666657</v>
      </c>
      <c r="CD194" s="12">
        <f>IF(Y194="",NA(),IF(Статистика!$D$8="Вкл",(((IF(Статистика!$C$4="Параллельный режим (активная мощность)",AE194,AP194)+Статистика!$J$4))-Статистика!$C$10)/MAX(Статистика!$G$10-Статистика!$C$10,0.000001),NA()))</f>
        <v>0.69688086944444416</v>
      </c>
      <c r="CE194" s="12">
        <f>IF(Y194="",NA(),IF(Статистика!$F$8="Вкл",(((IF(Статистика!$C$4="Параллельный режим (активная мощность)",AB194,AM194)+Статистика!$J$4))-Статистика!$C$10)/MAX(Статистика!$G$10-Статистика!$C$10,0.000001),NA()))</f>
        <v>0.53129392499999994</v>
      </c>
      <c r="CF194" s="12">
        <f>IF(Y194="",NA(),IF(Статистика!$F$8="Вкл",(((IF(Статистика!$C$4="Параллельный режим (активная мощность)",AF194,AQ194)+Статистика!$J$4))-Статистика!$C$10)/MAX(Статистика!$G$10-Статистика!$C$10,0.000001),NA()))</f>
        <v>0.81811342333333348</v>
      </c>
      <c r="CG194" s="12">
        <f>IF(Y194="",NA(),IF(Статистика!$H$8="Вкл",(((IF(Статистика!$C$4="Параллельный режим (активная мощность)",Z194,AK194)+Статистика!$J$4))-Статистика!$C$10)/MAX(Статистика!$G$10-Статистика!$C$10,0.000001),NA()))</f>
        <v>0.50131928249999969</v>
      </c>
      <c r="CH194" s="12">
        <f>IF(Y194="",NA(),IF(Статистика!$H$8="Вкл",(((IF(Статистика!$C$4="Параллельный режим (активная мощность)",AH194,AS194)+Статистика!$J$4))-Статистика!$C$10)/MAX(Статистика!$G$10-Статистика!$C$10,0.000001),NA()))</f>
        <v>0.84545831233333346</v>
      </c>
      <c r="CI194" s="12" t="e">
        <f>IF(Y194="",NA(),IF(Статистика!$J$8="Вкл",(((IF(Статистика!$C$4="Параллельный режим (активная мощность)",AI194,AT194)+Статистика!$J$4))-Статистика!$C$10)/MAX(Статистика!$G$10-Статистика!$C$10,0.000001),NA()))</f>
        <v>#N/A</v>
      </c>
      <c r="CJ194" s="12" t="e">
        <f>IF(AND(Y194&lt;&gt;"",Статистика!$C$6="Вкл",Статистика!$B$6&gt;0),(Статистика!$B$6-Статистика!$C$10)/MAX(Статистика!$G$10-Статистика!$C$10,0.000001),NA())</f>
        <v>#N/A</v>
      </c>
      <c r="CK194" s="12" t="e">
        <f>IF(AND(Y194&lt;&gt;"",Статистика!$F$6="Вкл",Статистика!$E$6&gt;0),(Статистика!$E$6-Статистика!$C$10)/MAX(Статистика!$G$10-Статистика!$C$10,0.000001),NA())</f>
        <v>#N/A</v>
      </c>
      <c r="CL194" s="12" t="e">
        <f>IF(AND(Y194&lt;&gt;"",Статистика!$I$6="Вкл",Статистика!$H$6&gt;0),(Статистика!$H$6-Статистика!$C$10)/MAX(Статистика!$G$10-Статистика!$C$10,0.000001),NA())</f>
        <v>#N/A</v>
      </c>
      <c r="CM194" s="12" t="e">
        <f>IF(AND(Y194&lt;&gt;"",Статистика!$L$6="Вкл",Статистика!$K$6&gt;0),(Статистика!$K$6-Статистика!$C$10)/MAX(Статистика!$G$10-Статистика!$C$10,0.000001),NA())</f>
        <v>#N/A</v>
      </c>
      <c r="CN194" s="12" t="e">
        <f>IF(AND(Y194&lt;&gt;"",Статистика!$M$6="Вкл",Статистика!$O$6&gt;0),(Статистика!$O$6-Статистика!$C$10)/MAX(Статистика!$G$10-Статистика!$C$10,0.000001),NA())</f>
        <v>#N/A</v>
      </c>
      <c r="CO194" s="12">
        <f t="shared" ref="CO194:CO257" si="7">IF(Y194="",NA(),1)</f>
        <v>1</v>
      </c>
    </row>
    <row r="195" spans="1:93" ht="15" customHeight="1">
      <c r="A195" s="12" t="s">
        <v>825</v>
      </c>
      <c r="B195" s="12">
        <v>7407.0542146666658</v>
      </c>
      <c r="C195" s="12">
        <v>7429.0453399999979</v>
      </c>
      <c r="D195" s="12">
        <v>7461.392401666666</v>
      </c>
      <c r="E195" s="12">
        <v>7718.8802999999989</v>
      </c>
      <c r="F195" s="12">
        <v>7910.242016666667</v>
      </c>
      <c r="G195" s="12">
        <v>7993.2120666666669</v>
      </c>
      <c r="H195" s="12">
        <v>8496.2868183333321</v>
      </c>
      <c r="I195" s="12">
        <v>8557.6947199999995</v>
      </c>
      <c r="J195" s="12">
        <v>8605.4415573333335</v>
      </c>
      <c r="K195" s="12">
        <v>8719.7099999999991</v>
      </c>
      <c r="L195" s="12" t="s">
        <v>826</v>
      </c>
      <c r="M195" s="12">
        <v>8389.8532879999984</v>
      </c>
      <c r="N195" s="12">
        <v>8424.5533733333323</v>
      </c>
      <c r="O195" s="12">
        <v>8464.2105199999987</v>
      </c>
      <c r="P195" s="12">
        <v>8757.2535333333326</v>
      </c>
      <c r="Q195" s="12">
        <v>8946.7936999999984</v>
      </c>
      <c r="R195" s="12">
        <v>9043.1373166666672</v>
      </c>
      <c r="S195" s="12">
        <v>9554.8720433333328</v>
      </c>
      <c r="T195" s="12">
        <v>9577.3807216666664</v>
      </c>
      <c r="U195" s="12">
        <v>9596.2370243333335</v>
      </c>
      <c r="V195" s="12">
        <v>9731.75</v>
      </c>
      <c r="W195" s="12" t="s">
        <v>827</v>
      </c>
      <c r="Y195" s="12" t="s">
        <v>825</v>
      </c>
      <c r="Z195" s="12">
        <v>7467.0780794999991</v>
      </c>
      <c r="AA195" s="12">
        <v>7523.254397499999</v>
      </c>
      <c r="AB195" s="12">
        <v>7593.4747949999992</v>
      </c>
      <c r="AC195" s="12">
        <v>7868.1903000000002</v>
      </c>
      <c r="AD195" s="12">
        <v>7910.4346500000011</v>
      </c>
      <c r="AE195" s="12">
        <v>8094.8977583333326</v>
      </c>
      <c r="AF195" s="12">
        <v>8474.378506666666</v>
      </c>
      <c r="AG195" s="12">
        <v>8527.9275699999998</v>
      </c>
      <c r="AH195" s="12">
        <v>8570.7668206666676</v>
      </c>
      <c r="AI195" s="12">
        <v>8657.48</v>
      </c>
      <c r="AJ195" s="12" t="s">
        <v>828</v>
      </c>
      <c r="AK195" s="12">
        <v>8548.1130986666667</v>
      </c>
      <c r="AL195" s="12">
        <v>8579.846426666667</v>
      </c>
      <c r="AM195" s="12">
        <v>8619.5130866666659</v>
      </c>
      <c r="AN195" s="12">
        <v>8844.7901749999983</v>
      </c>
      <c r="AO195" s="12">
        <v>8951.4153333333343</v>
      </c>
      <c r="AP195" s="12">
        <v>9135.4136583333329</v>
      </c>
      <c r="AQ195" s="12">
        <v>9557.7275066666662</v>
      </c>
      <c r="AR195" s="12">
        <v>9603.6726366666662</v>
      </c>
      <c r="AS195" s="12">
        <v>9640.4287406666663</v>
      </c>
      <c r="AT195" s="12">
        <v>9714.65</v>
      </c>
      <c r="AU195" s="12" t="s">
        <v>828</v>
      </c>
      <c r="AW195" s="12">
        <f>IF(A195="","",MAX(0,MIN(1,(((IF(Статистика!$C$4="Параллельный режим (активная мощность)",B195,M195)+Статистика!$J$4))-Статистика!$C$10)/MAX(Статистика!$G$10-Статистика!$C$10,0.000001))))</f>
        <v>0.46901807155555525</v>
      </c>
      <c r="AX195" s="12">
        <f>IF(A195="","",MAX(0,MAX(0,MIN(1,(((IF(Статистика!$C$4="Параллельный режим (активная мощность)",D195,O195)+Статистика!$J$4))-Статистика!$C$10)/MAX(Статистика!$G$10-Статистика!$C$10,0.000001)))-MAX(0,MIN(1,(((IF(Статистика!$C$4="Параллельный режим (активная мощность)",B195,M195)+Статистика!$J$4))-Статистика!$C$10)/MAX(Статистика!$G$10-Статистика!$C$10,0.000001)))))</f>
        <v>1.8112729000000105E-2</v>
      </c>
      <c r="AY195" s="12">
        <f>IF(A195="","",MAX(0,MAX(0,MIN(1,(((IF(Статистика!$C$4="Параллельный режим (активная мощность)",E195,P195)+Статистика!$J$4))-Статистика!$C$10)/MAX(Статистика!$G$10-Статистика!$C$10,0.000001)))-MAX(0,MIN(1,(((IF(Статистика!$C$4="Параллельный режим (активная мощность)",D195,O195)+Статистика!$J$4))-Статистика!$C$10)/MAX(Статистика!$G$10-Статистика!$C$10,0.000001)))))</f>
        <v>8.5829299444444285E-2</v>
      </c>
      <c r="AZ195" s="12">
        <f>IF(A195="","",MAX(0,MAX(0,MIN(1,(((IF(Статистика!$C$4="Параллельный режим (активная мощность)",F195,Q195)+Статистика!$J$4))-Статистика!$C$10)/MAX(Статистика!$G$10-Статистика!$C$10,0.000001)))-MAX(0,MIN(1,(((IF(Статистика!$C$4="Параллельный режим (активная мощность)",E195,P195)+Статистика!$J$4))-Статистика!$C$10)/MAX(Статистика!$G$10-Статистика!$C$10,0.000001)))))</f>
        <v>6.3787238888889375E-2</v>
      </c>
      <c r="BA195" s="12">
        <f>IF(A195="","",MAX(0,MAX(0,MIN(1,(((IF(Статистика!$C$4="Параллельный режим (активная мощность)",G195,R195)+Статистика!$J$4))-Статистика!$C$10)/MAX(Статистика!$G$10-Статистика!$C$10,0.000001)))-MAX(0,MIN(1,(((IF(Статистика!$C$4="Параллельный режим (активная мощность)",F195,Q195)+Статистика!$J$4))-Статистика!$C$10)/MAX(Статистика!$G$10-Статистика!$C$10,0.000001)))))</f>
        <v>2.7656683333333265E-2</v>
      </c>
      <c r="BB195" s="12">
        <f>IF(A195="","",MAX(0,MAX(0,MIN(1,(((IF(Статистика!$C$4="Параллельный режим (активная мощность)",H195,S195)+Статистика!$J$4))-Статистика!$C$10)/MAX(Статистика!$G$10-Статистика!$C$10,0.000001)))-MAX(0,MIN(1,(((IF(Статистика!$C$4="Параллельный режим (активная мощность)",G195,R195)+Статистика!$J$4))-Статистика!$C$10)/MAX(Статистика!$G$10-Статистика!$C$10,0.000001)))))</f>
        <v>0.16769158388888838</v>
      </c>
      <c r="BC195" s="12">
        <f>IF(A195="","",MAX(0,MAX(0,MIN(1,(((IF(Статистика!$C$4="Параллельный режим (активная мощность)",J195,U195)+Статистика!$J$4))-Статистика!$C$10)/MAX(Статистика!$G$10-Статистика!$C$10,0.000001)))-MAX(0,MIN(1,(((IF(Статистика!$C$4="Параллельный режим (активная мощность)",H195,S195)+Статистика!$J$4))-Статистика!$C$10)/MAX(Статистика!$G$10-Статистика!$C$10,0.000001)))))</f>
        <v>3.6384913000000574E-2</v>
      </c>
      <c r="BD195" s="12">
        <f>IF(A195="","",MAX(0,1-MAX(0,MIN(1,(((IF(Статистика!$C$4="Параллельный режим (активная мощность)",J195,U195)+Статистика!$J$4))-Статистика!$C$10)/MAX(Статистика!$G$10-Статистика!$C$10,0.000001)))))</f>
        <v>0.13151948088888876</v>
      </c>
      <c r="BE195" s="12">
        <f>IF(A195="",NA(),IF(Статистика!$B$8="Вкл",(((IF(Статистика!$C$4="Параллельный режим (активная мощность)",F195,Q195)+Статистика!$J$4))-Статистика!$C$10)/MAX(Статистика!$G$10-Статистика!$C$10,0.000001),NA()))</f>
        <v>0.63674733888888901</v>
      </c>
      <c r="BF195" s="12">
        <f>IF(A195="",NA(),IF(Статистика!$D$8="Вкл",(((IF(Статистика!$C$4="Параллельный режим (активная мощность)",E195,P195)+Статистика!$J$4))-Статистика!$C$10)/MAX(Статистика!$G$10-Статистика!$C$10,0.000001),NA()))</f>
        <v>0.57296009999999964</v>
      </c>
      <c r="BG195" s="12">
        <f>IF(A195="",NA(),IF(Статистика!$D$8="Вкл",(((IF(Статистика!$C$4="Параллельный режим (активная мощность)",G195,R195)+Статистика!$J$4))-Статистика!$C$10)/MAX(Статистика!$G$10-Статистика!$C$10,0.000001),NA()))</f>
        <v>0.66440402222222228</v>
      </c>
      <c r="BH195" s="12">
        <f>IF(A195="",NA(),IF(Статистика!$F$8="Вкл",(((IF(Статистика!$C$4="Параллельный режим (активная мощность)",D195,O195)+Статистика!$J$4))-Статистика!$C$10)/MAX(Статистика!$G$10-Статистика!$C$10,0.000001),NA()))</f>
        <v>0.48713080055555535</v>
      </c>
      <c r="BI195" s="12">
        <f>IF(A195="",NA(),IF(Статистика!$F$8="Вкл",(((IF(Статистика!$C$4="Параллельный режим (активная мощность)",H195,S195)+Статистика!$J$4))-Статистика!$C$10)/MAX(Статистика!$G$10-Статистика!$C$10,0.000001),NA()))</f>
        <v>0.83209560611111066</v>
      </c>
      <c r="BJ195" s="12">
        <f>IF(A195="",NA(),IF(Статистика!$H$8="Вкл",(((IF(Статистика!$C$4="Параллельный режим (активная мощность)",B195,M195)+Статистика!$J$4))-Статистика!$C$10)/MAX(Статистика!$G$10-Статистика!$C$10,0.000001),NA()))</f>
        <v>0.46901807155555525</v>
      </c>
      <c r="BK195" s="12">
        <f>IF(A195="",NA(),IF(Статистика!$H$8="Вкл",(((IF(Статистика!$C$4="Параллельный режим (активная мощность)",J195,U195)+Статистика!$J$4))-Статистика!$C$10)/MAX(Статистика!$G$10-Статистика!$C$10,0.000001),NA()))</f>
        <v>0.86848051911111124</v>
      </c>
      <c r="BL195" s="12" t="e">
        <f>IF(A195="",NA(),IF(Статистика!$J$8="Вкл",(((IF(Статистика!$C$4="Параллельный режим (активная мощность)",K195,V195)+Статистика!$J$4))-Статистика!$C$10)/MAX(Статистика!$G$10-Статистика!$C$10,0.000001),NA()))</f>
        <v>#N/A</v>
      </c>
      <c r="BM195" s="12" t="e">
        <f>IF(AND(A195&lt;&gt;"",Статистика!$C$6="Вкл",Статистика!$B$6&gt;0),(Статистика!$B$6-Статистика!$C$10)/MAX(Статистика!$G$10-Статистика!$C$10,0.000001),NA())</f>
        <v>#N/A</v>
      </c>
      <c r="BN195" s="12" t="e">
        <f>IF(AND(A195&lt;&gt;"",Статистика!$F$6="Вкл",Статистика!$E$6&gt;0),(Статистика!$E$6-Статистика!$C$10)/MAX(Статистика!$G$10-Статистика!$C$10,0.000001),NA())</f>
        <v>#N/A</v>
      </c>
      <c r="BO195" s="12" t="e">
        <f>IF(AND(A195&lt;&gt;"",Статистика!$I$6="Вкл",Статистика!$H$6&gt;0),(Статистика!$H$6-Статистика!$C$10)/MAX(Статистика!$G$10-Статистика!$C$10,0.000001),NA())</f>
        <v>#N/A</v>
      </c>
      <c r="BP195" s="12" t="e">
        <f>IF(AND(A195&lt;&gt;"",Статистика!$L$6="Вкл",Статистика!$K$6&gt;0),(Статистика!$K$6-Статистика!$C$10)/MAX(Статистика!$G$10-Статистика!$C$10,0.000001),NA())</f>
        <v>#N/A</v>
      </c>
      <c r="BQ195" s="12" t="e">
        <f>IF(AND(A195&lt;&gt;"",Статистика!$M$6="Вкл",Статистика!$O$6&gt;0),(Статистика!$O$6-Статистика!$C$10)/MAX(Статистика!$G$10-Статистика!$C$10,0.000001),NA())</f>
        <v>#N/A</v>
      </c>
      <c r="BR195" s="12">
        <f t="shared" si="6"/>
        <v>1</v>
      </c>
      <c r="BT195" s="12">
        <f>IF(Y195="","",MAX(0,MIN(1,(((IF(Статистика!$C$4="Параллельный режим (активная мощность)",Z195,AK195)+Статистика!$J$4))-Статистика!$C$10)/MAX(Статистика!$G$10-Статистика!$C$10,0.000001))))</f>
        <v>0.48902602649999971</v>
      </c>
      <c r="BU195" s="12">
        <f>IF(Y195="","",MAX(0,MAX(0,MIN(1,(((IF(Статистика!$C$4="Параллельный режим (активная мощность)",AB195,AM195)+Статистика!$J$4))-Статистика!$C$10)/MAX(Статистика!$G$10-Статистика!$C$10,0.000001)))-MAX(0,MIN(1,(((IF(Статистика!$C$4="Параллельный режим (активная мощность)",Z195,AK195)+Статистика!$J$4))-Статистика!$C$10)/MAX(Статистика!$G$10-Статистика!$C$10,0.000001)))))</f>
        <v>4.213223850000003E-2</v>
      </c>
      <c r="BV195" s="12">
        <f>IF(Y195="","",MAX(0,MAX(0,MIN(1,(((IF(Статистика!$C$4="Параллельный режим (активная мощность)",AC195,AN195)+Статистика!$J$4))-Статистика!$C$10)/MAX(Статистика!$G$10-Статистика!$C$10,0.000001)))-MAX(0,MIN(1,(((IF(Статистика!$C$4="Параллельный режим (активная мощность)",AB195,AM195)+Статистика!$J$4))-Статистика!$C$10)/MAX(Статистика!$G$10-Статистика!$C$10,0.000001)))))</f>
        <v>9.1571835000000323E-2</v>
      </c>
      <c r="BW195" s="12">
        <f>IF(Y195="","",MAX(0,MAX(0,MIN(1,(((IF(Статистика!$C$4="Параллельный режим (активная мощность)",AD195,AO195)+Статистика!$J$4))-Статистика!$C$10)/MAX(Статистика!$G$10-Статистика!$C$10,0.000001)))-MAX(0,MIN(1,(((IF(Статистика!$C$4="Параллельный режим (активная мощность)",AC195,AN195)+Статистика!$J$4))-Статистика!$C$10)/MAX(Статистика!$G$10-Статистика!$C$10,0.000001)))))</f>
        <v>1.4081450000000273E-2</v>
      </c>
      <c r="BX195" s="12">
        <f>IF(Y195="","",MAX(0,MAX(0,MIN(1,(((IF(Статистика!$C$4="Параллельный режим (активная мощность)",AE195,AP195)+Статистика!$J$4))-Статистика!$C$10)/MAX(Статистика!$G$10-Статистика!$C$10,0.000001)))-MAX(0,MIN(1,(((IF(Статистика!$C$4="Параллельный режим (активная мощность)",AD195,AO195)+Статистика!$J$4))-Статистика!$C$10)/MAX(Статистика!$G$10-Статистика!$C$10,0.000001)))))</f>
        <v>6.1487702777777153E-2</v>
      </c>
      <c r="BY195" s="12">
        <f>IF(Y195="","",MAX(0,MAX(0,MIN(1,(((IF(Статистика!$C$4="Параллельный режим (активная мощность)",AF195,AQ195)+Статистика!$J$4))-Статистика!$C$10)/MAX(Статистика!$G$10-Статистика!$C$10,0.000001)))-MAX(0,MIN(1,(((IF(Статистика!$C$4="Параллельный режим (активная мощность)",AE195,AP195)+Статистика!$J$4))-Статистика!$C$10)/MAX(Статистика!$G$10-Статистика!$C$10,0.000001)))))</f>
        <v>0.12649358277777789</v>
      </c>
      <c r="BZ195" s="12">
        <f>IF(Y195="","",MAX(0,MAX(0,MIN(1,(((IF(Статистика!$C$4="Параллельный режим (активная мощность)",AH195,AS195)+Статистика!$J$4))-Статистика!$C$10)/MAX(Статистика!$G$10-Статистика!$C$10,0.000001)))-MAX(0,MIN(1,(((IF(Статистика!$C$4="Параллельный режим (активная мощность)",AF195,AQ195)+Статистика!$J$4))-Статистика!$C$10)/MAX(Статистика!$G$10-Статистика!$C$10,0.000001)))))</f>
        <v>3.2129438000000454E-2</v>
      </c>
      <c r="CA195" s="12">
        <f>IF(Y195="","",MAX(0,1-MAX(0,MIN(1,(((IF(Статистика!$C$4="Параллельный режим (активная мощность)",AH195,AS195)+Статистика!$J$4))-Статистика!$C$10)/MAX(Статистика!$G$10-Статистика!$C$10,0.000001)))))</f>
        <v>0.14307772644444416</v>
      </c>
      <c r="CB195" s="12">
        <f>IF(Y195="",NA(),IF(Статистика!$B$8="Вкл",(((IF(Статистика!$C$4="Параллельный режим (активная мощность)",AD195,AO195)+Статистика!$J$4))-Статистика!$C$10)/MAX(Статистика!$G$10-Статистика!$C$10,0.000001),NA()))</f>
        <v>0.63681155000000034</v>
      </c>
      <c r="CC195" s="12">
        <f>IF(Y195="",NA(),IF(Статистика!$D$8="Вкл",(((IF(Статистика!$C$4="Параллельный режим (активная мощность)",AC195,AN195)+Статистика!$J$4))-Статистика!$C$10)/MAX(Статистика!$G$10-Статистика!$C$10,0.000001),NA()))</f>
        <v>0.62273010000000006</v>
      </c>
      <c r="CD195" s="12">
        <f>IF(Y195="",NA(),IF(Статистика!$D$8="Вкл",(((IF(Статистика!$C$4="Параллельный режим (активная мощность)",AE195,AP195)+Статистика!$J$4))-Статистика!$C$10)/MAX(Статистика!$G$10-Статистика!$C$10,0.000001),NA()))</f>
        <v>0.69829925277777749</v>
      </c>
      <c r="CE195" s="12">
        <f>IF(Y195="",NA(),IF(Статистика!$F$8="Вкл",(((IF(Статистика!$C$4="Параллельный режим (активная мощность)",AB195,AM195)+Статистика!$J$4))-Статистика!$C$10)/MAX(Статистика!$G$10-Статистика!$C$10,0.000001),NA()))</f>
        <v>0.53115826499999974</v>
      </c>
      <c r="CF195" s="12">
        <f>IF(Y195="",NA(),IF(Статистика!$F$8="Вкл",(((IF(Статистика!$C$4="Параллельный режим (активная мощность)",AF195,AQ195)+Статистика!$J$4))-Статистика!$C$10)/MAX(Статистика!$G$10-Статистика!$C$10,0.000001),NA()))</f>
        <v>0.82479283555555538</v>
      </c>
      <c r="CG195" s="12">
        <f>IF(Y195="",NA(),IF(Статистика!$H$8="Вкл",(((IF(Статистика!$C$4="Параллельный режим (активная мощность)",Z195,AK195)+Статистика!$J$4))-Статистика!$C$10)/MAX(Статистика!$G$10-Статистика!$C$10,0.000001),NA()))</f>
        <v>0.48902602649999971</v>
      </c>
      <c r="CH195" s="12">
        <f>IF(Y195="",NA(),IF(Статистика!$H$8="Вкл",(((IF(Статистика!$C$4="Параллельный режим (активная мощность)",AH195,AS195)+Статистика!$J$4))-Статистика!$C$10)/MAX(Статистика!$G$10-Статистика!$C$10,0.000001),NA()))</f>
        <v>0.85692227355555584</v>
      </c>
      <c r="CI195" s="12" t="e">
        <f>IF(Y195="",NA(),IF(Статистика!$J$8="Вкл",(((IF(Статистика!$C$4="Параллельный режим (активная мощность)",AI195,AT195)+Статистика!$J$4))-Статистика!$C$10)/MAX(Статистика!$G$10-Статистика!$C$10,0.000001),NA()))</f>
        <v>#N/A</v>
      </c>
      <c r="CJ195" s="12" t="e">
        <f>IF(AND(Y195&lt;&gt;"",Статистика!$C$6="Вкл",Статистика!$B$6&gt;0),(Статистика!$B$6-Статистика!$C$10)/MAX(Статистика!$G$10-Статистика!$C$10,0.000001),NA())</f>
        <v>#N/A</v>
      </c>
      <c r="CK195" s="12" t="e">
        <f>IF(AND(Y195&lt;&gt;"",Статистика!$F$6="Вкл",Статистика!$E$6&gt;0),(Статистика!$E$6-Статистика!$C$10)/MAX(Статистика!$G$10-Статистика!$C$10,0.000001),NA())</f>
        <v>#N/A</v>
      </c>
      <c r="CL195" s="12" t="e">
        <f>IF(AND(Y195&lt;&gt;"",Статистика!$I$6="Вкл",Статистика!$H$6&gt;0),(Статистика!$H$6-Статистика!$C$10)/MAX(Статистика!$G$10-Статистика!$C$10,0.000001),NA())</f>
        <v>#N/A</v>
      </c>
      <c r="CM195" s="12" t="e">
        <f>IF(AND(Y195&lt;&gt;"",Статистика!$L$6="Вкл",Статистика!$K$6&gt;0),(Статистика!$K$6-Статистика!$C$10)/MAX(Статистика!$G$10-Статистика!$C$10,0.000001),NA())</f>
        <v>#N/A</v>
      </c>
      <c r="CN195" s="12" t="e">
        <f>IF(AND(Y195&lt;&gt;"",Статистика!$M$6="Вкл",Статистика!$O$6&gt;0),(Статистика!$O$6-Статистика!$C$10)/MAX(Статистика!$G$10-Статистика!$C$10,0.000001),NA())</f>
        <v>#N/A</v>
      </c>
      <c r="CO195" s="12">
        <f t="shared" si="7"/>
        <v>1</v>
      </c>
    </row>
    <row r="196" spans="1:93" ht="15" customHeight="1">
      <c r="A196" s="12" t="s">
        <v>829</v>
      </c>
      <c r="B196" s="12">
        <v>7405.3222773333327</v>
      </c>
      <c r="C196" s="12">
        <v>7449.0507200000002</v>
      </c>
      <c r="D196" s="12">
        <v>7505.5181133333326</v>
      </c>
      <c r="E196" s="12">
        <v>7729.6746833333327</v>
      </c>
      <c r="F196" s="12">
        <v>7929.1985500000001</v>
      </c>
      <c r="G196" s="12">
        <v>7994.489333333333</v>
      </c>
      <c r="H196" s="12">
        <v>8494.9904166666656</v>
      </c>
      <c r="I196" s="12">
        <v>8559.0870158333328</v>
      </c>
      <c r="J196" s="12">
        <v>8631.6645231666662</v>
      </c>
      <c r="K196" s="12">
        <v>8801.4500000000007</v>
      </c>
      <c r="L196" s="12" t="s">
        <v>830</v>
      </c>
      <c r="M196" s="12">
        <v>8421.0897210000003</v>
      </c>
      <c r="N196" s="12">
        <v>8456.4522049999996</v>
      </c>
      <c r="O196" s="12">
        <v>8484.9667500000014</v>
      </c>
      <c r="P196" s="12">
        <v>8773.2215499999984</v>
      </c>
      <c r="Q196" s="12">
        <v>8933.1533833333342</v>
      </c>
      <c r="R196" s="12">
        <v>9069.2330249999995</v>
      </c>
      <c r="S196" s="12">
        <v>9562.4044333333331</v>
      </c>
      <c r="T196" s="12">
        <v>9580.297391666667</v>
      </c>
      <c r="U196" s="12">
        <v>9600.5890783333343</v>
      </c>
      <c r="V196" s="12">
        <v>9856.59</v>
      </c>
      <c r="W196" s="12" t="s">
        <v>830</v>
      </c>
      <c r="Y196" s="12" t="s">
        <v>829</v>
      </c>
      <c r="Z196" s="12">
        <v>7529.1578161666675</v>
      </c>
      <c r="AA196" s="12">
        <v>7571.7221475000006</v>
      </c>
      <c r="AB196" s="12">
        <v>7624.9275616666673</v>
      </c>
      <c r="AC196" s="12">
        <v>7849.2402833333335</v>
      </c>
      <c r="AD196" s="12">
        <v>7916.7628000000004</v>
      </c>
      <c r="AE196" s="12">
        <v>8133.3649250000008</v>
      </c>
      <c r="AF196" s="12">
        <v>8488.2302350000009</v>
      </c>
      <c r="AG196" s="12">
        <v>8558.7857841666664</v>
      </c>
      <c r="AH196" s="12">
        <v>8615.2302235000006</v>
      </c>
      <c r="AI196" s="12">
        <v>8712.2999999999993</v>
      </c>
      <c r="AJ196" s="12" t="s">
        <v>831</v>
      </c>
      <c r="AK196" s="12">
        <v>8601.3925660000004</v>
      </c>
      <c r="AL196" s="12">
        <v>8630.0998966666666</v>
      </c>
      <c r="AM196" s="12">
        <v>8665.9840600000007</v>
      </c>
      <c r="AN196" s="12">
        <v>8850.8458666666666</v>
      </c>
      <c r="AO196" s="12">
        <v>8961.0956166666656</v>
      </c>
      <c r="AP196" s="12">
        <v>9178.0913166666669</v>
      </c>
      <c r="AQ196" s="12">
        <v>9568.8433249999998</v>
      </c>
      <c r="AR196" s="12">
        <v>9636.5367291666662</v>
      </c>
      <c r="AS196" s="12">
        <v>9690.6914524999993</v>
      </c>
      <c r="AT196" s="12">
        <v>9790.16</v>
      </c>
      <c r="AU196" s="12" t="s">
        <v>831</v>
      </c>
      <c r="AW196" s="12">
        <f>IF(A196="","",MAX(0,MIN(1,(((IF(Статистика!$C$4="Параллельный режим (активная мощность)",B196,M196)+Статистика!$J$4))-Статистика!$C$10)/MAX(Статистика!$G$10-Статистика!$C$10,0.000001))))</f>
        <v>0.46844075911111094</v>
      </c>
      <c r="AX196" s="12">
        <f>IF(A196="","",MAX(0,MAX(0,MIN(1,(((IF(Статистика!$C$4="Параллельный режим (активная мощность)",D196,O196)+Статистика!$J$4))-Статистика!$C$10)/MAX(Статистика!$G$10-Статистика!$C$10,0.000001)))-MAX(0,MIN(1,(((IF(Статистика!$C$4="Параллельный режим (активная мощность)",B196,M196)+Статистика!$J$4))-Статистика!$C$10)/MAX(Статистика!$G$10-Статистика!$C$10,0.000001)))))</f>
        <v>3.3398611999999939E-2</v>
      </c>
      <c r="AY196" s="12">
        <f>IF(A196="","",MAX(0,MAX(0,MIN(1,(((IF(Статистика!$C$4="Параллельный режим (активная мощность)",E196,P196)+Статистика!$J$4))-Статистика!$C$10)/MAX(Статистика!$G$10-Статистика!$C$10,0.000001)))-MAX(0,MIN(1,(((IF(Статистика!$C$4="Параллельный режим (активная мощность)",D196,O196)+Статистика!$J$4))-Статистика!$C$10)/MAX(Статистика!$G$10-Статистика!$C$10,0.000001)))))</f>
        <v>7.4718856666666666E-2</v>
      </c>
      <c r="AZ196" s="12">
        <f>IF(A196="","",MAX(0,MAX(0,MIN(1,(((IF(Статистика!$C$4="Параллельный режим (активная мощность)",F196,Q196)+Статистика!$J$4))-Статистика!$C$10)/MAX(Статистика!$G$10-Статистика!$C$10,0.000001)))-MAX(0,MIN(1,(((IF(Статистика!$C$4="Параллельный режим (активная мощность)",E196,P196)+Статистика!$J$4))-Статистика!$C$10)/MAX(Статистика!$G$10-Статистика!$C$10,0.000001)))))</f>
        <v>6.6507955555555776E-2</v>
      </c>
      <c r="BA196" s="12">
        <f>IF(A196="","",MAX(0,MAX(0,MIN(1,(((IF(Статистика!$C$4="Параллельный режим (активная мощность)",G196,R196)+Статистика!$J$4))-Статистика!$C$10)/MAX(Статистика!$G$10-Статистика!$C$10,0.000001)))-MAX(0,MIN(1,(((IF(Статистика!$C$4="Параллельный режим (активная мощность)",F196,Q196)+Статистика!$J$4))-Статистика!$C$10)/MAX(Статистика!$G$10-Статистика!$C$10,0.000001)))))</f>
        <v>2.1763594444444312E-2</v>
      </c>
      <c r="BB196" s="12">
        <f>IF(A196="","",MAX(0,MAX(0,MIN(1,(((IF(Статистика!$C$4="Параллельный режим (активная мощность)",H196,S196)+Статистика!$J$4))-Статистика!$C$10)/MAX(Статистика!$G$10-Статистика!$C$10,0.000001)))-MAX(0,MIN(1,(((IF(Статистика!$C$4="Параллельный режим (активная мощность)",G196,R196)+Статистика!$J$4))-Статистика!$C$10)/MAX(Статистика!$G$10-Статистика!$C$10,0.000001)))))</f>
        <v>0.16683369444444429</v>
      </c>
      <c r="BC196" s="12">
        <f>IF(A196="","",MAX(0,MAX(0,MIN(1,(((IF(Статистика!$C$4="Параллельный режим (активная мощность)",J196,U196)+Статистика!$J$4))-Статистика!$C$10)/MAX(Статистика!$G$10-Статистика!$C$10,0.000001)))-MAX(0,MIN(1,(((IF(Статистика!$C$4="Параллельный режим (активная мощность)",H196,S196)+Статистика!$J$4))-Статистика!$C$10)/MAX(Статистика!$G$10-Статистика!$C$10,0.000001)))))</f>
        <v>4.5558035500000149E-2</v>
      </c>
      <c r="BD196" s="12">
        <f>IF(A196="","",MAX(0,1-MAX(0,MIN(1,(((IF(Статистика!$C$4="Параллельный режим (активная мощность)",J196,U196)+Статистика!$J$4))-Статистика!$C$10)/MAX(Статистика!$G$10-Статистика!$C$10,0.000001)))))</f>
        <v>0.12277849227777793</v>
      </c>
      <c r="BE196" s="12">
        <f>IF(A196="",NA(),IF(Статистика!$B$8="Вкл",(((IF(Статистика!$C$4="Параллельный режим (активная мощность)",F196,Q196)+Статистика!$J$4))-Статистика!$C$10)/MAX(Статистика!$G$10-Статистика!$C$10,0.000001),NA()))</f>
        <v>0.64306618333333332</v>
      </c>
      <c r="BF196" s="12">
        <f>IF(A196="",NA(),IF(Статистика!$D$8="Вкл",(((IF(Статистика!$C$4="Параллельный режим (активная мощность)",E196,P196)+Статистика!$J$4))-Статистика!$C$10)/MAX(Статистика!$G$10-Статистика!$C$10,0.000001),NA()))</f>
        <v>0.57655822777777754</v>
      </c>
      <c r="BG196" s="12">
        <f>IF(A196="",NA(),IF(Статистика!$D$8="Вкл",(((IF(Статистика!$C$4="Параллельный режим (активная мощность)",G196,R196)+Статистика!$J$4))-Статистика!$C$10)/MAX(Статистика!$G$10-Статистика!$C$10,0.000001),NA()))</f>
        <v>0.66482977777777763</v>
      </c>
      <c r="BH196" s="12">
        <f>IF(A196="",NA(),IF(Статистика!$F$8="Вкл",(((IF(Статистика!$C$4="Параллельный режим (активная мощность)",D196,O196)+Статистика!$J$4))-Статистика!$C$10)/MAX(Статистика!$G$10-Статистика!$C$10,0.000001),NA()))</f>
        <v>0.50183937111111088</v>
      </c>
      <c r="BI196" s="12">
        <f>IF(A196="",NA(),IF(Статистика!$F$8="Вкл",(((IF(Статистика!$C$4="Параллельный режим (активная мощность)",H196,S196)+Статистика!$J$4))-Статистика!$C$10)/MAX(Статистика!$G$10-Статистика!$C$10,0.000001),NA()))</f>
        <v>0.83166347222222192</v>
      </c>
      <c r="BJ196" s="12">
        <f>IF(A196="",NA(),IF(Статистика!$H$8="Вкл",(((IF(Статистика!$C$4="Параллельный режим (активная мощность)",B196,M196)+Статистика!$J$4))-Статистика!$C$10)/MAX(Статистика!$G$10-Статистика!$C$10,0.000001),NA()))</f>
        <v>0.46844075911111094</v>
      </c>
      <c r="BK196" s="12">
        <f>IF(A196="",NA(),IF(Статистика!$H$8="Вкл",(((IF(Статистика!$C$4="Параллельный режим (активная мощность)",J196,U196)+Статистика!$J$4))-Статистика!$C$10)/MAX(Статистика!$G$10-Статистика!$C$10,0.000001),NA()))</f>
        <v>0.87722150772222207</v>
      </c>
      <c r="BL196" s="12" t="e">
        <f>IF(A196="",NA(),IF(Статистика!$J$8="Вкл",(((IF(Статистика!$C$4="Параллельный режим (активная мощность)",K196,V196)+Статистика!$J$4))-Статистика!$C$10)/MAX(Статистика!$G$10-Статистика!$C$10,0.000001),NA()))</f>
        <v>#N/A</v>
      </c>
      <c r="BM196" s="12" t="e">
        <f>IF(AND(A196&lt;&gt;"",Статистика!$C$6="Вкл",Статистика!$B$6&gt;0),(Статистика!$B$6-Статистика!$C$10)/MAX(Статистика!$G$10-Статистика!$C$10,0.000001),NA())</f>
        <v>#N/A</v>
      </c>
      <c r="BN196" s="12" t="e">
        <f>IF(AND(A196&lt;&gt;"",Статистика!$F$6="Вкл",Статистика!$E$6&gt;0),(Статистика!$E$6-Статистика!$C$10)/MAX(Статистика!$G$10-Статистика!$C$10,0.000001),NA())</f>
        <v>#N/A</v>
      </c>
      <c r="BO196" s="12" t="e">
        <f>IF(AND(A196&lt;&gt;"",Статистика!$I$6="Вкл",Статистика!$H$6&gt;0),(Статистика!$H$6-Статистика!$C$10)/MAX(Статистика!$G$10-Статистика!$C$10,0.000001),NA())</f>
        <v>#N/A</v>
      </c>
      <c r="BP196" s="12" t="e">
        <f>IF(AND(A196&lt;&gt;"",Статистика!$L$6="Вкл",Статистика!$K$6&gt;0),(Статистика!$K$6-Статистика!$C$10)/MAX(Статистика!$G$10-Статистика!$C$10,0.000001),NA())</f>
        <v>#N/A</v>
      </c>
      <c r="BQ196" s="12" t="e">
        <f>IF(AND(A196&lt;&gt;"",Статистика!$M$6="Вкл",Статистика!$O$6&gt;0),(Статистика!$O$6-Статистика!$C$10)/MAX(Статистика!$G$10-Статистика!$C$10,0.000001),NA())</f>
        <v>#N/A</v>
      </c>
      <c r="BR196" s="12">
        <f t="shared" si="6"/>
        <v>1</v>
      </c>
      <c r="BT196" s="12">
        <f>IF(Y196="","",MAX(0,MIN(1,(((IF(Статистика!$C$4="Параллельный режим (активная мощность)",Z196,AK196)+Статистика!$J$4))-Статистика!$C$10)/MAX(Статистика!$G$10-Статистика!$C$10,0.000001))))</f>
        <v>0.50971927205555589</v>
      </c>
      <c r="BU196" s="12">
        <f>IF(Y196="","",MAX(0,MAX(0,MIN(1,(((IF(Статистика!$C$4="Параллельный режим (активная мощность)",AB196,AM196)+Статистика!$J$4))-Статистика!$C$10)/MAX(Статистика!$G$10-Статистика!$C$10,0.000001)))-MAX(0,MIN(1,(((IF(Статистика!$C$4="Параллельный режим (активная мощность)",Z196,AK196)+Статистика!$J$4))-Статистика!$C$10)/MAX(Статистика!$G$10-Статистика!$C$10,0.000001)))))</f>
        <v>3.1923248499999834E-2</v>
      </c>
      <c r="BV196" s="12">
        <f>IF(Y196="","",MAX(0,MAX(0,MIN(1,(((IF(Статистика!$C$4="Параллельный режим (активная мощность)",AC196,AN196)+Статистика!$J$4))-Статистика!$C$10)/MAX(Статистика!$G$10-Статистика!$C$10,0.000001)))-MAX(0,MIN(1,(((IF(Статистика!$C$4="Параллельный режим (активная мощность)",AB196,AM196)+Статистика!$J$4))-Статистика!$C$10)/MAX(Статистика!$G$10-Статистика!$C$10,0.000001)))))</f>
        <v>7.4770907222222127E-2</v>
      </c>
      <c r="BW196" s="12">
        <f>IF(Y196="","",MAX(0,MAX(0,MIN(1,(((IF(Статистика!$C$4="Параллельный режим (активная мощность)",AD196,AO196)+Статистика!$J$4))-Статистика!$C$10)/MAX(Статистика!$G$10-Статистика!$C$10,0.000001)))-MAX(0,MIN(1,(((IF(Статистика!$C$4="Параллельный режим (активная мощность)",AC196,AN196)+Статистика!$J$4))-Статистика!$C$10)/MAX(Статистика!$G$10-Статистика!$C$10,0.000001)))))</f>
        <v>2.2507505555555585E-2</v>
      </c>
      <c r="BX196" s="12">
        <f>IF(Y196="","",MAX(0,MAX(0,MIN(1,(((IF(Статистика!$C$4="Параллельный режим (активная мощность)",AE196,AP196)+Статистика!$J$4))-Статистика!$C$10)/MAX(Статистика!$G$10-Статистика!$C$10,0.000001)))-MAX(0,MIN(1,(((IF(Статистика!$C$4="Параллельный режим (активная мощность)",AD196,AO196)+Статистика!$J$4))-Статистика!$C$10)/MAX(Статистика!$G$10-Статистика!$C$10,0.000001)))))</f>
        <v>7.2200708333333474E-2</v>
      </c>
      <c r="BY196" s="12">
        <f>IF(Y196="","",MAX(0,MAX(0,MIN(1,(((IF(Статистика!$C$4="Параллельный режим (активная мощность)",AF196,AQ196)+Статистика!$J$4))-Статистика!$C$10)/MAX(Статистика!$G$10-Статистика!$C$10,0.000001)))-MAX(0,MIN(1,(((IF(Статистика!$C$4="Параллельный режим (активная мощность)",AE196,AP196)+Статистика!$J$4))-Статистика!$C$10)/MAX(Статистика!$G$10-Статистика!$C$10,0.000001)))))</f>
        <v>0.11828843666666677</v>
      </c>
      <c r="BZ196" s="12">
        <f>IF(Y196="","",MAX(0,MAX(0,MIN(1,(((IF(Статистика!$C$4="Параллельный режим (активная мощность)",AH196,AS196)+Статистика!$J$4))-Статистика!$C$10)/MAX(Статистика!$G$10-Статистика!$C$10,0.000001)))-MAX(0,MIN(1,(((IF(Статистика!$C$4="Параллельный режим (активная мощность)",AF196,AQ196)+Статистика!$J$4))-Статистика!$C$10)/MAX(Статистика!$G$10-Статистика!$C$10,0.000001)))))</f>
        <v>4.2333329499999905E-2</v>
      </c>
      <c r="CA196" s="12">
        <f>IF(Y196="","",MAX(0,1-MAX(0,MIN(1,(((IF(Статистика!$C$4="Параллельный режим (активная мощность)",AH196,AS196)+Статистика!$J$4))-Статистика!$C$10)/MAX(Статистика!$G$10-Статистика!$C$10,0.000001)))))</f>
        <v>0.12825659216666641</v>
      </c>
      <c r="CB196" s="12">
        <f>IF(Y196="",NA(),IF(Статистика!$B$8="Вкл",(((IF(Статистика!$C$4="Параллельный режим (активная мощность)",AD196,AO196)+Статистика!$J$4))-Статистика!$C$10)/MAX(Статистика!$G$10-Статистика!$C$10,0.000001),NA()))</f>
        <v>0.63892093333333344</v>
      </c>
      <c r="CC196" s="12">
        <f>IF(Y196="",NA(),IF(Статистика!$D$8="Вкл",(((IF(Статистика!$C$4="Параллельный режим (активная мощность)",AC196,AN196)+Статистика!$J$4))-Статистика!$C$10)/MAX(Статистика!$G$10-Статистика!$C$10,0.000001),NA()))</f>
        <v>0.61641342777777786</v>
      </c>
      <c r="CD196" s="12">
        <f>IF(Y196="",NA(),IF(Статистика!$D$8="Вкл",(((IF(Статистика!$C$4="Параллельный режим (активная мощность)",AE196,AP196)+Статистика!$J$4))-Статистика!$C$10)/MAX(Статистика!$G$10-Статистика!$C$10,0.000001),NA()))</f>
        <v>0.71112164166666691</v>
      </c>
      <c r="CE196" s="12">
        <f>IF(Y196="",NA(),IF(Статистика!$F$8="Вкл",(((IF(Статистика!$C$4="Параллельный режим (активная мощность)",AB196,AM196)+Статистика!$J$4))-Статистика!$C$10)/MAX(Статистика!$G$10-Статистика!$C$10,0.000001),NA()))</f>
        <v>0.54164252055555573</v>
      </c>
      <c r="CF196" s="12">
        <f>IF(Y196="",NA(),IF(Статистика!$F$8="Вкл",(((IF(Статистика!$C$4="Параллельный режим (активная мощность)",AF196,AQ196)+Статистика!$J$4))-Статистика!$C$10)/MAX(Статистика!$G$10-Статистика!$C$10,0.000001),NA()))</f>
        <v>0.82941007833333369</v>
      </c>
      <c r="CG196" s="12">
        <f>IF(Y196="",NA(),IF(Статистика!$H$8="Вкл",(((IF(Статистика!$C$4="Параллельный режим (активная мощность)",Z196,AK196)+Статистика!$J$4))-Статистика!$C$10)/MAX(Статистика!$G$10-Статистика!$C$10,0.000001),NA()))</f>
        <v>0.50971927205555589</v>
      </c>
      <c r="CH196" s="12">
        <f>IF(Y196="",NA(),IF(Статистика!$H$8="Вкл",(((IF(Статистика!$C$4="Параллельный режим (активная мощность)",AH196,AS196)+Статистика!$J$4))-Статистика!$C$10)/MAX(Статистика!$G$10-Статистика!$C$10,0.000001),NA()))</f>
        <v>0.87174340783333359</v>
      </c>
      <c r="CI196" s="12" t="e">
        <f>IF(Y196="",NA(),IF(Статистика!$J$8="Вкл",(((IF(Статистика!$C$4="Параллельный режим (активная мощность)",AI196,AT196)+Статистика!$J$4))-Статистика!$C$10)/MAX(Статистика!$G$10-Статистика!$C$10,0.000001),NA()))</f>
        <v>#N/A</v>
      </c>
      <c r="CJ196" s="12" t="e">
        <f>IF(AND(Y196&lt;&gt;"",Статистика!$C$6="Вкл",Статистика!$B$6&gt;0),(Статистика!$B$6-Статистика!$C$10)/MAX(Статистика!$G$10-Статистика!$C$10,0.000001),NA())</f>
        <v>#N/A</v>
      </c>
      <c r="CK196" s="12" t="e">
        <f>IF(AND(Y196&lt;&gt;"",Статистика!$F$6="Вкл",Статистика!$E$6&gt;0),(Статистика!$E$6-Статистика!$C$10)/MAX(Статистика!$G$10-Статистика!$C$10,0.000001),NA())</f>
        <v>#N/A</v>
      </c>
      <c r="CL196" s="12" t="e">
        <f>IF(AND(Y196&lt;&gt;"",Статистика!$I$6="Вкл",Статистика!$H$6&gt;0),(Статистика!$H$6-Статистика!$C$10)/MAX(Статистика!$G$10-Статистика!$C$10,0.000001),NA())</f>
        <v>#N/A</v>
      </c>
      <c r="CM196" s="12" t="e">
        <f>IF(AND(Y196&lt;&gt;"",Статистика!$L$6="Вкл",Статистика!$K$6&gt;0),(Статистика!$K$6-Статистика!$C$10)/MAX(Статистика!$G$10-Статистика!$C$10,0.000001),NA())</f>
        <v>#N/A</v>
      </c>
      <c r="CN196" s="12" t="e">
        <f>IF(AND(Y196&lt;&gt;"",Статистика!$M$6="Вкл",Статистика!$O$6&gt;0),(Статистика!$O$6-Статистика!$C$10)/MAX(Статистика!$G$10-Статистика!$C$10,0.000001),NA())</f>
        <v>#N/A</v>
      </c>
      <c r="CO196" s="12">
        <f t="shared" si="7"/>
        <v>1</v>
      </c>
    </row>
    <row r="197" spans="1:93" ht="15" customHeight="1">
      <c r="A197" s="12" t="s">
        <v>832</v>
      </c>
      <c r="B197" s="12">
        <v>7389.2971339999995</v>
      </c>
      <c r="C197" s="12">
        <v>7462.0267366666667</v>
      </c>
      <c r="D197" s="12">
        <v>7533.206000000001</v>
      </c>
      <c r="E197" s="12">
        <v>7774.5732750000006</v>
      </c>
      <c r="F197" s="12">
        <v>7901.9205000000011</v>
      </c>
      <c r="G197" s="12">
        <v>8017.9331333333348</v>
      </c>
      <c r="H197" s="12">
        <v>8502.9142899999988</v>
      </c>
      <c r="I197" s="12">
        <v>8557.2521149999993</v>
      </c>
      <c r="J197" s="12">
        <v>8642.555382999999</v>
      </c>
      <c r="K197" s="12">
        <v>8749.69</v>
      </c>
      <c r="L197" s="12" t="s">
        <v>833</v>
      </c>
      <c r="M197" s="12">
        <v>8426.2583605</v>
      </c>
      <c r="N197" s="12">
        <v>8442.5534024999997</v>
      </c>
      <c r="O197" s="12">
        <v>8492.646130000001</v>
      </c>
      <c r="P197" s="12">
        <v>8817.1713500000005</v>
      </c>
      <c r="Q197" s="12">
        <v>8922.0833000000002</v>
      </c>
      <c r="R197" s="12">
        <v>9043.5418916666658</v>
      </c>
      <c r="S197" s="12">
        <v>9565.5946883333345</v>
      </c>
      <c r="T197" s="12">
        <v>9597.4886258333336</v>
      </c>
      <c r="U197" s="12">
        <v>9651.2248718333321</v>
      </c>
      <c r="V197" s="12">
        <v>9791.57</v>
      </c>
      <c r="W197" s="12" t="s">
        <v>834</v>
      </c>
      <c r="Y197" s="12" t="s">
        <v>832</v>
      </c>
      <c r="Z197" s="12">
        <v>7551.5365608333314</v>
      </c>
      <c r="AA197" s="12">
        <v>7576.0036041666654</v>
      </c>
      <c r="AB197" s="12">
        <v>7606.587408333332</v>
      </c>
      <c r="AC197" s="12">
        <v>7844.1444416666673</v>
      </c>
      <c r="AD197" s="12">
        <v>7905.9458666666669</v>
      </c>
      <c r="AE197" s="12">
        <v>8142.2454166666666</v>
      </c>
      <c r="AF197" s="12">
        <v>8481.2674983333327</v>
      </c>
      <c r="AG197" s="12">
        <v>8532.1636825000005</v>
      </c>
      <c r="AH197" s="12">
        <v>8572.8806298333329</v>
      </c>
      <c r="AI197" s="12">
        <v>8689.24</v>
      </c>
      <c r="AJ197" s="12" t="s">
        <v>835</v>
      </c>
      <c r="AK197" s="12">
        <v>8600.0817566666665</v>
      </c>
      <c r="AL197" s="12">
        <v>8632.6735833333332</v>
      </c>
      <c r="AM197" s="12">
        <v>8673.4133666666658</v>
      </c>
      <c r="AN197" s="12">
        <v>8859.8363750000008</v>
      </c>
      <c r="AO197" s="12">
        <v>8934.8849499999997</v>
      </c>
      <c r="AP197" s="12">
        <v>9207.1459833333338</v>
      </c>
      <c r="AQ197" s="12">
        <v>9553.4328199999982</v>
      </c>
      <c r="AR197" s="12">
        <v>9596.8130433333317</v>
      </c>
      <c r="AS197" s="12">
        <v>9631.5172219999986</v>
      </c>
      <c r="AT197" s="12">
        <v>9761.4</v>
      </c>
      <c r="AU197" s="12" t="s">
        <v>835</v>
      </c>
      <c r="AW197" s="12">
        <f>IF(A197="","",MAX(0,MIN(1,(((IF(Статистика!$C$4="Параллельный режим (активная мощность)",B197,M197)+Статистика!$J$4))-Статистика!$C$10)/MAX(Статистика!$G$10-Статистика!$C$10,0.000001))))</f>
        <v>0.46309904466666646</v>
      </c>
      <c r="AX197" s="12">
        <f>IF(A197="","",MAX(0,MAX(0,MIN(1,(((IF(Статистика!$C$4="Параллельный режим (активная мощность)",D197,O197)+Статистика!$J$4))-Статистика!$C$10)/MAX(Статистика!$G$10-Статистика!$C$10,0.000001)))-MAX(0,MIN(1,(((IF(Статистика!$C$4="Параллельный режим (активная мощность)",B197,M197)+Статистика!$J$4))-Статистика!$C$10)/MAX(Статистика!$G$10-Статистика!$C$10,0.000001)))))</f>
        <v>4.79696220000006E-2</v>
      </c>
      <c r="AY197" s="12">
        <f>IF(A197="","",MAX(0,MAX(0,MIN(1,(((IF(Статистика!$C$4="Параллельный режим (активная мощность)",E197,P197)+Статистика!$J$4))-Статистика!$C$10)/MAX(Статистика!$G$10-Статистика!$C$10,0.000001)))-MAX(0,MIN(1,(((IF(Статистика!$C$4="Параллельный режим (активная мощность)",D197,O197)+Статистика!$J$4))-Статистика!$C$10)/MAX(Статистика!$G$10-Статистика!$C$10,0.000001)))))</f>
        <v>8.0455758333333183E-2</v>
      </c>
      <c r="AZ197" s="12">
        <f>IF(A197="","",MAX(0,MAX(0,MIN(1,(((IF(Статистика!$C$4="Параллельный режим (активная мощность)",F197,Q197)+Статистика!$J$4))-Статистика!$C$10)/MAX(Статистика!$G$10-Статистика!$C$10,0.000001)))-MAX(0,MIN(1,(((IF(Статистика!$C$4="Параллельный режим (активная мощность)",E197,P197)+Статистика!$J$4))-Статистика!$C$10)/MAX(Статистика!$G$10-Статистика!$C$10,0.000001)))))</f>
        <v>4.2449075000000169E-2</v>
      </c>
      <c r="BA197" s="12">
        <f>IF(A197="","",MAX(0,MAX(0,MIN(1,(((IF(Статистика!$C$4="Параллельный режим (активная мощность)",G197,R197)+Статистика!$J$4))-Статистика!$C$10)/MAX(Статистика!$G$10-Статистика!$C$10,0.000001)))-MAX(0,MIN(1,(((IF(Статистика!$C$4="Параллельный режим (активная мощность)",F197,Q197)+Статистика!$J$4))-Статистика!$C$10)/MAX(Статистика!$G$10-Статистика!$C$10,0.000001)))))</f>
        <v>3.867087777777789E-2</v>
      </c>
      <c r="BB197" s="12">
        <f>IF(A197="","",MAX(0,MAX(0,MIN(1,(((IF(Статистика!$C$4="Параллельный режим (активная мощность)",H197,S197)+Статистика!$J$4))-Статистика!$C$10)/MAX(Статистика!$G$10-Статистика!$C$10,0.000001)))-MAX(0,MIN(1,(((IF(Статистика!$C$4="Параллельный режим (активная мощность)",G197,R197)+Статистика!$J$4))-Статистика!$C$10)/MAX(Статистика!$G$10-Статистика!$C$10,0.000001)))))</f>
        <v>0.16166038555555462</v>
      </c>
      <c r="BC197" s="12">
        <f>IF(A197="","",MAX(0,MAX(0,MIN(1,(((IF(Статистика!$C$4="Параллельный режим (активная мощность)",J197,U197)+Статистика!$J$4))-Статистика!$C$10)/MAX(Статистика!$G$10-Статистика!$C$10,0.000001)))-MAX(0,MIN(1,(((IF(Статистика!$C$4="Параллельный режим (активная мощность)",H197,S197)+Статистика!$J$4))-Статистика!$C$10)/MAX(Статистика!$G$10-Статистика!$C$10,0.000001)))))</f>
        <v>4.6547031000000127E-2</v>
      </c>
      <c r="BD197" s="12">
        <f>IF(A197="","",MAX(0,1-MAX(0,MIN(1,(((IF(Статистика!$C$4="Параллельный режим (активная мощность)",J197,U197)+Статистика!$J$4))-Статистика!$C$10)/MAX(Статистика!$G$10-Статистика!$C$10,0.000001)))))</f>
        <v>0.11914820566666695</v>
      </c>
      <c r="BE197" s="12">
        <f>IF(A197="",NA(),IF(Статистика!$B$8="Вкл",(((IF(Статистика!$C$4="Параллельный режим (активная мощность)",F197,Q197)+Статистика!$J$4))-Статистика!$C$10)/MAX(Статистика!$G$10-Статистика!$C$10,0.000001),NA()))</f>
        <v>0.63397350000000041</v>
      </c>
      <c r="BF197" s="12">
        <f>IF(A197="",NA(),IF(Статистика!$D$8="Вкл",(((IF(Статистика!$C$4="Параллельный режим (активная мощность)",E197,P197)+Статистика!$J$4))-Статистика!$C$10)/MAX(Статистика!$G$10-Статистика!$C$10,0.000001),NA()))</f>
        <v>0.59152442500000024</v>
      </c>
      <c r="BG197" s="12">
        <f>IF(A197="",NA(),IF(Статистика!$D$8="Вкл",(((IF(Статистика!$C$4="Параллельный режим (активная мощность)",G197,R197)+Статистика!$J$4))-Статистика!$C$10)/MAX(Статистика!$G$10-Статистика!$C$10,0.000001),NA()))</f>
        <v>0.6726443777777783</v>
      </c>
      <c r="BH197" s="12">
        <f>IF(A197="",NA(),IF(Статистика!$F$8="Вкл",(((IF(Статистика!$C$4="Параллельный режим (активная мощность)",D197,O197)+Статистика!$J$4))-Статистика!$C$10)/MAX(Статистика!$G$10-Статистика!$C$10,0.000001),NA()))</f>
        <v>0.51106866666666706</v>
      </c>
      <c r="BI197" s="12">
        <f>IF(A197="",NA(),IF(Статистика!$F$8="Вкл",(((IF(Статистика!$C$4="Параллельный режим (активная мощность)",H197,S197)+Статистика!$J$4))-Статистика!$C$10)/MAX(Статистика!$G$10-Статистика!$C$10,0.000001),NA()))</f>
        <v>0.83430476333333292</v>
      </c>
      <c r="BJ197" s="12">
        <f>IF(A197="",NA(),IF(Статистика!$H$8="Вкл",(((IF(Статистика!$C$4="Параллельный режим (активная мощность)",B197,M197)+Статистика!$J$4))-Статистика!$C$10)/MAX(Статистика!$G$10-Статистика!$C$10,0.000001),NA()))</f>
        <v>0.46309904466666646</v>
      </c>
      <c r="BK197" s="12">
        <f>IF(A197="",NA(),IF(Статистика!$H$8="Вкл",(((IF(Статистика!$C$4="Параллельный режим (активная мощность)",J197,U197)+Статистика!$J$4))-Статистика!$C$10)/MAX(Статистика!$G$10-Статистика!$C$10,0.000001),NA()))</f>
        <v>0.88085179433333305</v>
      </c>
      <c r="BL197" s="12" t="e">
        <f>IF(A197="",NA(),IF(Статистика!$J$8="Вкл",(((IF(Статистика!$C$4="Параллельный режим (активная мощность)",K197,V197)+Статистика!$J$4))-Статистика!$C$10)/MAX(Статистика!$G$10-Статистика!$C$10,0.000001),NA()))</f>
        <v>#N/A</v>
      </c>
      <c r="BM197" s="12" t="e">
        <f>IF(AND(A197&lt;&gt;"",Статистика!$C$6="Вкл",Статистика!$B$6&gt;0),(Статистика!$B$6-Статистика!$C$10)/MAX(Статистика!$G$10-Статистика!$C$10,0.000001),NA())</f>
        <v>#N/A</v>
      </c>
      <c r="BN197" s="12" t="e">
        <f>IF(AND(A197&lt;&gt;"",Статистика!$F$6="Вкл",Статистика!$E$6&gt;0),(Статистика!$E$6-Статистика!$C$10)/MAX(Статистика!$G$10-Статистика!$C$10,0.000001),NA())</f>
        <v>#N/A</v>
      </c>
      <c r="BO197" s="12" t="e">
        <f>IF(AND(A197&lt;&gt;"",Статистика!$I$6="Вкл",Статистика!$H$6&gt;0),(Статистика!$H$6-Статистика!$C$10)/MAX(Статистика!$G$10-Статистика!$C$10,0.000001),NA())</f>
        <v>#N/A</v>
      </c>
      <c r="BP197" s="12" t="e">
        <f>IF(AND(A197&lt;&gt;"",Статистика!$L$6="Вкл",Статистика!$K$6&gt;0),(Статистика!$K$6-Статистика!$C$10)/MAX(Статистика!$G$10-Статистика!$C$10,0.000001),NA())</f>
        <v>#N/A</v>
      </c>
      <c r="BQ197" s="12" t="e">
        <f>IF(AND(A197&lt;&gt;"",Статистика!$M$6="Вкл",Статистика!$O$6&gt;0),(Статистика!$O$6-Статистика!$C$10)/MAX(Статистика!$G$10-Статистика!$C$10,0.000001),NA())</f>
        <v>#N/A</v>
      </c>
      <c r="BR197" s="12">
        <f t="shared" si="6"/>
        <v>1</v>
      </c>
      <c r="BT197" s="12">
        <f>IF(Y197="","",MAX(0,MIN(1,(((IF(Статистика!$C$4="Параллельный режим (активная мощность)",Z197,AK197)+Статистика!$J$4))-Статистика!$C$10)/MAX(Статистика!$G$10-Статистика!$C$10,0.000001))))</f>
        <v>0.51717885361111049</v>
      </c>
      <c r="BU197" s="12">
        <f>IF(Y197="","",MAX(0,MAX(0,MIN(1,(((IF(Статистика!$C$4="Параллельный режим (активная мощность)",AB197,AM197)+Статистика!$J$4))-Статистика!$C$10)/MAX(Статистика!$G$10-Статистика!$C$10,0.000001)))-MAX(0,MIN(1,(((IF(Статистика!$C$4="Параллельный режим (активная мощность)",Z197,AK197)+Статистика!$J$4))-Статистика!$C$10)/MAX(Статистика!$G$10-Статистика!$C$10,0.000001)))))</f>
        <v>1.8350282500000148E-2</v>
      </c>
      <c r="BV197" s="12">
        <f>IF(Y197="","",MAX(0,MAX(0,MIN(1,(((IF(Статистика!$C$4="Параллельный режим (активная мощность)",AC197,AN197)+Статистика!$J$4))-Статистика!$C$10)/MAX(Статистика!$G$10-Статистика!$C$10,0.000001)))-MAX(0,MIN(1,(((IF(Статистика!$C$4="Параллельный режим (активная мощность)",AB197,AM197)+Статистика!$J$4))-Статистика!$C$10)/MAX(Статистика!$G$10-Статистика!$C$10,0.000001)))))</f>
        <v>7.9185677777778407E-2</v>
      </c>
      <c r="BW197" s="12">
        <f>IF(Y197="","",MAX(0,MAX(0,MIN(1,(((IF(Статистика!$C$4="Параллельный режим (активная мощность)",AD197,AO197)+Статистика!$J$4))-Статистика!$C$10)/MAX(Статистика!$G$10-Статистика!$C$10,0.000001)))-MAX(0,MIN(1,(((IF(Статистика!$C$4="Параллельный режим (активная мощность)",AC197,AN197)+Статистика!$J$4))-Статистика!$C$10)/MAX(Статистика!$G$10-Статистика!$C$10,0.000001)))))</f>
        <v>2.0600474999999951E-2</v>
      </c>
      <c r="BX197" s="12">
        <f>IF(Y197="","",MAX(0,MAX(0,MIN(1,(((IF(Статистика!$C$4="Параллельный режим (активная мощность)",AE197,AP197)+Статистика!$J$4))-Статистика!$C$10)/MAX(Статистика!$G$10-Статистика!$C$10,0.000001)))-MAX(0,MIN(1,(((IF(Статистика!$C$4="Параллельный режим (активная мощность)",AD197,AO197)+Статистика!$J$4))-Статистика!$C$10)/MAX(Статистика!$G$10-Статистика!$C$10,0.000001)))))</f>
        <v>7.8766516666666564E-2</v>
      </c>
      <c r="BY197" s="12">
        <f>IF(Y197="","",MAX(0,MAX(0,MIN(1,(((IF(Статистика!$C$4="Параллельный режим (активная мощность)",AF197,AQ197)+Статистика!$J$4))-Статистика!$C$10)/MAX(Статистика!$G$10-Статистика!$C$10,0.000001)))-MAX(0,MIN(1,(((IF(Статистика!$C$4="Параллельный режим (активная мощность)",AE197,AP197)+Статистика!$J$4))-Статистика!$C$10)/MAX(Статистика!$G$10-Статистика!$C$10,0.000001)))))</f>
        <v>0.11300736055555538</v>
      </c>
      <c r="BZ197" s="12">
        <f>IF(Y197="","",MAX(0,MAX(0,MIN(1,(((IF(Статистика!$C$4="Параллельный режим (активная мощность)",AH197,AS197)+Статистика!$J$4))-Статистика!$C$10)/MAX(Статистика!$G$10-Статистика!$C$10,0.000001)))-MAX(0,MIN(1,(((IF(Статистика!$C$4="Параллельный режим (активная мощность)",AF197,AQ197)+Статистика!$J$4))-Статистика!$C$10)/MAX(Статистика!$G$10-Статистика!$C$10,0.000001)))))</f>
        <v>3.0537710499999982E-2</v>
      </c>
      <c r="CA197" s="12">
        <f>IF(Y197="","",MAX(0,1-MAX(0,MIN(1,(((IF(Статистика!$C$4="Параллельный режим (активная мощность)",AH197,AS197)+Статистика!$J$4))-Статистика!$C$10)/MAX(Статистика!$G$10-Статистика!$C$10,0.000001)))))</f>
        <v>0.14237312338888908</v>
      </c>
      <c r="CB197" s="12">
        <f>IF(Y197="",NA(),IF(Статистика!$B$8="Вкл",(((IF(Статистика!$C$4="Параллельный режим (активная мощность)",AD197,AO197)+Статистика!$J$4))-Статистика!$C$10)/MAX(Статистика!$G$10-Статистика!$C$10,0.000001),NA()))</f>
        <v>0.635315288888889</v>
      </c>
      <c r="CC197" s="12">
        <f>IF(Y197="",NA(),IF(Статистика!$D$8="Вкл",(((IF(Статистика!$C$4="Параллельный режим (активная мощность)",AC197,AN197)+Статистика!$J$4))-Статистика!$C$10)/MAX(Статистика!$G$10-Статистика!$C$10,0.000001),NA()))</f>
        <v>0.61471481388888904</v>
      </c>
      <c r="CD197" s="12">
        <f>IF(Y197="",NA(),IF(Статистика!$D$8="Вкл",(((IF(Статистика!$C$4="Параллельный режим (активная мощность)",AE197,AP197)+Статистика!$J$4))-Статистика!$C$10)/MAX(Статистика!$G$10-Статистика!$C$10,0.000001),NA()))</f>
        <v>0.71408180555555556</v>
      </c>
      <c r="CE197" s="12">
        <f>IF(Y197="",NA(),IF(Статистика!$F$8="Вкл",(((IF(Статистика!$C$4="Параллельный режим (активная мощность)",AB197,AM197)+Статистика!$J$4))-Статистика!$C$10)/MAX(Статистика!$G$10-Статистика!$C$10,0.000001),NA()))</f>
        <v>0.53552913611111064</v>
      </c>
      <c r="CF197" s="12">
        <f>IF(Y197="",NA(),IF(Статистика!$F$8="Вкл",(((IF(Статистика!$C$4="Параллельный режим (активная мощность)",AF197,AQ197)+Статистика!$J$4))-Статистика!$C$10)/MAX(Статистика!$G$10-Статистика!$C$10,0.000001),NA()))</f>
        <v>0.82708916611111094</v>
      </c>
      <c r="CG197" s="12">
        <f>IF(Y197="",NA(),IF(Статистика!$H$8="Вкл",(((IF(Статистика!$C$4="Параллельный режим (активная мощность)",Z197,AK197)+Статистика!$J$4))-Статистика!$C$10)/MAX(Статистика!$G$10-Статистика!$C$10,0.000001),NA()))</f>
        <v>0.51717885361111049</v>
      </c>
      <c r="CH197" s="12">
        <f>IF(Y197="",NA(),IF(Статистика!$H$8="Вкл",(((IF(Статистика!$C$4="Параллельный режим (активная мощность)",AH197,AS197)+Статистика!$J$4))-Статистика!$C$10)/MAX(Статистика!$G$10-Статистика!$C$10,0.000001),NA()))</f>
        <v>0.85762687661111092</v>
      </c>
      <c r="CI197" s="12" t="e">
        <f>IF(Y197="",NA(),IF(Статистика!$J$8="Вкл",(((IF(Статистика!$C$4="Параллельный режим (активная мощность)",AI197,AT197)+Статистика!$J$4))-Статистика!$C$10)/MAX(Статистика!$G$10-Статистика!$C$10,0.000001),NA()))</f>
        <v>#N/A</v>
      </c>
      <c r="CJ197" s="12" t="e">
        <f>IF(AND(Y197&lt;&gt;"",Статистика!$C$6="Вкл",Статистика!$B$6&gt;0),(Статистика!$B$6-Статистика!$C$10)/MAX(Статистика!$G$10-Статистика!$C$10,0.000001),NA())</f>
        <v>#N/A</v>
      </c>
      <c r="CK197" s="12" t="e">
        <f>IF(AND(Y197&lt;&gt;"",Статистика!$F$6="Вкл",Статистика!$E$6&gt;0),(Статистика!$E$6-Статистика!$C$10)/MAX(Статистика!$G$10-Статистика!$C$10,0.000001),NA())</f>
        <v>#N/A</v>
      </c>
      <c r="CL197" s="12" t="e">
        <f>IF(AND(Y197&lt;&gt;"",Статистика!$I$6="Вкл",Статистика!$H$6&gt;0),(Статистика!$H$6-Статистика!$C$10)/MAX(Статистика!$G$10-Статистика!$C$10,0.000001),NA())</f>
        <v>#N/A</v>
      </c>
      <c r="CM197" s="12" t="e">
        <f>IF(AND(Y197&lt;&gt;"",Статистика!$L$6="Вкл",Статистика!$K$6&gt;0),(Статистика!$K$6-Статистика!$C$10)/MAX(Статистика!$G$10-Статистика!$C$10,0.000001),NA())</f>
        <v>#N/A</v>
      </c>
      <c r="CN197" s="12" t="e">
        <f>IF(AND(Y197&lt;&gt;"",Статистика!$M$6="Вкл",Статистика!$O$6&gt;0),(Статистика!$O$6-Статистика!$C$10)/MAX(Статистика!$G$10-Статистика!$C$10,0.000001),NA())</f>
        <v>#N/A</v>
      </c>
      <c r="CO197" s="12">
        <f t="shared" si="7"/>
        <v>1</v>
      </c>
    </row>
    <row r="198" spans="1:93" ht="15" customHeight="1">
      <c r="A198" s="12" t="s">
        <v>836</v>
      </c>
      <c r="B198" s="12">
        <v>7348.1112525000008</v>
      </c>
      <c r="C198" s="12">
        <v>7364.6863958333333</v>
      </c>
      <c r="D198" s="12">
        <v>7462.337595</v>
      </c>
      <c r="E198" s="12">
        <v>7755.8142250000001</v>
      </c>
      <c r="F198" s="12">
        <v>7924.9222333333328</v>
      </c>
      <c r="G198" s="12">
        <v>8022.2733666666682</v>
      </c>
      <c r="H198" s="12">
        <v>8465.3081316666667</v>
      </c>
      <c r="I198" s="12">
        <v>8527.1710391666657</v>
      </c>
      <c r="J198" s="12">
        <v>8646.9781011666673</v>
      </c>
      <c r="K198" s="12">
        <v>8831.43</v>
      </c>
      <c r="L198" s="12" t="s">
        <v>837</v>
      </c>
      <c r="M198" s="12">
        <v>8280.8045006666671</v>
      </c>
      <c r="N198" s="12">
        <v>8366.7155700000021</v>
      </c>
      <c r="O198" s="12">
        <v>8468.6347766666677</v>
      </c>
      <c r="P198" s="12">
        <v>8799.8526833333344</v>
      </c>
      <c r="Q198" s="12">
        <v>8945.4617833333341</v>
      </c>
      <c r="R198" s="12">
        <v>9074.2036499999995</v>
      </c>
      <c r="S198" s="12">
        <v>9531.752676666667</v>
      </c>
      <c r="T198" s="12">
        <v>9585.0236508333328</v>
      </c>
      <c r="U198" s="12">
        <v>9666.8552901666681</v>
      </c>
      <c r="V198" s="12">
        <v>9890.17</v>
      </c>
      <c r="W198" s="12" t="s">
        <v>837</v>
      </c>
      <c r="Y198" s="12" t="s">
        <v>836</v>
      </c>
      <c r="Z198" s="12">
        <v>7588.8253448333344</v>
      </c>
      <c r="AA198" s="12">
        <v>7619.0641908333346</v>
      </c>
      <c r="AB198" s="12">
        <v>7656.8627483333339</v>
      </c>
      <c r="AC198" s="12">
        <v>7825.4545333333335</v>
      </c>
      <c r="AD198" s="12">
        <v>7915.3424833333329</v>
      </c>
      <c r="AE198" s="12">
        <v>8075.1169833333333</v>
      </c>
      <c r="AF198" s="12">
        <v>8483.0967083333326</v>
      </c>
      <c r="AG198" s="12">
        <v>8533.1254875000013</v>
      </c>
      <c r="AH198" s="12">
        <v>8573.1485108333345</v>
      </c>
      <c r="AI198" s="12">
        <v>8676.08</v>
      </c>
      <c r="AJ198" s="12" t="s">
        <v>838</v>
      </c>
      <c r="AK198" s="12">
        <v>8640.661426333334</v>
      </c>
      <c r="AL198" s="12">
        <v>8682.6577983333336</v>
      </c>
      <c r="AM198" s="12">
        <v>8735.1532633333318</v>
      </c>
      <c r="AN198" s="12">
        <v>8858.6298416666687</v>
      </c>
      <c r="AO198" s="12">
        <v>8901.2658499999998</v>
      </c>
      <c r="AP198" s="12">
        <v>9146.760624999999</v>
      </c>
      <c r="AQ198" s="12">
        <v>9558.9521850000001</v>
      </c>
      <c r="AR198" s="12">
        <v>9601.9762924999995</v>
      </c>
      <c r="AS198" s="12">
        <v>9636.3955784999998</v>
      </c>
      <c r="AT198" s="12">
        <v>9730.7800000000007</v>
      </c>
      <c r="AU198" s="12" t="s">
        <v>839</v>
      </c>
      <c r="AW198" s="12">
        <f>IF(A198="","",MAX(0,MIN(1,(((IF(Статистика!$C$4="Параллельный режим (активная мощность)",B198,M198)+Статистика!$J$4))-Статистика!$C$10)/MAX(Статистика!$G$10-Статистика!$C$10,0.000001))))</f>
        <v>0.44937041750000029</v>
      </c>
      <c r="AX198" s="12">
        <f>IF(A198="","",MAX(0,MAX(0,MIN(1,(((IF(Статистика!$C$4="Параллельный режим (активная мощность)",D198,O198)+Статистика!$J$4))-Статистика!$C$10)/MAX(Статистика!$G$10-Статистика!$C$10,0.000001)))-MAX(0,MIN(1,(((IF(Статистика!$C$4="Параллельный режим (активная мощность)",B198,M198)+Статистика!$J$4))-Статистика!$C$10)/MAX(Статистика!$G$10-Статистика!$C$10,0.000001)))))</f>
        <v>3.8075447499999693E-2</v>
      </c>
      <c r="AY198" s="12">
        <f>IF(A198="","",MAX(0,MAX(0,MIN(1,(((IF(Статистика!$C$4="Параллельный режим (активная мощность)",E198,P198)+Статистика!$J$4))-Статистика!$C$10)/MAX(Статистика!$G$10-Статистика!$C$10,0.000001)))-MAX(0,MIN(1,(((IF(Статистика!$C$4="Параллельный режим (активная мощность)",D198,O198)+Статистика!$J$4))-Статистика!$C$10)/MAX(Статистика!$G$10-Статистика!$C$10,0.000001)))))</f>
        <v>9.7825543333333376E-2</v>
      </c>
      <c r="AZ198" s="12">
        <f>IF(A198="","",MAX(0,MAX(0,MIN(1,(((IF(Статистика!$C$4="Параллельный режим (активная мощность)",F198,Q198)+Статистика!$J$4))-Статистика!$C$10)/MAX(Статистика!$G$10-Статистика!$C$10,0.000001)))-MAX(0,MIN(1,(((IF(Статистика!$C$4="Параллельный режим (активная мощность)",E198,P198)+Статистика!$J$4))-Статистика!$C$10)/MAX(Статистика!$G$10-Статистика!$C$10,0.000001)))))</f>
        <v>5.6369336111110946E-2</v>
      </c>
      <c r="BA198" s="12">
        <f>IF(A198="","",MAX(0,MAX(0,MIN(1,(((IF(Статистика!$C$4="Параллельный режим (активная мощность)",G198,R198)+Статистика!$J$4))-Статистика!$C$10)/MAX(Статистика!$G$10-Статистика!$C$10,0.000001)))-MAX(0,MIN(1,(((IF(Статистика!$C$4="Параллельный режим (активная мощность)",F198,Q198)+Статистика!$J$4))-Статистика!$C$10)/MAX(Статистика!$G$10-Статистика!$C$10,0.000001)))))</f>
        <v>3.2450377777778372E-2</v>
      </c>
      <c r="BB198" s="12">
        <f>IF(A198="","",MAX(0,MAX(0,MIN(1,(((IF(Статистика!$C$4="Параллельный режим (активная мощность)",H198,S198)+Статистика!$J$4))-Статистика!$C$10)/MAX(Статистика!$G$10-Статистика!$C$10,0.000001)))-MAX(0,MIN(1,(((IF(Статистика!$C$4="Параллельный режим (активная мощность)",G198,R198)+Статистика!$J$4))-Статистика!$C$10)/MAX(Статистика!$G$10-Статистика!$C$10,0.000001)))))</f>
        <v>0.14767825499999954</v>
      </c>
      <c r="BC198" s="12">
        <f>IF(A198="","",MAX(0,MAX(0,MIN(1,(((IF(Статистика!$C$4="Параллельный режим (активная мощность)",J198,U198)+Статистика!$J$4))-Статистика!$C$10)/MAX(Статистика!$G$10-Статистика!$C$10,0.000001)))-MAX(0,MIN(1,(((IF(Статистика!$C$4="Параллельный режим (активная мощность)",H198,S198)+Статистика!$J$4))-Статистика!$C$10)/MAX(Статистика!$G$10-Статистика!$C$10,0.000001)))))</f>
        <v>6.0556656500000194E-2</v>
      </c>
      <c r="BD198" s="12">
        <f>IF(A198="","",MAX(0,1-MAX(0,MIN(1,(((IF(Статистика!$C$4="Параллельный режим (активная мощность)",J198,U198)+Статистика!$J$4))-Статистика!$C$10)/MAX(Статистика!$G$10-Статистика!$C$10,0.000001)))))</f>
        <v>0.1176739662777776</v>
      </c>
      <c r="BE198" s="12">
        <f>IF(A198="",NA(),IF(Статистика!$B$8="Вкл",(((IF(Статистика!$C$4="Параллельный режим (активная мощность)",F198,Q198)+Статистика!$J$4))-Статистика!$C$10)/MAX(Статистика!$G$10-Статистика!$C$10,0.000001),NA()))</f>
        <v>0.6416407444444443</v>
      </c>
      <c r="BF198" s="12">
        <f>IF(A198="",NA(),IF(Статистика!$D$8="Вкл",(((IF(Статистика!$C$4="Параллельный режим (активная мощность)",E198,P198)+Статистика!$J$4))-Статистика!$C$10)/MAX(Статистика!$G$10-Статистика!$C$10,0.000001),NA()))</f>
        <v>0.58527140833333335</v>
      </c>
      <c r="BG198" s="12">
        <f>IF(A198="",NA(),IF(Статистика!$D$8="Вкл",(((IF(Статистика!$C$4="Параллельный режим (активная мощность)",G198,R198)+Статистика!$J$4))-Статистика!$C$10)/MAX(Статистика!$G$10-Статистика!$C$10,0.000001),NA()))</f>
        <v>0.67409112222222267</v>
      </c>
      <c r="BH198" s="12">
        <f>IF(A198="",NA(),IF(Статистика!$F$8="Вкл",(((IF(Статистика!$C$4="Параллельный режим (активная мощность)",D198,O198)+Статистика!$J$4))-Статистика!$C$10)/MAX(Статистика!$G$10-Статистика!$C$10,0.000001),NA()))</f>
        <v>0.48744586499999998</v>
      </c>
      <c r="BI198" s="12">
        <f>IF(A198="",NA(),IF(Статистика!$F$8="Вкл",(((IF(Статистика!$C$4="Параллельный режим (активная мощность)",H198,S198)+Статистика!$J$4))-Статистика!$C$10)/MAX(Статистика!$G$10-Статистика!$C$10,0.000001),NA()))</f>
        <v>0.82176937722222221</v>
      </c>
      <c r="BJ198" s="12">
        <f>IF(A198="",NA(),IF(Статистика!$H$8="Вкл",(((IF(Статистика!$C$4="Параллельный режим (активная мощность)",B198,M198)+Статистика!$J$4))-Статистика!$C$10)/MAX(Статистика!$G$10-Статистика!$C$10,0.000001),NA()))</f>
        <v>0.44937041750000029</v>
      </c>
      <c r="BK198" s="12">
        <f>IF(A198="",NA(),IF(Статистика!$H$8="Вкл",(((IF(Статистика!$C$4="Параллельный режим (активная мощность)",J198,U198)+Статистика!$J$4))-Статистика!$C$10)/MAX(Статистика!$G$10-Статистика!$C$10,0.000001),NA()))</f>
        <v>0.8823260337222224</v>
      </c>
      <c r="BL198" s="12" t="e">
        <f>IF(A198="",NA(),IF(Статистика!$J$8="Вкл",(((IF(Статистика!$C$4="Параллельный режим (активная мощность)",K198,V198)+Статистика!$J$4))-Статистика!$C$10)/MAX(Статистика!$G$10-Статистика!$C$10,0.000001),NA()))</f>
        <v>#N/A</v>
      </c>
      <c r="BM198" s="12" t="e">
        <f>IF(AND(A198&lt;&gt;"",Статистика!$C$6="Вкл",Статистика!$B$6&gt;0),(Статистика!$B$6-Статистика!$C$10)/MAX(Статистика!$G$10-Статистика!$C$10,0.000001),NA())</f>
        <v>#N/A</v>
      </c>
      <c r="BN198" s="12" t="e">
        <f>IF(AND(A198&lt;&gt;"",Статистика!$F$6="Вкл",Статистика!$E$6&gt;0),(Статистика!$E$6-Статистика!$C$10)/MAX(Статистика!$G$10-Статистика!$C$10,0.000001),NA())</f>
        <v>#N/A</v>
      </c>
      <c r="BO198" s="12" t="e">
        <f>IF(AND(A198&lt;&gt;"",Статистика!$I$6="Вкл",Статистика!$H$6&gt;0),(Статистика!$H$6-Статистика!$C$10)/MAX(Статистика!$G$10-Статистика!$C$10,0.000001),NA())</f>
        <v>#N/A</v>
      </c>
      <c r="BP198" s="12" t="e">
        <f>IF(AND(A198&lt;&gt;"",Статистика!$L$6="Вкл",Статистика!$K$6&gt;0),(Статистика!$K$6-Статистика!$C$10)/MAX(Статистика!$G$10-Статистика!$C$10,0.000001),NA())</f>
        <v>#N/A</v>
      </c>
      <c r="BQ198" s="12" t="e">
        <f>IF(AND(A198&lt;&gt;"",Статистика!$M$6="Вкл",Статистика!$O$6&gt;0),(Статистика!$O$6-Статистика!$C$10)/MAX(Статистика!$G$10-Статистика!$C$10,0.000001),NA())</f>
        <v>#N/A</v>
      </c>
      <c r="BR198" s="12">
        <f t="shared" si="6"/>
        <v>1</v>
      </c>
      <c r="BT198" s="12">
        <f>IF(Y198="","",MAX(0,MIN(1,(((IF(Статистика!$C$4="Параллельный режим (активная мощность)",Z198,AK198)+Статистика!$J$4))-Статистика!$C$10)/MAX(Статистика!$G$10-Статистика!$C$10,0.000001))))</f>
        <v>0.52960844827777809</v>
      </c>
      <c r="BU198" s="12">
        <f>IF(Y198="","",MAX(0,MAX(0,MIN(1,(((IF(Статистика!$C$4="Параллельный режим (активная мощность)",AB198,AM198)+Статистика!$J$4))-Статистика!$C$10)/MAX(Статистика!$G$10-Статистика!$C$10,0.000001)))-MAX(0,MIN(1,(((IF(Статистика!$C$4="Параллельный режим (активная мощность)",Z198,AK198)+Статистика!$J$4))-Статистика!$C$10)/MAX(Статистика!$G$10-Статистика!$C$10,0.000001)))))</f>
        <v>2.267913449999992E-2</v>
      </c>
      <c r="BV198" s="12">
        <f>IF(Y198="","",MAX(0,MAX(0,MIN(1,(((IF(Статистика!$C$4="Параллельный режим (активная мощность)",AC198,AN198)+Статистика!$J$4))-Статистика!$C$10)/MAX(Статистика!$G$10-Статистика!$C$10,0.000001)))-MAX(0,MIN(1,(((IF(Статистика!$C$4="Параллельный режим (активная мощность)",AB198,AM198)+Статистика!$J$4))-Статистика!$C$10)/MAX(Статистика!$G$10-Статистика!$C$10,0.000001)))))</f>
        <v>5.6197261666666498E-2</v>
      </c>
      <c r="BW198" s="12">
        <f>IF(Y198="","",MAX(0,MAX(0,MIN(1,(((IF(Статистика!$C$4="Параллельный режим (активная мощность)",AD198,AO198)+Статистика!$J$4))-Статистика!$C$10)/MAX(Статистика!$G$10-Статистика!$C$10,0.000001)))-MAX(0,MIN(1,(((IF(Статистика!$C$4="Параллельный режим (активная мощность)",AC198,AN198)+Статистика!$J$4))-Статистика!$C$10)/MAX(Статистика!$G$10-Статистика!$C$10,0.000001)))))</f>
        <v>2.9962649999999758E-2</v>
      </c>
      <c r="BX198" s="12">
        <f>IF(Y198="","",MAX(0,MAX(0,MIN(1,(((IF(Статистика!$C$4="Параллельный режим (активная мощность)",AE198,AP198)+Статистика!$J$4))-Статистика!$C$10)/MAX(Статистика!$G$10-Статистика!$C$10,0.000001)))-MAX(0,MIN(1,(((IF(Статистика!$C$4="Параллельный режим (активная мощность)",AD198,AO198)+Статистика!$J$4))-Статистика!$C$10)/MAX(Статистика!$G$10-Статистика!$C$10,0.000001)))))</f>
        <v>5.3258166666666829E-2</v>
      </c>
      <c r="BY198" s="12">
        <f>IF(Y198="","",MAX(0,MAX(0,MIN(1,(((IF(Статистика!$C$4="Параллельный режим (активная мощность)",AF198,AQ198)+Статистика!$J$4))-Статистика!$C$10)/MAX(Статистика!$G$10-Статистика!$C$10,0.000001)))-MAX(0,MIN(1,(((IF(Статистика!$C$4="Параллельный режим (активная мощность)",AE198,AP198)+Статистика!$J$4))-Статистика!$C$10)/MAX(Статистика!$G$10-Статистика!$C$10,0.000001)))))</f>
        <v>0.13599324166666649</v>
      </c>
      <c r="BZ198" s="12">
        <f>IF(Y198="","",MAX(0,MAX(0,MIN(1,(((IF(Статистика!$C$4="Параллельный режим (активная мощность)",AH198,AS198)+Статистика!$J$4))-Статистика!$C$10)/MAX(Статистика!$G$10-Статистика!$C$10,0.000001)))-MAX(0,MIN(1,(((IF(Статистика!$C$4="Параллельный режим (активная мощность)",AF198,AQ198)+Статистика!$J$4))-Статистика!$C$10)/MAX(Статистика!$G$10-Статистика!$C$10,0.000001)))))</f>
        <v>3.0017267500000555E-2</v>
      </c>
      <c r="CA198" s="12">
        <f>IF(Y198="","",MAX(0,1-MAX(0,MIN(1,(((IF(Статистика!$C$4="Параллельный режим (активная мощность)",AH198,AS198)+Статистика!$J$4))-Статистика!$C$10)/MAX(Статистика!$G$10-Статистика!$C$10,0.000001)))))</f>
        <v>0.14228382972222187</v>
      </c>
      <c r="CB198" s="12">
        <f>IF(Y198="",NA(),IF(Статистика!$B$8="Вкл",(((IF(Статистика!$C$4="Параллельный режим (активная мощность)",AD198,AO198)+Статистика!$J$4))-Статистика!$C$10)/MAX(Статистика!$G$10-Статистика!$C$10,0.000001),NA()))</f>
        <v>0.63844749444444426</v>
      </c>
      <c r="CC198" s="12">
        <f>IF(Y198="",NA(),IF(Статистика!$D$8="Вкл",(((IF(Статистика!$C$4="Параллельный режим (активная мощность)",AC198,AN198)+Статистика!$J$4))-Статистика!$C$10)/MAX(Статистика!$G$10-Статистика!$C$10,0.000001),NA()))</f>
        <v>0.60848484444444451</v>
      </c>
      <c r="CD198" s="12">
        <f>IF(Y198="",NA(),IF(Статистика!$D$8="Вкл",(((IF(Статистика!$C$4="Параллельный режим (активная мощность)",AE198,AP198)+Статистика!$J$4))-Статистика!$C$10)/MAX(Статистика!$G$10-Статистика!$C$10,0.000001),NA()))</f>
        <v>0.69170566111111109</v>
      </c>
      <c r="CE198" s="12">
        <f>IF(Y198="",NA(),IF(Статистика!$F$8="Вкл",(((IF(Статистика!$C$4="Параллельный режим (активная мощность)",AB198,AM198)+Статистика!$J$4))-Статистика!$C$10)/MAX(Статистика!$G$10-Статистика!$C$10,0.000001),NA()))</f>
        <v>0.55228758277777801</v>
      </c>
      <c r="CF198" s="12">
        <f>IF(Y198="",NA(),IF(Статистика!$F$8="Вкл",(((IF(Статистика!$C$4="Параллельный режим (активная мощность)",AF198,AQ198)+Статистика!$J$4))-Статистика!$C$10)/MAX(Статистика!$G$10-Статистика!$C$10,0.000001),NA()))</f>
        <v>0.82769890277777758</v>
      </c>
      <c r="CG198" s="12">
        <f>IF(Y198="",NA(),IF(Статистика!$H$8="Вкл",(((IF(Статистика!$C$4="Параллельный режим (активная мощность)",Z198,AK198)+Статистика!$J$4))-Статистика!$C$10)/MAX(Статистика!$G$10-Статистика!$C$10,0.000001),NA()))</f>
        <v>0.52960844827777809</v>
      </c>
      <c r="CH198" s="12">
        <f>IF(Y198="",NA(),IF(Статистика!$H$8="Вкл",(((IF(Статистика!$C$4="Параллельный режим (активная мощность)",AH198,AS198)+Статистика!$J$4))-Статистика!$C$10)/MAX(Статистика!$G$10-Статистика!$C$10,0.000001),NA()))</f>
        <v>0.85771617027777813</v>
      </c>
      <c r="CI198" s="12" t="e">
        <f>IF(Y198="",NA(),IF(Статистика!$J$8="Вкл",(((IF(Статистика!$C$4="Параллельный режим (активная мощность)",AI198,AT198)+Статистика!$J$4))-Статистика!$C$10)/MAX(Статистика!$G$10-Статистика!$C$10,0.000001),NA()))</f>
        <v>#N/A</v>
      </c>
      <c r="CJ198" s="12" t="e">
        <f>IF(AND(Y198&lt;&gt;"",Статистика!$C$6="Вкл",Статистика!$B$6&gt;0),(Статистика!$B$6-Статистика!$C$10)/MAX(Статистика!$G$10-Статистика!$C$10,0.000001),NA())</f>
        <v>#N/A</v>
      </c>
      <c r="CK198" s="12" t="e">
        <f>IF(AND(Y198&lt;&gt;"",Статистика!$F$6="Вкл",Статистика!$E$6&gt;0),(Статистика!$E$6-Статистика!$C$10)/MAX(Статистика!$G$10-Статистика!$C$10,0.000001),NA())</f>
        <v>#N/A</v>
      </c>
      <c r="CL198" s="12" t="e">
        <f>IF(AND(Y198&lt;&gt;"",Статистика!$I$6="Вкл",Статистика!$H$6&gt;0),(Статистика!$H$6-Статистика!$C$10)/MAX(Статистика!$G$10-Статистика!$C$10,0.000001),NA())</f>
        <v>#N/A</v>
      </c>
      <c r="CM198" s="12" t="e">
        <f>IF(AND(Y198&lt;&gt;"",Статистика!$L$6="Вкл",Статистика!$K$6&gt;0),(Статистика!$K$6-Статистика!$C$10)/MAX(Статистика!$G$10-Статистика!$C$10,0.000001),NA())</f>
        <v>#N/A</v>
      </c>
      <c r="CN198" s="12" t="e">
        <f>IF(AND(Y198&lt;&gt;"",Статистика!$M$6="Вкл",Статистика!$O$6&gt;0),(Статистика!$O$6-Статистика!$C$10)/MAX(Статистика!$G$10-Статистика!$C$10,0.000001),NA())</f>
        <v>#N/A</v>
      </c>
      <c r="CO198" s="12">
        <f t="shared" si="7"/>
        <v>1</v>
      </c>
    </row>
    <row r="199" spans="1:93" ht="15" customHeight="1">
      <c r="A199" s="12" t="s">
        <v>840</v>
      </c>
      <c r="B199" s="12">
        <v>7308.4561303333339</v>
      </c>
      <c r="C199" s="12">
        <v>7338.352385000001</v>
      </c>
      <c r="D199" s="12">
        <v>7435.425208333334</v>
      </c>
      <c r="E199" s="12">
        <v>7731.2429333333321</v>
      </c>
      <c r="F199" s="12">
        <v>7894.6370000000006</v>
      </c>
      <c r="G199" s="12">
        <v>8017.1841249999998</v>
      </c>
      <c r="H199" s="12">
        <v>8346.5513466666671</v>
      </c>
      <c r="I199" s="12">
        <v>8460.740840833334</v>
      </c>
      <c r="J199" s="12">
        <v>8620.1553681666664</v>
      </c>
      <c r="K199" s="12">
        <v>8768.89</v>
      </c>
      <c r="L199" s="12" t="s">
        <v>841</v>
      </c>
      <c r="M199" s="12">
        <v>8231.3334131666652</v>
      </c>
      <c r="N199" s="12">
        <v>8369.5174658333326</v>
      </c>
      <c r="O199" s="12">
        <v>8458.1655416666672</v>
      </c>
      <c r="P199" s="12">
        <v>8781.127466666665</v>
      </c>
      <c r="Q199" s="12">
        <v>8903.7016999999978</v>
      </c>
      <c r="R199" s="12">
        <v>9051.9428750000006</v>
      </c>
      <c r="S199" s="12">
        <v>9376.0776900000001</v>
      </c>
      <c r="T199" s="12">
        <v>9463.5699841666665</v>
      </c>
      <c r="U199" s="12">
        <v>9645.314743500001</v>
      </c>
      <c r="V199" s="12">
        <v>9789.01</v>
      </c>
      <c r="W199" s="12" t="s">
        <v>841</v>
      </c>
      <c r="Y199" s="12" t="s">
        <v>840</v>
      </c>
      <c r="Z199" s="12">
        <v>7573.7666579999996</v>
      </c>
      <c r="AA199" s="12">
        <v>7611.2771566666661</v>
      </c>
      <c r="AB199" s="12">
        <v>7658.1652799999993</v>
      </c>
      <c r="AC199" s="12">
        <v>7818.2100333333337</v>
      </c>
      <c r="AD199" s="12">
        <v>7898.63195</v>
      </c>
      <c r="AE199" s="12">
        <v>8076.1888416666661</v>
      </c>
      <c r="AF199" s="12">
        <v>8386.3450599999996</v>
      </c>
      <c r="AG199" s="12">
        <v>8405.5826300000008</v>
      </c>
      <c r="AH199" s="12">
        <v>8420.972686000001</v>
      </c>
      <c r="AI199" s="12">
        <v>8625.99</v>
      </c>
      <c r="AJ199" s="12" t="s">
        <v>842</v>
      </c>
      <c r="AK199" s="12">
        <v>8615.0163398333316</v>
      </c>
      <c r="AL199" s="12">
        <v>8669.596499166666</v>
      </c>
      <c r="AM199" s="12">
        <v>8737.8216983333332</v>
      </c>
      <c r="AN199" s="12">
        <v>8863.2484583333317</v>
      </c>
      <c r="AO199" s="12">
        <v>8883.174916666665</v>
      </c>
      <c r="AP199" s="12">
        <v>9155.2803083333347</v>
      </c>
      <c r="AQ199" s="12">
        <v>9448.9066633333332</v>
      </c>
      <c r="AR199" s="12">
        <v>9457.2081983333319</v>
      </c>
      <c r="AS199" s="12">
        <v>9463.8494263333323</v>
      </c>
      <c r="AT199" s="12">
        <v>9693.3799999999992</v>
      </c>
      <c r="AU199" s="12" t="s">
        <v>843</v>
      </c>
      <c r="AW199" s="12">
        <f>IF(A199="","",MAX(0,MIN(1,(((IF(Статистика!$C$4="Параллельный режим (активная мощность)",B199,M199)+Статистика!$J$4))-Статистика!$C$10)/MAX(Статистика!$G$10-Статистика!$C$10,0.000001))))</f>
        <v>0.43615204344444464</v>
      </c>
      <c r="AX199" s="12">
        <f>IF(A199="","",MAX(0,MAX(0,MIN(1,(((IF(Статистика!$C$4="Параллельный режим (активная мощность)",D199,O199)+Статистика!$J$4))-Статистика!$C$10)/MAX(Статистика!$G$10-Статистика!$C$10,0.000001)))-MAX(0,MIN(1,(((IF(Статистика!$C$4="Параллельный режим (активная мощность)",B199,M199)+Статистика!$J$4))-Статистика!$C$10)/MAX(Статистика!$G$10-Статистика!$C$10,0.000001)))))</f>
        <v>4.2323026000000041E-2</v>
      </c>
      <c r="AY199" s="12">
        <f>IF(A199="","",MAX(0,MAX(0,MIN(1,(((IF(Статистика!$C$4="Параллельный режим (активная мощность)",E199,P199)+Статистика!$J$4))-Статистика!$C$10)/MAX(Статистика!$G$10-Статистика!$C$10,0.000001)))-MAX(0,MIN(1,(((IF(Статистика!$C$4="Параллельный режим (активная мощность)",D199,O199)+Статистика!$J$4))-Статистика!$C$10)/MAX(Статистика!$G$10-Статистика!$C$10,0.000001)))))</f>
        <v>9.8605908333332659E-2</v>
      </c>
      <c r="AZ199" s="12">
        <f>IF(A199="","",MAX(0,MAX(0,MIN(1,(((IF(Статистика!$C$4="Параллельный режим (активная мощность)",F199,Q199)+Статистика!$J$4))-Статистика!$C$10)/MAX(Статистика!$G$10-Статистика!$C$10,0.000001)))-MAX(0,MIN(1,(((IF(Статистика!$C$4="Параллельный режим (активная мощность)",E199,P199)+Статистика!$J$4))-Статистика!$C$10)/MAX(Статистика!$G$10-Статистика!$C$10,0.000001)))))</f>
        <v>5.4464688888889556E-2</v>
      </c>
      <c r="BA199" s="12">
        <f>IF(A199="","",MAX(0,MAX(0,MIN(1,(((IF(Статистика!$C$4="Параллельный режим (активная мощность)",G199,R199)+Статистика!$J$4))-Статистика!$C$10)/MAX(Статистика!$G$10-Статистика!$C$10,0.000001)))-MAX(0,MIN(1,(((IF(Статистика!$C$4="Параллельный режим (активная мощность)",F199,Q199)+Статистика!$J$4))-Статистика!$C$10)/MAX(Статистика!$G$10-Статистика!$C$10,0.000001)))))</f>
        <v>4.0849041666666364E-2</v>
      </c>
      <c r="BB199" s="12">
        <f>IF(A199="","",MAX(0,MAX(0,MIN(1,(((IF(Статистика!$C$4="Параллельный режим (активная мощность)",H199,S199)+Статистика!$J$4))-Статистика!$C$10)/MAX(Статистика!$G$10-Статистика!$C$10,0.000001)))-MAX(0,MIN(1,(((IF(Статистика!$C$4="Параллельный режим (активная мощность)",G199,R199)+Статистика!$J$4))-Статистика!$C$10)/MAX(Статистика!$G$10-Статистика!$C$10,0.000001)))))</f>
        <v>0.10978907388888914</v>
      </c>
      <c r="BC199" s="12">
        <f>IF(A199="","",MAX(0,MAX(0,MIN(1,(((IF(Статистика!$C$4="Параллельный режим (активная мощность)",J199,U199)+Статистика!$J$4))-Статистика!$C$10)/MAX(Статистика!$G$10-Статистика!$C$10,0.000001)))-MAX(0,MIN(1,(((IF(Статистика!$C$4="Параллельный режим (активная мощность)",H199,S199)+Статистика!$J$4))-Статистика!$C$10)/MAX(Статистика!$G$10-Статистика!$C$10,0.000001)))))</f>
        <v>9.1201340499999728E-2</v>
      </c>
      <c r="BD199" s="12">
        <f>IF(A199="","",MAX(0,1-MAX(0,MIN(1,(((IF(Статистика!$C$4="Параллельный режим (активная мощность)",J199,U199)+Статистика!$J$4))-Статистика!$C$10)/MAX(Статистика!$G$10-Статистика!$C$10,0.000001)))))</f>
        <v>0.12661487727777787</v>
      </c>
      <c r="BE199" s="12">
        <f>IF(A199="",NA(),IF(Статистика!$B$8="Вкл",(((IF(Статистика!$C$4="Параллельный режим (активная мощность)",F199,Q199)+Статистика!$J$4))-Статистика!$C$10)/MAX(Статистика!$G$10-Статистика!$C$10,0.000001),NA()))</f>
        <v>0.63154566666666689</v>
      </c>
      <c r="BF199" s="12">
        <f>IF(A199="",NA(),IF(Статистика!$D$8="Вкл",(((IF(Статистика!$C$4="Параллельный режим (активная мощность)",E199,P199)+Статистика!$J$4))-Статистика!$C$10)/MAX(Статистика!$G$10-Статистика!$C$10,0.000001),NA()))</f>
        <v>0.57708097777777734</v>
      </c>
      <c r="BG199" s="12">
        <f>IF(A199="",NA(),IF(Статистика!$D$8="Вкл",(((IF(Статистика!$C$4="Параллельный режим (активная мощность)",G199,R199)+Статистика!$J$4))-Статистика!$C$10)/MAX(Статистика!$G$10-Статистика!$C$10,0.000001),NA()))</f>
        <v>0.67239470833333326</v>
      </c>
      <c r="BH199" s="12">
        <f>IF(A199="",NA(),IF(Статистика!$F$8="Вкл",(((IF(Статистика!$C$4="Параллельный режим (активная мощность)",D199,O199)+Статистика!$J$4))-Статистика!$C$10)/MAX(Статистика!$G$10-Статистика!$C$10,0.000001),NA()))</f>
        <v>0.47847506944444468</v>
      </c>
      <c r="BI199" s="12">
        <f>IF(A199="",NA(),IF(Статистика!$F$8="Вкл",(((IF(Статистика!$C$4="Параллельный режим (активная мощность)",H199,S199)+Статистика!$J$4))-Статистика!$C$10)/MAX(Статистика!$G$10-Статистика!$C$10,0.000001),NA()))</f>
        <v>0.7821837822222224</v>
      </c>
      <c r="BJ199" s="12">
        <f>IF(A199="",NA(),IF(Статистика!$H$8="Вкл",(((IF(Статистика!$C$4="Параллельный режим (активная мощность)",B199,M199)+Статистика!$J$4))-Статистика!$C$10)/MAX(Статистика!$G$10-Статистика!$C$10,0.000001),NA()))</f>
        <v>0.43615204344444464</v>
      </c>
      <c r="BK199" s="12">
        <f>IF(A199="",NA(),IF(Статистика!$H$8="Вкл",(((IF(Статистика!$C$4="Параллельный режим (активная мощность)",J199,U199)+Статистика!$J$4))-Статистика!$C$10)/MAX(Статистика!$G$10-Статистика!$C$10,0.000001),NA()))</f>
        <v>0.87338512272222213</v>
      </c>
      <c r="BL199" s="12" t="e">
        <f>IF(A199="",NA(),IF(Статистика!$J$8="Вкл",(((IF(Статистика!$C$4="Параллельный режим (активная мощность)",K199,V199)+Статистика!$J$4))-Статистика!$C$10)/MAX(Статистика!$G$10-Статистика!$C$10,0.000001),NA()))</f>
        <v>#N/A</v>
      </c>
      <c r="BM199" s="12" t="e">
        <f>IF(AND(A199&lt;&gt;"",Статистика!$C$6="Вкл",Статистика!$B$6&gt;0),(Статистика!$B$6-Статистика!$C$10)/MAX(Статистика!$G$10-Статистика!$C$10,0.000001),NA())</f>
        <v>#N/A</v>
      </c>
      <c r="BN199" s="12" t="e">
        <f>IF(AND(A199&lt;&gt;"",Статистика!$F$6="Вкл",Статистика!$E$6&gt;0),(Статистика!$E$6-Статистика!$C$10)/MAX(Статистика!$G$10-Статистика!$C$10,0.000001),NA())</f>
        <v>#N/A</v>
      </c>
      <c r="BO199" s="12" t="e">
        <f>IF(AND(A199&lt;&gt;"",Статистика!$I$6="Вкл",Статистика!$H$6&gt;0),(Статистика!$H$6-Статистика!$C$10)/MAX(Статистика!$G$10-Статистика!$C$10,0.000001),NA())</f>
        <v>#N/A</v>
      </c>
      <c r="BP199" s="12" t="e">
        <f>IF(AND(A199&lt;&gt;"",Статистика!$L$6="Вкл",Статистика!$K$6&gt;0),(Статистика!$K$6-Статистика!$C$10)/MAX(Статистика!$G$10-Статистика!$C$10,0.000001),NA())</f>
        <v>#N/A</v>
      </c>
      <c r="BQ199" s="12" t="e">
        <f>IF(AND(A199&lt;&gt;"",Статистика!$M$6="Вкл",Статистика!$O$6&gt;0),(Статистика!$O$6-Статистика!$C$10)/MAX(Статистика!$G$10-Статистика!$C$10,0.000001),NA())</f>
        <v>#N/A</v>
      </c>
      <c r="BR199" s="12">
        <f t="shared" si="6"/>
        <v>1</v>
      </c>
      <c r="BT199" s="12">
        <f>IF(Y199="","",MAX(0,MIN(1,(((IF(Статистика!$C$4="Параллельный режим (активная мощность)",Z199,AK199)+Статистика!$J$4))-Статистика!$C$10)/MAX(Статистика!$G$10-Статистика!$C$10,0.000001))))</f>
        <v>0.52458888599999987</v>
      </c>
      <c r="BU199" s="12">
        <f>IF(Y199="","",MAX(0,MAX(0,MIN(1,(((IF(Статистика!$C$4="Параллельный режим (активная мощность)",AB199,AM199)+Статистика!$J$4))-Статистика!$C$10)/MAX(Статистика!$G$10-Статистика!$C$10,0.000001)))-MAX(0,MIN(1,(((IF(Статистика!$C$4="Параллельный режим (активная мощность)",Z199,AK199)+Статистика!$J$4))-Статистика!$C$10)/MAX(Статистика!$G$10-Статистика!$C$10,0.000001)))))</f>
        <v>2.8132873999999863E-2</v>
      </c>
      <c r="BV199" s="12">
        <f>IF(Y199="","",MAX(0,MAX(0,MIN(1,(((IF(Статистика!$C$4="Параллельный режим (активная мощность)",AC199,AN199)+Статистика!$J$4))-Статистика!$C$10)/MAX(Статистика!$G$10-Статистика!$C$10,0.000001)))-MAX(0,MIN(1,(((IF(Статистика!$C$4="Параллельный режим (активная мощность)",AB199,AM199)+Статистика!$J$4))-Статистика!$C$10)/MAX(Статистика!$G$10-Статистика!$C$10,0.000001)))))</f>
        <v>5.3348251111111522E-2</v>
      </c>
      <c r="BW199" s="12">
        <f>IF(Y199="","",MAX(0,MAX(0,MIN(1,(((IF(Статистика!$C$4="Параллельный режим (активная мощность)",AD199,AO199)+Статистика!$J$4))-Статистика!$C$10)/MAX(Статистика!$G$10-Статистика!$C$10,0.000001)))-MAX(0,MIN(1,(((IF(Статистика!$C$4="Параллельный режим (активная мощность)",AC199,AN199)+Статистика!$J$4))-Статистика!$C$10)/MAX(Статистика!$G$10-Статистика!$C$10,0.000001)))))</f>
        <v>2.6807305555555438E-2</v>
      </c>
      <c r="BX199" s="12">
        <f>IF(Y199="","",MAX(0,MAX(0,MIN(1,(((IF(Статистика!$C$4="Параллельный режим (активная мощность)",AE199,AP199)+Статистика!$J$4))-Статистика!$C$10)/MAX(Статистика!$G$10-Статистика!$C$10,0.000001)))-MAX(0,MIN(1,(((IF(Статистика!$C$4="Параллельный режим (активная мощность)",AD199,AO199)+Статистика!$J$4))-Статистика!$C$10)/MAX(Статистика!$G$10-Статистика!$C$10,0.000001)))))</f>
        <v>5.9185630555555369E-2</v>
      </c>
      <c r="BY199" s="12">
        <f>IF(Y199="","",MAX(0,MAX(0,MIN(1,(((IF(Статистика!$C$4="Параллельный режим (активная мощность)",AF199,AQ199)+Статистика!$J$4))-Статистика!$C$10)/MAX(Статистика!$G$10-Статистика!$C$10,0.000001)))-MAX(0,MIN(1,(((IF(Статистика!$C$4="Параллельный режим (активная мощность)",AE199,AP199)+Статистика!$J$4))-Статистика!$C$10)/MAX(Статистика!$G$10-Статистика!$C$10,0.000001)))))</f>
        <v>0.10338540611111113</v>
      </c>
      <c r="BZ199" s="12">
        <f>IF(Y199="","",MAX(0,MAX(0,MIN(1,(((IF(Статистика!$C$4="Параллельный режим (активная мощность)",AH199,AS199)+Статистика!$J$4))-Статистика!$C$10)/MAX(Статистика!$G$10-Статистика!$C$10,0.000001)))-MAX(0,MIN(1,(((IF(Статистика!$C$4="Параллельный режим (активная мощность)",AF199,AQ199)+Статистика!$J$4))-Статистика!$C$10)/MAX(Статистика!$G$10-Статистика!$C$10,0.000001)))))</f>
        <v>1.1542542000000489E-2</v>
      </c>
      <c r="CA199" s="12">
        <f>IF(Y199="","",MAX(0,1-MAX(0,MIN(1,(((IF(Статистика!$C$4="Параллельный режим (активная мощность)",AH199,AS199)+Статистика!$J$4))-Статистика!$C$10)/MAX(Статистика!$G$10-Статистика!$C$10,0.000001)))))</f>
        <v>0.19300910466666632</v>
      </c>
      <c r="CB199" s="12">
        <f>IF(Y199="",NA(),IF(Статистика!$B$8="Вкл",(((IF(Статистика!$C$4="Параллельный режим (активная мощность)",AD199,AO199)+Статистика!$J$4))-Статистика!$C$10)/MAX(Статистика!$G$10-Статистика!$C$10,0.000001),NA()))</f>
        <v>0.63287731666666669</v>
      </c>
      <c r="CC199" s="12">
        <f>IF(Y199="",NA(),IF(Статистика!$D$8="Вкл",(((IF(Статистика!$C$4="Параллельный режим (активная мощность)",AC199,AN199)+Статистика!$J$4))-Статистика!$C$10)/MAX(Статистика!$G$10-Статистика!$C$10,0.000001),NA()))</f>
        <v>0.60607001111111125</v>
      </c>
      <c r="CD199" s="12">
        <f>IF(Y199="",NA(),IF(Статистика!$D$8="Вкл",(((IF(Статистика!$C$4="Параллельный режим (активная мощность)",AE199,AP199)+Статистика!$J$4))-Статистика!$C$10)/MAX(Статистика!$G$10-Статистика!$C$10,0.000001),NA()))</f>
        <v>0.69206294722222206</v>
      </c>
      <c r="CE199" s="12">
        <f>IF(Y199="",NA(),IF(Статистика!$F$8="Вкл",(((IF(Статистика!$C$4="Параллельный режим (активная мощность)",AB199,AM199)+Статистика!$J$4))-Статистика!$C$10)/MAX(Статистика!$G$10-Статистика!$C$10,0.000001),NA()))</f>
        <v>0.55272175999999973</v>
      </c>
      <c r="CF199" s="12">
        <f>IF(Y199="",NA(),IF(Статистика!$F$8="Вкл",(((IF(Статистика!$C$4="Параллельный режим (активная мощность)",AF199,AQ199)+Статистика!$J$4))-Статистика!$C$10)/MAX(Статистика!$G$10-Статистика!$C$10,0.000001),NA()))</f>
        <v>0.79544835333333319</v>
      </c>
      <c r="CG199" s="12">
        <f>IF(Y199="",NA(),IF(Статистика!$H$8="Вкл",(((IF(Статистика!$C$4="Параллельный режим (активная мощность)",Z199,AK199)+Статистика!$J$4))-Статистика!$C$10)/MAX(Статистика!$G$10-Статистика!$C$10,0.000001),NA()))</f>
        <v>0.52458888599999987</v>
      </c>
      <c r="CH199" s="12">
        <f>IF(Y199="",NA(),IF(Статистика!$H$8="Вкл",(((IF(Статистика!$C$4="Параллельный режим (активная мощность)",AH199,AS199)+Статистика!$J$4))-Статистика!$C$10)/MAX(Статистика!$G$10-Статистика!$C$10,0.000001),NA()))</f>
        <v>0.80699089533333368</v>
      </c>
      <c r="CI199" s="12" t="e">
        <f>IF(Y199="",NA(),IF(Статистика!$J$8="Вкл",(((IF(Статистика!$C$4="Параллельный режим (активная мощность)",AI199,AT199)+Статистика!$J$4))-Статистика!$C$10)/MAX(Статистика!$G$10-Статистика!$C$10,0.000001),NA()))</f>
        <v>#N/A</v>
      </c>
      <c r="CJ199" s="12" t="e">
        <f>IF(AND(Y199&lt;&gt;"",Статистика!$C$6="Вкл",Статистика!$B$6&gt;0),(Статистика!$B$6-Статистика!$C$10)/MAX(Статистика!$G$10-Статистика!$C$10,0.000001),NA())</f>
        <v>#N/A</v>
      </c>
      <c r="CK199" s="12" t="e">
        <f>IF(AND(Y199&lt;&gt;"",Статистика!$F$6="Вкл",Статистика!$E$6&gt;0),(Статистика!$E$6-Статистика!$C$10)/MAX(Статистика!$G$10-Статистика!$C$10,0.000001),NA())</f>
        <v>#N/A</v>
      </c>
      <c r="CL199" s="12" t="e">
        <f>IF(AND(Y199&lt;&gt;"",Статистика!$I$6="Вкл",Статистика!$H$6&gt;0),(Статистика!$H$6-Статистика!$C$10)/MAX(Статистика!$G$10-Статистика!$C$10,0.000001),NA())</f>
        <v>#N/A</v>
      </c>
      <c r="CM199" s="12" t="e">
        <f>IF(AND(Y199&lt;&gt;"",Статистика!$L$6="Вкл",Статистика!$K$6&gt;0),(Статистика!$K$6-Статистика!$C$10)/MAX(Статистика!$G$10-Статистика!$C$10,0.000001),NA())</f>
        <v>#N/A</v>
      </c>
      <c r="CN199" s="12" t="e">
        <f>IF(AND(Y199&lt;&gt;"",Статистика!$M$6="Вкл",Статистика!$O$6&gt;0),(Статистика!$O$6-Статистика!$C$10)/MAX(Статистика!$G$10-Статистика!$C$10,0.000001),NA())</f>
        <v>#N/A</v>
      </c>
      <c r="CO199" s="12">
        <f t="shared" si="7"/>
        <v>1</v>
      </c>
    </row>
    <row r="200" spans="1:93" ht="15" customHeight="1">
      <c r="A200" s="12" t="s">
        <v>844</v>
      </c>
      <c r="B200" s="12">
        <v>7310.9930733333331</v>
      </c>
      <c r="C200" s="12">
        <v>7322.1205666666665</v>
      </c>
      <c r="D200" s="12">
        <v>7405.3670433333336</v>
      </c>
      <c r="E200" s="12">
        <v>7689.1251666666658</v>
      </c>
      <c r="F200" s="12">
        <v>7856.750266666666</v>
      </c>
      <c r="G200" s="12">
        <v>8022.0837583333332</v>
      </c>
      <c r="H200" s="12">
        <v>8328.8083599999991</v>
      </c>
      <c r="I200" s="12">
        <v>8458.696780833332</v>
      </c>
      <c r="J200" s="12">
        <v>8644.667729499999</v>
      </c>
      <c r="K200" s="12">
        <v>8793.9</v>
      </c>
      <c r="L200" s="12" t="s">
        <v>845</v>
      </c>
      <c r="M200" s="12">
        <v>8237.9823078333338</v>
      </c>
      <c r="N200" s="12">
        <v>8356.3534058333335</v>
      </c>
      <c r="O200" s="12">
        <v>8431.290738333335</v>
      </c>
      <c r="P200" s="12">
        <v>8680.3706000000002</v>
      </c>
      <c r="Q200" s="12">
        <v>8907.3665666666675</v>
      </c>
      <c r="R200" s="12">
        <v>9022.3167333333331</v>
      </c>
      <c r="S200" s="12">
        <v>9370.6086616666671</v>
      </c>
      <c r="T200" s="12">
        <v>9474.3538675</v>
      </c>
      <c r="U200" s="12">
        <v>9671.3452801666681</v>
      </c>
      <c r="V200" s="12">
        <v>9813.2999999999993</v>
      </c>
      <c r="W200" s="12" t="s">
        <v>845</v>
      </c>
      <c r="Y200" s="12" t="s">
        <v>844</v>
      </c>
      <c r="Z200" s="12">
        <v>7538.0240269999995</v>
      </c>
      <c r="AA200" s="12">
        <v>7587.0176016666665</v>
      </c>
      <c r="AB200" s="12">
        <v>7648.2595699999993</v>
      </c>
      <c r="AC200" s="12">
        <v>7808.8764000000001</v>
      </c>
      <c r="AD200" s="12">
        <v>7883.5424833333336</v>
      </c>
      <c r="AE200" s="12">
        <v>8105.2901833333344</v>
      </c>
      <c r="AF200" s="12">
        <v>8362.1866033333317</v>
      </c>
      <c r="AG200" s="12">
        <v>8363.1278183333325</v>
      </c>
      <c r="AH200" s="12">
        <v>8363.8807903333327</v>
      </c>
      <c r="AI200" s="12">
        <v>8479.09</v>
      </c>
      <c r="AJ200" s="12" t="s">
        <v>846</v>
      </c>
      <c r="AK200" s="12">
        <v>8557.2993055000006</v>
      </c>
      <c r="AL200" s="12">
        <v>8610.1623941666676</v>
      </c>
      <c r="AM200" s="12">
        <v>8676.241254999999</v>
      </c>
      <c r="AN200" s="12">
        <v>8855.9049916666663</v>
      </c>
      <c r="AO200" s="12">
        <v>8899.6697999999997</v>
      </c>
      <c r="AP200" s="12">
        <v>9186.1385583333322</v>
      </c>
      <c r="AQ200" s="12">
        <v>9429.2139700000007</v>
      </c>
      <c r="AR200" s="12">
        <v>9445.6343850000012</v>
      </c>
      <c r="AS200" s="12">
        <v>9458.7707170000012</v>
      </c>
      <c r="AT200" s="12">
        <v>9564.23</v>
      </c>
      <c r="AU200" s="12" t="s">
        <v>846</v>
      </c>
      <c r="AW200" s="12">
        <f>IF(A200="","",MAX(0,MIN(1,(((IF(Статистика!$C$4="Параллельный режим (активная мощность)",B200,M200)+Статистика!$J$4))-Статистика!$C$10)/MAX(Статистика!$G$10-Статистика!$C$10,0.000001))))</f>
        <v>0.43699769111111103</v>
      </c>
      <c r="AX200" s="12">
        <f>IF(A200="","",MAX(0,MAX(0,MIN(1,(((IF(Статистика!$C$4="Параллельный режим (активная мощность)",D200,O200)+Статистика!$J$4))-Статистика!$C$10)/MAX(Статистика!$G$10-Статистика!$C$10,0.000001)))-MAX(0,MIN(1,(((IF(Статистика!$C$4="Параллельный режим (активная мощность)",B200,M200)+Статистика!$J$4))-Статистика!$C$10)/MAX(Статистика!$G$10-Статистика!$C$10,0.000001)))))</f>
        <v>3.1457990000000158E-2</v>
      </c>
      <c r="AY200" s="12">
        <f>IF(A200="","",MAX(0,MAX(0,MIN(1,(((IF(Статистика!$C$4="Параллельный режим (активная мощность)",E200,P200)+Статистика!$J$4))-Статистика!$C$10)/MAX(Статистика!$G$10-Статистика!$C$10,0.000001)))-MAX(0,MIN(1,(((IF(Статистика!$C$4="Параллельный режим (активная мощность)",D200,O200)+Статистика!$J$4))-Статистика!$C$10)/MAX(Статистика!$G$10-Статистика!$C$10,0.000001)))))</f>
        <v>9.4586041111110741E-2</v>
      </c>
      <c r="AZ200" s="12">
        <f>IF(A200="","",MAX(0,MAX(0,MIN(1,(((IF(Статистика!$C$4="Параллельный режим (активная мощность)",F200,Q200)+Статистика!$J$4))-Статистика!$C$10)/MAX(Статистика!$G$10-Статистика!$C$10,0.000001)))-MAX(0,MIN(1,(((IF(Статистика!$C$4="Параллельный режим (активная мощность)",E200,P200)+Статистика!$J$4))-Статистика!$C$10)/MAX(Статистика!$G$10-Статистика!$C$10,0.000001)))))</f>
        <v>5.5875033333333435E-2</v>
      </c>
      <c r="BA200" s="12">
        <f>IF(A200="","",MAX(0,MAX(0,MIN(1,(((IF(Статистика!$C$4="Параллельный режим (активная мощность)",G200,R200)+Статистика!$J$4))-Статистика!$C$10)/MAX(Статистика!$G$10-Статистика!$C$10,0.000001)))-MAX(0,MIN(1,(((IF(Статистика!$C$4="Параллельный режим (активная мощность)",F200,Q200)+Статистика!$J$4))-Статистика!$C$10)/MAX(Статистика!$G$10-Статистика!$C$10,0.000001)))))</f>
        <v>5.5111163888889036E-2</v>
      </c>
      <c r="BB200" s="12">
        <f>IF(A200="","",MAX(0,MAX(0,MIN(1,(((IF(Статистика!$C$4="Параллельный режим (активная мощность)",H200,S200)+Статистика!$J$4))-Статистика!$C$10)/MAX(Статистика!$G$10-Статистика!$C$10,0.000001)))-MAX(0,MIN(1,(((IF(Статистика!$C$4="Параллельный режим (активная мощность)",G200,R200)+Статистика!$J$4))-Статистика!$C$10)/MAX(Статистика!$G$10-Статистика!$C$10,0.000001)))))</f>
        <v>0.10224153388888868</v>
      </c>
      <c r="BC200" s="12">
        <f>IF(A200="","",MAX(0,MAX(0,MIN(1,(((IF(Статистика!$C$4="Параллельный режим (активная мощность)",J200,U200)+Статистика!$J$4))-Статистика!$C$10)/MAX(Статистика!$G$10-Статистика!$C$10,0.000001)))-MAX(0,MIN(1,(((IF(Статистика!$C$4="Параллельный режим (активная мощность)",H200,S200)+Статистика!$J$4))-Статистика!$C$10)/MAX(Статистика!$G$10-Статистика!$C$10,0.000001)))))</f>
        <v>0.1052864564999999</v>
      </c>
      <c r="BD200" s="12">
        <f>IF(A200="","",MAX(0,1-MAX(0,MIN(1,(((IF(Статистика!$C$4="Параллельный режим (активная мощность)",J200,U200)+Статистика!$J$4))-Статистика!$C$10)/MAX(Статистика!$G$10-Статистика!$C$10,0.000001)))))</f>
        <v>0.11844409016666702</v>
      </c>
      <c r="BE200" s="12">
        <f>IF(A200="",NA(),IF(Статистика!$B$8="Вкл",(((IF(Статистика!$C$4="Параллельный режим (активная мощность)",F200,Q200)+Статистика!$J$4))-Статистика!$C$10)/MAX(Статистика!$G$10-Статистика!$C$10,0.000001),NA()))</f>
        <v>0.61891675555555536</v>
      </c>
      <c r="BF200" s="12">
        <f>IF(A200="",NA(),IF(Статистика!$D$8="Вкл",(((IF(Статистика!$C$4="Параллельный режим (активная мощность)",E200,P200)+Статистика!$J$4))-Статистика!$C$10)/MAX(Статистика!$G$10-Статистика!$C$10,0.000001),NA()))</f>
        <v>0.56304172222222193</v>
      </c>
      <c r="BG200" s="12">
        <f>IF(A200="",NA(),IF(Статистика!$D$8="Вкл",(((IF(Статистика!$C$4="Параллельный режим (активная мощность)",G200,R200)+Статистика!$J$4))-Статистика!$C$10)/MAX(Статистика!$G$10-Статистика!$C$10,0.000001),NA()))</f>
        <v>0.6740279194444444</v>
      </c>
      <c r="BH200" s="12">
        <f>IF(A200="",NA(),IF(Статистика!$F$8="Вкл",(((IF(Статистика!$C$4="Параллельный режим (активная мощность)",D200,O200)+Статистика!$J$4))-Статистика!$C$10)/MAX(Статистика!$G$10-Статистика!$C$10,0.000001),NA()))</f>
        <v>0.46845568111111119</v>
      </c>
      <c r="BI200" s="12">
        <f>IF(A200="",NA(),IF(Статистика!$F$8="Вкл",(((IF(Статистика!$C$4="Параллельный режим (активная мощность)",H200,S200)+Статистика!$J$4))-Статистика!$C$10)/MAX(Статистика!$G$10-Статистика!$C$10,0.000001),NA()))</f>
        <v>0.77626945333333308</v>
      </c>
      <c r="BJ200" s="12">
        <f>IF(A200="",NA(),IF(Статистика!$H$8="Вкл",(((IF(Статистика!$C$4="Параллельный режим (активная мощность)",B200,M200)+Статистика!$J$4))-Статистика!$C$10)/MAX(Статистика!$G$10-Статистика!$C$10,0.000001),NA()))</f>
        <v>0.43699769111111103</v>
      </c>
      <c r="BK200" s="12">
        <f>IF(A200="",NA(),IF(Статистика!$H$8="Вкл",(((IF(Статистика!$C$4="Параллельный режим (активная мощность)",J200,U200)+Статистика!$J$4))-Статистика!$C$10)/MAX(Статистика!$G$10-Статистика!$C$10,0.000001),NA()))</f>
        <v>0.88155590983333298</v>
      </c>
      <c r="BL200" s="12" t="e">
        <f>IF(A200="",NA(),IF(Статистика!$J$8="Вкл",(((IF(Статистика!$C$4="Параллельный режим (активная мощность)",K200,V200)+Статистика!$J$4))-Статистика!$C$10)/MAX(Статистика!$G$10-Статистика!$C$10,0.000001),NA()))</f>
        <v>#N/A</v>
      </c>
      <c r="BM200" s="12" t="e">
        <f>IF(AND(A200&lt;&gt;"",Статистика!$C$6="Вкл",Статистика!$B$6&gt;0),(Статистика!$B$6-Статистика!$C$10)/MAX(Статистика!$G$10-Статистика!$C$10,0.000001),NA())</f>
        <v>#N/A</v>
      </c>
      <c r="BN200" s="12" t="e">
        <f>IF(AND(A200&lt;&gt;"",Статистика!$F$6="Вкл",Статистика!$E$6&gt;0),(Статистика!$E$6-Статистика!$C$10)/MAX(Статистика!$G$10-Статистика!$C$10,0.000001),NA())</f>
        <v>#N/A</v>
      </c>
      <c r="BO200" s="12" t="e">
        <f>IF(AND(A200&lt;&gt;"",Статистика!$I$6="Вкл",Статистика!$H$6&gt;0),(Статистика!$H$6-Статистика!$C$10)/MAX(Статистика!$G$10-Статистика!$C$10,0.000001),NA())</f>
        <v>#N/A</v>
      </c>
      <c r="BP200" s="12" t="e">
        <f>IF(AND(A200&lt;&gt;"",Статистика!$L$6="Вкл",Статистика!$K$6&gt;0),(Статистика!$K$6-Статистика!$C$10)/MAX(Статистика!$G$10-Статистика!$C$10,0.000001),NA())</f>
        <v>#N/A</v>
      </c>
      <c r="BQ200" s="12" t="e">
        <f>IF(AND(A200&lt;&gt;"",Статистика!$M$6="Вкл",Статистика!$O$6&gt;0),(Статистика!$O$6-Статистика!$C$10)/MAX(Статистика!$G$10-Статистика!$C$10,0.000001),NA())</f>
        <v>#N/A</v>
      </c>
      <c r="BR200" s="12">
        <f t="shared" si="6"/>
        <v>1</v>
      </c>
      <c r="BT200" s="12">
        <f>IF(Y200="","",MAX(0,MIN(1,(((IF(Статистика!$C$4="Параллельный режим (активная мощность)",Z200,AK200)+Статистика!$J$4))-Статистика!$C$10)/MAX(Статистика!$G$10-Статистика!$C$10,0.000001))))</f>
        <v>0.51267467566666647</v>
      </c>
      <c r="BU200" s="12">
        <f>IF(Y200="","",MAX(0,MAX(0,MIN(1,(((IF(Статистика!$C$4="Параллельный режим (активная мощность)",AB200,AM200)+Статистика!$J$4))-Статистика!$C$10)/MAX(Статистика!$G$10-Статистика!$C$10,0.000001)))-MAX(0,MIN(1,(((IF(Статистика!$C$4="Параллельный режим (активная мощность)",Z200,AK200)+Статистика!$J$4))-Статистика!$C$10)/MAX(Статистика!$G$10-Статистика!$C$10,0.000001)))))</f>
        <v>3.6745180999999905E-2</v>
      </c>
      <c r="BV200" s="12">
        <f>IF(Y200="","",MAX(0,MAX(0,MIN(1,(((IF(Статистика!$C$4="Параллельный режим (активная мощность)",AC200,AN200)+Статистика!$J$4))-Статистика!$C$10)/MAX(Статистика!$G$10-Статистика!$C$10,0.000001)))-MAX(0,MIN(1,(((IF(Статистика!$C$4="Параллельный режим (активная мощность)",AB200,AM200)+Статистика!$J$4))-Статистика!$C$10)/MAX(Статистика!$G$10-Статистика!$C$10,0.000001)))))</f>
        <v>5.3538943333333644E-2</v>
      </c>
      <c r="BW200" s="12">
        <f>IF(Y200="","",MAX(0,MAX(0,MIN(1,(((IF(Статистика!$C$4="Параллельный режим (активная мощность)",AD200,AO200)+Статистика!$J$4))-Статистика!$C$10)/MAX(Статистика!$G$10-Статистика!$C$10,0.000001)))-MAX(0,MIN(1,(((IF(Статистика!$C$4="Параллельный режим (активная мощность)",AC200,AN200)+Статистика!$J$4))-Статистика!$C$10)/MAX(Статистика!$G$10-Статистика!$C$10,0.000001)))))</f>
        <v>2.4888694444444526E-2</v>
      </c>
      <c r="BX200" s="12">
        <f>IF(Y200="","",MAX(0,MAX(0,MIN(1,(((IF(Статистика!$C$4="Параллельный режим (активная мощность)",AE200,AP200)+Статистика!$J$4))-Статистика!$C$10)/MAX(Статистика!$G$10-Статистика!$C$10,0.000001)))-MAX(0,MIN(1,(((IF(Статистика!$C$4="Параллельный режим (активная мощность)",AD200,AO200)+Статистика!$J$4))-Статистика!$C$10)/MAX(Статистика!$G$10-Статистика!$C$10,0.000001)))))</f>
        <v>7.3915900000000256E-2</v>
      </c>
      <c r="BY200" s="12">
        <f>IF(Y200="","",MAX(0,MAX(0,MIN(1,(((IF(Статистика!$C$4="Параллельный режим (активная мощность)",AF200,AQ200)+Статистика!$J$4))-Статистика!$C$10)/MAX(Статистика!$G$10-Статистика!$C$10,0.000001)))-MAX(0,MIN(1,(((IF(Статистика!$C$4="Параллельный режим (активная мощность)",AE200,AP200)+Статистика!$J$4))-Статистика!$C$10)/MAX(Статистика!$G$10-Статистика!$C$10,0.000001)))))</f>
        <v>8.563213999999908E-2</v>
      </c>
      <c r="BZ200" s="12">
        <f>IF(Y200="","",MAX(0,MAX(0,MIN(1,(((IF(Статистика!$C$4="Параллельный режим (активная мощность)",AH200,AS200)+Статистика!$J$4))-Статистика!$C$10)/MAX(Статистика!$G$10-Статистика!$C$10,0.000001)))-MAX(0,MIN(1,(((IF(Статистика!$C$4="Параллельный режим (активная мощность)",AF200,AQ200)+Статистика!$J$4))-Статистика!$C$10)/MAX(Статистика!$G$10-Статистика!$C$10,0.000001)))))</f>
        <v>5.6472900000037463E-4</v>
      </c>
      <c r="CA200" s="12">
        <f>IF(Y200="","",MAX(0,1-MAX(0,MIN(1,(((IF(Статистика!$C$4="Параллельный режим (активная мощность)",AH200,AS200)+Статистика!$J$4))-Статистика!$C$10)/MAX(Статистика!$G$10-Статистика!$C$10,0.000001)))))</f>
        <v>0.21203973655555575</v>
      </c>
      <c r="CB200" s="12">
        <f>IF(Y200="",NA(),IF(Статистика!$B$8="Вкл",(((IF(Статистика!$C$4="Параллельный режим (активная мощность)",AD200,AO200)+Статистика!$J$4))-Статистика!$C$10)/MAX(Статистика!$G$10-Статистика!$C$10,0.000001),NA()))</f>
        <v>0.62784749444444454</v>
      </c>
      <c r="CC200" s="12">
        <f>IF(Y200="",NA(),IF(Статистика!$D$8="Вкл",(((IF(Статистика!$C$4="Параллельный режим (активная мощность)",AC200,AN200)+Статистика!$J$4))-Статистика!$C$10)/MAX(Статистика!$G$10-Статистика!$C$10,0.000001),NA()))</f>
        <v>0.60295880000000002</v>
      </c>
      <c r="CD200" s="12">
        <f>IF(Y200="",NA(),IF(Статистика!$D$8="Вкл",(((IF(Статистика!$C$4="Параллельный режим (активная мощность)",AE200,AP200)+Статистика!$J$4))-Статистика!$C$10)/MAX(Статистика!$G$10-Статистика!$C$10,0.000001),NA()))</f>
        <v>0.7017633944444448</v>
      </c>
      <c r="CE200" s="12">
        <f>IF(Y200="",NA(),IF(Статистика!$F$8="Вкл",(((IF(Статистика!$C$4="Параллельный режим (активная мощность)",AB200,AM200)+Статистика!$J$4))-Статистика!$C$10)/MAX(Статистика!$G$10-Статистика!$C$10,0.000001),NA()))</f>
        <v>0.54941985666666637</v>
      </c>
      <c r="CF200" s="12">
        <f>IF(Y200="",NA(),IF(Статистика!$F$8="Вкл",(((IF(Статистика!$C$4="Параллельный режим (активная мощность)",AF200,AQ200)+Статистика!$J$4))-Статистика!$C$10)/MAX(Статистика!$G$10-Статистика!$C$10,0.000001),NA()))</f>
        <v>0.78739553444444388</v>
      </c>
      <c r="CG200" s="12">
        <f>IF(Y200="",NA(),IF(Статистика!$H$8="Вкл",(((IF(Статистика!$C$4="Параллельный режим (активная мощность)",Z200,AK200)+Статистика!$J$4))-Статистика!$C$10)/MAX(Статистика!$G$10-Статистика!$C$10,0.000001),NA()))</f>
        <v>0.51267467566666647</v>
      </c>
      <c r="CH200" s="12">
        <f>IF(Y200="",NA(),IF(Статистика!$H$8="Вкл",(((IF(Статистика!$C$4="Параллельный режим (активная мощность)",AH200,AS200)+Статистика!$J$4))-Статистика!$C$10)/MAX(Статистика!$G$10-Статистика!$C$10,0.000001),NA()))</f>
        <v>0.78796026344444425</v>
      </c>
      <c r="CI200" s="12" t="e">
        <f>IF(Y200="",NA(),IF(Статистика!$J$8="Вкл",(((IF(Статистика!$C$4="Параллельный режим (активная мощность)",AI200,AT200)+Статистика!$J$4))-Статистика!$C$10)/MAX(Статистика!$G$10-Статистика!$C$10,0.000001),NA()))</f>
        <v>#N/A</v>
      </c>
      <c r="CJ200" s="12" t="e">
        <f>IF(AND(Y200&lt;&gt;"",Статистика!$C$6="Вкл",Статистика!$B$6&gt;0),(Статистика!$B$6-Статистика!$C$10)/MAX(Статистика!$G$10-Статистика!$C$10,0.000001),NA())</f>
        <v>#N/A</v>
      </c>
      <c r="CK200" s="12" t="e">
        <f>IF(AND(Y200&lt;&gt;"",Статистика!$F$6="Вкл",Статистика!$E$6&gt;0),(Статистика!$E$6-Статистика!$C$10)/MAX(Статистика!$G$10-Статистика!$C$10,0.000001),NA())</f>
        <v>#N/A</v>
      </c>
      <c r="CL200" s="12" t="e">
        <f>IF(AND(Y200&lt;&gt;"",Статистика!$I$6="Вкл",Статистика!$H$6&gt;0),(Статистика!$H$6-Статистика!$C$10)/MAX(Статистика!$G$10-Статистика!$C$10,0.000001),NA())</f>
        <v>#N/A</v>
      </c>
      <c r="CM200" s="12" t="e">
        <f>IF(AND(Y200&lt;&gt;"",Статистика!$L$6="Вкл",Статистика!$K$6&gt;0),(Статистика!$K$6-Статистика!$C$10)/MAX(Статистика!$G$10-Статистика!$C$10,0.000001),NA())</f>
        <v>#N/A</v>
      </c>
      <c r="CN200" s="12" t="e">
        <f>IF(AND(Y200&lt;&gt;"",Статистика!$M$6="Вкл",Статистика!$O$6&gt;0),(Статистика!$O$6-Статистика!$C$10)/MAX(Статистика!$G$10-Статистика!$C$10,0.000001),NA())</f>
        <v>#N/A</v>
      </c>
      <c r="CO200" s="12">
        <f t="shared" si="7"/>
        <v>1</v>
      </c>
    </row>
    <row r="201" spans="1:93" ht="15" customHeight="1">
      <c r="A201" s="12" t="s">
        <v>847</v>
      </c>
      <c r="B201" s="12">
        <v>7391.2927968333324</v>
      </c>
      <c r="C201" s="12">
        <v>7393.7421174999999</v>
      </c>
      <c r="D201" s="12">
        <v>7455.9918933333338</v>
      </c>
      <c r="E201" s="12">
        <v>7701.2939666666671</v>
      </c>
      <c r="F201" s="12">
        <v>7840.1638666666677</v>
      </c>
      <c r="G201" s="12">
        <v>8005.4690666666665</v>
      </c>
      <c r="H201" s="12">
        <v>8308.3776350000007</v>
      </c>
      <c r="I201" s="12">
        <v>8418.8332174999996</v>
      </c>
      <c r="J201" s="12">
        <v>8607.4212035</v>
      </c>
      <c r="K201" s="12">
        <v>8744.5</v>
      </c>
      <c r="L201" s="12" t="s">
        <v>848</v>
      </c>
      <c r="M201" s="12">
        <v>8337.3351243333345</v>
      </c>
      <c r="N201" s="12">
        <v>8443.9096216666676</v>
      </c>
      <c r="O201" s="12">
        <v>8503.3729383333339</v>
      </c>
      <c r="P201" s="12">
        <v>8709.526558333333</v>
      </c>
      <c r="Q201" s="12">
        <v>8886.6031833333327</v>
      </c>
      <c r="R201" s="12">
        <v>9057.4061916666669</v>
      </c>
      <c r="S201" s="12">
        <v>9358.393435</v>
      </c>
      <c r="T201" s="12">
        <v>9465.6268125000006</v>
      </c>
      <c r="U201" s="12">
        <v>9625.8283225000014</v>
      </c>
      <c r="V201" s="12">
        <v>9755.3700000000008</v>
      </c>
      <c r="W201" s="12" t="s">
        <v>848</v>
      </c>
      <c r="Y201" s="12" t="s">
        <v>847</v>
      </c>
      <c r="Z201" s="12">
        <v>7523.1477701666654</v>
      </c>
      <c r="AA201" s="12">
        <v>7574.8852508333321</v>
      </c>
      <c r="AB201" s="12">
        <v>7639.5571016666654</v>
      </c>
      <c r="AC201" s="12">
        <v>7815.878233333332</v>
      </c>
      <c r="AD201" s="12">
        <v>7911.7475000000013</v>
      </c>
      <c r="AE201" s="12">
        <v>8069.5264083333332</v>
      </c>
      <c r="AF201" s="12">
        <v>8312.1541533333329</v>
      </c>
      <c r="AG201" s="12">
        <v>8317.3883933333327</v>
      </c>
      <c r="AH201" s="12">
        <v>8321.5757853333344</v>
      </c>
      <c r="AI201" s="12">
        <v>8438.0400000000009</v>
      </c>
      <c r="AJ201" s="12" t="s">
        <v>849</v>
      </c>
      <c r="AK201" s="12">
        <v>8538.5473674999994</v>
      </c>
      <c r="AL201" s="12">
        <v>8601.3211041666655</v>
      </c>
      <c r="AM201" s="12">
        <v>8679.788274999999</v>
      </c>
      <c r="AN201" s="12">
        <v>8828.6193999999996</v>
      </c>
      <c r="AO201" s="12">
        <v>8974.3676333333333</v>
      </c>
      <c r="AP201" s="12">
        <v>9144.5307916666661</v>
      </c>
      <c r="AQ201" s="12">
        <v>9360.0233883333312</v>
      </c>
      <c r="AR201" s="12">
        <v>9362.4803941666651</v>
      </c>
      <c r="AS201" s="12">
        <v>9364.4459988333329</v>
      </c>
      <c r="AT201" s="12">
        <v>9493.98</v>
      </c>
      <c r="AU201" s="12" t="s">
        <v>850</v>
      </c>
      <c r="AW201" s="12">
        <f>IF(A201="","",MAX(0,MIN(1,(((IF(Статистика!$C$4="Параллельный режим (активная мощность)",B201,M201)+Статистика!$J$4))-Статистика!$C$10)/MAX(Статистика!$G$10-Статистика!$C$10,0.000001))))</f>
        <v>0.46376426561111084</v>
      </c>
      <c r="AX201" s="12">
        <f>IF(A201="","",MAX(0,MAX(0,MIN(1,(((IF(Статистика!$C$4="Параллельный режим (активная мощность)",D201,O201)+Статистика!$J$4))-Статистика!$C$10)/MAX(Статистика!$G$10-Статистика!$C$10,0.000001)))-MAX(0,MIN(1,(((IF(Статистика!$C$4="Параллельный режим (активная мощность)",B201,M201)+Статистика!$J$4))-Статистика!$C$10)/MAX(Статистика!$G$10-Статистика!$C$10,0.000001)))))</f>
        <v>2.1566365500000406E-2</v>
      </c>
      <c r="AY201" s="12">
        <f>IF(A201="","",MAX(0,MAX(0,MIN(1,(((IF(Статистика!$C$4="Параллельный режим (активная мощность)",E201,P201)+Статистика!$J$4))-Статистика!$C$10)/MAX(Статистика!$G$10-Статистика!$C$10,0.000001)))-MAX(0,MIN(1,(((IF(Статистика!$C$4="Параллельный режим (активная мощность)",D201,O201)+Статистика!$J$4))-Статистика!$C$10)/MAX(Статистика!$G$10-Статистика!$C$10,0.000001)))))</f>
        <v>8.1767357777777827E-2</v>
      </c>
      <c r="AZ201" s="12">
        <f>IF(A201="","",MAX(0,MAX(0,MIN(1,(((IF(Статистика!$C$4="Параллельный режим (активная мощность)",F201,Q201)+Статистика!$J$4))-Статистика!$C$10)/MAX(Статистика!$G$10-Статистика!$C$10,0.000001)))-MAX(0,MIN(1,(((IF(Статистика!$C$4="Параллельный режим (активная мощность)",E201,P201)+Статистика!$J$4))-Статистика!$C$10)/MAX(Статистика!$G$10-Статистика!$C$10,0.000001)))))</f>
        <v>4.6289966666666849E-2</v>
      </c>
      <c r="BA201" s="12">
        <f>IF(A201="","",MAX(0,MAX(0,MIN(1,(((IF(Статистика!$C$4="Параллельный режим (активная мощность)",G201,R201)+Статистика!$J$4))-Статистика!$C$10)/MAX(Статистика!$G$10-Статистика!$C$10,0.000001)))-MAX(0,MIN(1,(((IF(Статистика!$C$4="Параллельный режим (активная мощность)",F201,Q201)+Статистика!$J$4))-Статистика!$C$10)/MAX(Статистика!$G$10-Статистика!$C$10,0.000001)))))</f>
        <v>5.5101733333332903E-2</v>
      </c>
      <c r="BB201" s="12">
        <f>IF(A201="","",MAX(0,MAX(0,MIN(1,(((IF(Статистика!$C$4="Параллельный режим (активная мощность)",H201,S201)+Статистика!$J$4))-Статистика!$C$10)/MAX(Статистика!$G$10-Статистика!$C$10,0.000001)))-MAX(0,MIN(1,(((IF(Статистика!$C$4="Параллельный режим (активная мощность)",G201,R201)+Статистика!$J$4))-Статистика!$C$10)/MAX(Статистика!$G$10-Статистика!$C$10,0.000001)))))</f>
        <v>0.10096952277777804</v>
      </c>
      <c r="BC201" s="12">
        <f>IF(A201="","",MAX(0,MAX(0,MIN(1,(((IF(Статистика!$C$4="Параллельный режим (активная мощность)",J201,U201)+Статистика!$J$4))-Статистика!$C$10)/MAX(Статистика!$G$10-Статистика!$C$10,0.000001)))-MAX(0,MIN(1,(((IF(Статистика!$C$4="Параллельный режим (активная мощность)",H201,S201)+Статистика!$J$4))-Статистика!$C$10)/MAX(Статистика!$G$10-Статистика!$C$10,0.000001)))))</f>
        <v>9.9681189499999823E-2</v>
      </c>
      <c r="BD201" s="12">
        <f>IF(A201="","",MAX(0,1-MAX(0,MIN(1,(((IF(Статистика!$C$4="Параллельный режим (активная мощность)",J201,U201)+Статистика!$J$4))-Статистика!$C$10)/MAX(Статистика!$G$10-Статистика!$C$10,0.000001)))))</f>
        <v>0.13085959883333331</v>
      </c>
      <c r="BE201" s="12">
        <f>IF(A201="",NA(),IF(Статистика!$B$8="Вкл",(((IF(Статистика!$C$4="Параллельный режим (активная мощность)",F201,Q201)+Статистика!$J$4))-Статистика!$C$10)/MAX(Статистика!$G$10-Статистика!$C$10,0.000001),NA()))</f>
        <v>0.61338795555555592</v>
      </c>
      <c r="BF201" s="12">
        <f>IF(A201="",NA(),IF(Статистика!$D$8="Вкл",(((IF(Статистика!$C$4="Параллельный режим (активная мощность)",E201,P201)+Статистика!$J$4))-Статистика!$C$10)/MAX(Статистика!$G$10-Статистика!$C$10,0.000001),NA()))</f>
        <v>0.56709798888888907</v>
      </c>
      <c r="BG201" s="12">
        <f>IF(A201="",NA(),IF(Статистика!$D$8="Вкл",(((IF(Статистика!$C$4="Параллельный режим (активная мощность)",G201,R201)+Статистика!$J$4))-Статистика!$C$10)/MAX(Статистика!$G$10-Статистика!$C$10,0.000001),NA()))</f>
        <v>0.66848968888888882</v>
      </c>
      <c r="BH201" s="12">
        <f>IF(A201="",NA(),IF(Статистика!$F$8="Вкл",(((IF(Статистика!$C$4="Параллельный режим (активная мощность)",D201,O201)+Статистика!$J$4))-Статистика!$C$10)/MAX(Статистика!$G$10-Статистика!$C$10,0.000001),NA()))</f>
        <v>0.48533063111111124</v>
      </c>
      <c r="BI201" s="12">
        <f>IF(A201="",NA(),IF(Статистика!$F$8="Вкл",(((IF(Статистика!$C$4="Параллельный режим (активная мощность)",H201,S201)+Статистика!$J$4))-Статистика!$C$10)/MAX(Статистика!$G$10-Статистика!$C$10,0.000001),NA()))</f>
        <v>0.76945921166666686</v>
      </c>
      <c r="BJ201" s="12">
        <f>IF(A201="",NA(),IF(Статистика!$H$8="Вкл",(((IF(Статистика!$C$4="Параллельный режим (активная мощность)",B201,M201)+Статистика!$J$4))-Статистика!$C$10)/MAX(Статистика!$G$10-Статистика!$C$10,0.000001),NA()))</f>
        <v>0.46376426561111084</v>
      </c>
      <c r="BK201" s="12">
        <f>IF(A201="",NA(),IF(Статистика!$H$8="Вкл",(((IF(Статистика!$C$4="Параллельный режим (активная мощность)",J201,U201)+Статистика!$J$4))-Статистика!$C$10)/MAX(Статистика!$G$10-Статистика!$C$10,0.000001),NA()))</f>
        <v>0.86914040116666669</v>
      </c>
      <c r="BL201" s="12" t="e">
        <f>IF(A201="",NA(),IF(Статистика!$J$8="Вкл",(((IF(Статистика!$C$4="Параллельный режим (активная мощность)",K201,V201)+Статистика!$J$4))-Статистика!$C$10)/MAX(Статистика!$G$10-Статистика!$C$10,0.000001),NA()))</f>
        <v>#N/A</v>
      </c>
      <c r="BM201" s="12" t="e">
        <f>IF(AND(A201&lt;&gt;"",Статистика!$C$6="Вкл",Статистика!$B$6&gt;0),(Статистика!$B$6-Статистика!$C$10)/MAX(Статистика!$G$10-Статистика!$C$10,0.000001),NA())</f>
        <v>#N/A</v>
      </c>
      <c r="BN201" s="12" t="e">
        <f>IF(AND(A201&lt;&gt;"",Статистика!$F$6="Вкл",Статистика!$E$6&gt;0),(Статистика!$E$6-Статистика!$C$10)/MAX(Статистика!$G$10-Статистика!$C$10,0.000001),NA())</f>
        <v>#N/A</v>
      </c>
      <c r="BO201" s="12" t="e">
        <f>IF(AND(A201&lt;&gt;"",Статистика!$I$6="Вкл",Статистика!$H$6&gt;0),(Статистика!$H$6-Статистика!$C$10)/MAX(Статистика!$G$10-Статистика!$C$10,0.000001),NA())</f>
        <v>#N/A</v>
      </c>
      <c r="BP201" s="12" t="e">
        <f>IF(AND(A201&lt;&gt;"",Статистика!$L$6="Вкл",Статистика!$K$6&gt;0),(Статистика!$K$6-Статистика!$C$10)/MAX(Статистика!$G$10-Статистика!$C$10,0.000001),NA())</f>
        <v>#N/A</v>
      </c>
      <c r="BQ201" s="12" t="e">
        <f>IF(AND(A201&lt;&gt;"",Статистика!$M$6="Вкл",Статистика!$O$6&gt;0),(Статистика!$O$6-Статистика!$C$10)/MAX(Статистика!$G$10-Статистика!$C$10,0.000001),NA())</f>
        <v>#N/A</v>
      </c>
      <c r="BR201" s="12">
        <f t="shared" si="6"/>
        <v>1</v>
      </c>
      <c r="BT201" s="12">
        <f>IF(Y201="","",MAX(0,MIN(1,(((IF(Статистика!$C$4="Параллельный режим (активная мощность)",Z201,AK201)+Статистика!$J$4))-Статистика!$C$10)/MAX(Статистика!$G$10-Статистика!$C$10,0.000001))))</f>
        <v>0.50771592338888849</v>
      </c>
      <c r="BU201" s="12">
        <f>IF(Y201="","",MAX(0,MAX(0,MIN(1,(((IF(Статистика!$C$4="Параллельный режим (активная мощность)",AB201,AM201)+Статистика!$J$4))-Статистика!$C$10)/MAX(Статистика!$G$10-Статистика!$C$10,0.000001)))-MAX(0,MIN(1,(((IF(Статистика!$C$4="Параллельный режим (активная мощность)",Z201,AK201)+Статистика!$J$4))-Статистика!$C$10)/MAX(Статистика!$G$10-Статистика!$C$10,0.000001)))))</f>
        <v>3.880311049999996E-2</v>
      </c>
      <c r="BV201" s="12">
        <f>IF(Y201="","",MAX(0,MAX(0,MIN(1,(((IF(Статистика!$C$4="Параллельный режим (активная мощность)",AC201,AN201)+Статистика!$J$4))-Статистика!$C$10)/MAX(Статистика!$G$10-Статистика!$C$10,0.000001)))-MAX(0,MIN(1,(((IF(Статистика!$C$4="Параллельный режим (активная мощность)",AB201,AM201)+Статистика!$J$4))-Статистика!$C$10)/MAX(Статистика!$G$10-Статистика!$C$10,0.000001)))))</f>
        <v>5.8773710555555581E-2</v>
      </c>
      <c r="BW201" s="12">
        <f>IF(Y201="","",MAX(0,MAX(0,MIN(1,(((IF(Статистика!$C$4="Параллельный режим (активная мощность)",AD201,AO201)+Статистика!$J$4))-Статистика!$C$10)/MAX(Статистика!$G$10-Статистика!$C$10,0.000001)))-MAX(0,MIN(1,(((IF(Статистика!$C$4="Параллельный режим (активная мощность)",AC201,AN201)+Статистика!$J$4))-Статистика!$C$10)/MAX(Статистика!$G$10-Статистика!$C$10,0.000001)))))</f>
        <v>3.1956422222223058E-2</v>
      </c>
      <c r="BX201" s="12">
        <f>IF(Y201="","",MAX(0,MAX(0,MIN(1,(((IF(Статистика!$C$4="Параллельный режим (активная мощность)",AE201,AP201)+Статистика!$J$4))-Статистика!$C$10)/MAX(Статистика!$G$10-Статистика!$C$10,0.000001)))-MAX(0,MIN(1,(((IF(Статистика!$C$4="Параллельный режим (активная мощность)",AD201,AO201)+Статистика!$J$4))-Статистика!$C$10)/MAX(Статистика!$G$10-Статистика!$C$10,0.000001)))))</f>
        <v>5.2592969444443916E-2</v>
      </c>
      <c r="BY201" s="12">
        <f>IF(Y201="","",MAX(0,MAX(0,MIN(1,(((IF(Статистика!$C$4="Параллельный режим (активная мощность)",AF201,AQ201)+Статистика!$J$4))-Статистика!$C$10)/MAX(Статистика!$G$10-Статистика!$C$10,0.000001)))-MAX(0,MIN(1,(((IF(Статистика!$C$4="Параллельный режим (активная мощность)",AE201,AP201)+Статистика!$J$4))-Статистика!$C$10)/MAX(Статистика!$G$10-Статистика!$C$10,0.000001)))))</f>
        <v>8.087591500000002E-2</v>
      </c>
      <c r="BZ201" s="12">
        <f>IF(Y201="","",MAX(0,MAX(0,MIN(1,(((IF(Статистика!$C$4="Параллельный режим (активная мощность)",AH201,AS201)+Статистика!$J$4))-Статистика!$C$10)/MAX(Статистика!$G$10-Статистика!$C$10,0.000001)))-MAX(0,MIN(1,(((IF(Статистика!$C$4="Параллельный режим (активная мощность)",AF201,AQ201)+Статистика!$J$4))-Статистика!$C$10)/MAX(Статистика!$G$10-Статистика!$C$10,0.000001)))))</f>
        <v>3.1405440000004115E-3</v>
      </c>
      <c r="CA201" s="12">
        <f>IF(Y201="","",MAX(0,1-MAX(0,MIN(1,(((IF(Статистика!$C$4="Параллельный режим (активная мощность)",AH201,AS201)+Статистика!$J$4))-Статистика!$C$10)/MAX(Статистика!$G$10-Статистика!$C$10,0.000001)))))</f>
        <v>0.22614140488888856</v>
      </c>
      <c r="CB201" s="12">
        <f>IF(Y201="",NA(),IF(Статистика!$B$8="Вкл",(((IF(Статистика!$C$4="Параллельный режим (активная мощность)",AD201,AO201)+Статистика!$J$4))-Статистика!$C$10)/MAX(Статистика!$G$10-Статистика!$C$10,0.000001),NA()))</f>
        <v>0.63724916666666709</v>
      </c>
      <c r="CC201" s="12">
        <f>IF(Y201="",NA(),IF(Статистика!$D$8="Вкл",(((IF(Статистика!$C$4="Параллельный режим (активная мощность)",AC201,AN201)+Статистика!$J$4))-Статистика!$C$10)/MAX(Статистика!$G$10-Статистика!$C$10,0.000001),NA()))</f>
        <v>0.60529274444444403</v>
      </c>
      <c r="CD201" s="12">
        <f>IF(Y201="",NA(),IF(Статистика!$D$8="Вкл",(((IF(Статистика!$C$4="Параллельный режим (активная мощность)",AE201,AP201)+Статистика!$J$4))-Статистика!$C$10)/MAX(Статистика!$G$10-Статистика!$C$10,0.000001),NA()))</f>
        <v>0.689842136111111</v>
      </c>
      <c r="CE201" s="12">
        <f>IF(Y201="",NA(),IF(Статистика!$F$8="Вкл",(((IF(Статистика!$C$4="Параллельный режим (активная мощность)",AB201,AM201)+Статистика!$J$4))-Статистика!$C$10)/MAX(Статистика!$G$10-Статистика!$C$10,0.000001),NA()))</f>
        <v>0.54651903388888845</v>
      </c>
      <c r="CF201" s="12">
        <f>IF(Y201="",NA(),IF(Статистика!$F$8="Вкл",(((IF(Статистика!$C$4="Параллельный режим (активная мощность)",AF201,AQ201)+Статистика!$J$4))-Статистика!$C$10)/MAX(Статистика!$G$10-Статистика!$C$10,0.000001),NA()))</f>
        <v>0.77071805111111102</v>
      </c>
      <c r="CG201" s="12">
        <f>IF(Y201="",NA(),IF(Статистика!$H$8="Вкл",(((IF(Статистика!$C$4="Параллельный режим (активная мощность)",Z201,AK201)+Статистика!$J$4))-Статистика!$C$10)/MAX(Статистика!$G$10-Статистика!$C$10,0.000001),NA()))</f>
        <v>0.50771592338888849</v>
      </c>
      <c r="CH201" s="12">
        <f>IF(Y201="",NA(),IF(Статистика!$H$8="Вкл",(((IF(Статистика!$C$4="Параллельный режим (активная мощность)",AH201,AS201)+Статистика!$J$4))-Статистика!$C$10)/MAX(Статистика!$G$10-Статистика!$C$10,0.000001),NA()))</f>
        <v>0.77385859511111144</v>
      </c>
      <c r="CI201" s="12" t="e">
        <f>IF(Y201="",NA(),IF(Статистика!$J$8="Вкл",(((IF(Статистика!$C$4="Параллельный режим (активная мощность)",AI201,AT201)+Статистика!$J$4))-Статистика!$C$10)/MAX(Статистика!$G$10-Статистика!$C$10,0.000001),NA()))</f>
        <v>#N/A</v>
      </c>
      <c r="CJ201" s="12" t="e">
        <f>IF(AND(Y201&lt;&gt;"",Статистика!$C$6="Вкл",Статистика!$B$6&gt;0),(Статистика!$B$6-Статистика!$C$10)/MAX(Статистика!$G$10-Статистика!$C$10,0.000001),NA())</f>
        <v>#N/A</v>
      </c>
      <c r="CK201" s="12" t="e">
        <f>IF(AND(Y201&lt;&gt;"",Статистика!$F$6="Вкл",Статистика!$E$6&gt;0),(Статистика!$E$6-Статистика!$C$10)/MAX(Статистика!$G$10-Статистика!$C$10,0.000001),NA())</f>
        <v>#N/A</v>
      </c>
      <c r="CL201" s="12" t="e">
        <f>IF(AND(Y201&lt;&gt;"",Статистика!$I$6="Вкл",Статистика!$H$6&gt;0),(Статистика!$H$6-Статистика!$C$10)/MAX(Статистика!$G$10-Статистика!$C$10,0.000001),NA())</f>
        <v>#N/A</v>
      </c>
      <c r="CM201" s="12" t="e">
        <f>IF(AND(Y201&lt;&gt;"",Статистика!$L$6="Вкл",Статистика!$K$6&gt;0),(Статистика!$K$6-Статистика!$C$10)/MAX(Статистика!$G$10-Статистика!$C$10,0.000001),NA())</f>
        <v>#N/A</v>
      </c>
      <c r="CN201" s="12" t="e">
        <f>IF(AND(Y201&lt;&gt;"",Статистика!$M$6="Вкл",Статистика!$O$6&gt;0),(Статистика!$O$6-Статистика!$C$10)/MAX(Статистика!$G$10-Статистика!$C$10,0.000001),NA())</f>
        <v>#N/A</v>
      </c>
      <c r="CO201" s="12">
        <f t="shared" si="7"/>
        <v>1</v>
      </c>
    </row>
    <row r="202" spans="1:93" ht="15" customHeight="1">
      <c r="A202" s="12" t="s">
        <v>851</v>
      </c>
      <c r="B202" s="12">
        <v>7347.4930304999998</v>
      </c>
      <c r="C202" s="12">
        <v>7382.3786191666659</v>
      </c>
      <c r="D202" s="12">
        <v>7417.4686799999999</v>
      </c>
      <c r="E202" s="12">
        <v>7729.2110666666667</v>
      </c>
      <c r="F202" s="12">
        <v>7830.50605</v>
      </c>
      <c r="G202" s="12">
        <v>7926.5436833333333</v>
      </c>
      <c r="H202" s="12">
        <v>8249.994375000002</v>
      </c>
      <c r="I202" s="12">
        <v>8359.5587650000016</v>
      </c>
      <c r="J202" s="12">
        <v>8540.9900730000008</v>
      </c>
      <c r="K202" s="12">
        <v>8702.49</v>
      </c>
      <c r="L202" s="12" t="s">
        <v>852</v>
      </c>
      <c r="M202" s="12">
        <v>8353.7832188333341</v>
      </c>
      <c r="N202" s="12">
        <v>8421.604494166666</v>
      </c>
      <c r="O202" s="12">
        <v>8462.1501083333333</v>
      </c>
      <c r="P202" s="12">
        <v>8760.1958249999989</v>
      </c>
      <c r="Q202" s="12">
        <v>8877.2632333333331</v>
      </c>
      <c r="R202" s="12">
        <v>8964.7904500000004</v>
      </c>
      <c r="S202" s="12">
        <v>9374.9809549999991</v>
      </c>
      <c r="T202" s="12">
        <v>9468.5549800000008</v>
      </c>
      <c r="U202" s="12">
        <v>9576.2048360000008</v>
      </c>
      <c r="V202" s="12">
        <v>9711.52</v>
      </c>
      <c r="W202" s="12" t="s">
        <v>853</v>
      </c>
      <c r="Y202" s="12" t="s">
        <v>851</v>
      </c>
      <c r="Z202" s="12">
        <v>7530.7131026666657</v>
      </c>
      <c r="AA202" s="12">
        <v>7571.8359133333324</v>
      </c>
      <c r="AB202" s="12">
        <v>7623.2394266666661</v>
      </c>
      <c r="AC202" s="12">
        <v>7774.2297083333342</v>
      </c>
      <c r="AD202" s="12">
        <v>7889.1846500000001</v>
      </c>
      <c r="AE202" s="12">
        <v>8063.0892749999994</v>
      </c>
      <c r="AF202" s="12">
        <v>8320.2626083333325</v>
      </c>
      <c r="AG202" s="12">
        <v>8322.3442208333327</v>
      </c>
      <c r="AH202" s="12">
        <v>8324.0095108333335</v>
      </c>
      <c r="AI202" s="12">
        <v>8437.5300000000007</v>
      </c>
      <c r="AJ202" s="12" t="s">
        <v>854</v>
      </c>
      <c r="AK202" s="12">
        <v>8563.6130549999998</v>
      </c>
      <c r="AL202" s="12">
        <v>8603.0886083333335</v>
      </c>
      <c r="AM202" s="12">
        <v>8652.4330500000015</v>
      </c>
      <c r="AN202" s="12">
        <v>8788.3129000000008</v>
      </c>
      <c r="AO202" s="12">
        <v>8945.1424833333331</v>
      </c>
      <c r="AP202" s="12">
        <v>9111.0438166666645</v>
      </c>
      <c r="AQ202" s="12">
        <v>9355.9660316666668</v>
      </c>
      <c r="AR202" s="12">
        <v>9358.1683325000013</v>
      </c>
      <c r="AS202" s="12">
        <v>9359.9301731666674</v>
      </c>
      <c r="AT202" s="12">
        <v>9470.6299999999992</v>
      </c>
      <c r="AU202" s="12" t="s">
        <v>854</v>
      </c>
      <c r="AW202" s="12">
        <f>IF(A202="","",MAX(0,MIN(1,(((IF(Статистика!$C$4="Параллельный режим (активная мощность)",B202,M202)+Статистика!$J$4))-Статистика!$C$10)/MAX(Статистика!$G$10-Статистика!$C$10,0.000001))))</f>
        <v>0.44916434349999995</v>
      </c>
      <c r="AX202" s="12">
        <f>IF(A202="","",MAX(0,MAX(0,MIN(1,(((IF(Статистика!$C$4="Параллельный режим (активная мощность)",D202,O202)+Статистика!$J$4))-Статистика!$C$10)/MAX(Статистика!$G$10-Статистика!$C$10,0.000001)))-MAX(0,MIN(1,(((IF(Статистика!$C$4="Параллельный режим (активная мощность)",B202,M202)+Статистика!$J$4))-Статистика!$C$10)/MAX(Статистика!$G$10-Статистика!$C$10,0.000001)))))</f>
        <v>2.3325216500000023E-2</v>
      </c>
      <c r="AY202" s="12">
        <f>IF(A202="","",MAX(0,MAX(0,MIN(1,(((IF(Статистика!$C$4="Параллельный режим (активная мощность)",E202,P202)+Статистика!$J$4))-Статистика!$C$10)/MAX(Статистика!$G$10-Статистика!$C$10,0.000001)))-MAX(0,MIN(1,(((IF(Статистика!$C$4="Параллельный режим (активная мощность)",D202,O202)+Статистика!$J$4))-Статистика!$C$10)/MAX(Статистика!$G$10-Статистика!$C$10,0.000001)))))</f>
        <v>0.10391412888888896</v>
      </c>
      <c r="AZ202" s="12">
        <f>IF(A202="","",MAX(0,MAX(0,MIN(1,(((IF(Статистика!$C$4="Параллельный режим (активная мощность)",F202,Q202)+Статистика!$J$4))-Статистика!$C$10)/MAX(Статистика!$G$10-Статистика!$C$10,0.000001)))-MAX(0,MIN(1,(((IF(Статистика!$C$4="Параллельный режим (активная мощность)",E202,P202)+Статистика!$J$4))-Статистика!$C$10)/MAX(Статистика!$G$10-Статистика!$C$10,0.000001)))))</f>
        <v>3.3764994444444363E-2</v>
      </c>
      <c r="BA202" s="12">
        <f>IF(A202="","",MAX(0,MAX(0,MIN(1,(((IF(Статистика!$C$4="Параллельный режим (активная мощность)",G202,R202)+Статистика!$J$4))-Статистика!$C$10)/MAX(Статистика!$G$10-Статистика!$C$10,0.000001)))-MAX(0,MIN(1,(((IF(Статистика!$C$4="Параллельный режим (активная мощность)",F202,Q202)+Статистика!$J$4))-Статистика!$C$10)/MAX(Статистика!$G$10-Статистика!$C$10,0.000001)))))</f>
        <v>3.2012544444444457E-2</v>
      </c>
      <c r="BB202" s="12">
        <f>IF(A202="","",MAX(0,MAX(0,MIN(1,(((IF(Статистика!$C$4="Параллельный режим (активная мощность)",H202,S202)+Статистика!$J$4))-Статистика!$C$10)/MAX(Статистика!$G$10-Статистика!$C$10,0.000001)))-MAX(0,MIN(1,(((IF(Статистика!$C$4="Параллельный режим (активная мощность)",G202,R202)+Статистика!$J$4))-Статистика!$C$10)/MAX(Статистика!$G$10-Статистика!$C$10,0.000001)))))</f>
        <v>0.10781689722222287</v>
      </c>
      <c r="BC202" s="12">
        <f>IF(A202="","",MAX(0,MAX(0,MIN(1,(((IF(Статистика!$C$4="Параллельный режим (активная мощность)",J202,U202)+Статистика!$J$4))-Статистика!$C$10)/MAX(Статистика!$G$10-Статистика!$C$10,0.000001)))-MAX(0,MIN(1,(((IF(Статистика!$C$4="Параллельный режим (активная мощность)",H202,S202)+Статистика!$J$4))-Статистика!$C$10)/MAX(Статистика!$G$10-Статистика!$C$10,0.000001)))))</f>
        <v>9.6998565999999675E-2</v>
      </c>
      <c r="BD202" s="12">
        <f>IF(A202="","",MAX(0,1-MAX(0,MIN(1,(((IF(Статистика!$C$4="Параллельный режим (активная мощность)",J202,U202)+Статистика!$J$4))-Статистика!$C$10)/MAX(Статистика!$G$10-Статистика!$C$10,0.000001)))))</f>
        <v>0.1530033089999997</v>
      </c>
      <c r="BE202" s="12">
        <f>IF(A202="",NA(),IF(Статистика!$B$8="Вкл",(((IF(Статистика!$C$4="Параллельный режим (активная мощность)",F202,Q202)+Статистика!$J$4))-Статистика!$C$10)/MAX(Статистика!$G$10-Статистика!$C$10,0.000001),NA()))</f>
        <v>0.61016868333333329</v>
      </c>
      <c r="BF202" s="12">
        <f>IF(A202="",NA(),IF(Статистика!$D$8="Вкл",(((IF(Статистика!$C$4="Параллельный режим (активная мощность)",E202,P202)+Статистика!$J$4))-Статистика!$C$10)/MAX(Статистика!$G$10-Статистика!$C$10,0.000001),NA()))</f>
        <v>0.57640368888888893</v>
      </c>
      <c r="BG202" s="12">
        <f>IF(A202="",NA(),IF(Статистика!$D$8="Вкл",(((IF(Статистика!$C$4="Параллельный режим (активная мощность)",G202,R202)+Статистика!$J$4))-Статистика!$C$10)/MAX(Статистика!$G$10-Статистика!$C$10,0.000001),NA()))</f>
        <v>0.64218122777777775</v>
      </c>
      <c r="BH202" s="12">
        <f>IF(A202="",NA(),IF(Статистика!$F$8="Вкл",(((IF(Статистика!$C$4="Параллельный режим (активная мощность)",D202,O202)+Статистика!$J$4))-Статистика!$C$10)/MAX(Статистика!$G$10-Статистика!$C$10,0.000001),NA()))</f>
        <v>0.47248955999999998</v>
      </c>
      <c r="BI202" s="12">
        <f>IF(A202="",NA(),IF(Статистика!$F$8="Вкл",(((IF(Статистика!$C$4="Параллельный режим (активная мощность)",H202,S202)+Статистика!$J$4))-Статистика!$C$10)/MAX(Статистика!$G$10-Статистика!$C$10,0.000001),NA()))</f>
        <v>0.74999812500000063</v>
      </c>
      <c r="BJ202" s="12">
        <f>IF(A202="",NA(),IF(Статистика!$H$8="Вкл",(((IF(Статистика!$C$4="Параллельный режим (активная мощность)",B202,M202)+Статистика!$J$4))-Статистика!$C$10)/MAX(Статистика!$G$10-Статистика!$C$10,0.000001),NA()))</f>
        <v>0.44916434349999995</v>
      </c>
      <c r="BK202" s="12">
        <f>IF(A202="",NA(),IF(Статистика!$H$8="Вкл",(((IF(Статистика!$C$4="Параллельный режим (активная мощность)",J202,U202)+Статистика!$J$4))-Статистика!$C$10)/MAX(Статистика!$G$10-Статистика!$C$10,0.000001),NA()))</f>
        <v>0.8469966910000003</v>
      </c>
      <c r="BL202" s="12" t="e">
        <f>IF(A202="",NA(),IF(Статистика!$J$8="Вкл",(((IF(Статистика!$C$4="Параллельный режим (активная мощность)",K202,V202)+Статистика!$J$4))-Статистика!$C$10)/MAX(Статистика!$G$10-Статистика!$C$10,0.000001),NA()))</f>
        <v>#N/A</v>
      </c>
      <c r="BM202" s="12" t="e">
        <f>IF(AND(A202&lt;&gt;"",Статистика!$C$6="Вкл",Статистика!$B$6&gt;0),(Статистика!$B$6-Статистика!$C$10)/MAX(Статистика!$G$10-Статистика!$C$10,0.000001),NA())</f>
        <v>#N/A</v>
      </c>
      <c r="BN202" s="12" t="e">
        <f>IF(AND(A202&lt;&gt;"",Статистика!$F$6="Вкл",Статистика!$E$6&gt;0),(Статистика!$E$6-Статистика!$C$10)/MAX(Статистика!$G$10-Статистика!$C$10,0.000001),NA())</f>
        <v>#N/A</v>
      </c>
      <c r="BO202" s="12" t="e">
        <f>IF(AND(A202&lt;&gt;"",Статистика!$I$6="Вкл",Статистика!$H$6&gt;0),(Статистика!$H$6-Статистика!$C$10)/MAX(Статистика!$G$10-Статистика!$C$10,0.000001),NA())</f>
        <v>#N/A</v>
      </c>
      <c r="BP202" s="12" t="e">
        <f>IF(AND(A202&lt;&gt;"",Статистика!$L$6="Вкл",Статистика!$K$6&gt;0),(Статистика!$K$6-Статистика!$C$10)/MAX(Статистика!$G$10-Статистика!$C$10,0.000001),NA())</f>
        <v>#N/A</v>
      </c>
      <c r="BQ202" s="12" t="e">
        <f>IF(AND(A202&lt;&gt;"",Статистика!$M$6="Вкл",Статистика!$O$6&gt;0),(Статистика!$O$6-Статистика!$C$10)/MAX(Статистика!$G$10-Статистика!$C$10,0.000001),NA())</f>
        <v>#N/A</v>
      </c>
      <c r="BR202" s="12">
        <f t="shared" si="6"/>
        <v>1</v>
      </c>
      <c r="BT202" s="12">
        <f>IF(Y202="","",MAX(0,MIN(1,(((IF(Статистика!$C$4="Параллельный режим (активная мощность)",Z202,AK202)+Статистика!$J$4))-Статистика!$C$10)/MAX(Статистика!$G$10-Статистика!$C$10,0.000001))))</f>
        <v>0.51023770088888853</v>
      </c>
      <c r="BU202" s="12">
        <f>IF(Y202="","",MAX(0,MAX(0,MIN(1,(((IF(Статистика!$C$4="Параллельный режим (активная мощность)",AB202,AM202)+Статистика!$J$4))-Статистика!$C$10)/MAX(Статистика!$G$10-Статистика!$C$10,0.000001)))-MAX(0,MIN(1,(((IF(Статистика!$C$4="Параллельный режим (активная мощность)",Z202,AK202)+Статистика!$J$4))-Статистика!$C$10)/MAX(Статистика!$G$10-Статистика!$C$10,0.000001)))))</f>
        <v>3.0842108000000201E-2</v>
      </c>
      <c r="BV202" s="12">
        <f>IF(Y202="","",MAX(0,MAX(0,MIN(1,(((IF(Статистика!$C$4="Параллельный режим (активная мощность)",AC202,AN202)+Статистика!$J$4))-Статистика!$C$10)/MAX(Статистика!$G$10-Статистика!$C$10,0.000001)))-MAX(0,MIN(1,(((IF(Статистика!$C$4="Параллельный режим (активная мощность)",AB202,AM202)+Статистика!$J$4))-Статистика!$C$10)/MAX(Статистика!$G$10-Статистика!$C$10,0.000001)))))</f>
        <v>5.0330093888889316E-2</v>
      </c>
      <c r="BW202" s="12">
        <f>IF(Y202="","",MAX(0,MAX(0,MIN(1,(((IF(Статистика!$C$4="Параллельный режим (активная мощность)",AD202,AO202)+Статистика!$J$4))-Статистика!$C$10)/MAX(Статистика!$G$10-Статистика!$C$10,0.000001)))-MAX(0,MIN(1,(((IF(Статистика!$C$4="Параллельный режим (активная мощность)",AC202,AN202)+Статистика!$J$4))-Статистика!$C$10)/MAX(Статистика!$G$10-Статистика!$C$10,0.000001)))))</f>
        <v>3.8318313888888622E-2</v>
      </c>
      <c r="BX202" s="12">
        <f>IF(Y202="","",MAX(0,MAX(0,MIN(1,(((IF(Статистика!$C$4="Параллельный режим (активная мощность)",AE202,AP202)+Статистика!$J$4))-Статистика!$C$10)/MAX(Статистика!$G$10-Статистика!$C$10,0.000001)))-MAX(0,MIN(1,(((IF(Статистика!$C$4="Параллельный режим (активная мощность)",AD202,AO202)+Статистика!$J$4))-Статистика!$C$10)/MAX(Статистика!$G$10-Статистика!$C$10,0.000001)))))</f>
        <v>5.796820833333316E-2</v>
      </c>
      <c r="BY202" s="12">
        <f>IF(Y202="","",MAX(0,MAX(0,MIN(1,(((IF(Статистика!$C$4="Параллельный режим (активная мощность)",AF202,AQ202)+Статистика!$J$4))-Статистика!$C$10)/MAX(Статистика!$G$10-Статистика!$C$10,0.000001)))-MAX(0,MIN(1,(((IF(Статистика!$C$4="Параллельный режим (активная мощность)",AE202,AP202)+Статистика!$J$4))-Статистика!$C$10)/MAX(Статистика!$G$10-Статистика!$C$10,0.000001)))))</f>
        <v>8.5724444444444381E-2</v>
      </c>
      <c r="BZ202" s="12">
        <f>IF(Y202="","",MAX(0,MAX(0,MIN(1,(((IF(Статистика!$C$4="Параллельный режим (активная мощность)",AH202,AS202)+Статистика!$J$4))-Статистика!$C$10)/MAX(Статистика!$G$10-Статистика!$C$10,0.000001)))-MAX(0,MIN(1,(((IF(Статистика!$C$4="Параллельный режим (активная мощность)",AF202,AQ202)+Статистика!$J$4))-Статистика!$C$10)/MAX(Статистика!$G$10-Статистика!$C$10,0.000001)))))</f>
        <v>1.2489675000002531E-3</v>
      </c>
      <c r="CA202" s="12">
        <f>IF(Y202="","",MAX(0,1-MAX(0,MIN(1,(((IF(Статистика!$C$4="Параллельный режим (активная мощность)",AH202,AS202)+Статистика!$J$4))-Статистика!$C$10)/MAX(Статистика!$G$10-Статистика!$C$10,0.000001)))))</f>
        <v>0.22533016305555553</v>
      </c>
      <c r="CB202" s="12">
        <f>IF(Y202="",NA(),IF(Статистика!$B$8="Вкл",(((IF(Статистика!$C$4="Параллельный режим (активная мощность)",AD202,AO202)+Статистика!$J$4))-Статистика!$C$10)/MAX(Статистика!$G$10-Статистика!$C$10,0.000001),NA()))</f>
        <v>0.62972821666666667</v>
      </c>
      <c r="CC202" s="12">
        <f>IF(Y202="",NA(),IF(Статистика!$D$8="Вкл",(((IF(Статистика!$C$4="Параллельный режим (активная мощность)",AC202,AN202)+Статистика!$J$4))-Статистика!$C$10)/MAX(Статистика!$G$10-Статистика!$C$10,0.000001),NA()))</f>
        <v>0.59140990277777805</v>
      </c>
      <c r="CD202" s="12">
        <f>IF(Y202="",NA(),IF(Статистика!$D$8="Вкл",(((IF(Статистика!$C$4="Параллельный режим (активная мощность)",AE202,AP202)+Статистика!$J$4))-Статистика!$C$10)/MAX(Статистика!$G$10-Статистика!$C$10,0.000001),NA()))</f>
        <v>0.68769642499999983</v>
      </c>
      <c r="CE202" s="12">
        <f>IF(Y202="",NA(),IF(Статистика!$F$8="Вкл",(((IF(Статистика!$C$4="Параллельный режим (активная мощность)",AB202,AM202)+Статистика!$J$4))-Статистика!$C$10)/MAX(Статистика!$G$10-Статистика!$C$10,0.000001),NA()))</f>
        <v>0.54107980888888874</v>
      </c>
      <c r="CF202" s="12">
        <f>IF(Y202="",NA(),IF(Статистика!$F$8="Вкл",(((IF(Статистика!$C$4="Параллельный режим (активная мощность)",AF202,AQ202)+Статистика!$J$4))-Статистика!$C$10)/MAX(Статистика!$G$10-Статистика!$C$10,0.000001),NA()))</f>
        <v>0.77342086944444421</v>
      </c>
      <c r="CG202" s="12">
        <f>IF(Y202="",NA(),IF(Статистика!$H$8="Вкл",(((IF(Статистика!$C$4="Параллельный режим (активная мощность)",Z202,AK202)+Статистика!$J$4))-Статистика!$C$10)/MAX(Статистика!$G$10-Статистика!$C$10,0.000001),NA()))</f>
        <v>0.51023770088888853</v>
      </c>
      <c r="CH202" s="12">
        <f>IF(Y202="",NA(),IF(Статистика!$H$8="Вкл",(((IF(Статистика!$C$4="Параллельный режим (активная мощность)",AH202,AS202)+Статистика!$J$4))-Статистика!$C$10)/MAX(Статистика!$G$10-Статистика!$C$10,0.000001),NA()))</f>
        <v>0.77466983694444447</v>
      </c>
      <c r="CI202" s="12" t="e">
        <f>IF(Y202="",NA(),IF(Статистика!$J$8="Вкл",(((IF(Статистика!$C$4="Параллельный режим (активная мощность)",AI202,AT202)+Статистика!$J$4))-Статистика!$C$10)/MAX(Статистика!$G$10-Статистика!$C$10,0.000001),NA()))</f>
        <v>#N/A</v>
      </c>
      <c r="CJ202" s="12" t="e">
        <f>IF(AND(Y202&lt;&gt;"",Статистика!$C$6="Вкл",Статистика!$B$6&gt;0),(Статистика!$B$6-Статистика!$C$10)/MAX(Статистика!$G$10-Статистика!$C$10,0.000001),NA())</f>
        <v>#N/A</v>
      </c>
      <c r="CK202" s="12" t="e">
        <f>IF(AND(Y202&lt;&gt;"",Статистика!$F$6="Вкл",Статистика!$E$6&gt;0),(Статистика!$E$6-Статистика!$C$10)/MAX(Статистика!$G$10-Статистика!$C$10,0.000001),NA())</f>
        <v>#N/A</v>
      </c>
      <c r="CL202" s="12" t="e">
        <f>IF(AND(Y202&lt;&gt;"",Статистика!$I$6="Вкл",Статистика!$H$6&gt;0),(Статистика!$H$6-Статистика!$C$10)/MAX(Статистика!$G$10-Статистика!$C$10,0.000001),NA())</f>
        <v>#N/A</v>
      </c>
      <c r="CM202" s="12" t="e">
        <f>IF(AND(Y202&lt;&gt;"",Статистика!$L$6="Вкл",Статистика!$K$6&gt;0),(Статистика!$K$6-Статистика!$C$10)/MAX(Статистика!$G$10-Статистика!$C$10,0.000001),NA())</f>
        <v>#N/A</v>
      </c>
      <c r="CN202" s="12" t="e">
        <f>IF(AND(Y202&lt;&gt;"",Статистика!$M$6="Вкл",Статистика!$O$6&gt;0),(Статистика!$O$6-Статистика!$C$10)/MAX(Статистика!$G$10-Статистика!$C$10,0.000001),NA())</f>
        <v>#N/A</v>
      </c>
      <c r="CO202" s="12">
        <f t="shared" si="7"/>
        <v>1</v>
      </c>
    </row>
    <row r="203" spans="1:93" ht="15" customHeight="1">
      <c r="A203" s="12" t="s">
        <v>855</v>
      </c>
      <c r="B203" s="12">
        <v>7406.9756055000007</v>
      </c>
      <c r="C203" s="12">
        <v>7415.4566941666671</v>
      </c>
      <c r="D203" s="12">
        <v>7439.3191950000009</v>
      </c>
      <c r="E203" s="12">
        <v>7687.8492166666683</v>
      </c>
      <c r="F203" s="12">
        <v>7827.1134666666676</v>
      </c>
      <c r="G203" s="12">
        <v>7974.5123249999979</v>
      </c>
      <c r="H203" s="12">
        <v>8228.8411766666668</v>
      </c>
      <c r="I203" s="12">
        <v>8284.3570049999998</v>
      </c>
      <c r="J203" s="12">
        <v>8368.673267666667</v>
      </c>
      <c r="K203" s="12">
        <v>8533.0499999999993</v>
      </c>
      <c r="L203" s="12" t="s">
        <v>856</v>
      </c>
      <c r="M203" s="12">
        <v>8386.243706666668</v>
      </c>
      <c r="N203" s="12">
        <v>8456.5853333333325</v>
      </c>
      <c r="O203" s="12">
        <v>8495.1449066666664</v>
      </c>
      <c r="P203" s="12">
        <v>8755.4438000000009</v>
      </c>
      <c r="Q203" s="12">
        <v>8877.9533166666661</v>
      </c>
      <c r="R203" s="12">
        <v>9016.3164666666689</v>
      </c>
      <c r="S203" s="12">
        <v>9256.6376200000013</v>
      </c>
      <c r="T203" s="12">
        <v>9301.1745341666683</v>
      </c>
      <c r="U203" s="12">
        <v>9393.4310935000012</v>
      </c>
      <c r="V203" s="12">
        <v>9565.85</v>
      </c>
      <c r="W203" s="12" t="s">
        <v>857</v>
      </c>
      <c r="Y203" s="12" t="s">
        <v>855</v>
      </c>
      <c r="Z203" s="12">
        <v>7598.8864313333333</v>
      </c>
      <c r="AA203" s="12">
        <v>7616.9668233333341</v>
      </c>
      <c r="AB203" s="12">
        <v>7639.5673133333339</v>
      </c>
      <c r="AC203" s="12">
        <v>7753.3203083333337</v>
      </c>
      <c r="AD203" s="12">
        <v>7901.4599166666667</v>
      </c>
      <c r="AE203" s="12">
        <v>8087.391275</v>
      </c>
      <c r="AF203" s="12">
        <v>8311.8327233333312</v>
      </c>
      <c r="AG203" s="12">
        <v>8320.8360949999987</v>
      </c>
      <c r="AH203" s="12">
        <v>8328.0387923333328</v>
      </c>
      <c r="AI203" s="12">
        <v>8393.43</v>
      </c>
      <c r="AJ203" s="12" t="s">
        <v>858</v>
      </c>
      <c r="AK203" s="12">
        <v>8638.569610999999</v>
      </c>
      <c r="AL203" s="12">
        <v>8657.1596549999995</v>
      </c>
      <c r="AM203" s="12">
        <v>8680.3972099999992</v>
      </c>
      <c r="AN203" s="12">
        <v>8770.8334500000001</v>
      </c>
      <c r="AO203" s="12">
        <v>8932.9533166666661</v>
      </c>
      <c r="AP203" s="12">
        <v>9124.8506416666678</v>
      </c>
      <c r="AQ203" s="12">
        <v>9355.5296399999988</v>
      </c>
      <c r="AR203" s="12">
        <v>9365.8881199999996</v>
      </c>
      <c r="AS203" s="12">
        <v>9374.1749039999995</v>
      </c>
      <c r="AT203" s="12">
        <v>9436.5499999999993</v>
      </c>
      <c r="AU203" s="12" t="s">
        <v>859</v>
      </c>
      <c r="AW203" s="12">
        <f>IF(A203="","",MAX(0,MIN(1,(((IF(Статистика!$C$4="Параллельный режим (активная мощность)",B203,M203)+Статистика!$J$4))-Статистика!$C$10)/MAX(Статистика!$G$10-Статистика!$C$10,0.000001))))</f>
        <v>0.46899186850000024</v>
      </c>
      <c r="AX203" s="12">
        <f>IF(A203="","",MAX(0,MAX(0,MIN(1,(((IF(Статистика!$C$4="Параллельный режим (активная мощность)",D203,O203)+Статистика!$J$4))-Статистика!$C$10)/MAX(Статистика!$G$10-Статистика!$C$10,0.000001)))-MAX(0,MIN(1,(((IF(Статистика!$C$4="Параллельный режим (активная мощность)",B203,M203)+Статистика!$J$4))-Статистика!$C$10)/MAX(Статистика!$G$10-Статистика!$C$10,0.000001)))))</f>
        <v>1.078119650000009E-2</v>
      </c>
      <c r="AY203" s="12">
        <f>IF(A203="","",MAX(0,MAX(0,MIN(1,(((IF(Статистика!$C$4="Параллельный режим (активная мощность)",E203,P203)+Статистика!$J$4))-Статистика!$C$10)/MAX(Статистика!$G$10-Статистика!$C$10,0.000001)))-MAX(0,MIN(1,(((IF(Статистика!$C$4="Параллельный режим (активная мощность)",D203,O203)+Статистика!$J$4))-Статистика!$C$10)/MAX(Статистика!$G$10-Статистика!$C$10,0.000001)))))</f>
        <v>8.2843340555555811E-2</v>
      </c>
      <c r="AZ203" s="12">
        <f>IF(A203="","",MAX(0,MAX(0,MIN(1,(((IF(Статистика!$C$4="Параллельный режим (активная мощность)",F203,Q203)+Статистика!$J$4))-Статистика!$C$10)/MAX(Статистика!$G$10-Статистика!$C$10,0.000001)))-MAX(0,MIN(1,(((IF(Статистика!$C$4="Параллельный режим (активная мощность)",E203,P203)+Статистика!$J$4))-Статистика!$C$10)/MAX(Статистика!$G$10-Статистика!$C$10,0.000001)))))</f>
        <v>4.6421416666666437E-2</v>
      </c>
      <c r="BA203" s="12">
        <f>IF(A203="","",MAX(0,MAX(0,MIN(1,(((IF(Статистика!$C$4="Параллельный режим (активная мощность)",G203,R203)+Статистика!$J$4))-Статистика!$C$10)/MAX(Статистика!$G$10-Статистика!$C$10,0.000001)))-MAX(0,MIN(1,(((IF(Статистика!$C$4="Параллельный режим (активная мощность)",F203,Q203)+Статистика!$J$4))-Статистика!$C$10)/MAX(Статистика!$G$10-Статистика!$C$10,0.000001)))))</f>
        <v>4.9132952777776739E-2</v>
      </c>
      <c r="BB203" s="12">
        <f>IF(A203="","",MAX(0,MAX(0,MIN(1,(((IF(Статистика!$C$4="Параллельный режим (активная мощность)",H203,S203)+Статистика!$J$4))-Статистика!$C$10)/MAX(Статистика!$G$10-Статистика!$C$10,0.000001)))-MAX(0,MIN(1,(((IF(Статистика!$C$4="Параллельный режим (активная мощность)",G203,R203)+Статистика!$J$4))-Статистика!$C$10)/MAX(Статистика!$G$10-Статистика!$C$10,0.000001)))))</f>
        <v>8.4776283888889581E-2</v>
      </c>
      <c r="BC203" s="12">
        <f>IF(A203="","",MAX(0,MAX(0,MIN(1,(((IF(Статистика!$C$4="Параллельный режим (активная мощность)",J203,U203)+Статистика!$J$4))-Статистика!$C$10)/MAX(Статистика!$G$10-Статистика!$C$10,0.000001)))-MAX(0,MIN(1,(((IF(Статистика!$C$4="Параллельный режим (активная мощность)",H203,S203)+Статистика!$J$4))-Статистика!$C$10)/MAX(Статистика!$G$10-Статистика!$C$10,0.000001)))))</f>
        <v>4.661069700000009E-2</v>
      </c>
      <c r="BD203" s="12">
        <f>IF(A203="","",MAX(0,1-MAX(0,MIN(1,(((IF(Статистика!$C$4="Параллельный режим (активная мощность)",J203,U203)+Статистика!$J$4))-Статистика!$C$10)/MAX(Статистика!$G$10-Статистика!$C$10,0.000001)))))</f>
        <v>0.21044224411111101</v>
      </c>
      <c r="BE203" s="12">
        <f>IF(A203="",NA(),IF(Статистика!$B$8="Вкл",(((IF(Статистика!$C$4="Параллельный режим (активная мощность)",F203,Q203)+Статистика!$J$4))-Статистика!$C$10)/MAX(Статистика!$G$10-Статистика!$C$10,0.000001),NA()))</f>
        <v>0.60903782222222258</v>
      </c>
      <c r="BF203" s="12">
        <f>IF(A203="",NA(),IF(Статистика!$D$8="Вкл",(((IF(Статистика!$C$4="Параллельный режим (активная мощность)",E203,P203)+Статистика!$J$4))-Статистика!$C$10)/MAX(Статистика!$G$10-Статистика!$C$10,0.000001),NA()))</f>
        <v>0.56261640555555614</v>
      </c>
      <c r="BG203" s="12">
        <f>IF(A203="",NA(),IF(Статистика!$D$8="Вкл",(((IF(Статистика!$C$4="Параллельный режим (активная мощность)",G203,R203)+Статистика!$J$4))-Статистика!$C$10)/MAX(Статистика!$G$10-Статистика!$C$10,0.000001),NA()))</f>
        <v>0.65817077499999932</v>
      </c>
      <c r="BH203" s="12">
        <f>IF(A203="",NA(),IF(Статистика!$F$8="Вкл",(((IF(Статистика!$C$4="Параллельный режим (активная мощность)",D203,O203)+Статистика!$J$4))-Статистика!$C$10)/MAX(Статистика!$G$10-Статистика!$C$10,0.000001),NA()))</f>
        <v>0.47977306500000033</v>
      </c>
      <c r="BI203" s="12">
        <f>IF(A203="",NA(),IF(Статистика!$F$8="Вкл",(((IF(Статистика!$C$4="Параллельный режим (активная мощность)",H203,S203)+Статистика!$J$4))-Статистика!$C$10)/MAX(Статистика!$G$10-Статистика!$C$10,0.000001),NA()))</f>
        <v>0.7429470588888889</v>
      </c>
      <c r="BJ203" s="12">
        <f>IF(A203="",NA(),IF(Статистика!$H$8="Вкл",(((IF(Статистика!$C$4="Параллельный режим (активная мощность)",B203,M203)+Статистика!$J$4))-Статистика!$C$10)/MAX(Статистика!$G$10-Статистика!$C$10,0.000001),NA()))</f>
        <v>0.46899186850000024</v>
      </c>
      <c r="BK203" s="12">
        <f>IF(A203="",NA(),IF(Статистика!$H$8="Вкл",(((IF(Статистика!$C$4="Параллельный режим (активная мощность)",J203,U203)+Статистика!$J$4))-Статистика!$C$10)/MAX(Статистика!$G$10-Статистика!$C$10,0.000001),NA()))</f>
        <v>0.78955775588888899</v>
      </c>
      <c r="BL203" s="12" t="e">
        <f>IF(A203="",NA(),IF(Статистика!$J$8="Вкл",(((IF(Статистика!$C$4="Параллельный режим (активная мощность)",K203,V203)+Статистика!$J$4))-Статистика!$C$10)/MAX(Статистика!$G$10-Статистика!$C$10,0.000001),NA()))</f>
        <v>#N/A</v>
      </c>
      <c r="BM203" s="12" t="e">
        <f>IF(AND(A203&lt;&gt;"",Статистика!$C$6="Вкл",Статистика!$B$6&gt;0),(Статистика!$B$6-Статистика!$C$10)/MAX(Статистика!$G$10-Статистика!$C$10,0.000001),NA())</f>
        <v>#N/A</v>
      </c>
      <c r="BN203" s="12" t="e">
        <f>IF(AND(A203&lt;&gt;"",Статистика!$F$6="Вкл",Статистика!$E$6&gt;0),(Статистика!$E$6-Статистика!$C$10)/MAX(Статистика!$G$10-Статистика!$C$10,0.000001),NA())</f>
        <v>#N/A</v>
      </c>
      <c r="BO203" s="12" t="e">
        <f>IF(AND(A203&lt;&gt;"",Статистика!$I$6="Вкл",Статистика!$H$6&gt;0),(Статистика!$H$6-Статистика!$C$10)/MAX(Статистика!$G$10-Статистика!$C$10,0.000001),NA())</f>
        <v>#N/A</v>
      </c>
      <c r="BP203" s="12" t="e">
        <f>IF(AND(A203&lt;&gt;"",Статистика!$L$6="Вкл",Статистика!$K$6&gt;0),(Статистика!$K$6-Статистика!$C$10)/MAX(Статистика!$G$10-Статистика!$C$10,0.000001),NA())</f>
        <v>#N/A</v>
      </c>
      <c r="BQ203" s="12" t="e">
        <f>IF(AND(A203&lt;&gt;"",Статистика!$M$6="Вкл",Статистика!$O$6&gt;0),(Статистика!$O$6-Статистика!$C$10)/MAX(Статистика!$G$10-Статистика!$C$10,0.000001),NA())</f>
        <v>#N/A</v>
      </c>
      <c r="BR203" s="12">
        <f t="shared" si="6"/>
        <v>1</v>
      </c>
      <c r="BT203" s="12">
        <f>IF(Y203="","",MAX(0,MIN(1,(((IF(Статистика!$C$4="Параллельный режим (активная мощность)",Z203,AK203)+Статистика!$J$4))-Статистика!$C$10)/MAX(Статистика!$G$10-Статистика!$C$10,0.000001))))</f>
        <v>0.53296214377777773</v>
      </c>
      <c r="BU203" s="12">
        <f>IF(Y203="","",MAX(0,MAX(0,MIN(1,(((IF(Статистика!$C$4="Параллельный режим (активная мощность)",AB203,AM203)+Статистика!$J$4))-Статистика!$C$10)/MAX(Статистика!$G$10-Статистика!$C$10,0.000001)))-MAX(0,MIN(1,(((IF(Статистика!$C$4="Параллельный режим (активная мощность)",Z203,AK203)+Статистика!$J$4))-Статистика!$C$10)/MAX(Статистика!$G$10-Статистика!$C$10,0.000001)))))</f>
        <v>1.356029400000025E-2</v>
      </c>
      <c r="BV203" s="12">
        <f>IF(Y203="","",MAX(0,MAX(0,MIN(1,(((IF(Статистика!$C$4="Параллельный режим (активная мощность)",AC203,AN203)+Статистика!$J$4))-Статистика!$C$10)/MAX(Статистика!$G$10-Статистика!$C$10,0.000001)))-MAX(0,MIN(1,(((IF(Статистика!$C$4="Параллельный режим (активная мощность)",AB203,AM203)+Статистика!$J$4))-Статистика!$C$10)/MAX(Статистика!$G$10-Статистика!$C$10,0.000001)))))</f>
        <v>3.7917664999999934E-2</v>
      </c>
      <c r="BW203" s="12">
        <f>IF(Y203="","",MAX(0,MAX(0,MIN(1,(((IF(Статистика!$C$4="Параллельный режим (активная мощность)",AD203,AO203)+Статистика!$J$4))-Статистика!$C$10)/MAX(Статистика!$G$10-Статистика!$C$10,0.000001)))-MAX(0,MIN(1,(((IF(Статистика!$C$4="Параллельный режим (активная мощность)",AC203,AN203)+Статистика!$J$4))-Статистика!$C$10)/MAX(Статистика!$G$10-Статистика!$C$10,0.000001)))))</f>
        <v>4.937986944444428E-2</v>
      </c>
      <c r="BX203" s="12">
        <f>IF(Y203="","",MAX(0,MAX(0,MIN(1,(((IF(Статистика!$C$4="Параллельный режим (активная мощность)",AE203,AP203)+Статистика!$J$4))-Статистика!$C$10)/MAX(Статистика!$G$10-Статистика!$C$10,0.000001)))-MAX(0,MIN(1,(((IF(Статистика!$C$4="Параллельный режим (активная мощность)",AD203,AO203)+Статистика!$J$4))-Статистика!$C$10)/MAX(Статистика!$G$10-Статистика!$C$10,0.000001)))))</f>
        <v>6.1977119444444506E-2</v>
      </c>
      <c r="BY203" s="12">
        <f>IF(Y203="","",MAX(0,MAX(0,MIN(1,(((IF(Статистика!$C$4="Параллельный режим (активная мощность)",AF203,AQ203)+Статистика!$J$4))-Статистика!$C$10)/MAX(Статистика!$G$10-Статистика!$C$10,0.000001)))-MAX(0,MIN(1,(((IF(Статистика!$C$4="Параллельный режим (активная мощность)",AE203,AP203)+Статистика!$J$4))-Статистика!$C$10)/MAX(Статистика!$G$10-Статистика!$C$10,0.000001)))))</f>
        <v>7.4813816111110376E-2</v>
      </c>
      <c r="BZ203" s="12">
        <f>IF(Y203="","",MAX(0,MAX(0,MIN(1,(((IF(Статистика!$C$4="Параллельный режим (активная мощность)",AH203,AS203)+Статистика!$J$4))-Статистика!$C$10)/MAX(Статистика!$G$10-Статистика!$C$10,0.000001)))-MAX(0,MIN(1,(((IF(Статистика!$C$4="Параллельный режим (активная мощность)",AF203,AQ203)+Статистика!$J$4))-Статистика!$C$10)/MAX(Статистика!$G$10-Статистика!$C$10,0.000001)))))</f>
        <v>5.4020230000004776E-3</v>
      </c>
      <c r="CA203" s="12">
        <f>IF(Y203="","",MAX(0,1-MAX(0,MIN(1,(((IF(Статистика!$C$4="Параллельный режим (активная мощность)",AH203,AS203)+Статистика!$J$4))-Статистика!$C$10)/MAX(Статистика!$G$10-Статистика!$C$10,0.000001)))))</f>
        <v>0.22398706922222245</v>
      </c>
      <c r="CB203" s="12">
        <f>IF(Y203="",NA(),IF(Статистика!$B$8="Вкл",(((IF(Статистика!$C$4="Параллельный режим (активная мощность)",AD203,AO203)+Статистика!$J$4))-Статистика!$C$10)/MAX(Статистика!$G$10-Статистика!$C$10,0.000001),NA()))</f>
        <v>0.63381997222222219</v>
      </c>
      <c r="CC203" s="12">
        <f>IF(Y203="",NA(),IF(Статистика!$D$8="Вкл",(((IF(Статистика!$C$4="Параллельный режим (активная мощность)",AC203,AN203)+Статистика!$J$4))-Статистика!$C$10)/MAX(Статистика!$G$10-Статистика!$C$10,0.000001),NA()))</f>
        <v>0.58444010277777791</v>
      </c>
      <c r="CD203" s="12">
        <f>IF(Y203="",NA(),IF(Статистика!$D$8="Вкл",(((IF(Статистика!$C$4="Параллельный режим (активная мощность)",AE203,AP203)+Статистика!$J$4))-Статистика!$C$10)/MAX(Статистика!$G$10-Статистика!$C$10,0.000001),NA()))</f>
        <v>0.6957970916666667</v>
      </c>
      <c r="CE203" s="12">
        <f>IF(Y203="",NA(),IF(Статистика!$F$8="Вкл",(((IF(Статистика!$C$4="Параллельный режим (активная мощность)",AB203,AM203)+Статистика!$J$4))-Статистика!$C$10)/MAX(Статистика!$G$10-Статистика!$C$10,0.000001),NA()))</f>
        <v>0.54652243777777798</v>
      </c>
      <c r="CF203" s="12">
        <f>IF(Y203="",NA(),IF(Статистика!$F$8="Вкл",(((IF(Статистика!$C$4="Параллельный режим (активная мощность)",AF203,AQ203)+Статистика!$J$4))-Статистика!$C$10)/MAX(Статистика!$G$10-Статистика!$C$10,0.000001),NA()))</f>
        <v>0.77061090777777708</v>
      </c>
      <c r="CG203" s="12">
        <f>IF(Y203="",NA(),IF(Статистика!$H$8="Вкл",(((IF(Статистика!$C$4="Параллельный режим (активная мощность)",Z203,AK203)+Статистика!$J$4))-Статистика!$C$10)/MAX(Статистика!$G$10-Статистика!$C$10,0.000001),NA()))</f>
        <v>0.53296214377777773</v>
      </c>
      <c r="CH203" s="12">
        <f>IF(Y203="",NA(),IF(Статистика!$H$8="Вкл",(((IF(Статистика!$C$4="Параллельный режим (активная мощность)",AH203,AS203)+Статистика!$J$4))-Статистика!$C$10)/MAX(Статистика!$G$10-Статистика!$C$10,0.000001),NA()))</f>
        <v>0.77601293077777755</v>
      </c>
      <c r="CI203" s="12" t="e">
        <f>IF(Y203="",NA(),IF(Статистика!$J$8="Вкл",(((IF(Статистика!$C$4="Параллельный режим (активная мощность)",AI203,AT203)+Статистика!$J$4))-Статистика!$C$10)/MAX(Статистика!$G$10-Статистика!$C$10,0.000001),NA()))</f>
        <v>#N/A</v>
      </c>
      <c r="CJ203" s="12" t="e">
        <f>IF(AND(Y203&lt;&gt;"",Статистика!$C$6="Вкл",Статистика!$B$6&gt;0),(Статистика!$B$6-Статистика!$C$10)/MAX(Статистика!$G$10-Статистика!$C$10,0.000001),NA())</f>
        <v>#N/A</v>
      </c>
      <c r="CK203" s="12" t="e">
        <f>IF(AND(Y203&lt;&gt;"",Статистика!$F$6="Вкл",Статистика!$E$6&gt;0),(Статистика!$E$6-Статистика!$C$10)/MAX(Статистика!$G$10-Статистика!$C$10,0.000001),NA())</f>
        <v>#N/A</v>
      </c>
      <c r="CL203" s="12" t="e">
        <f>IF(AND(Y203&lt;&gt;"",Статистика!$I$6="Вкл",Статистика!$H$6&gt;0),(Статистика!$H$6-Статистика!$C$10)/MAX(Статистика!$G$10-Статистика!$C$10,0.000001),NA())</f>
        <v>#N/A</v>
      </c>
      <c r="CM203" s="12" t="e">
        <f>IF(AND(Y203&lt;&gt;"",Статистика!$L$6="Вкл",Статистика!$K$6&gt;0),(Статистика!$K$6-Статистика!$C$10)/MAX(Статистика!$G$10-Статистика!$C$10,0.000001),NA())</f>
        <v>#N/A</v>
      </c>
      <c r="CN203" s="12" t="e">
        <f>IF(AND(Y203&lt;&gt;"",Статистика!$M$6="Вкл",Статистика!$O$6&gt;0),(Статистика!$O$6-Статистика!$C$10)/MAX(Статистика!$G$10-Статистика!$C$10,0.000001),NA())</f>
        <v>#N/A</v>
      </c>
      <c r="CO203" s="12">
        <f t="shared" si="7"/>
        <v>1</v>
      </c>
    </row>
    <row r="204" spans="1:93" ht="15" customHeight="1">
      <c r="A204" s="12" t="s">
        <v>860</v>
      </c>
      <c r="B204" s="12">
        <v>7383.2595638333341</v>
      </c>
      <c r="C204" s="12">
        <v>7406.0502191666665</v>
      </c>
      <c r="D204" s="12">
        <v>7446.2413433333322</v>
      </c>
      <c r="E204" s="12">
        <v>7727.178116666666</v>
      </c>
      <c r="F204" s="12">
        <v>7816.3002666666671</v>
      </c>
      <c r="G204" s="12">
        <v>7954.7367749999994</v>
      </c>
      <c r="H204" s="12">
        <v>8254.2604933333332</v>
      </c>
      <c r="I204" s="12">
        <v>8321.6437166666674</v>
      </c>
      <c r="J204" s="12">
        <v>8359.775623333333</v>
      </c>
      <c r="K204" s="12">
        <v>8480.1</v>
      </c>
      <c r="L204" s="12" t="s">
        <v>861</v>
      </c>
      <c r="M204" s="12">
        <v>8380.6763208333323</v>
      </c>
      <c r="N204" s="12">
        <v>8432.2968041666663</v>
      </c>
      <c r="O204" s="12">
        <v>8473.9081983333326</v>
      </c>
      <c r="P204" s="12">
        <v>8765.8255750000008</v>
      </c>
      <c r="Q204" s="12">
        <v>8865.3058666666657</v>
      </c>
      <c r="R204" s="12">
        <v>9048.7010916666659</v>
      </c>
      <c r="S204" s="12">
        <v>9331.1400933333334</v>
      </c>
      <c r="T204" s="12">
        <v>9365.9964008333336</v>
      </c>
      <c r="U204" s="12">
        <v>9388.8934668333332</v>
      </c>
      <c r="V204" s="12">
        <v>9603.76</v>
      </c>
      <c r="W204" s="12" t="s">
        <v>861</v>
      </c>
      <c r="Y204" s="12" t="s">
        <v>860</v>
      </c>
      <c r="Z204" s="12">
        <v>7630.8399711666661</v>
      </c>
      <c r="AA204" s="12">
        <v>7637.2130558333329</v>
      </c>
      <c r="AB204" s="12">
        <v>7645.179411666667</v>
      </c>
      <c r="AC204" s="12">
        <v>7760.3655666666682</v>
      </c>
      <c r="AD204" s="12">
        <v>7861.3102833333332</v>
      </c>
      <c r="AE204" s="12">
        <v>8086.6650083333334</v>
      </c>
      <c r="AF204" s="12">
        <v>8320.1728199999998</v>
      </c>
      <c r="AG204" s="12">
        <v>8325.9984933333326</v>
      </c>
      <c r="AH204" s="12">
        <v>8330.6590319999996</v>
      </c>
      <c r="AI204" s="12">
        <v>8433.1</v>
      </c>
      <c r="AJ204" s="12" t="s">
        <v>862</v>
      </c>
      <c r="AK204" s="12">
        <v>8673.3507625000002</v>
      </c>
      <c r="AL204" s="12">
        <v>8683.0888791666675</v>
      </c>
      <c r="AM204" s="12">
        <v>8695.2615249999999</v>
      </c>
      <c r="AN204" s="12">
        <v>8765.5365750000001</v>
      </c>
      <c r="AO204" s="12">
        <v>8920.9751666666671</v>
      </c>
      <c r="AP204" s="12">
        <v>9122.8812166666667</v>
      </c>
      <c r="AQ204" s="12">
        <v>9369.8402416666668</v>
      </c>
      <c r="AR204" s="12">
        <v>9372.1662374999996</v>
      </c>
      <c r="AS204" s="12">
        <v>9374.0270341666655</v>
      </c>
      <c r="AT204" s="12">
        <v>9450.6</v>
      </c>
      <c r="AU204" s="12" t="s">
        <v>862</v>
      </c>
      <c r="AW204" s="12">
        <f>IF(A204="","",MAX(0,MIN(1,(((IF(Статистика!$C$4="Параллельный режим (активная мощность)",B204,M204)+Статистика!$J$4))-Статистика!$C$10)/MAX(Статистика!$G$10-Статистика!$C$10,0.000001))))</f>
        <v>0.46108652127777805</v>
      </c>
      <c r="AX204" s="12">
        <f>IF(A204="","",MAX(0,MAX(0,MIN(1,(((IF(Статистика!$C$4="Параллельный режим (активная мощность)",D204,O204)+Статистика!$J$4))-Статистика!$C$10)/MAX(Статистика!$G$10-Статистика!$C$10,0.000001)))-MAX(0,MIN(1,(((IF(Статистика!$C$4="Параллельный режим (активная мощность)",B204,M204)+Статистика!$J$4))-Статистика!$C$10)/MAX(Статистика!$G$10-Статистика!$C$10,0.000001)))))</f>
        <v>2.0993926499999371E-2</v>
      </c>
      <c r="AY204" s="12">
        <f>IF(A204="","",MAX(0,MAX(0,MIN(1,(((IF(Статистика!$C$4="Параллельный режим (активная мощность)",E204,P204)+Статистика!$J$4))-Статистика!$C$10)/MAX(Статистика!$G$10-Статистика!$C$10,0.000001)))-MAX(0,MIN(1,(((IF(Статистика!$C$4="Параллельный режим (активная мощность)",D204,O204)+Статистика!$J$4))-Статистика!$C$10)/MAX(Статистика!$G$10-Статистика!$C$10,0.000001)))))</f>
        <v>9.3645591111111204E-2</v>
      </c>
      <c r="AZ204" s="12">
        <f>IF(A204="","",MAX(0,MAX(0,MIN(1,(((IF(Статистика!$C$4="Параллельный режим (активная мощность)",F204,Q204)+Статистика!$J$4))-Статистика!$C$10)/MAX(Статистика!$G$10-Статистика!$C$10,0.000001)))-MAX(0,MIN(1,(((IF(Статистика!$C$4="Параллельный режим (активная мощность)",E204,P204)+Статистика!$J$4))-Статистика!$C$10)/MAX(Статистика!$G$10-Статистика!$C$10,0.000001)))))</f>
        <v>2.9707383333333781E-2</v>
      </c>
      <c r="BA204" s="12">
        <f>IF(A204="","",MAX(0,MAX(0,MIN(1,(((IF(Статистика!$C$4="Параллельный режим (активная мощность)",G204,R204)+Статистика!$J$4))-Статистика!$C$10)/MAX(Статистика!$G$10-Статистика!$C$10,0.000001)))-MAX(0,MIN(1,(((IF(Статистика!$C$4="Параллельный режим (активная мощность)",F204,Q204)+Статистика!$J$4))-Статистика!$C$10)/MAX(Статистика!$G$10-Статистика!$C$10,0.000001)))))</f>
        <v>4.6145502777777403E-2</v>
      </c>
      <c r="BB204" s="12">
        <f>IF(A204="","",MAX(0,MAX(0,MIN(1,(((IF(Статистика!$C$4="Параллельный режим (активная мощность)",H204,S204)+Статистика!$J$4))-Статистика!$C$10)/MAX(Статистика!$G$10-Статистика!$C$10,0.000001)))-MAX(0,MIN(1,(((IF(Статистика!$C$4="Параллельный режим (активная мощность)",G204,R204)+Статистика!$J$4))-Статистика!$C$10)/MAX(Статистика!$G$10-Статистика!$C$10,0.000001)))))</f>
        <v>9.9841239444444563E-2</v>
      </c>
      <c r="BC204" s="12">
        <f>IF(A204="","",MAX(0,MAX(0,MIN(1,(((IF(Статистика!$C$4="Параллельный режим (активная мощность)",J204,U204)+Статистика!$J$4))-Статистика!$C$10)/MAX(Статистика!$G$10-Статистика!$C$10,0.000001)))-MAX(0,MIN(1,(((IF(Статистика!$C$4="Параллельный режим (активная мощность)",H204,S204)+Статистика!$J$4))-Статистика!$C$10)/MAX(Статистика!$G$10-Статистика!$C$10,0.000001)))))</f>
        <v>3.5171709999999967E-2</v>
      </c>
      <c r="BD204" s="12">
        <f>IF(A204="","",MAX(0,1-MAX(0,MIN(1,(((IF(Статистика!$C$4="Параллельный режим (активная мощность)",J204,U204)+Статистика!$J$4))-Статистика!$C$10)/MAX(Статистика!$G$10-Статистика!$C$10,0.000001)))))</f>
        <v>0.21340812555555566</v>
      </c>
      <c r="BE204" s="12">
        <f>IF(A204="",NA(),IF(Статистика!$B$8="Вкл",(((IF(Статистика!$C$4="Параллельный режим (активная мощность)",F204,Q204)+Статистика!$J$4))-Статистика!$C$10)/MAX(Статистика!$G$10-Статистика!$C$10,0.000001),NA()))</f>
        <v>0.60543342222222241</v>
      </c>
      <c r="BF204" s="12">
        <f>IF(A204="",NA(),IF(Статистика!$D$8="Вкл",(((IF(Статистика!$C$4="Параллельный режим (активная мощность)",E204,P204)+Статистика!$J$4))-Статистика!$C$10)/MAX(Статистика!$G$10-Статистика!$C$10,0.000001),NA()))</f>
        <v>0.57572603888888862</v>
      </c>
      <c r="BG204" s="12">
        <f>IF(A204="",NA(),IF(Статистика!$D$8="Вкл",(((IF(Статистика!$C$4="Параллельный режим (активная мощность)",G204,R204)+Статистика!$J$4))-Статистика!$C$10)/MAX(Статистика!$G$10-Статистика!$C$10,0.000001),NA()))</f>
        <v>0.65157892499999981</v>
      </c>
      <c r="BH204" s="12">
        <f>IF(A204="",NA(),IF(Статистика!$F$8="Вкл",(((IF(Статистика!$C$4="Параллельный режим (активная мощность)",D204,O204)+Статистика!$J$4))-Статистика!$C$10)/MAX(Статистика!$G$10-Статистика!$C$10,0.000001),NA()))</f>
        <v>0.48208044777777742</v>
      </c>
      <c r="BI204" s="12">
        <f>IF(A204="",NA(),IF(Статистика!$F$8="Вкл",(((IF(Статистика!$C$4="Параллельный режим (активная мощность)",H204,S204)+Статистика!$J$4))-Статистика!$C$10)/MAX(Статистика!$G$10-Статистика!$C$10,0.000001),NA()))</f>
        <v>0.75142016444444437</v>
      </c>
      <c r="BJ204" s="12">
        <f>IF(A204="",NA(),IF(Статистика!$H$8="Вкл",(((IF(Статистика!$C$4="Параллельный режим (активная мощность)",B204,M204)+Статистика!$J$4))-Статистика!$C$10)/MAX(Статистика!$G$10-Статистика!$C$10,0.000001),NA()))</f>
        <v>0.46108652127777805</v>
      </c>
      <c r="BK204" s="12">
        <f>IF(A204="",NA(),IF(Статистика!$H$8="Вкл",(((IF(Статистика!$C$4="Параллельный режим (активная мощность)",J204,U204)+Статистика!$J$4))-Статистика!$C$10)/MAX(Статистика!$G$10-Статистика!$C$10,0.000001),NA()))</f>
        <v>0.78659187444444434</v>
      </c>
      <c r="BL204" s="12" t="e">
        <f>IF(A204="",NA(),IF(Статистика!$J$8="Вкл",(((IF(Статистика!$C$4="Параллельный режим (активная мощность)",K204,V204)+Статистика!$J$4))-Статистика!$C$10)/MAX(Статистика!$G$10-Статистика!$C$10,0.000001),NA()))</f>
        <v>#N/A</v>
      </c>
      <c r="BM204" s="12" t="e">
        <f>IF(AND(A204&lt;&gt;"",Статистика!$C$6="Вкл",Статистика!$B$6&gt;0),(Статистика!$B$6-Статистика!$C$10)/MAX(Статистика!$G$10-Статистика!$C$10,0.000001),NA())</f>
        <v>#N/A</v>
      </c>
      <c r="BN204" s="12" t="e">
        <f>IF(AND(A204&lt;&gt;"",Статистика!$F$6="Вкл",Статистика!$E$6&gt;0),(Статистика!$E$6-Статистика!$C$10)/MAX(Статистика!$G$10-Статистика!$C$10,0.000001),NA())</f>
        <v>#N/A</v>
      </c>
      <c r="BO204" s="12" t="e">
        <f>IF(AND(A204&lt;&gt;"",Статистика!$I$6="Вкл",Статистика!$H$6&gt;0),(Статистика!$H$6-Статистика!$C$10)/MAX(Статистика!$G$10-Статистика!$C$10,0.000001),NA())</f>
        <v>#N/A</v>
      </c>
      <c r="BP204" s="12" t="e">
        <f>IF(AND(A204&lt;&gt;"",Статистика!$L$6="Вкл",Статистика!$K$6&gt;0),(Статистика!$K$6-Статистика!$C$10)/MAX(Статистика!$G$10-Статистика!$C$10,0.000001),NA())</f>
        <v>#N/A</v>
      </c>
      <c r="BQ204" s="12" t="e">
        <f>IF(AND(A204&lt;&gt;"",Статистика!$M$6="Вкл",Статистика!$O$6&gt;0),(Статистика!$O$6-Статистика!$C$10)/MAX(Статистика!$G$10-Статистика!$C$10,0.000001),NA())</f>
        <v>#N/A</v>
      </c>
      <c r="BR204" s="12">
        <f t="shared" si="6"/>
        <v>1</v>
      </c>
      <c r="BT204" s="12">
        <f>IF(Y204="","",MAX(0,MIN(1,(((IF(Статистика!$C$4="Параллельный режим (активная мощность)",Z204,AK204)+Статистика!$J$4))-Статистика!$C$10)/MAX(Статистика!$G$10-Статистика!$C$10,0.000001))))</f>
        <v>0.54361332372222204</v>
      </c>
      <c r="BU204" s="12">
        <f>IF(Y204="","",MAX(0,MAX(0,MIN(1,(((IF(Статистика!$C$4="Параллельный режим (активная мощность)",AB204,AM204)+Статистика!$J$4))-Статистика!$C$10)/MAX(Статистика!$G$10-Статистика!$C$10,0.000001)))-MAX(0,MIN(1,(((IF(Статистика!$C$4="Параллельный режим (активная мощность)",Z204,AK204)+Статистика!$J$4))-Статистика!$C$10)/MAX(Статистика!$G$10-Статистика!$C$10,0.000001)))))</f>
        <v>4.7798135000002295E-3</v>
      </c>
      <c r="BV204" s="12">
        <f>IF(Y204="","",MAX(0,MAX(0,MIN(1,(((IF(Статистика!$C$4="Параллельный режим (активная мощность)",AC204,AN204)+Статистика!$J$4))-Статистика!$C$10)/MAX(Статистика!$G$10-Статистика!$C$10,0.000001)))-MAX(0,MIN(1,(((IF(Статистика!$C$4="Параллельный режим (активная мощность)",AB204,AM204)+Статистика!$J$4))-Статистика!$C$10)/MAX(Статистика!$G$10-Статистика!$C$10,0.000001)))))</f>
        <v>3.8395385000000504E-2</v>
      </c>
      <c r="BW204" s="12">
        <f>IF(Y204="","",MAX(0,MAX(0,MIN(1,(((IF(Статистика!$C$4="Параллельный режим (активная мощность)",AD204,AO204)+Статистика!$J$4))-Статистика!$C$10)/MAX(Статистика!$G$10-Статистика!$C$10,0.000001)))-MAX(0,MIN(1,(((IF(Статистика!$C$4="Параллельный режим (активная мощность)",AC204,AN204)+Статистика!$J$4))-Статистика!$C$10)/MAX(Статистика!$G$10-Статистика!$C$10,0.000001)))))</f>
        <v>3.3648238888888349E-2</v>
      </c>
      <c r="BX204" s="12">
        <f>IF(Y204="","",MAX(0,MAX(0,MIN(1,(((IF(Статистика!$C$4="Параллельный режим (активная мощность)",AE204,AP204)+Статистика!$J$4))-Статистика!$C$10)/MAX(Статистика!$G$10-Статистика!$C$10,0.000001)))-MAX(0,MIN(1,(((IF(Статистика!$C$4="Параллельный режим (активная мощность)",AD204,AO204)+Статистика!$J$4))-Статистика!$C$10)/MAX(Статистика!$G$10-Статистика!$C$10,0.000001)))))</f>
        <v>7.5118241666666696E-2</v>
      </c>
      <c r="BY204" s="12">
        <f>IF(Y204="","",MAX(0,MAX(0,MIN(1,(((IF(Статистика!$C$4="Параллельный режим (активная мощность)",AF204,AQ204)+Статистика!$J$4))-Статистика!$C$10)/MAX(Статистика!$G$10-Статистика!$C$10,0.000001)))-MAX(0,MIN(1,(((IF(Статистика!$C$4="Параллельный режим (активная мощность)",AE204,AP204)+Статистика!$J$4))-Статистика!$C$10)/MAX(Статистика!$G$10-Статистика!$C$10,0.000001)))))</f>
        <v>7.7835937222222151E-2</v>
      </c>
      <c r="BZ204" s="12">
        <f>IF(Y204="","",MAX(0,MAX(0,MIN(1,(((IF(Статистика!$C$4="Параллельный режим (активная мощность)",AH204,AS204)+Статистика!$J$4))-Статистика!$C$10)/MAX(Статистика!$G$10-Статистика!$C$10,0.000001)))-MAX(0,MIN(1,(((IF(Статистика!$C$4="Параллельный режим (активная мощность)",AF204,AQ204)+Статистика!$J$4))-Статистика!$C$10)/MAX(Статистика!$G$10-Статистика!$C$10,0.000001)))))</f>
        <v>3.4954039999999242E-3</v>
      </c>
      <c r="CA204" s="12">
        <f>IF(Y204="","",MAX(0,1-MAX(0,MIN(1,(((IF(Статистика!$C$4="Параллельный режим (активная мощность)",AH204,AS204)+Статистика!$J$4))-Статистика!$C$10)/MAX(Статистика!$G$10-Статистика!$C$10,0.000001)))))</f>
        <v>0.2231136560000001</v>
      </c>
      <c r="CB204" s="12">
        <f>IF(Y204="",NA(),IF(Статистика!$B$8="Вкл",(((IF(Статистика!$C$4="Параллельный режим (активная мощность)",AD204,AO204)+Статистика!$J$4))-Статистика!$C$10)/MAX(Статистика!$G$10-Статистика!$C$10,0.000001),NA()))</f>
        <v>0.62043676111111112</v>
      </c>
      <c r="CC204" s="12">
        <f>IF(Y204="",NA(),IF(Статистика!$D$8="Вкл",(((IF(Статистика!$C$4="Параллельный режим (активная мощность)",AC204,AN204)+Статистика!$J$4))-Статистика!$C$10)/MAX(Статистика!$G$10-Статистика!$C$10,0.000001),NA()))</f>
        <v>0.58678852222222277</v>
      </c>
      <c r="CD204" s="12">
        <f>IF(Y204="",NA(),IF(Статистика!$D$8="Вкл",(((IF(Статистика!$C$4="Параллельный режим (активная мощность)",AE204,AP204)+Статистика!$J$4))-Статистика!$C$10)/MAX(Статистика!$G$10-Статистика!$C$10,0.000001),NA()))</f>
        <v>0.69555500277777782</v>
      </c>
      <c r="CE204" s="12">
        <f>IF(Y204="",NA(),IF(Статистика!$F$8="Вкл",(((IF(Статистика!$C$4="Параллельный режим (активная мощность)",AB204,AM204)+Статистика!$J$4))-Статистика!$C$10)/MAX(Статистика!$G$10-Статистика!$C$10,0.000001),NA()))</f>
        <v>0.54839313722222227</v>
      </c>
      <c r="CF204" s="12">
        <f>IF(Y204="",NA(),IF(Статистика!$F$8="Вкл",(((IF(Статистика!$C$4="Параллельный режим (активная мощность)",AF204,AQ204)+Статистика!$J$4))-Статистика!$C$10)/MAX(Статистика!$G$10-Статистика!$C$10,0.000001),NA()))</f>
        <v>0.77339093999999997</v>
      </c>
      <c r="CG204" s="12">
        <f>IF(Y204="",NA(),IF(Статистика!$H$8="Вкл",(((IF(Статистика!$C$4="Параллельный режим (активная мощность)",Z204,AK204)+Статистика!$J$4))-Статистика!$C$10)/MAX(Статистика!$G$10-Статистика!$C$10,0.000001),NA()))</f>
        <v>0.54361332372222204</v>
      </c>
      <c r="CH204" s="12">
        <f>IF(Y204="",NA(),IF(Статистика!$H$8="Вкл",(((IF(Статистика!$C$4="Параллельный режим (активная мощность)",AH204,AS204)+Статистика!$J$4))-Статистика!$C$10)/MAX(Статистика!$G$10-Статистика!$C$10,0.000001),NA()))</f>
        <v>0.7768863439999999</v>
      </c>
      <c r="CI204" s="12" t="e">
        <f>IF(Y204="",NA(),IF(Статистика!$J$8="Вкл",(((IF(Статистика!$C$4="Параллельный режим (активная мощность)",AI204,AT204)+Статистика!$J$4))-Статистика!$C$10)/MAX(Статистика!$G$10-Статистика!$C$10,0.000001),NA()))</f>
        <v>#N/A</v>
      </c>
      <c r="CJ204" s="12" t="e">
        <f>IF(AND(Y204&lt;&gt;"",Статистика!$C$6="Вкл",Статистика!$B$6&gt;0),(Статистика!$B$6-Статистика!$C$10)/MAX(Статистика!$G$10-Статистика!$C$10,0.000001),NA())</f>
        <v>#N/A</v>
      </c>
      <c r="CK204" s="12" t="e">
        <f>IF(AND(Y204&lt;&gt;"",Статистика!$F$6="Вкл",Статистика!$E$6&gt;0),(Статистика!$E$6-Статистика!$C$10)/MAX(Статистика!$G$10-Статистика!$C$10,0.000001),NA())</f>
        <v>#N/A</v>
      </c>
      <c r="CL204" s="12" t="e">
        <f>IF(AND(Y204&lt;&gt;"",Статистика!$I$6="Вкл",Статистика!$H$6&gt;0),(Статистика!$H$6-Статистика!$C$10)/MAX(Статистика!$G$10-Статистика!$C$10,0.000001),NA())</f>
        <v>#N/A</v>
      </c>
      <c r="CM204" s="12" t="e">
        <f>IF(AND(Y204&lt;&gt;"",Статистика!$L$6="Вкл",Статистика!$K$6&gt;0),(Статистика!$K$6-Статистика!$C$10)/MAX(Статистика!$G$10-Статистика!$C$10,0.000001),NA())</f>
        <v>#N/A</v>
      </c>
      <c r="CN204" s="12" t="e">
        <f>IF(AND(Y204&lt;&gt;"",Статистика!$M$6="Вкл",Статистика!$O$6&gt;0),(Статистика!$O$6-Статистика!$C$10)/MAX(Статистика!$G$10-Статистика!$C$10,0.000001),NA())</f>
        <v>#N/A</v>
      </c>
      <c r="CO204" s="12">
        <f t="shared" si="7"/>
        <v>1</v>
      </c>
    </row>
    <row r="205" spans="1:93" ht="15" customHeight="1">
      <c r="A205" s="12" t="s">
        <v>863</v>
      </c>
      <c r="B205" s="12">
        <v>7336.4681078333315</v>
      </c>
      <c r="C205" s="12">
        <v>7425.1780058333334</v>
      </c>
      <c r="D205" s="12">
        <v>7471.6104833333338</v>
      </c>
      <c r="E205" s="12">
        <v>7666.6475416666663</v>
      </c>
      <c r="F205" s="12">
        <v>7814.4870666666666</v>
      </c>
      <c r="G205" s="12">
        <v>7930.9282999999996</v>
      </c>
      <c r="H205" s="12">
        <v>8311.3066716666672</v>
      </c>
      <c r="I205" s="12">
        <v>8356.335643333332</v>
      </c>
      <c r="J205" s="12">
        <v>8398.6511286666646</v>
      </c>
      <c r="K205" s="12">
        <v>8559.66</v>
      </c>
      <c r="L205" s="12" t="s">
        <v>864</v>
      </c>
      <c r="M205" s="12">
        <v>8420.0045486666659</v>
      </c>
      <c r="N205" s="12">
        <v>8439.0275433333336</v>
      </c>
      <c r="O205" s="12">
        <v>8465.3825366666679</v>
      </c>
      <c r="P205" s="12">
        <v>8727.9344333333338</v>
      </c>
      <c r="Q205" s="12">
        <v>8854.6837500000001</v>
      </c>
      <c r="R205" s="12">
        <v>8993.7913166666658</v>
      </c>
      <c r="S205" s="12">
        <v>9375.9910016666672</v>
      </c>
      <c r="T205" s="12">
        <v>9432.3476225000013</v>
      </c>
      <c r="U205" s="12">
        <v>9449.5994711666663</v>
      </c>
      <c r="V205" s="12">
        <v>9632.66</v>
      </c>
      <c r="W205" s="12" t="s">
        <v>864</v>
      </c>
      <c r="Y205" s="12" t="s">
        <v>863</v>
      </c>
      <c r="Z205" s="12">
        <v>7608.1006243333331</v>
      </c>
      <c r="AA205" s="12">
        <v>7608.393121666667</v>
      </c>
      <c r="AB205" s="12">
        <v>7608.7587433333329</v>
      </c>
      <c r="AC205" s="12">
        <v>7681.593249999999</v>
      </c>
      <c r="AD205" s="12">
        <v>7807.5280500000008</v>
      </c>
      <c r="AE205" s="12">
        <v>8031.0147000000015</v>
      </c>
      <c r="AF205" s="12">
        <v>8317.4153750000005</v>
      </c>
      <c r="AG205" s="12">
        <v>8334.5019041666656</v>
      </c>
      <c r="AH205" s="12">
        <v>8348.1711274999998</v>
      </c>
      <c r="AI205" s="12">
        <v>8486.39</v>
      </c>
      <c r="AJ205" s="12" t="s">
        <v>865</v>
      </c>
      <c r="AK205" s="12">
        <v>8666.5480704999991</v>
      </c>
      <c r="AL205" s="12">
        <v>8674.4936858333331</v>
      </c>
      <c r="AM205" s="12">
        <v>8684.4257049999997</v>
      </c>
      <c r="AN205" s="12">
        <v>8707.5629916666658</v>
      </c>
      <c r="AO205" s="12">
        <v>8863.8312166666656</v>
      </c>
      <c r="AP205" s="12">
        <v>9094.7225500000004</v>
      </c>
      <c r="AQ205" s="12">
        <v>9369.3373416666673</v>
      </c>
      <c r="AR205" s="12">
        <v>9386.4345041666656</v>
      </c>
      <c r="AS205" s="12">
        <v>9400.1122341666651</v>
      </c>
      <c r="AT205" s="12">
        <v>9572.24</v>
      </c>
      <c r="AU205" s="12" t="s">
        <v>865</v>
      </c>
      <c r="AW205" s="12">
        <f>IF(A205="","",MAX(0,MIN(1,(((IF(Статистика!$C$4="Параллельный режим (активная мощность)",B205,M205)+Статистика!$J$4))-Статистика!$C$10)/MAX(Статистика!$G$10-Статистика!$C$10,0.000001))))</f>
        <v>0.44548936927777716</v>
      </c>
      <c r="AX205" s="12">
        <f>IF(A205="","",MAX(0,MAX(0,MIN(1,(((IF(Статистика!$C$4="Параллельный режим (активная мощность)",D205,O205)+Статистика!$J$4))-Статистика!$C$10)/MAX(Статистика!$G$10-Статистика!$C$10,0.000001)))-MAX(0,MIN(1,(((IF(Статистика!$C$4="Параллельный режим (активная мощность)",B205,M205)+Статистика!$J$4))-Статистика!$C$10)/MAX(Статистика!$G$10-Статистика!$C$10,0.000001)))))</f>
        <v>4.5047458500000803E-2</v>
      </c>
      <c r="AY205" s="12">
        <f>IF(A205="","",MAX(0,MAX(0,MIN(1,(((IF(Статистика!$C$4="Параллельный режим (активная мощность)",E205,P205)+Статистика!$J$4))-Статистика!$C$10)/MAX(Статистика!$G$10-Статистика!$C$10,0.000001)))-MAX(0,MIN(1,(((IF(Статистика!$C$4="Параллельный режим (активная мощность)",D205,O205)+Статистика!$J$4))-Статистика!$C$10)/MAX(Статистика!$G$10-Статистика!$C$10,0.000001)))))</f>
        <v>6.5012352777777505E-2</v>
      </c>
      <c r="AZ205" s="12">
        <f>IF(A205="","",MAX(0,MAX(0,MIN(1,(((IF(Статистика!$C$4="Параллельный режим (активная мощность)",F205,Q205)+Статистика!$J$4))-Статистика!$C$10)/MAX(Статистика!$G$10-Статистика!$C$10,0.000001)))-MAX(0,MIN(1,(((IF(Статистика!$C$4="Параллельный режим (активная мощность)",E205,P205)+Статистика!$J$4))-Статистика!$C$10)/MAX(Статистика!$G$10-Статистика!$C$10,0.000001)))))</f>
        <v>4.9279841666666768E-2</v>
      </c>
      <c r="BA205" s="12">
        <f>IF(A205="","",MAX(0,MAX(0,MIN(1,(((IF(Статистика!$C$4="Параллельный режим (активная мощность)",G205,R205)+Статистика!$J$4))-Статистика!$C$10)/MAX(Статистика!$G$10-Статистика!$C$10,0.000001)))-MAX(0,MIN(1,(((IF(Статистика!$C$4="Параллельный режим (активная мощность)",F205,Q205)+Статистика!$J$4))-Статистика!$C$10)/MAX(Статистика!$G$10-Статистика!$C$10,0.000001)))))</f>
        <v>3.8813744444444298E-2</v>
      </c>
      <c r="BB205" s="12">
        <f>IF(A205="","",MAX(0,MAX(0,MIN(1,(((IF(Статистика!$C$4="Параллельный режим (активная мощность)",H205,S205)+Статистика!$J$4))-Статистика!$C$10)/MAX(Статистика!$G$10-Статистика!$C$10,0.000001)))-MAX(0,MIN(1,(((IF(Статистика!$C$4="Параллельный режим (активная мощность)",G205,R205)+Статистика!$J$4))-Статистика!$C$10)/MAX(Статистика!$G$10-Статистика!$C$10,0.000001)))))</f>
        <v>0.12679279055555581</v>
      </c>
      <c r="BC205" s="12">
        <f>IF(A205="","",MAX(0,MAX(0,MIN(1,(((IF(Статистика!$C$4="Параллельный режим (активная мощность)",J205,U205)+Статистика!$J$4))-Статистика!$C$10)/MAX(Статистика!$G$10-Статистика!$C$10,0.000001)))-MAX(0,MIN(1,(((IF(Статистика!$C$4="Параллельный режим (активная мощность)",H205,S205)+Статистика!$J$4))-Статистика!$C$10)/MAX(Статистика!$G$10-Статистика!$C$10,0.000001)))))</f>
        <v>2.9114818999999237E-2</v>
      </c>
      <c r="BD205" s="12">
        <f>IF(A205="","",MAX(0,1-MAX(0,MIN(1,(((IF(Статистика!$C$4="Параллельный режим (активная мощность)",J205,U205)+Статистика!$J$4))-Статистика!$C$10)/MAX(Статистика!$G$10-Статистика!$C$10,0.000001)))))</f>
        <v>0.20044962377777842</v>
      </c>
      <c r="BE205" s="12">
        <f>IF(A205="",NA(),IF(Статистика!$B$8="Вкл",(((IF(Статистика!$C$4="Параллельный режим (активная мощность)",F205,Q205)+Статистика!$J$4))-Статистика!$C$10)/MAX(Статистика!$G$10-Статистика!$C$10,0.000001),NA()))</f>
        <v>0.60482902222222223</v>
      </c>
      <c r="BF205" s="12">
        <f>IF(A205="",NA(),IF(Статистика!$D$8="Вкл",(((IF(Статистика!$C$4="Параллельный режим (активная мощность)",E205,P205)+Статистика!$J$4))-Статистика!$C$10)/MAX(Статистика!$G$10-Статистика!$C$10,0.000001),NA()))</f>
        <v>0.55554918055555547</v>
      </c>
      <c r="BG205" s="12">
        <f>IF(A205="",NA(),IF(Статистика!$D$8="Вкл",(((IF(Статистика!$C$4="Параллельный режим (активная мощность)",G205,R205)+Статистика!$J$4))-Статистика!$C$10)/MAX(Статистика!$G$10-Статистика!$C$10,0.000001),NA()))</f>
        <v>0.64364276666666653</v>
      </c>
      <c r="BH205" s="12">
        <f>IF(A205="",NA(),IF(Статистика!$F$8="Вкл",(((IF(Статистика!$C$4="Параллельный режим (активная мощность)",D205,O205)+Статистика!$J$4))-Статистика!$C$10)/MAX(Статистика!$G$10-Статистика!$C$10,0.000001),NA()))</f>
        <v>0.49053682777777796</v>
      </c>
      <c r="BI205" s="12">
        <f>IF(A205="",NA(),IF(Статистика!$F$8="Вкл",(((IF(Статистика!$C$4="Параллельный режим (активная мощность)",H205,S205)+Статистика!$J$4))-Статистика!$C$10)/MAX(Статистика!$G$10-Статистика!$C$10,0.000001),NA()))</f>
        <v>0.77043555722222234</v>
      </c>
      <c r="BJ205" s="12">
        <f>IF(A205="",NA(),IF(Статистика!$H$8="Вкл",(((IF(Статистика!$C$4="Параллельный режим (активная мощность)",B205,M205)+Статистика!$J$4))-Статистика!$C$10)/MAX(Статистика!$G$10-Статистика!$C$10,0.000001),NA()))</f>
        <v>0.44548936927777716</v>
      </c>
      <c r="BK205" s="12">
        <f>IF(A205="",NA(),IF(Статистика!$H$8="Вкл",(((IF(Статистика!$C$4="Параллельный режим (активная мощность)",J205,U205)+Статистика!$J$4))-Статистика!$C$10)/MAX(Статистика!$G$10-Статистика!$C$10,0.000001),NA()))</f>
        <v>0.79955037622222158</v>
      </c>
      <c r="BL205" s="12" t="e">
        <f>IF(A205="",NA(),IF(Статистика!$J$8="Вкл",(((IF(Статистика!$C$4="Параллельный режим (активная мощность)",K205,V205)+Статистика!$J$4))-Статистика!$C$10)/MAX(Статистика!$G$10-Статистика!$C$10,0.000001),NA()))</f>
        <v>#N/A</v>
      </c>
      <c r="BM205" s="12" t="e">
        <f>IF(AND(A205&lt;&gt;"",Статистика!$C$6="Вкл",Статистика!$B$6&gt;0),(Статистика!$B$6-Статистика!$C$10)/MAX(Статистика!$G$10-Статистика!$C$10,0.000001),NA())</f>
        <v>#N/A</v>
      </c>
      <c r="BN205" s="12" t="e">
        <f>IF(AND(A205&lt;&gt;"",Статистика!$F$6="Вкл",Статистика!$E$6&gt;0),(Статистика!$E$6-Статистика!$C$10)/MAX(Статистика!$G$10-Статистика!$C$10,0.000001),NA())</f>
        <v>#N/A</v>
      </c>
      <c r="BO205" s="12" t="e">
        <f>IF(AND(A205&lt;&gt;"",Статистика!$I$6="Вкл",Статистика!$H$6&gt;0),(Статистика!$H$6-Статистика!$C$10)/MAX(Статистика!$G$10-Статистика!$C$10,0.000001),NA())</f>
        <v>#N/A</v>
      </c>
      <c r="BP205" s="12" t="e">
        <f>IF(AND(A205&lt;&gt;"",Статистика!$L$6="Вкл",Статистика!$K$6&gt;0),(Статистика!$K$6-Статистика!$C$10)/MAX(Статистика!$G$10-Статистика!$C$10,0.000001),NA())</f>
        <v>#N/A</v>
      </c>
      <c r="BQ205" s="12" t="e">
        <f>IF(AND(A205&lt;&gt;"",Статистика!$M$6="Вкл",Статистика!$O$6&gt;0),(Статистика!$O$6-Статистика!$C$10)/MAX(Статистика!$G$10-Статистика!$C$10,0.000001),NA())</f>
        <v>#N/A</v>
      </c>
      <c r="BR205" s="12">
        <f t="shared" si="6"/>
        <v>1</v>
      </c>
      <c r="BT205" s="12">
        <f>IF(Y205="","",MAX(0,MIN(1,(((IF(Статистика!$C$4="Параллельный режим (активная мощность)",Z205,AK205)+Статистика!$J$4))-Статистика!$C$10)/MAX(Статистика!$G$10-Статистика!$C$10,0.000001))))</f>
        <v>0.53603354144444437</v>
      </c>
      <c r="BU205" s="12">
        <f>IF(Y205="","",MAX(0,MAX(0,MIN(1,(((IF(Статистика!$C$4="Параллельный режим (активная мощность)",AB205,AM205)+Статистика!$J$4))-Статистика!$C$10)/MAX(Статистика!$G$10-Статистика!$C$10,0.000001)))-MAX(0,MIN(1,(((IF(Статистика!$C$4="Параллельный режим (активная мощность)",Z205,AK205)+Статистика!$J$4))-Статистика!$C$10)/MAX(Статистика!$G$10-Статистика!$C$10,0.000001)))))</f>
        <v>2.1937299999996718E-4</v>
      </c>
      <c r="BV205" s="12">
        <f>IF(Y205="","",MAX(0,MAX(0,MIN(1,(((IF(Статистика!$C$4="Параллельный режим (активная мощность)",AC205,AN205)+Статистика!$J$4))-Статистика!$C$10)/MAX(Статистика!$G$10-Статистика!$C$10,0.000001)))-MAX(0,MIN(1,(((IF(Статистика!$C$4="Параллельный режим (активная мощность)",AB205,AM205)+Статистика!$J$4))-Статистика!$C$10)/MAX(Статистика!$G$10-Статистика!$C$10,0.000001)))))</f>
        <v>2.4278168888888674E-2</v>
      </c>
      <c r="BW205" s="12">
        <f>IF(Y205="","",MAX(0,MAX(0,MIN(1,(((IF(Статистика!$C$4="Параллельный режим (активная мощность)",AD205,AO205)+Статистика!$J$4))-Статистика!$C$10)/MAX(Статистика!$G$10-Статистика!$C$10,0.000001)))-MAX(0,MIN(1,(((IF(Статистика!$C$4="Параллельный режим (активная мощность)",AC205,AN205)+Статистика!$J$4))-Статистика!$C$10)/MAX(Статистика!$G$10-Статистика!$C$10,0.000001)))))</f>
        <v>4.1978266666667263E-2</v>
      </c>
      <c r="BX205" s="12">
        <f>IF(Y205="","",MAX(0,MAX(0,MIN(1,(((IF(Статистика!$C$4="Параллельный режим (активная мощность)",AE205,AP205)+Статистика!$J$4))-Статистика!$C$10)/MAX(Статистика!$G$10-Статистика!$C$10,0.000001)))-MAX(0,MIN(1,(((IF(Статистика!$C$4="Параллельный режим (активная мощность)",AD205,AO205)+Статистика!$J$4))-Статистика!$C$10)/MAX(Статистика!$G$10-Статистика!$C$10,0.000001)))))</f>
        <v>7.4495550000000188E-2</v>
      </c>
      <c r="BY205" s="12">
        <f>IF(Y205="","",MAX(0,MAX(0,MIN(1,(((IF(Статистика!$C$4="Параллельный режим (активная мощность)",AF205,AQ205)+Статистика!$J$4))-Статистика!$C$10)/MAX(Статистика!$G$10-Статистика!$C$10,0.000001)))-MAX(0,MIN(1,(((IF(Статистика!$C$4="Параллельный режим (активная мощность)",AE205,AP205)+Статистика!$J$4))-Статистика!$C$10)/MAX(Статистика!$G$10-Статистика!$C$10,0.000001)))))</f>
        <v>9.5466891666666331E-2</v>
      </c>
      <c r="BZ205" s="12">
        <f>IF(Y205="","",MAX(0,MAX(0,MIN(1,(((IF(Статистика!$C$4="Параллельный режим (активная мощность)",AH205,AS205)+Статистика!$J$4))-Статистика!$C$10)/MAX(Статистика!$G$10-Статистика!$C$10,0.000001)))-MAX(0,MIN(1,(((IF(Статистика!$C$4="Параллельный режим (активная мощность)",AF205,AQ205)+Статистика!$J$4))-Статистика!$C$10)/MAX(Статистика!$G$10-Статистика!$C$10,0.000001)))))</f>
        <v>1.0251917499999763E-2</v>
      </c>
      <c r="CA205" s="12">
        <f>IF(Y205="","",MAX(0,1-MAX(0,MIN(1,(((IF(Статистика!$C$4="Параллельный режим (активная мощность)",AH205,AS205)+Статистика!$J$4))-Статистика!$C$10)/MAX(Статистика!$G$10-Статистика!$C$10,0.000001)))))</f>
        <v>0.21727629083333344</v>
      </c>
      <c r="CB205" s="12">
        <f>IF(Y205="",NA(),IF(Статистика!$B$8="Вкл",(((IF(Статистика!$C$4="Параллельный режим (активная мощность)",AD205,AO205)+Статистика!$J$4))-Статистика!$C$10)/MAX(Статистика!$G$10-Статистика!$C$10,0.000001),NA()))</f>
        <v>0.60250935000000028</v>
      </c>
      <c r="CC205" s="12">
        <f>IF(Y205="",NA(),IF(Статистика!$D$8="Вкл",(((IF(Статистика!$C$4="Параллельный режим (активная мощность)",AC205,AN205)+Статистика!$J$4))-Статистика!$C$10)/MAX(Статистика!$G$10-Статистика!$C$10,0.000001),NA()))</f>
        <v>0.56053108333333301</v>
      </c>
      <c r="CD205" s="12">
        <f>IF(Y205="",NA(),IF(Статистика!$D$8="Вкл",(((IF(Статистика!$C$4="Параллельный режим (активная мощность)",AE205,AP205)+Статистика!$J$4))-Статистика!$C$10)/MAX(Статистика!$G$10-Статистика!$C$10,0.000001),NA()))</f>
        <v>0.67700490000000046</v>
      </c>
      <c r="CE205" s="12">
        <f>IF(Y205="",NA(),IF(Статистика!$F$8="Вкл",(((IF(Статистика!$C$4="Параллельный режим (активная мощность)",AB205,AM205)+Статистика!$J$4))-Статистика!$C$10)/MAX(Статистика!$G$10-Статистика!$C$10,0.000001),NA()))</f>
        <v>0.53625291444444434</v>
      </c>
      <c r="CF205" s="12">
        <f>IF(Y205="",NA(),IF(Статистика!$F$8="Вкл",(((IF(Статистика!$C$4="Параллельный режим (активная мощность)",AF205,AQ205)+Статистика!$J$4))-Статистика!$C$10)/MAX(Статистика!$G$10-Статистика!$C$10,0.000001),NA()))</f>
        <v>0.7724717916666668</v>
      </c>
      <c r="CG205" s="12">
        <f>IF(Y205="",NA(),IF(Статистика!$H$8="Вкл",(((IF(Статистика!$C$4="Параллельный режим (активная мощность)",Z205,AK205)+Статистика!$J$4))-Статистика!$C$10)/MAX(Статистика!$G$10-Статистика!$C$10,0.000001),NA()))</f>
        <v>0.53603354144444437</v>
      </c>
      <c r="CH205" s="12">
        <f>IF(Y205="",NA(),IF(Статистика!$H$8="Вкл",(((IF(Статистика!$C$4="Параллельный режим (активная мощность)",AH205,AS205)+Статистика!$J$4))-Статистика!$C$10)/MAX(Статистика!$G$10-Статистика!$C$10,0.000001),NA()))</f>
        <v>0.78272370916666656</v>
      </c>
      <c r="CI205" s="12" t="e">
        <f>IF(Y205="",NA(),IF(Статистика!$J$8="Вкл",(((IF(Статистика!$C$4="Параллельный режим (активная мощность)",AI205,AT205)+Статистика!$J$4))-Статистика!$C$10)/MAX(Статистика!$G$10-Статистика!$C$10,0.000001),NA()))</f>
        <v>#N/A</v>
      </c>
      <c r="CJ205" s="12" t="e">
        <f>IF(AND(Y205&lt;&gt;"",Статистика!$C$6="Вкл",Статистика!$B$6&gt;0),(Статистика!$B$6-Статистика!$C$10)/MAX(Статистика!$G$10-Статистика!$C$10,0.000001),NA())</f>
        <v>#N/A</v>
      </c>
      <c r="CK205" s="12" t="e">
        <f>IF(AND(Y205&lt;&gt;"",Статистика!$F$6="Вкл",Статистика!$E$6&gt;0),(Статистика!$E$6-Статистика!$C$10)/MAX(Статистика!$G$10-Статистика!$C$10,0.000001),NA())</f>
        <v>#N/A</v>
      </c>
      <c r="CL205" s="12" t="e">
        <f>IF(AND(Y205&lt;&gt;"",Статистика!$I$6="Вкл",Статистика!$H$6&gt;0),(Статистика!$H$6-Статистика!$C$10)/MAX(Статистика!$G$10-Статистика!$C$10,0.000001),NA())</f>
        <v>#N/A</v>
      </c>
      <c r="CM205" s="12" t="e">
        <f>IF(AND(Y205&lt;&gt;"",Статистика!$L$6="Вкл",Статистика!$K$6&gt;0),(Статистика!$K$6-Статистика!$C$10)/MAX(Статистика!$G$10-Статистика!$C$10,0.000001),NA())</f>
        <v>#N/A</v>
      </c>
      <c r="CN205" s="12" t="e">
        <f>IF(AND(Y205&lt;&gt;"",Статистика!$M$6="Вкл",Статистика!$O$6&gt;0),(Статистика!$O$6-Статистика!$C$10)/MAX(Статистика!$G$10-Статистика!$C$10,0.000001),NA())</f>
        <v>#N/A</v>
      </c>
      <c r="CO205" s="12">
        <f t="shared" si="7"/>
        <v>1</v>
      </c>
    </row>
    <row r="206" spans="1:93" ht="15" customHeight="1">
      <c r="A206" s="12" t="s">
        <v>866</v>
      </c>
      <c r="B206" s="12">
        <v>7400.8318878333339</v>
      </c>
      <c r="C206" s="12">
        <v>7461.723439166667</v>
      </c>
      <c r="D206" s="12">
        <v>7501.5085683333336</v>
      </c>
      <c r="E206" s="12">
        <v>7641.215666666666</v>
      </c>
      <c r="F206" s="12">
        <v>7801.5181000000011</v>
      </c>
      <c r="G206" s="12">
        <v>7881.096066666666</v>
      </c>
      <c r="H206" s="12">
        <v>8280.001694999999</v>
      </c>
      <c r="I206" s="12">
        <v>8301.7339691666657</v>
      </c>
      <c r="J206" s="12">
        <v>8327.3110605000002</v>
      </c>
      <c r="K206" s="12">
        <v>8472.31</v>
      </c>
      <c r="L206" s="12" t="s">
        <v>867</v>
      </c>
      <c r="M206" s="12">
        <v>8490.4054511666654</v>
      </c>
      <c r="N206" s="12">
        <v>8494.461255833332</v>
      </c>
      <c r="O206" s="12">
        <v>8529.5231516666663</v>
      </c>
      <c r="P206" s="12">
        <v>8702.3481666666667</v>
      </c>
      <c r="Q206" s="12">
        <v>8821.0460166666671</v>
      </c>
      <c r="R206" s="12">
        <v>8993.9372916666653</v>
      </c>
      <c r="S206" s="12">
        <v>9352.5799533333338</v>
      </c>
      <c r="T206" s="12">
        <v>9365.5488733333332</v>
      </c>
      <c r="U206" s="12">
        <v>9377.4467613333327</v>
      </c>
      <c r="V206" s="12">
        <v>9499.51</v>
      </c>
      <c r="W206" s="12" t="s">
        <v>867</v>
      </c>
      <c r="Y206" s="12" t="s">
        <v>866</v>
      </c>
      <c r="Z206" s="12">
        <v>7625.7543216666672</v>
      </c>
      <c r="AA206" s="12">
        <v>7626.1842750000005</v>
      </c>
      <c r="AB206" s="12">
        <v>7626.7217166666678</v>
      </c>
      <c r="AC206" s="12">
        <v>7671.97055</v>
      </c>
      <c r="AD206" s="12">
        <v>7837.9224166666663</v>
      </c>
      <c r="AE206" s="12">
        <v>8018.3857916666666</v>
      </c>
      <c r="AF206" s="12">
        <v>8289.4544466666666</v>
      </c>
      <c r="AG206" s="12">
        <v>8299.8416733333343</v>
      </c>
      <c r="AH206" s="12">
        <v>8308.1514546666676</v>
      </c>
      <c r="AI206" s="12">
        <v>8386.94</v>
      </c>
      <c r="AJ206" s="12" t="s">
        <v>868</v>
      </c>
      <c r="AK206" s="12">
        <v>8663.0145638333343</v>
      </c>
      <c r="AL206" s="12">
        <v>8670.8440191666668</v>
      </c>
      <c r="AM206" s="12">
        <v>8680.6308383333344</v>
      </c>
      <c r="AN206" s="12">
        <v>8727.1049750000002</v>
      </c>
      <c r="AO206" s="12">
        <v>8919.4818333333333</v>
      </c>
      <c r="AP206" s="12">
        <v>9086.5057416666659</v>
      </c>
      <c r="AQ206" s="12">
        <v>9345.2292816666686</v>
      </c>
      <c r="AR206" s="12">
        <v>9362.7482575000013</v>
      </c>
      <c r="AS206" s="12">
        <v>9376.7634381666667</v>
      </c>
      <c r="AT206" s="12">
        <v>9448.44</v>
      </c>
      <c r="AU206" s="12" t="s">
        <v>869</v>
      </c>
      <c r="AW206" s="12">
        <f>IF(A206="","",MAX(0,MIN(1,(((IF(Статистика!$C$4="Параллельный режим (активная мощность)",B206,M206)+Статистика!$J$4))-Статистика!$C$10)/MAX(Статистика!$G$10-Статистика!$C$10,0.000001))))</f>
        <v>0.46694396261111132</v>
      </c>
      <c r="AX206" s="12">
        <f>IF(A206="","",MAX(0,MAX(0,MIN(1,(((IF(Статистика!$C$4="Параллельный режим (активная мощность)",D206,O206)+Статистика!$J$4))-Статистика!$C$10)/MAX(Статистика!$G$10-Статистика!$C$10,0.000001)))-MAX(0,MIN(1,(((IF(Статистика!$C$4="Параллельный режим (активная мощность)",B206,M206)+Статистика!$J$4))-Статистика!$C$10)/MAX(Статистика!$G$10-Статистика!$C$10,0.000001)))))</f>
        <v>3.3558893499999909E-2</v>
      </c>
      <c r="AY206" s="12">
        <f>IF(A206="","",MAX(0,MAX(0,MIN(1,(((IF(Статистика!$C$4="Параллельный режим (активная мощность)",E206,P206)+Статистика!$J$4))-Статистика!$C$10)/MAX(Статистика!$G$10-Статистика!$C$10,0.000001)))-MAX(0,MIN(1,(((IF(Статистика!$C$4="Параллельный режим (активная мощность)",D206,O206)+Статистика!$J$4))-Статистика!$C$10)/MAX(Статистика!$G$10-Статистика!$C$10,0.000001)))))</f>
        <v>4.6569032777777464E-2</v>
      </c>
      <c r="AZ206" s="12">
        <f>IF(A206="","",MAX(0,MAX(0,MIN(1,(((IF(Статистика!$C$4="Параллельный режим (активная мощность)",F206,Q206)+Статистика!$J$4))-Статистика!$C$10)/MAX(Статистика!$G$10-Статистика!$C$10,0.000001)))-MAX(0,MIN(1,(((IF(Статистика!$C$4="Параллельный режим (активная мощность)",E206,P206)+Статистика!$J$4))-Статистика!$C$10)/MAX(Статистика!$G$10-Статистика!$C$10,0.000001)))))</f>
        <v>5.3434144444445053E-2</v>
      </c>
      <c r="BA206" s="12">
        <f>IF(A206="","",MAX(0,MAX(0,MIN(1,(((IF(Статистика!$C$4="Параллельный режим (активная мощность)",G206,R206)+Статистика!$J$4))-Статистика!$C$10)/MAX(Статистика!$G$10-Статистика!$C$10,0.000001)))-MAX(0,MIN(1,(((IF(Статистика!$C$4="Параллельный режим (активная мощность)",F206,Q206)+Статистика!$J$4))-Статистика!$C$10)/MAX(Статистика!$G$10-Статистика!$C$10,0.000001)))))</f>
        <v>2.6525988888888241E-2</v>
      </c>
      <c r="BB206" s="12">
        <f>IF(A206="","",MAX(0,MAX(0,MIN(1,(((IF(Статистика!$C$4="Параллельный режим (активная мощность)",H206,S206)+Статистика!$J$4))-Статистика!$C$10)/MAX(Статистика!$G$10-Статистика!$C$10,0.000001)))-MAX(0,MIN(1,(((IF(Статистика!$C$4="Параллельный режим (активная мощность)",G206,R206)+Статистика!$J$4))-Статистика!$C$10)/MAX(Статистика!$G$10-Статистика!$C$10,0.000001)))))</f>
        <v>0.1329685427777777</v>
      </c>
      <c r="BC206" s="12">
        <f>IF(A206="","",MAX(0,MAX(0,MIN(1,(((IF(Статистика!$C$4="Параллельный режим (активная мощность)",J206,U206)+Статистика!$J$4))-Статистика!$C$10)/MAX(Статистика!$G$10-Статистика!$C$10,0.000001)))-MAX(0,MIN(1,(((IF(Статистика!$C$4="Параллельный режим (активная мощность)",H206,S206)+Статистика!$J$4))-Статистика!$C$10)/MAX(Статистика!$G$10-Статистика!$C$10,0.000001)))))</f>
        <v>1.5769788500000326E-2</v>
      </c>
      <c r="BD206" s="12">
        <f>IF(A206="","",MAX(0,1-MAX(0,MIN(1,(((IF(Статистика!$C$4="Параллельный режим (активная мощность)",J206,U206)+Статистика!$J$4))-Статистика!$C$10)/MAX(Статистика!$G$10-Статистика!$C$10,0.000001)))))</f>
        <v>0.22422964649999999</v>
      </c>
      <c r="BE206" s="12">
        <f>IF(A206="",NA(),IF(Статистика!$B$8="Вкл",(((IF(Статистика!$C$4="Параллельный режим (активная мощность)",F206,Q206)+Статистика!$J$4))-Статистика!$C$10)/MAX(Статистика!$G$10-Статистика!$C$10,0.000001),NA()))</f>
        <v>0.60050603333333374</v>
      </c>
      <c r="BF206" s="12">
        <f>IF(A206="",NA(),IF(Статистика!$D$8="Вкл",(((IF(Статистика!$C$4="Параллельный режим (активная мощность)",E206,P206)+Статистика!$J$4))-Статистика!$C$10)/MAX(Статистика!$G$10-Статистика!$C$10,0.000001),NA()))</f>
        <v>0.54707188888888869</v>
      </c>
      <c r="BG206" s="12">
        <f>IF(A206="",NA(),IF(Статистика!$D$8="Вкл",(((IF(Статистика!$C$4="Параллельный режим (активная мощность)",G206,R206)+Статистика!$J$4))-Статистика!$C$10)/MAX(Статистика!$G$10-Статистика!$C$10,0.000001),NA()))</f>
        <v>0.62703202222222199</v>
      </c>
      <c r="BH206" s="12">
        <f>IF(A206="",NA(),IF(Статистика!$F$8="Вкл",(((IF(Статистика!$C$4="Параллельный режим (активная мощность)",D206,O206)+Статистика!$J$4))-Статистика!$C$10)/MAX(Статистика!$G$10-Статистика!$C$10,0.000001),NA()))</f>
        <v>0.50050285611111123</v>
      </c>
      <c r="BI206" s="12">
        <f>IF(A206="",NA(),IF(Статистика!$F$8="Вкл",(((IF(Статистика!$C$4="Параллельный режим (активная мощность)",H206,S206)+Статистика!$J$4))-Статистика!$C$10)/MAX(Статистика!$G$10-Статистика!$C$10,0.000001),NA()))</f>
        <v>0.76000056499999968</v>
      </c>
      <c r="BJ206" s="12">
        <f>IF(A206="",NA(),IF(Статистика!$H$8="Вкл",(((IF(Статистика!$C$4="Параллельный режим (активная мощность)",B206,M206)+Статистика!$J$4))-Статистика!$C$10)/MAX(Статистика!$G$10-Статистика!$C$10,0.000001),NA()))</f>
        <v>0.46694396261111132</v>
      </c>
      <c r="BK206" s="12">
        <f>IF(A206="",NA(),IF(Статистика!$H$8="Вкл",(((IF(Статистика!$C$4="Параллельный режим (активная мощность)",J206,U206)+Статистика!$J$4))-Статистика!$C$10)/MAX(Статистика!$G$10-Статистика!$C$10,0.000001),NA()))</f>
        <v>0.77577035350000001</v>
      </c>
      <c r="BL206" s="12" t="e">
        <f>IF(A206="",NA(),IF(Статистика!$J$8="Вкл",(((IF(Статистика!$C$4="Параллельный режим (активная мощность)",K206,V206)+Статистика!$J$4))-Статистика!$C$10)/MAX(Статистика!$G$10-Статистика!$C$10,0.000001),NA()))</f>
        <v>#N/A</v>
      </c>
      <c r="BM206" s="12" t="e">
        <f>IF(AND(A206&lt;&gt;"",Статистика!$C$6="Вкл",Статистика!$B$6&gt;0),(Статистика!$B$6-Статистика!$C$10)/MAX(Статистика!$G$10-Статистика!$C$10,0.000001),NA())</f>
        <v>#N/A</v>
      </c>
      <c r="BN206" s="12" t="e">
        <f>IF(AND(A206&lt;&gt;"",Статистика!$F$6="Вкл",Статистика!$E$6&gt;0),(Статистика!$E$6-Статистика!$C$10)/MAX(Статистика!$G$10-Статистика!$C$10,0.000001),NA())</f>
        <v>#N/A</v>
      </c>
      <c r="BO206" s="12" t="e">
        <f>IF(AND(A206&lt;&gt;"",Статистика!$I$6="Вкл",Статистика!$H$6&gt;0),(Статистика!$H$6-Статистика!$C$10)/MAX(Статистика!$G$10-Статистика!$C$10,0.000001),NA())</f>
        <v>#N/A</v>
      </c>
      <c r="BP206" s="12" t="e">
        <f>IF(AND(A206&lt;&gt;"",Статистика!$L$6="Вкл",Статистика!$K$6&gt;0),(Статистика!$K$6-Статистика!$C$10)/MAX(Статистика!$G$10-Статистика!$C$10,0.000001),NA())</f>
        <v>#N/A</v>
      </c>
      <c r="BQ206" s="12" t="e">
        <f>IF(AND(A206&lt;&gt;"",Статистика!$M$6="Вкл",Статистика!$O$6&gt;0),(Статистика!$O$6-Статистика!$C$10)/MAX(Статистика!$G$10-Статистика!$C$10,0.000001),NA())</f>
        <v>#N/A</v>
      </c>
      <c r="BR206" s="12">
        <f t="shared" si="6"/>
        <v>1</v>
      </c>
      <c r="BT206" s="12">
        <f>IF(Y206="","",MAX(0,MIN(1,(((IF(Статистика!$C$4="Параллельный режим (активная мощность)",Z206,AK206)+Статистика!$J$4))-Статистика!$C$10)/MAX(Статистика!$G$10-Статистика!$C$10,0.000001))))</f>
        <v>0.54191810722222244</v>
      </c>
      <c r="BU206" s="12">
        <f>IF(Y206="","",MAX(0,MAX(0,MIN(1,(((IF(Статистика!$C$4="Параллельный режим (активная мощность)",AB206,AM206)+Статистика!$J$4))-Статистика!$C$10)/MAX(Статистика!$G$10-Статистика!$C$10,0.000001)))-MAX(0,MIN(1,(((IF(Статистика!$C$4="Параллельный режим (активная мощность)",Z206,AK206)+Статистика!$J$4))-Статистика!$C$10)/MAX(Статистика!$G$10-Статистика!$C$10,0.000001)))))</f>
        <v>3.2246500000021605E-4</v>
      </c>
      <c r="BV206" s="12">
        <f>IF(Y206="","",MAX(0,MAX(0,MIN(1,(((IF(Статистика!$C$4="Параллельный режим (активная мощность)",AC206,AN206)+Статистика!$J$4))-Статистика!$C$10)/MAX(Статистика!$G$10-Статистика!$C$10,0.000001)))-MAX(0,MIN(1,(((IF(Статистика!$C$4="Параллельный режим (активная мощность)",AB206,AM206)+Статистика!$J$4))-Статистика!$C$10)/MAX(Статистика!$G$10-Статистика!$C$10,0.000001)))))</f>
        <v>1.5082944444444024E-2</v>
      </c>
      <c r="BW206" s="12">
        <f>IF(Y206="","",MAX(0,MAX(0,MIN(1,(((IF(Статистика!$C$4="Параллельный режим (активная мощность)",AD206,AO206)+Статистика!$J$4))-Статистика!$C$10)/MAX(Статистика!$G$10-Статистика!$C$10,0.000001)))-MAX(0,MIN(1,(((IF(Статистика!$C$4="Параллельный режим (активная мощность)",AC206,AN206)+Статистика!$J$4))-Статистика!$C$10)/MAX(Статистика!$G$10-Статистика!$C$10,0.000001)))))</f>
        <v>5.531728888888876E-2</v>
      </c>
      <c r="BX206" s="12">
        <f>IF(Y206="","",MAX(0,MAX(0,MIN(1,(((IF(Статистика!$C$4="Параллельный режим (активная мощность)",AE206,AP206)+Статистика!$J$4))-Статистика!$C$10)/MAX(Статистика!$G$10-Статистика!$C$10,0.000001)))-MAX(0,MIN(1,(((IF(Статистика!$C$4="Параллельный режим (активная мощность)",AD206,AO206)+Статистика!$J$4))-Статистика!$C$10)/MAX(Статистика!$G$10-Статистика!$C$10,0.000001)))))</f>
        <v>6.0154458333333438E-2</v>
      </c>
      <c r="BY206" s="12">
        <f>IF(Y206="","",MAX(0,MAX(0,MIN(1,(((IF(Статистика!$C$4="Параллельный режим (активная мощность)",AF206,AQ206)+Статистика!$J$4))-Статистика!$C$10)/MAX(Статистика!$G$10-Статистика!$C$10,0.000001)))-MAX(0,MIN(1,(((IF(Статистика!$C$4="Параллельный режим (активная мощность)",AE206,AP206)+Статистика!$J$4))-Статистика!$C$10)/MAX(Статистика!$G$10-Статистика!$C$10,0.000001)))))</f>
        <v>9.0356218333333294E-2</v>
      </c>
      <c r="BZ206" s="12">
        <f>IF(Y206="","",MAX(0,MAX(0,MIN(1,(((IF(Статистика!$C$4="Параллельный режим (активная мощность)",AH206,AS206)+Статистика!$J$4))-Статистика!$C$10)/MAX(Статистика!$G$10-Статистика!$C$10,0.000001)))-MAX(0,MIN(1,(((IF(Статистика!$C$4="Параллельный режим (активная мощность)",AF206,AQ206)+Статистика!$J$4))-Статистика!$C$10)/MAX(Статистика!$G$10-Статистика!$C$10,0.000001)))))</f>
        <v>6.2323360000003936E-3</v>
      </c>
      <c r="CA206" s="12">
        <f>IF(Y206="","",MAX(0,1-MAX(0,MIN(1,(((IF(Статистика!$C$4="Параллельный режим (активная мощность)",AH206,AS206)+Статистика!$J$4))-Статистика!$C$10)/MAX(Статистика!$G$10-Статистика!$C$10,0.000001)))))</f>
        <v>0.23061618177777743</v>
      </c>
      <c r="CB206" s="12">
        <f>IF(Y206="",NA(),IF(Статистика!$B$8="Вкл",(((IF(Статистика!$C$4="Параллельный режим (активная мощность)",AD206,AO206)+Статистика!$J$4))-Статистика!$C$10)/MAX(Статистика!$G$10-Статистика!$C$10,0.000001),NA()))</f>
        <v>0.61264080555555545</v>
      </c>
      <c r="CC206" s="12">
        <f>IF(Y206="",NA(),IF(Статистика!$D$8="Вкл",(((IF(Статистика!$C$4="Параллельный режим (активная мощность)",AC206,AN206)+Статистика!$J$4))-Статистика!$C$10)/MAX(Статистика!$G$10-Статистика!$C$10,0.000001),NA()))</f>
        <v>0.55732351666666669</v>
      </c>
      <c r="CD206" s="12">
        <f>IF(Y206="",NA(),IF(Статистика!$D$8="Вкл",(((IF(Статистика!$C$4="Параллельный режим (активная мощность)",AE206,AP206)+Статистика!$J$4))-Статистика!$C$10)/MAX(Статистика!$G$10-Статистика!$C$10,0.000001),NA()))</f>
        <v>0.67279526388888888</v>
      </c>
      <c r="CE206" s="12">
        <f>IF(Y206="",NA(),IF(Статистика!$F$8="Вкл",(((IF(Статистика!$C$4="Параллельный режим (активная мощность)",AB206,AM206)+Статистика!$J$4))-Статистика!$C$10)/MAX(Статистика!$G$10-Статистика!$C$10,0.000001),NA()))</f>
        <v>0.54224057222222266</v>
      </c>
      <c r="CF206" s="12">
        <f>IF(Y206="",NA(),IF(Статистика!$F$8="Вкл",(((IF(Статистика!$C$4="Параллельный режим (активная мощность)",AF206,AQ206)+Статистика!$J$4))-Статистика!$C$10)/MAX(Статистика!$G$10-Статистика!$C$10,0.000001),NA()))</f>
        <v>0.76315148222222218</v>
      </c>
      <c r="CG206" s="12">
        <f>IF(Y206="",NA(),IF(Статистика!$H$8="Вкл",(((IF(Статистика!$C$4="Параллельный режим (активная мощность)",Z206,AK206)+Статистика!$J$4))-Статистика!$C$10)/MAX(Статистика!$G$10-Статистика!$C$10,0.000001),NA()))</f>
        <v>0.54191810722222244</v>
      </c>
      <c r="CH206" s="12">
        <f>IF(Y206="",NA(),IF(Статистика!$H$8="Вкл",(((IF(Статистика!$C$4="Параллельный режим (активная мощность)",AH206,AS206)+Статистика!$J$4))-Статистика!$C$10)/MAX(Статистика!$G$10-Статистика!$C$10,0.000001),NA()))</f>
        <v>0.76938381822222257</v>
      </c>
      <c r="CI206" s="12" t="e">
        <f>IF(Y206="",NA(),IF(Статистика!$J$8="Вкл",(((IF(Статистика!$C$4="Параллельный режим (активная мощность)",AI206,AT206)+Статистика!$J$4))-Статистика!$C$10)/MAX(Статистика!$G$10-Статистика!$C$10,0.000001),NA()))</f>
        <v>#N/A</v>
      </c>
      <c r="CJ206" s="12" t="e">
        <f>IF(AND(Y206&lt;&gt;"",Статистика!$C$6="Вкл",Статистика!$B$6&gt;0),(Статистика!$B$6-Статистика!$C$10)/MAX(Статистика!$G$10-Статистика!$C$10,0.000001),NA())</f>
        <v>#N/A</v>
      </c>
      <c r="CK206" s="12" t="e">
        <f>IF(AND(Y206&lt;&gt;"",Статистика!$F$6="Вкл",Статистика!$E$6&gt;0),(Статистика!$E$6-Статистика!$C$10)/MAX(Статистика!$G$10-Статистика!$C$10,0.000001),NA())</f>
        <v>#N/A</v>
      </c>
      <c r="CL206" s="12" t="e">
        <f>IF(AND(Y206&lt;&gt;"",Статистика!$I$6="Вкл",Статистика!$H$6&gt;0),(Статистика!$H$6-Статистика!$C$10)/MAX(Статистика!$G$10-Статистика!$C$10,0.000001),NA())</f>
        <v>#N/A</v>
      </c>
      <c r="CM206" s="12" t="e">
        <f>IF(AND(Y206&lt;&gt;"",Статистика!$L$6="Вкл",Статистика!$K$6&gt;0),(Статистика!$K$6-Статистика!$C$10)/MAX(Статистика!$G$10-Статистика!$C$10,0.000001),NA())</f>
        <v>#N/A</v>
      </c>
      <c r="CN206" s="12" t="e">
        <f>IF(AND(Y206&lt;&gt;"",Статистика!$M$6="Вкл",Статистика!$O$6&gt;0),(Статистика!$O$6-Статистика!$C$10)/MAX(Статистика!$G$10-Статистика!$C$10,0.000001),NA())</f>
        <v>#N/A</v>
      </c>
      <c r="CO206" s="12">
        <f t="shared" si="7"/>
        <v>1</v>
      </c>
    </row>
    <row r="207" spans="1:93" ht="15" customHeight="1">
      <c r="A207" s="12" t="s">
        <v>870</v>
      </c>
      <c r="B207" s="12">
        <v>7482.1038081666666</v>
      </c>
      <c r="C207" s="12">
        <v>7493.2587741666666</v>
      </c>
      <c r="D207" s="12">
        <v>7502.2504566666667</v>
      </c>
      <c r="E207" s="12">
        <v>7636.5573999999997</v>
      </c>
      <c r="F207" s="12">
        <v>7766.0427</v>
      </c>
      <c r="G207" s="12">
        <v>7882.3620500000015</v>
      </c>
      <c r="H207" s="12">
        <v>8281.8301600000013</v>
      </c>
      <c r="I207" s="12">
        <v>8298.4562733333332</v>
      </c>
      <c r="J207" s="12">
        <v>8306.1170679999996</v>
      </c>
      <c r="K207" s="12">
        <v>8392.5400000000009</v>
      </c>
      <c r="L207" s="12" t="s">
        <v>871</v>
      </c>
      <c r="M207" s="12">
        <v>8438.9185395000004</v>
      </c>
      <c r="N207" s="12">
        <v>8484.3316308333324</v>
      </c>
      <c r="O207" s="12">
        <v>8521.188795</v>
      </c>
      <c r="P207" s="12">
        <v>8665.379708333332</v>
      </c>
      <c r="Q207" s="12">
        <v>8840.2274333333335</v>
      </c>
      <c r="R207" s="12">
        <v>9004.8967416666655</v>
      </c>
      <c r="S207" s="12">
        <v>9356.6808733333346</v>
      </c>
      <c r="T207" s="12">
        <v>9366.8116449999998</v>
      </c>
      <c r="U207" s="12">
        <v>9381.6371023333322</v>
      </c>
      <c r="V207" s="12">
        <v>9495.65</v>
      </c>
      <c r="W207" s="12" t="s">
        <v>871</v>
      </c>
      <c r="Y207" s="12" t="s">
        <v>870</v>
      </c>
      <c r="Z207" s="12">
        <v>7576.467174333332</v>
      </c>
      <c r="AA207" s="12">
        <v>7586.5401383333328</v>
      </c>
      <c r="AB207" s="12">
        <v>7599.1313433333326</v>
      </c>
      <c r="AC207" s="12">
        <v>7686.4123416666662</v>
      </c>
      <c r="AD207" s="12">
        <v>7772.8041166666662</v>
      </c>
      <c r="AE207" s="12">
        <v>8009.425975000001</v>
      </c>
      <c r="AF207" s="12">
        <v>8306.5753133333346</v>
      </c>
      <c r="AG207" s="12">
        <v>8308.350456666667</v>
      </c>
      <c r="AH207" s="12">
        <v>8309.7705713333344</v>
      </c>
      <c r="AI207" s="12">
        <v>8425.82</v>
      </c>
      <c r="AJ207" s="12" t="s">
        <v>872</v>
      </c>
      <c r="AK207" s="12">
        <v>8634.8213585000012</v>
      </c>
      <c r="AL207" s="12">
        <v>8644.4833258333347</v>
      </c>
      <c r="AM207" s="12">
        <v>8656.5607849999997</v>
      </c>
      <c r="AN207" s="12">
        <v>8725.0663916666672</v>
      </c>
      <c r="AO207" s="12">
        <v>8845.5038999999997</v>
      </c>
      <c r="AP207" s="12">
        <v>9081.0418416666671</v>
      </c>
      <c r="AQ207" s="12">
        <v>9356.1892449999996</v>
      </c>
      <c r="AR207" s="12">
        <v>9358.8287225000004</v>
      </c>
      <c r="AS207" s="12">
        <v>9360.9403044999999</v>
      </c>
      <c r="AT207" s="12">
        <v>9490.07</v>
      </c>
      <c r="AU207" s="12" t="s">
        <v>872</v>
      </c>
      <c r="AW207" s="12">
        <f>IF(A207="","",MAX(0,MIN(1,(((IF(Статистика!$C$4="Параллельный режим (активная мощность)",B207,M207)+Статистика!$J$4))-Статистика!$C$10)/MAX(Статистика!$G$10-Статистика!$C$10,0.000001))))</f>
        <v>0.49403460272222222</v>
      </c>
      <c r="AX207" s="12">
        <f>IF(A207="","",MAX(0,MAX(0,MIN(1,(((IF(Статистика!$C$4="Параллельный режим (активная мощность)",D207,O207)+Статистика!$J$4))-Статистика!$C$10)/MAX(Статистика!$G$10-Статистика!$C$10,0.000001)))-MAX(0,MIN(1,(((IF(Статистика!$C$4="Параллельный режим (активная мощность)",B207,M207)+Статистика!$J$4))-Статистика!$C$10)/MAX(Статистика!$G$10-Статистика!$C$10,0.000001)))))</f>
        <v>6.7155494999999732E-3</v>
      </c>
      <c r="AY207" s="12">
        <f>IF(A207="","",MAX(0,MAX(0,MIN(1,(((IF(Статистика!$C$4="Параллельный режим (активная мощность)",E207,P207)+Статистика!$J$4))-Статистика!$C$10)/MAX(Статистика!$G$10-Статистика!$C$10,0.000001)))-MAX(0,MIN(1,(((IF(Статистика!$C$4="Параллельный режим (активная мощность)",D207,O207)+Статистика!$J$4))-Статистика!$C$10)/MAX(Статистика!$G$10-Статистика!$C$10,0.000001)))))</f>
        <v>4.476898111111105E-2</v>
      </c>
      <c r="AZ207" s="12">
        <f>IF(A207="","",MAX(0,MAX(0,MIN(1,(((IF(Статистика!$C$4="Параллельный режим (активная мощность)",F207,Q207)+Статистика!$J$4))-Статистика!$C$10)/MAX(Статистика!$G$10-Статистика!$C$10,0.000001)))-MAX(0,MIN(1,(((IF(Статистика!$C$4="Параллельный режим (активная мощность)",E207,P207)+Статистика!$J$4))-Статистика!$C$10)/MAX(Статистика!$G$10-Статистика!$C$10,0.000001)))))</f>
        <v>4.3161766666666712E-2</v>
      </c>
      <c r="BA207" s="12">
        <f>IF(A207="","",MAX(0,MAX(0,MIN(1,(((IF(Статистика!$C$4="Параллельный режим (активная мощность)",G207,R207)+Статистика!$J$4))-Статистика!$C$10)/MAX(Статистика!$G$10-Статистика!$C$10,0.000001)))-MAX(0,MIN(1,(((IF(Статистика!$C$4="Параллельный режим (активная мощность)",F207,Q207)+Статистика!$J$4))-Статистика!$C$10)/MAX(Статистика!$G$10-Статистика!$C$10,0.000001)))))</f>
        <v>3.8773116666667273E-2</v>
      </c>
      <c r="BB207" s="12">
        <f>IF(A207="","",MAX(0,MAX(0,MIN(1,(((IF(Статистика!$C$4="Параллельный режим (активная мощность)",H207,S207)+Статистика!$J$4))-Статистика!$C$10)/MAX(Статистика!$G$10-Статистика!$C$10,0.000001)))-MAX(0,MIN(1,(((IF(Статистика!$C$4="Параллельный режим (активная мощность)",G207,R207)+Статистика!$J$4))-Статистика!$C$10)/MAX(Статистика!$G$10-Статистика!$C$10,0.000001)))))</f>
        <v>0.13315603666666653</v>
      </c>
      <c r="BC207" s="12">
        <f>IF(A207="","",MAX(0,MAX(0,MIN(1,(((IF(Статистика!$C$4="Параллельный режим (активная мощность)",J207,U207)+Статистика!$J$4))-Статистика!$C$10)/MAX(Статистика!$G$10-Статистика!$C$10,0.000001)))-MAX(0,MIN(1,(((IF(Статистика!$C$4="Параллельный режим (активная мощность)",H207,S207)+Статистика!$J$4))-Статистика!$C$10)/MAX(Статистика!$G$10-Статистика!$C$10,0.000001)))))</f>
        <v>8.0956359999994065E-3</v>
      </c>
      <c r="BD207" s="12">
        <f>IF(A207="","",MAX(0,1-MAX(0,MIN(1,(((IF(Статистика!$C$4="Параллельный режим (активная мощность)",J207,U207)+Статистика!$J$4))-Статистика!$C$10)/MAX(Статистика!$G$10-Статистика!$C$10,0.000001)))))</f>
        <v>0.23129431066666684</v>
      </c>
      <c r="BE207" s="12">
        <f>IF(A207="",NA(),IF(Статистика!$B$8="Вкл",(((IF(Статистика!$C$4="Параллельный режим (активная мощность)",F207,Q207)+Статистика!$J$4))-Статистика!$C$10)/MAX(Статистика!$G$10-Статистика!$C$10,0.000001),NA()))</f>
        <v>0.58868089999999995</v>
      </c>
      <c r="BF207" s="12">
        <f>IF(A207="",NA(),IF(Статистика!$D$8="Вкл",(((IF(Статистика!$C$4="Параллельный режим (активная мощность)",E207,P207)+Статистика!$J$4))-Статистика!$C$10)/MAX(Статистика!$G$10-Статистика!$C$10,0.000001),NA()))</f>
        <v>0.54551913333333324</v>
      </c>
      <c r="BG207" s="12">
        <f>IF(A207="",NA(),IF(Статистика!$D$8="Вкл",(((IF(Статистика!$C$4="Параллельный режим (активная мощность)",G207,R207)+Статистика!$J$4))-Статистика!$C$10)/MAX(Статистика!$G$10-Статистика!$C$10,0.000001),NA()))</f>
        <v>0.62745401666666722</v>
      </c>
      <c r="BH207" s="12">
        <f>IF(A207="",NA(),IF(Статистика!$F$8="Вкл",(((IF(Статистика!$C$4="Параллельный режим (активная мощность)",D207,O207)+Статистика!$J$4))-Статистика!$C$10)/MAX(Статистика!$G$10-Статистика!$C$10,0.000001),NA()))</f>
        <v>0.50075015222222219</v>
      </c>
      <c r="BI207" s="12">
        <f>IF(A207="",NA(),IF(Статистика!$F$8="Вкл",(((IF(Статистика!$C$4="Параллельный режим (активная мощность)",H207,S207)+Статистика!$J$4))-Статистика!$C$10)/MAX(Статистика!$G$10-Статистика!$C$10,0.000001),NA()))</f>
        <v>0.76061005333333376</v>
      </c>
      <c r="BJ207" s="12">
        <f>IF(A207="",NA(),IF(Статистика!$H$8="Вкл",(((IF(Статистика!$C$4="Параллельный режим (активная мощность)",B207,M207)+Статистика!$J$4))-Статистика!$C$10)/MAX(Статистика!$G$10-Статистика!$C$10,0.000001),NA()))</f>
        <v>0.49403460272222222</v>
      </c>
      <c r="BK207" s="12">
        <f>IF(A207="",NA(),IF(Статистика!$H$8="Вкл",(((IF(Статистика!$C$4="Параллельный режим (активная мощность)",J207,U207)+Статистика!$J$4))-Статистика!$C$10)/MAX(Статистика!$G$10-Статистика!$C$10,0.000001),NA()))</f>
        <v>0.76870568933333316</v>
      </c>
      <c r="BL207" s="12" t="e">
        <f>IF(A207="",NA(),IF(Статистика!$J$8="Вкл",(((IF(Статистика!$C$4="Параллельный режим (активная мощность)",K207,V207)+Статистика!$J$4))-Статистика!$C$10)/MAX(Статистика!$G$10-Статистика!$C$10,0.000001),NA()))</f>
        <v>#N/A</v>
      </c>
      <c r="BM207" s="12" t="e">
        <f>IF(AND(A207&lt;&gt;"",Статистика!$C$6="Вкл",Статистика!$B$6&gt;0),(Статистика!$B$6-Статистика!$C$10)/MAX(Статистика!$G$10-Статистика!$C$10,0.000001),NA())</f>
        <v>#N/A</v>
      </c>
      <c r="BN207" s="12" t="e">
        <f>IF(AND(A207&lt;&gt;"",Статистика!$F$6="Вкл",Статистика!$E$6&gt;0),(Статистика!$E$6-Статистика!$C$10)/MAX(Статистика!$G$10-Статистика!$C$10,0.000001),NA())</f>
        <v>#N/A</v>
      </c>
      <c r="BO207" s="12" t="e">
        <f>IF(AND(A207&lt;&gt;"",Статистика!$I$6="Вкл",Статистика!$H$6&gt;0),(Статистика!$H$6-Статистика!$C$10)/MAX(Статистика!$G$10-Статистика!$C$10,0.000001),NA())</f>
        <v>#N/A</v>
      </c>
      <c r="BP207" s="12" t="e">
        <f>IF(AND(A207&lt;&gt;"",Статистика!$L$6="Вкл",Статистика!$K$6&gt;0),(Статистика!$K$6-Статистика!$C$10)/MAX(Статистика!$G$10-Статистика!$C$10,0.000001),NA())</f>
        <v>#N/A</v>
      </c>
      <c r="BQ207" s="12" t="e">
        <f>IF(AND(A207&lt;&gt;"",Статистика!$M$6="Вкл",Статистика!$O$6&gt;0),(Статистика!$O$6-Статистика!$C$10)/MAX(Статистика!$G$10-Статистика!$C$10,0.000001),NA())</f>
        <v>#N/A</v>
      </c>
      <c r="BR207" s="12">
        <f t="shared" si="6"/>
        <v>1</v>
      </c>
      <c r="BT207" s="12">
        <f>IF(Y207="","",MAX(0,MIN(1,(((IF(Статистика!$C$4="Параллельный режим (активная мощность)",Z207,AK207)+Статистика!$J$4))-Статистика!$C$10)/MAX(Статистика!$G$10-Статистика!$C$10,0.000001))))</f>
        <v>0.52548905811111069</v>
      </c>
      <c r="BU207" s="12">
        <f>IF(Y207="","",MAX(0,MAX(0,MIN(1,(((IF(Статистика!$C$4="Параллельный режим (активная мощность)",AB207,AM207)+Статистика!$J$4))-Статистика!$C$10)/MAX(Статистика!$G$10-Статистика!$C$10,0.000001)))-MAX(0,MIN(1,(((IF(Статистика!$C$4="Параллельный режим (активная мощность)",Z207,AK207)+Статистика!$J$4))-Статистика!$C$10)/MAX(Статистика!$G$10-Статистика!$C$10,0.000001)))))</f>
        <v>7.554723000000152E-3</v>
      </c>
      <c r="BV207" s="12">
        <f>IF(Y207="","",MAX(0,MAX(0,MIN(1,(((IF(Статистика!$C$4="Параллельный режим (активная мощность)",AC207,AN207)+Статистика!$J$4))-Статистика!$C$10)/MAX(Статистика!$G$10-Статистика!$C$10,0.000001)))-MAX(0,MIN(1,(((IF(Статистика!$C$4="Параллельный режим (активная мощность)",AB207,AM207)+Статистика!$J$4))-Статистика!$C$10)/MAX(Статистика!$G$10-Статистика!$C$10,0.000001)))))</f>
        <v>2.9093666111111194E-2</v>
      </c>
      <c r="BW207" s="12">
        <f>IF(Y207="","",MAX(0,MAX(0,MIN(1,(((IF(Статистика!$C$4="Параллельный режим (активная мощность)",AD207,AO207)+Статистика!$J$4))-Статистика!$C$10)/MAX(Статистика!$G$10-Статистика!$C$10,0.000001)))-MAX(0,MIN(1,(((IF(Статистика!$C$4="Параллельный режим (активная мощность)",AC207,AN207)+Статистика!$J$4))-Статистика!$C$10)/MAX(Статистика!$G$10-Статистика!$C$10,0.000001)))))</f>
        <v>2.8797258333333353E-2</v>
      </c>
      <c r="BX207" s="12">
        <f>IF(Y207="","",MAX(0,MAX(0,MIN(1,(((IF(Статистика!$C$4="Параллельный режим (активная мощность)",AE207,AP207)+Статистика!$J$4))-Статистика!$C$10)/MAX(Статистика!$G$10-Статистика!$C$10,0.000001)))-MAX(0,MIN(1,(((IF(Статистика!$C$4="Параллельный режим (активная мощность)",AD207,AO207)+Статистика!$J$4))-Статистика!$C$10)/MAX(Статистика!$G$10-Статистика!$C$10,0.000001)))))</f>
        <v>7.8873952777778311E-2</v>
      </c>
      <c r="BY207" s="12">
        <f>IF(Y207="","",MAX(0,MAX(0,MIN(1,(((IF(Статистика!$C$4="Параллельный режим (активная мощность)",AF207,AQ207)+Статистика!$J$4))-Статистика!$C$10)/MAX(Статистика!$G$10-Статистика!$C$10,0.000001)))-MAX(0,MIN(1,(((IF(Статистика!$C$4="Параллельный режим (активная мощность)",AE207,AP207)+Статистика!$J$4))-Статистика!$C$10)/MAX(Статистика!$G$10-Статистика!$C$10,0.000001)))))</f>
        <v>9.9049779444444486E-2</v>
      </c>
      <c r="BZ207" s="12">
        <f>IF(Y207="","",MAX(0,MAX(0,MIN(1,(((IF(Статистика!$C$4="Параллельный режим (активная мощность)",AH207,AS207)+Статистика!$J$4))-Статистика!$C$10)/MAX(Статистика!$G$10-Статистика!$C$10,0.000001)))-MAX(0,MIN(1,(((IF(Статистика!$C$4="Параллельный режим (активная мощность)",AF207,AQ207)+Статистика!$J$4))-Статистика!$C$10)/MAX(Статистика!$G$10-Статистика!$C$10,0.000001)))))</f>
        <v>1.0650859999999929E-3</v>
      </c>
      <c r="CA207" s="12">
        <f>IF(Y207="","",MAX(0,1-MAX(0,MIN(1,(((IF(Статистика!$C$4="Параллельный режим (активная мощность)",AH207,AS207)+Статистика!$J$4))-Статистика!$C$10)/MAX(Статистика!$G$10-Статистика!$C$10,0.000001)))))</f>
        <v>0.23007647622222183</v>
      </c>
      <c r="CB207" s="12">
        <f>IF(Y207="",NA(),IF(Статистика!$B$8="Вкл",(((IF(Статистика!$C$4="Параллельный режим (активная мощность)",AD207,AO207)+Статистика!$J$4))-Статистика!$C$10)/MAX(Статистика!$G$10-Статистика!$C$10,0.000001),NA()))</f>
        <v>0.59093470555555538</v>
      </c>
      <c r="CC207" s="12">
        <f>IF(Y207="",NA(),IF(Статистика!$D$8="Вкл",(((IF(Статистика!$C$4="Параллельный режим (активная мощность)",AC207,AN207)+Статистика!$J$4))-Статистика!$C$10)/MAX(Статистика!$G$10-Статистика!$C$10,0.000001),NA()))</f>
        <v>0.56213744722222203</v>
      </c>
      <c r="CD207" s="12">
        <f>IF(Y207="",NA(),IF(Статистика!$D$8="Вкл",(((IF(Статистика!$C$4="Параллельный режим (активная мощность)",AE207,AP207)+Статистика!$J$4))-Статистика!$C$10)/MAX(Статистика!$G$10-Статистика!$C$10,0.000001),NA()))</f>
        <v>0.6698086583333337</v>
      </c>
      <c r="CE207" s="12">
        <f>IF(Y207="",NA(),IF(Статистика!$F$8="Вкл",(((IF(Статистика!$C$4="Параллельный режим (активная мощность)",AB207,AM207)+Статистика!$J$4))-Статистика!$C$10)/MAX(Статистика!$G$10-Статистика!$C$10,0.000001),NA()))</f>
        <v>0.53304378111111084</v>
      </c>
      <c r="CF207" s="12">
        <f>IF(Y207="",NA(),IF(Статистика!$F$8="Вкл",(((IF(Статистика!$C$4="Параллельный режим (активная мощность)",AF207,AQ207)+Статистика!$J$4))-Статистика!$C$10)/MAX(Статистика!$G$10-Статистика!$C$10,0.000001),NA()))</f>
        <v>0.76885843777777818</v>
      </c>
      <c r="CG207" s="12">
        <f>IF(Y207="",NA(),IF(Статистика!$H$8="Вкл",(((IF(Статистика!$C$4="Параллельный режим (активная мощность)",Z207,AK207)+Статистика!$J$4))-Статистика!$C$10)/MAX(Статистика!$G$10-Статистика!$C$10,0.000001),NA()))</f>
        <v>0.52548905811111069</v>
      </c>
      <c r="CH207" s="12">
        <f>IF(Y207="",NA(),IF(Статистика!$H$8="Вкл",(((IF(Статистика!$C$4="Параллельный режим (активная мощность)",AH207,AS207)+Статистика!$J$4))-Статистика!$C$10)/MAX(Статистика!$G$10-Статистика!$C$10,0.000001),NA()))</f>
        <v>0.76992352377777817</v>
      </c>
      <c r="CI207" s="12" t="e">
        <f>IF(Y207="",NA(),IF(Статистика!$J$8="Вкл",(((IF(Статистика!$C$4="Параллельный режим (активная мощность)",AI207,AT207)+Статистика!$J$4))-Статистика!$C$10)/MAX(Статистика!$G$10-Статистика!$C$10,0.000001),NA()))</f>
        <v>#N/A</v>
      </c>
      <c r="CJ207" s="12" t="e">
        <f>IF(AND(Y207&lt;&gt;"",Статистика!$C$6="Вкл",Статистика!$B$6&gt;0),(Статистика!$B$6-Статистика!$C$10)/MAX(Статистика!$G$10-Статистика!$C$10,0.000001),NA())</f>
        <v>#N/A</v>
      </c>
      <c r="CK207" s="12" t="e">
        <f>IF(AND(Y207&lt;&gt;"",Статистика!$F$6="Вкл",Статистика!$E$6&gt;0),(Статистика!$E$6-Статистика!$C$10)/MAX(Статистика!$G$10-Статистика!$C$10,0.000001),NA())</f>
        <v>#N/A</v>
      </c>
      <c r="CL207" s="12" t="e">
        <f>IF(AND(Y207&lt;&gt;"",Статистика!$I$6="Вкл",Статистика!$H$6&gt;0),(Статистика!$H$6-Статистика!$C$10)/MAX(Статистика!$G$10-Статистика!$C$10,0.000001),NA())</f>
        <v>#N/A</v>
      </c>
      <c r="CM207" s="12" t="e">
        <f>IF(AND(Y207&lt;&gt;"",Статистика!$L$6="Вкл",Статистика!$K$6&gt;0),(Статистика!$K$6-Статистика!$C$10)/MAX(Статистика!$G$10-Статистика!$C$10,0.000001),NA())</f>
        <v>#N/A</v>
      </c>
      <c r="CN207" s="12" t="e">
        <f>IF(AND(Y207&lt;&gt;"",Статистика!$M$6="Вкл",Статистика!$O$6&gt;0),(Статистика!$O$6-Статистика!$C$10)/MAX(Статистика!$G$10-Статистика!$C$10,0.000001),NA())</f>
        <v>#N/A</v>
      </c>
      <c r="CO207" s="12">
        <f t="shared" si="7"/>
        <v>1</v>
      </c>
    </row>
    <row r="208" spans="1:93" ht="15" customHeight="1">
      <c r="A208" s="12" t="s">
        <v>873</v>
      </c>
      <c r="B208" s="12">
        <v>7446.4012468333331</v>
      </c>
      <c r="C208" s="12">
        <v>7465.6493008333337</v>
      </c>
      <c r="D208" s="12">
        <v>7479.602338333334</v>
      </c>
      <c r="E208" s="12">
        <v>7636.6924666666664</v>
      </c>
      <c r="F208" s="12">
        <v>7765.8787999999995</v>
      </c>
      <c r="G208" s="12">
        <v>7947.7091500000006</v>
      </c>
      <c r="H208" s="12">
        <v>8234.4381400000002</v>
      </c>
      <c r="I208" s="12">
        <v>8279.039899166668</v>
      </c>
      <c r="J208" s="12">
        <v>8301.3070465000019</v>
      </c>
      <c r="K208" s="12">
        <v>8383.4500000000007</v>
      </c>
      <c r="L208" s="12" t="s">
        <v>874</v>
      </c>
      <c r="M208" s="12">
        <v>8379.5794383333341</v>
      </c>
      <c r="N208" s="12">
        <v>8445.3373250000004</v>
      </c>
      <c r="O208" s="12">
        <v>8501.7543033333332</v>
      </c>
      <c r="P208" s="12">
        <v>8672.6557666666668</v>
      </c>
      <c r="Q208" s="12">
        <v>8831.9569333333311</v>
      </c>
      <c r="R208" s="12">
        <v>9010.4293833333322</v>
      </c>
      <c r="S208" s="12">
        <v>9333.374506666667</v>
      </c>
      <c r="T208" s="12">
        <v>9340.1997883333333</v>
      </c>
      <c r="U208" s="12">
        <v>9342.0009976666679</v>
      </c>
      <c r="V208" s="12">
        <v>9522.69</v>
      </c>
      <c r="W208" s="12" t="s">
        <v>874</v>
      </c>
      <c r="Y208" s="12" t="s">
        <v>873</v>
      </c>
      <c r="Z208" s="12">
        <v>7514.6185793333343</v>
      </c>
      <c r="AA208" s="12">
        <v>7531.8043633333336</v>
      </c>
      <c r="AB208" s="12">
        <v>7553.2865933333333</v>
      </c>
      <c r="AC208" s="12">
        <v>7644.4919916666668</v>
      </c>
      <c r="AD208" s="12">
        <v>7769.7067666666662</v>
      </c>
      <c r="AE208" s="12">
        <v>7965.7592750000003</v>
      </c>
      <c r="AF208" s="12">
        <v>8354.3344450000004</v>
      </c>
      <c r="AG208" s="12">
        <v>8368.1288391666676</v>
      </c>
      <c r="AH208" s="12">
        <v>8379.1643545000006</v>
      </c>
      <c r="AI208" s="12">
        <v>8544.59</v>
      </c>
      <c r="AJ208" s="12" t="s">
        <v>875</v>
      </c>
      <c r="AK208" s="12">
        <v>8591.1390408333355</v>
      </c>
      <c r="AL208" s="12">
        <v>8606.4444041666684</v>
      </c>
      <c r="AM208" s="12">
        <v>8625.5761083333346</v>
      </c>
      <c r="AN208" s="12">
        <v>8697.1579750000001</v>
      </c>
      <c r="AO208" s="12">
        <v>8800.0030166666675</v>
      </c>
      <c r="AP208" s="12">
        <v>9066.4173916666678</v>
      </c>
      <c r="AQ208" s="12">
        <v>9422.8147166666658</v>
      </c>
      <c r="AR208" s="12">
        <v>9438.561674999999</v>
      </c>
      <c r="AS208" s="12">
        <v>9451.1592416666663</v>
      </c>
      <c r="AT208" s="12">
        <v>9682.7999999999993</v>
      </c>
      <c r="AU208" s="12" t="s">
        <v>876</v>
      </c>
      <c r="AW208" s="12">
        <f>IF(A208="","",MAX(0,MIN(1,(((IF(Статистика!$C$4="Параллельный режим (активная мощность)",B208,M208)+Статистика!$J$4))-Статистика!$C$10)/MAX(Статистика!$G$10-Статистика!$C$10,0.000001))))</f>
        <v>0.48213374894444433</v>
      </c>
      <c r="AX208" s="12">
        <f>IF(A208="","",MAX(0,MAX(0,MIN(1,(((IF(Статистика!$C$4="Параллельный режим (активная мощность)",D208,O208)+Статистика!$J$4))-Статистика!$C$10)/MAX(Статистика!$G$10-Статистика!$C$10,0.000001)))-MAX(0,MIN(1,(((IF(Статистика!$C$4="Параллельный режим (активная мощность)",B208,M208)+Статистика!$J$4))-Статистика!$C$10)/MAX(Статистика!$G$10-Статистика!$C$10,0.000001)))))</f>
        <v>1.1067030500000352E-2</v>
      </c>
      <c r="AY208" s="12">
        <f>IF(A208="","",MAX(0,MAX(0,MIN(1,(((IF(Статистика!$C$4="Параллельный режим (активная мощность)",E208,P208)+Статистика!$J$4))-Статистика!$C$10)/MAX(Статистика!$G$10-Статистика!$C$10,0.000001)))-MAX(0,MIN(1,(((IF(Статистика!$C$4="Параллельный режим (активная мощность)",D208,O208)+Статистика!$J$4))-Статистика!$C$10)/MAX(Статистика!$G$10-Статистика!$C$10,0.000001)))))</f>
        <v>5.2363376111110804E-2</v>
      </c>
      <c r="AZ208" s="12">
        <f>IF(A208="","",MAX(0,MAX(0,MIN(1,(((IF(Статистика!$C$4="Параллельный режим (активная мощность)",F208,Q208)+Статистика!$J$4))-Статистика!$C$10)/MAX(Статистика!$G$10-Статистика!$C$10,0.000001)))-MAX(0,MIN(1,(((IF(Статистика!$C$4="Параллельный режим (активная мощность)",E208,P208)+Статистика!$J$4))-Статистика!$C$10)/MAX(Статистика!$G$10-Статистика!$C$10,0.000001)))))</f>
        <v>4.3062111111111023E-2</v>
      </c>
      <c r="BA208" s="12">
        <f>IF(A208="","",MAX(0,MAX(0,MIN(1,(((IF(Статистика!$C$4="Параллельный режим (активная мощность)",G208,R208)+Статистика!$J$4))-Статистика!$C$10)/MAX(Статистика!$G$10-Статистика!$C$10,0.000001)))-MAX(0,MIN(1,(((IF(Статистика!$C$4="Параллельный режим (активная мощность)",F208,Q208)+Статистика!$J$4))-Статистика!$C$10)/MAX(Статистика!$G$10-Статистика!$C$10,0.000001)))))</f>
        <v>6.0610116666667047E-2</v>
      </c>
      <c r="BB208" s="12">
        <f>IF(A208="","",MAX(0,MAX(0,MIN(1,(((IF(Статистика!$C$4="Параллельный режим (активная мощность)",H208,S208)+Статистика!$J$4))-Статистика!$C$10)/MAX(Статистика!$G$10-Статистика!$C$10,0.000001)))-MAX(0,MIN(1,(((IF(Статистика!$C$4="Параллельный режим (активная мощность)",G208,R208)+Статистика!$J$4))-Статистика!$C$10)/MAX(Статистика!$G$10-Статистика!$C$10,0.000001)))))</f>
        <v>9.5576329999999876E-2</v>
      </c>
      <c r="BC208" s="12">
        <f>IF(A208="","",MAX(0,MAX(0,MIN(1,(((IF(Статистика!$C$4="Параллельный режим (активная мощность)",J208,U208)+Статистика!$J$4))-Статистика!$C$10)/MAX(Статистика!$G$10-Статистика!$C$10,0.000001)))-MAX(0,MIN(1,(((IF(Статистика!$C$4="Параллельный режим (активная мощность)",H208,S208)+Статистика!$J$4))-Статистика!$C$10)/MAX(Статистика!$G$10-Статистика!$C$10,0.000001)))))</f>
        <v>2.2289635500000515E-2</v>
      </c>
      <c r="BD208" s="12">
        <f>IF(A208="","",MAX(0,1-MAX(0,MIN(1,(((IF(Статистика!$C$4="Параллельный режим (активная мощность)",J208,U208)+Статистика!$J$4))-Статистика!$C$10)/MAX(Статистика!$G$10-Статистика!$C$10,0.000001)))))</f>
        <v>0.23289765116666605</v>
      </c>
      <c r="BE208" s="12">
        <f>IF(A208="",NA(),IF(Статистика!$B$8="Вкл",(((IF(Статистика!$C$4="Параллельный режим (активная мощность)",F208,Q208)+Статистика!$J$4))-Статистика!$C$10)/MAX(Статистика!$G$10-Статистика!$C$10,0.000001),NA()))</f>
        <v>0.58862626666666651</v>
      </c>
      <c r="BF208" s="12">
        <f>IF(A208="",NA(),IF(Статистика!$D$8="Вкл",(((IF(Статистика!$C$4="Параллельный режим (активная мощность)",E208,P208)+Статистика!$J$4))-Статистика!$C$10)/MAX(Статистика!$G$10-Статистика!$C$10,0.000001),NA()))</f>
        <v>0.54556415555555549</v>
      </c>
      <c r="BG208" s="12">
        <f>IF(A208="",NA(),IF(Статистика!$D$8="Вкл",(((IF(Статистика!$C$4="Параллельный режим (активная мощность)",G208,R208)+Статистика!$J$4))-Статистика!$C$10)/MAX(Статистика!$G$10-Статистика!$C$10,0.000001),NA()))</f>
        <v>0.64923638333333356</v>
      </c>
      <c r="BH208" s="12">
        <f>IF(A208="",NA(),IF(Статистика!$F$8="Вкл",(((IF(Статистика!$C$4="Параллельный режим (активная мощность)",D208,O208)+Статистика!$J$4))-Статистика!$C$10)/MAX(Статистика!$G$10-Статистика!$C$10,0.000001),NA()))</f>
        <v>0.49320077944444468</v>
      </c>
      <c r="BI208" s="12">
        <f>IF(A208="",NA(),IF(Статистика!$F$8="Вкл",(((IF(Статистика!$C$4="Параллельный режим (активная мощность)",H208,S208)+Статистика!$J$4))-Статистика!$C$10)/MAX(Статистика!$G$10-Статистика!$C$10,0.000001),NA()))</f>
        <v>0.74481271333333343</v>
      </c>
      <c r="BJ208" s="12">
        <f>IF(A208="",NA(),IF(Статистика!$H$8="Вкл",(((IF(Статистика!$C$4="Параллельный режим (активная мощность)",B208,M208)+Статистика!$J$4))-Статистика!$C$10)/MAX(Статистика!$G$10-Статистика!$C$10,0.000001),NA()))</f>
        <v>0.48213374894444433</v>
      </c>
      <c r="BK208" s="12">
        <f>IF(A208="",NA(),IF(Статистика!$H$8="Вкл",(((IF(Статистика!$C$4="Параллельный режим (активная мощность)",J208,U208)+Статистика!$J$4))-Статистика!$C$10)/MAX(Статистика!$G$10-Статистика!$C$10,0.000001),NA()))</f>
        <v>0.76710234883333395</v>
      </c>
      <c r="BL208" s="12" t="e">
        <f>IF(A208="",NA(),IF(Статистика!$J$8="Вкл",(((IF(Статистика!$C$4="Параллельный режим (активная мощность)",K208,V208)+Статистика!$J$4))-Статистика!$C$10)/MAX(Статистика!$G$10-Статистика!$C$10,0.000001),NA()))</f>
        <v>#N/A</v>
      </c>
      <c r="BM208" s="12" t="e">
        <f>IF(AND(A208&lt;&gt;"",Статистика!$C$6="Вкл",Статистика!$B$6&gt;0),(Статистика!$B$6-Статистика!$C$10)/MAX(Статистика!$G$10-Статистика!$C$10,0.000001),NA())</f>
        <v>#N/A</v>
      </c>
      <c r="BN208" s="12" t="e">
        <f>IF(AND(A208&lt;&gt;"",Статистика!$F$6="Вкл",Статистика!$E$6&gt;0),(Статистика!$E$6-Статистика!$C$10)/MAX(Статистика!$G$10-Статистика!$C$10,0.000001),NA())</f>
        <v>#N/A</v>
      </c>
      <c r="BO208" s="12" t="e">
        <f>IF(AND(A208&lt;&gt;"",Статистика!$I$6="Вкл",Статистика!$H$6&gt;0),(Статистика!$H$6-Статистика!$C$10)/MAX(Статистика!$G$10-Статистика!$C$10,0.000001),NA())</f>
        <v>#N/A</v>
      </c>
      <c r="BP208" s="12" t="e">
        <f>IF(AND(A208&lt;&gt;"",Статистика!$L$6="Вкл",Статистика!$K$6&gt;0),(Статистика!$K$6-Статистика!$C$10)/MAX(Статистика!$G$10-Статистика!$C$10,0.000001),NA())</f>
        <v>#N/A</v>
      </c>
      <c r="BQ208" s="12" t="e">
        <f>IF(AND(A208&lt;&gt;"",Статистика!$M$6="Вкл",Статистика!$O$6&gt;0),(Статистика!$O$6-Статистика!$C$10)/MAX(Статистика!$G$10-Статистика!$C$10,0.000001),NA())</f>
        <v>#N/A</v>
      </c>
      <c r="BR208" s="12">
        <f t="shared" si="6"/>
        <v>1</v>
      </c>
      <c r="BT208" s="12">
        <f>IF(Y208="","",MAX(0,MIN(1,(((IF(Статистика!$C$4="Параллельный режим (активная мощность)",Z208,AK208)+Статистика!$J$4))-Статистика!$C$10)/MAX(Статистика!$G$10-Статистика!$C$10,0.000001))))</f>
        <v>0.50487285977777807</v>
      </c>
      <c r="BU208" s="12">
        <f>IF(Y208="","",MAX(0,MAX(0,MIN(1,(((IF(Статистика!$C$4="Параллельный режим (активная мощность)",AB208,AM208)+Статистика!$J$4))-Статистика!$C$10)/MAX(Статистика!$G$10-Статистика!$C$10,0.000001)))-MAX(0,MIN(1,(((IF(Статистика!$C$4="Параллельный режим (активная мощность)",Z208,AK208)+Статистика!$J$4))-Статистика!$C$10)/MAX(Статистика!$G$10-Статистика!$C$10,0.000001)))))</f>
        <v>1.2889337999999695E-2</v>
      </c>
      <c r="BV208" s="12">
        <f>IF(Y208="","",MAX(0,MAX(0,MIN(1,(((IF(Статистика!$C$4="Параллельный режим (активная мощность)",AC208,AN208)+Статистика!$J$4))-Статистика!$C$10)/MAX(Статистика!$G$10-Статистика!$C$10,0.000001)))-MAX(0,MIN(1,(((IF(Статистика!$C$4="Параллельный режим (активная мощность)",AB208,AM208)+Статистика!$J$4))-Статистика!$C$10)/MAX(Статистика!$G$10-Статистика!$C$10,0.000001)))))</f>
        <v>3.0401799444444433E-2</v>
      </c>
      <c r="BW208" s="12">
        <f>IF(Y208="","",MAX(0,MAX(0,MIN(1,(((IF(Статистика!$C$4="Параллельный режим (активная мощность)",AD208,AO208)+Статистика!$J$4))-Статистика!$C$10)/MAX(Статистика!$G$10-Статистика!$C$10,0.000001)))-MAX(0,MIN(1,(((IF(Статистика!$C$4="Параллельный режим (активная мощность)",AC208,AN208)+Статистика!$J$4))-Статистика!$C$10)/MAX(Статистика!$G$10-Статистика!$C$10,0.000001)))))</f>
        <v>4.1738258333333222E-2</v>
      </c>
      <c r="BX208" s="12">
        <f>IF(Y208="","",MAX(0,MAX(0,MIN(1,(((IF(Статистика!$C$4="Параллельный режим (активная мощность)",AE208,AP208)+Статистика!$J$4))-Статистика!$C$10)/MAX(Статистика!$G$10-Статистика!$C$10,0.000001)))-MAX(0,MIN(1,(((IF(Статистика!$C$4="Параллельный режим (активная мощность)",AD208,AO208)+Статистика!$J$4))-Статистика!$C$10)/MAX(Статистика!$G$10-Статистика!$C$10,0.000001)))))</f>
        <v>6.5350836111111366E-2</v>
      </c>
      <c r="BY208" s="12">
        <f>IF(Y208="","",MAX(0,MAX(0,MIN(1,(((IF(Статистика!$C$4="Параллельный режим (активная мощность)",AF208,AQ208)+Статистика!$J$4))-Статистика!$C$10)/MAX(Статистика!$G$10-Статистика!$C$10,0.000001)))-MAX(0,MIN(1,(((IF(Статистика!$C$4="Параллельный режим (активная мощность)",AE208,AP208)+Статистика!$J$4))-Статистика!$C$10)/MAX(Статистика!$G$10-Статистика!$C$10,0.000001)))))</f>
        <v>0.12952505666666669</v>
      </c>
      <c r="BZ208" s="12">
        <f>IF(Y208="","",MAX(0,MAX(0,MIN(1,(((IF(Статистика!$C$4="Параллельный режим (активная мощность)",AH208,AS208)+Статистика!$J$4))-Статистика!$C$10)/MAX(Статистика!$G$10-Статистика!$C$10,0.000001)))-MAX(0,MIN(1,(((IF(Статистика!$C$4="Параллельный режим (активная мощность)",AF208,AQ208)+Статистика!$J$4))-Статистика!$C$10)/MAX(Статистика!$G$10-Статистика!$C$10,0.000001)))))</f>
        <v>8.2766365000001008E-3</v>
      </c>
      <c r="CA208" s="12">
        <f>IF(Y208="","",MAX(0,1-MAX(0,MIN(1,(((IF(Статистика!$C$4="Параллельный режим (активная мощность)",AH208,AS208)+Статистика!$J$4))-Статистика!$C$10)/MAX(Статистика!$G$10-Статистика!$C$10,0.000001)))))</f>
        <v>0.20694521516666642</v>
      </c>
      <c r="CB208" s="12">
        <f>IF(Y208="",NA(),IF(Статистика!$B$8="Вкл",(((IF(Статистика!$C$4="Параллельный режим (активная мощность)",AD208,AO208)+Статистика!$J$4))-Статистика!$C$10)/MAX(Статистика!$G$10-Статистика!$C$10,0.000001),NA()))</f>
        <v>0.58990225555555542</v>
      </c>
      <c r="CC208" s="12">
        <f>IF(Y208="",NA(),IF(Статистика!$D$8="Вкл",(((IF(Статистика!$C$4="Параллельный режим (активная мощность)",AC208,AN208)+Статистика!$J$4))-Статистика!$C$10)/MAX(Статистика!$G$10-Статистика!$C$10,0.000001),NA()))</f>
        <v>0.5481639972222222</v>
      </c>
      <c r="CD208" s="12">
        <f>IF(Y208="",NA(),IF(Статистика!$D$8="Вкл",(((IF(Статистика!$C$4="Параллельный режим (активная мощность)",AE208,AP208)+Статистика!$J$4))-Статистика!$C$10)/MAX(Статистика!$G$10-Статистика!$C$10,0.000001),NA()))</f>
        <v>0.65525309166666679</v>
      </c>
      <c r="CE208" s="12">
        <f>IF(Y208="",NA(),IF(Статистика!$F$8="Вкл",(((IF(Статистика!$C$4="Параллельный режим (активная мощность)",AB208,AM208)+Статистика!$J$4))-Статистика!$C$10)/MAX(Статистика!$G$10-Статистика!$C$10,0.000001),NA()))</f>
        <v>0.51776219777777777</v>
      </c>
      <c r="CF208" s="12">
        <f>IF(Y208="",NA(),IF(Статистика!$F$8="Вкл",(((IF(Статистика!$C$4="Параллельный режим (активная мощность)",AF208,AQ208)+Статистика!$J$4))-Статистика!$C$10)/MAX(Статистика!$G$10-Статистика!$C$10,0.000001),NA()))</f>
        <v>0.78477814833333348</v>
      </c>
      <c r="CG208" s="12">
        <f>IF(Y208="",NA(),IF(Статистика!$H$8="Вкл",(((IF(Статистика!$C$4="Параллельный режим (активная мощность)",Z208,AK208)+Статистика!$J$4))-Статистика!$C$10)/MAX(Статистика!$G$10-Статистика!$C$10,0.000001),NA()))</f>
        <v>0.50487285977777807</v>
      </c>
      <c r="CH208" s="12">
        <f>IF(Y208="",NA(),IF(Статистика!$H$8="Вкл",(((IF(Статистика!$C$4="Параллельный режим (активная мощность)",AH208,AS208)+Статистика!$J$4))-Статистика!$C$10)/MAX(Статистика!$G$10-Статистика!$C$10,0.000001),NA()))</f>
        <v>0.79305478483333358</v>
      </c>
      <c r="CI208" s="12" t="e">
        <f>IF(Y208="",NA(),IF(Статистика!$J$8="Вкл",(((IF(Статистика!$C$4="Параллельный режим (активная мощность)",AI208,AT208)+Статистика!$J$4))-Статистика!$C$10)/MAX(Статистика!$G$10-Статистика!$C$10,0.000001),NA()))</f>
        <v>#N/A</v>
      </c>
      <c r="CJ208" s="12" t="e">
        <f>IF(AND(Y208&lt;&gt;"",Статистика!$C$6="Вкл",Статистика!$B$6&gt;0),(Статистика!$B$6-Статистика!$C$10)/MAX(Статистика!$G$10-Статистика!$C$10,0.000001),NA())</f>
        <v>#N/A</v>
      </c>
      <c r="CK208" s="12" t="e">
        <f>IF(AND(Y208&lt;&gt;"",Статистика!$F$6="Вкл",Статистика!$E$6&gt;0),(Статистика!$E$6-Статистика!$C$10)/MAX(Статистика!$G$10-Статистика!$C$10,0.000001),NA())</f>
        <v>#N/A</v>
      </c>
      <c r="CL208" s="12" t="e">
        <f>IF(AND(Y208&lt;&gt;"",Статистика!$I$6="Вкл",Статистика!$H$6&gt;0),(Статистика!$H$6-Статистика!$C$10)/MAX(Статистика!$G$10-Статистика!$C$10,0.000001),NA())</f>
        <v>#N/A</v>
      </c>
      <c r="CM208" s="12" t="e">
        <f>IF(AND(Y208&lt;&gt;"",Статистика!$L$6="Вкл",Статистика!$K$6&gt;0),(Статистика!$K$6-Статистика!$C$10)/MAX(Статистика!$G$10-Статистика!$C$10,0.000001),NA())</f>
        <v>#N/A</v>
      </c>
      <c r="CN208" s="12" t="e">
        <f>IF(AND(Y208&lt;&gt;"",Статистика!$M$6="Вкл",Статистика!$O$6&gt;0),(Статистика!$O$6-Статистика!$C$10)/MAX(Статистика!$G$10-Статистика!$C$10,0.000001),NA())</f>
        <v>#N/A</v>
      </c>
      <c r="CO208" s="12">
        <f t="shared" si="7"/>
        <v>1</v>
      </c>
    </row>
    <row r="209" spans="1:93" ht="15" customHeight="1">
      <c r="A209" s="12" t="s">
        <v>877</v>
      </c>
      <c r="B209" s="12">
        <v>7402.1036421666658</v>
      </c>
      <c r="C209" s="12">
        <v>7422.8996774999996</v>
      </c>
      <c r="D209" s="12">
        <v>7445.9014566666656</v>
      </c>
      <c r="E209" s="12">
        <v>7585.2453166666673</v>
      </c>
      <c r="F209" s="12">
        <v>7718.2180166666658</v>
      </c>
      <c r="G209" s="12">
        <v>7898.1350833333327</v>
      </c>
      <c r="H209" s="12">
        <v>8246.6942949999993</v>
      </c>
      <c r="I209" s="12">
        <v>8277.2307925000005</v>
      </c>
      <c r="J209" s="12">
        <v>8283.9939985000001</v>
      </c>
      <c r="K209" s="12">
        <v>8358.44</v>
      </c>
      <c r="L209" s="12" t="s">
        <v>878</v>
      </c>
      <c r="M209" s="12">
        <v>8402.8733436666662</v>
      </c>
      <c r="N209" s="12">
        <v>8449.3753849999994</v>
      </c>
      <c r="O209" s="12">
        <v>8483.5089666666663</v>
      </c>
      <c r="P209" s="12">
        <v>8631.5994083333335</v>
      </c>
      <c r="Q209" s="12">
        <v>8789.2966333333334</v>
      </c>
      <c r="R209" s="12">
        <v>8943.3222333333342</v>
      </c>
      <c r="S209" s="12">
        <v>9319.3502749999989</v>
      </c>
      <c r="T209" s="12">
        <v>9337.2584216666673</v>
      </c>
      <c r="U209" s="12">
        <v>9359.9999509999998</v>
      </c>
      <c r="V209" s="12">
        <v>9504.06</v>
      </c>
      <c r="W209" s="12" t="s">
        <v>879</v>
      </c>
      <c r="Y209" s="12" t="s">
        <v>877</v>
      </c>
      <c r="Z209" s="12">
        <v>7523.8587776666654</v>
      </c>
      <c r="AA209" s="12">
        <v>7536.4398883333324</v>
      </c>
      <c r="AB209" s="12">
        <v>7552.1662766666659</v>
      </c>
      <c r="AC209" s="12">
        <v>7638.4748250000002</v>
      </c>
      <c r="AD209" s="12">
        <v>7747.347616666666</v>
      </c>
      <c r="AE209" s="12">
        <v>7974.9147250000005</v>
      </c>
      <c r="AF209" s="12">
        <v>8334.6453849999998</v>
      </c>
      <c r="AG209" s="12">
        <v>8350.4397258333338</v>
      </c>
      <c r="AH209" s="12">
        <v>8363.0751984999988</v>
      </c>
      <c r="AI209" s="12">
        <v>8448.86</v>
      </c>
      <c r="AJ209" s="12" t="s">
        <v>880</v>
      </c>
      <c r="AK209" s="12">
        <v>8612.4544396666643</v>
      </c>
      <c r="AL209" s="12">
        <v>8621.2753983333314</v>
      </c>
      <c r="AM209" s="12">
        <v>8632.3015966666662</v>
      </c>
      <c r="AN209" s="12">
        <v>8692.4210666666659</v>
      </c>
      <c r="AO209" s="12">
        <v>8779.7046499999997</v>
      </c>
      <c r="AP209" s="12">
        <v>9060.0447249999997</v>
      </c>
      <c r="AQ209" s="12">
        <v>9400.4606383333339</v>
      </c>
      <c r="AR209" s="12">
        <v>9422.534952500002</v>
      </c>
      <c r="AS209" s="12">
        <v>9440.1944038333349</v>
      </c>
      <c r="AT209" s="12">
        <v>9564.8799999999992</v>
      </c>
      <c r="AU209" s="12" t="s">
        <v>881</v>
      </c>
      <c r="AW209" s="12">
        <f>IF(A209="","",MAX(0,MIN(1,(((IF(Статистика!$C$4="Параллельный режим (активная мощность)",B209,M209)+Статистика!$J$4))-Статистика!$C$10)/MAX(Статистика!$G$10-Статистика!$C$10,0.000001))))</f>
        <v>0.46736788072222196</v>
      </c>
      <c r="AX209" s="12">
        <f>IF(A209="","",MAX(0,MAX(0,MIN(1,(((IF(Статистика!$C$4="Параллельный режим (активная мощность)",D209,O209)+Статистика!$J$4))-Статистика!$C$10)/MAX(Статистика!$G$10-Статистика!$C$10,0.000001)))-MAX(0,MIN(1,(((IF(Статистика!$C$4="Параллельный режим (активная мощность)",B209,M209)+Статистика!$J$4))-Статистика!$C$10)/MAX(Статистика!$G$10-Статистика!$C$10,0.000001)))))</f>
        <v>1.45992714999999E-2</v>
      </c>
      <c r="AY209" s="12">
        <f>IF(A209="","",MAX(0,MAX(0,MIN(1,(((IF(Статистика!$C$4="Параллельный режим (активная мощность)",E209,P209)+Статистика!$J$4))-Статистика!$C$10)/MAX(Статистика!$G$10-Статистика!$C$10,0.000001)))-MAX(0,MIN(1,(((IF(Статистика!$C$4="Параллельный режим (активная мощность)",D209,O209)+Статистика!$J$4))-Статистика!$C$10)/MAX(Статистика!$G$10-Статистика!$C$10,0.000001)))))</f>
        <v>4.6447953333333958E-2</v>
      </c>
      <c r="AZ209" s="12">
        <f>IF(A209="","",MAX(0,MAX(0,MIN(1,(((IF(Статистика!$C$4="Параллельный режим (активная мощность)",F209,Q209)+Статистика!$J$4))-Статистика!$C$10)/MAX(Статистика!$G$10-Статистика!$C$10,0.000001)))-MAX(0,MIN(1,(((IF(Статистика!$C$4="Параллельный режим (активная мощность)",E209,P209)+Статистика!$J$4))-Статистика!$C$10)/MAX(Статистика!$G$10-Статистика!$C$10,0.000001)))))</f>
        <v>4.4324233333332796E-2</v>
      </c>
      <c r="BA209" s="12">
        <f>IF(A209="","",MAX(0,MAX(0,MIN(1,(((IF(Статистика!$C$4="Параллельный режим (активная мощность)",G209,R209)+Статистика!$J$4))-Статистика!$C$10)/MAX(Статистика!$G$10-Статистика!$C$10,0.000001)))-MAX(0,MIN(1,(((IF(Статистика!$C$4="Параллельный режим (активная мощность)",F209,Q209)+Статистика!$J$4))-Статистика!$C$10)/MAX(Статистика!$G$10-Статистика!$C$10,0.000001)))))</f>
        <v>5.9972355555555579E-2</v>
      </c>
      <c r="BB209" s="12">
        <f>IF(A209="","",MAX(0,MAX(0,MIN(1,(((IF(Статистика!$C$4="Параллельный режим (активная мощность)",H209,S209)+Статистика!$J$4))-Статистика!$C$10)/MAX(Статистика!$G$10-Статистика!$C$10,0.000001)))-MAX(0,MIN(1,(((IF(Статистика!$C$4="Параллельный режим (активная мощность)",G209,R209)+Статистика!$J$4))-Статистика!$C$10)/MAX(Статистика!$G$10-Статистика!$C$10,0.000001)))))</f>
        <v>0.1161864038888889</v>
      </c>
      <c r="BC209" s="12">
        <f>IF(A209="","",MAX(0,MAX(0,MIN(1,(((IF(Статистика!$C$4="Параллельный режим (активная мощность)",J209,U209)+Статистика!$J$4))-Статистика!$C$10)/MAX(Статистика!$G$10-Статистика!$C$10,0.000001)))-MAX(0,MIN(1,(((IF(Статистика!$C$4="Параллельный режим (активная мощность)",H209,S209)+Статистика!$J$4))-Статистика!$C$10)/MAX(Статистика!$G$10-Статистика!$C$10,0.000001)))))</f>
        <v>1.2433234500000223E-2</v>
      </c>
      <c r="BD209" s="12">
        <f>IF(A209="","",MAX(0,1-MAX(0,MIN(1,(((IF(Статистика!$C$4="Параллельный режим (активная мощность)",J209,U209)+Статистика!$J$4))-Статистика!$C$10)/MAX(Статистика!$G$10-Статистика!$C$10,0.000001)))))</f>
        <v>0.23866866716666668</v>
      </c>
      <c r="BE209" s="12">
        <f>IF(A209="",NA(),IF(Статистика!$B$8="Вкл",(((IF(Статистика!$C$4="Параллельный режим (активная мощность)",F209,Q209)+Статистика!$J$4))-Статистика!$C$10)/MAX(Статистика!$G$10-Статистика!$C$10,0.000001),NA()))</f>
        <v>0.57273933888888862</v>
      </c>
      <c r="BF209" s="12">
        <f>IF(A209="",NA(),IF(Статистика!$D$8="Вкл",(((IF(Статистика!$C$4="Параллельный режим (активная мощность)",E209,P209)+Статистика!$J$4))-Статистика!$C$10)/MAX(Статистика!$G$10-Статистика!$C$10,0.000001),NA()))</f>
        <v>0.52841510555555582</v>
      </c>
      <c r="BG209" s="12">
        <f>IF(A209="",NA(),IF(Статистика!$D$8="Вкл",(((IF(Статистика!$C$4="Параллельный режим (активная мощность)",G209,R209)+Статистика!$J$4))-Статистика!$C$10)/MAX(Статистика!$G$10-Статистика!$C$10,0.000001),NA()))</f>
        <v>0.63271169444444419</v>
      </c>
      <c r="BH209" s="12">
        <f>IF(A209="",NA(),IF(Статистика!$F$8="Вкл",(((IF(Статистика!$C$4="Параллельный режим (активная мощность)",D209,O209)+Статистика!$J$4))-Статистика!$C$10)/MAX(Статистика!$G$10-Статистика!$C$10,0.000001),NA()))</f>
        <v>0.48196715222222186</v>
      </c>
      <c r="BI209" s="12">
        <f>IF(A209="",NA(),IF(Статистика!$F$8="Вкл",(((IF(Статистика!$C$4="Параллельный режим (активная мощность)",H209,S209)+Статистика!$J$4))-Статистика!$C$10)/MAX(Статистика!$G$10-Статистика!$C$10,0.000001),NA()))</f>
        <v>0.7488980983333331</v>
      </c>
      <c r="BJ209" s="12">
        <f>IF(A209="",NA(),IF(Статистика!$H$8="Вкл",(((IF(Статистика!$C$4="Параллельный режим (активная мощность)",B209,M209)+Статистика!$J$4))-Статистика!$C$10)/MAX(Статистика!$G$10-Статистика!$C$10,0.000001),NA()))</f>
        <v>0.46736788072222196</v>
      </c>
      <c r="BK209" s="12">
        <f>IF(A209="",NA(),IF(Статистика!$H$8="Вкл",(((IF(Статистика!$C$4="Параллельный режим (активная мощность)",J209,U209)+Статистика!$J$4))-Статистика!$C$10)/MAX(Статистика!$G$10-Статистика!$C$10,0.000001),NA()))</f>
        <v>0.76133133283333332</v>
      </c>
      <c r="BL209" s="12" t="e">
        <f>IF(A209="",NA(),IF(Статистика!$J$8="Вкл",(((IF(Статистика!$C$4="Параллельный режим (активная мощность)",K209,V209)+Статистика!$J$4))-Статистика!$C$10)/MAX(Статистика!$G$10-Статистика!$C$10,0.000001),NA()))</f>
        <v>#N/A</v>
      </c>
      <c r="BM209" s="12" t="e">
        <f>IF(AND(A209&lt;&gt;"",Статистика!$C$6="Вкл",Статистика!$B$6&gt;0),(Статистика!$B$6-Статистика!$C$10)/MAX(Статистика!$G$10-Статистика!$C$10,0.000001),NA())</f>
        <v>#N/A</v>
      </c>
      <c r="BN209" s="12" t="e">
        <f>IF(AND(A209&lt;&gt;"",Статистика!$F$6="Вкл",Статистика!$E$6&gt;0),(Статистика!$E$6-Статистика!$C$10)/MAX(Статистика!$G$10-Статистика!$C$10,0.000001),NA())</f>
        <v>#N/A</v>
      </c>
      <c r="BO209" s="12" t="e">
        <f>IF(AND(A209&lt;&gt;"",Статистика!$I$6="Вкл",Статистика!$H$6&gt;0),(Статистика!$H$6-Статистика!$C$10)/MAX(Статистика!$G$10-Статистика!$C$10,0.000001),NA())</f>
        <v>#N/A</v>
      </c>
      <c r="BP209" s="12" t="e">
        <f>IF(AND(A209&lt;&gt;"",Статистика!$L$6="Вкл",Статистика!$K$6&gt;0),(Статистика!$K$6-Статистика!$C$10)/MAX(Статистика!$G$10-Статистика!$C$10,0.000001),NA())</f>
        <v>#N/A</v>
      </c>
      <c r="BQ209" s="12" t="e">
        <f>IF(AND(A209&lt;&gt;"",Статистика!$M$6="Вкл",Статистика!$O$6&gt;0),(Статистика!$O$6-Статистика!$C$10)/MAX(Статистика!$G$10-Статистика!$C$10,0.000001),NA())</f>
        <v>#N/A</v>
      </c>
      <c r="BR209" s="12">
        <f t="shared" si="6"/>
        <v>1</v>
      </c>
      <c r="BT209" s="12">
        <f>IF(Y209="","",MAX(0,MIN(1,(((IF(Статистика!$C$4="Параллельный режим (активная мощность)",Z209,AK209)+Статистика!$J$4))-Статистика!$C$10)/MAX(Статистика!$G$10-Статистика!$C$10,0.000001))))</f>
        <v>0.50795292588888852</v>
      </c>
      <c r="BU209" s="12">
        <f>IF(Y209="","",MAX(0,MAX(0,MIN(1,(((IF(Статистика!$C$4="Параллельный режим (активная мощность)",AB209,AM209)+Статистика!$J$4))-Статистика!$C$10)/MAX(Статистика!$G$10-Статистика!$C$10,0.000001)))-MAX(0,MIN(1,(((IF(Статистика!$C$4="Параллельный режим (активная мощность)",Z209,AK209)+Статистика!$J$4))-Статистика!$C$10)/MAX(Статистика!$G$10-Статистика!$C$10,0.000001)))))</f>
        <v>9.4358330000001711E-3</v>
      </c>
      <c r="BV209" s="12">
        <f>IF(Y209="","",MAX(0,MAX(0,MIN(1,(((IF(Статистика!$C$4="Параллельный режим (активная мощность)",AC209,AN209)+Статистика!$J$4))-Статистика!$C$10)/MAX(Статистика!$G$10-Статистика!$C$10,0.000001)))-MAX(0,MIN(1,(((IF(Статистика!$C$4="Параллельный режим (активная мощность)",AB209,AM209)+Статистика!$J$4))-Статистика!$C$10)/MAX(Статистика!$G$10-Статистика!$C$10,0.000001)))))</f>
        <v>2.8769516111111337E-2</v>
      </c>
      <c r="BW209" s="12">
        <f>IF(Y209="","",MAX(0,MAX(0,MIN(1,(((IF(Статистика!$C$4="Параллельный режим (активная мощность)",AD209,AO209)+Статистика!$J$4))-Статистика!$C$10)/MAX(Статистика!$G$10-Статистика!$C$10,0.000001)))-MAX(0,MIN(1,(((IF(Статистика!$C$4="Параллельный режим (активная мощность)",AC209,AN209)+Статистика!$J$4))-Статистика!$C$10)/MAX(Статистика!$G$10-Статистика!$C$10,0.000001)))))</f>
        <v>3.6290930555555323E-2</v>
      </c>
      <c r="BX209" s="12">
        <f>IF(Y209="","",MAX(0,MAX(0,MIN(1,(((IF(Статистика!$C$4="Параллельный режим (активная мощность)",AE209,AP209)+Статистика!$J$4))-Статистика!$C$10)/MAX(Статистика!$G$10-Статистика!$C$10,0.000001)))-MAX(0,MIN(1,(((IF(Статистика!$C$4="Параллельный режим (активная мощность)",AD209,AO209)+Статистика!$J$4))-Статистика!$C$10)/MAX(Статистика!$G$10-Статистика!$C$10,0.000001)))))</f>
        <v>7.58557027777782E-2</v>
      </c>
      <c r="BY209" s="12">
        <f>IF(Y209="","",MAX(0,MAX(0,MIN(1,(((IF(Статистика!$C$4="Параллельный режим (активная мощность)",AF209,AQ209)+Статистика!$J$4))-Статистика!$C$10)/MAX(Статистика!$G$10-Статистика!$C$10,0.000001)))-MAX(0,MIN(1,(((IF(Статистика!$C$4="Параллельный режим (активная мощность)",AE209,AP209)+Статистика!$J$4))-Статистика!$C$10)/MAX(Статистика!$G$10-Статистика!$C$10,0.000001)))))</f>
        <v>0.11991021999999973</v>
      </c>
      <c r="BZ209" s="12">
        <f>IF(Y209="","",MAX(0,MAX(0,MIN(1,(((IF(Статистика!$C$4="Параллельный режим (активная мощность)",AH209,AS209)+Статистика!$J$4))-Статистика!$C$10)/MAX(Статистика!$G$10-Статистика!$C$10,0.000001)))-MAX(0,MIN(1,(((IF(Статистика!$C$4="Параллельный режим (активная мощность)",AF209,AQ209)+Статистика!$J$4))-Статистика!$C$10)/MAX(Статистика!$G$10-Статистика!$C$10,0.000001)))))</f>
        <v>9.4766044999996524E-3</v>
      </c>
      <c r="CA209" s="12">
        <f>IF(Y209="","",MAX(0,1-MAX(0,MIN(1,(((IF(Статистика!$C$4="Параллельный режим (активная мощность)",AH209,AS209)+Статистика!$J$4))-Статистика!$C$10)/MAX(Статистика!$G$10-Статистика!$C$10,0.000001)))))</f>
        <v>0.21230826716666706</v>
      </c>
      <c r="CB209" s="12">
        <f>IF(Y209="",NA(),IF(Статистика!$B$8="Вкл",(((IF(Статистика!$C$4="Параллельный режим (активная мощность)",AD209,AO209)+Статистика!$J$4))-Статистика!$C$10)/MAX(Статистика!$G$10-Статистика!$C$10,0.000001),NA()))</f>
        <v>0.58244920555555535</v>
      </c>
      <c r="CC209" s="12">
        <f>IF(Y209="",NA(),IF(Статистика!$D$8="Вкл",(((IF(Статистика!$C$4="Параллельный режим (активная мощность)",AC209,AN209)+Статистика!$J$4))-Статистика!$C$10)/MAX(Статистика!$G$10-Статистика!$C$10,0.000001),NA()))</f>
        <v>0.54615827500000003</v>
      </c>
      <c r="CD209" s="12">
        <f>IF(Y209="",NA(),IF(Статистика!$D$8="Вкл",(((IF(Статистика!$C$4="Параллельный режим (активная мощность)",AE209,AP209)+Статистика!$J$4))-Статистика!$C$10)/MAX(Статистика!$G$10-Статистика!$C$10,0.000001),NA()))</f>
        <v>0.65830490833333355</v>
      </c>
      <c r="CE209" s="12">
        <f>IF(Y209="",NA(),IF(Статистика!$F$8="Вкл",(((IF(Статистика!$C$4="Параллельный режим (активная мощность)",AB209,AM209)+Статистика!$J$4))-Статистика!$C$10)/MAX(Статистика!$G$10-Статистика!$C$10,0.000001),NA()))</f>
        <v>0.51738875888888869</v>
      </c>
      <c r="CF209" s="12">
        <f>IF(Y209="",NA(),IF(Статистика!$F$8="Вкл",(((IF(Статистика!$C$4="Параллельный режим (активная мощность)",AF209,AQ209)+Статистика!$J$4))-Статистика!$C$10)/MAX(Статистика!$G$10-Статистика!$C$10,0.000001),NA()))</f>
        <v>0.77821512833333328</v>
      </c>
      <c r="CG209" s="12">
        <f>IF(Y209="",NA(),IF(Статистика!$H$8="Вкл",(((IF(Статистика!$C$4="Параллельный режим (активная мощность)",Z209,AK209)+Статистика!$J$4))-Статистика!$C$10)/MAX(Статистика!$G$10-Статистика!$C$10,0.000001),NA()))</f>
        <v>0.50795292588888852</v>
      </c>
      <c r="CH209" s="12">
        <f>IF(Y209="",NA(),IF(Статистика!$H$8="Вкл",(((IF(Статистика!$C$4="Параллельный режим (активная мощность)",AH209,AS209)+Статистика!$J$4))-Статистика!$C$10)/MAX(Статистика!$G$10-Статистика!$C$10,0.000001),NA()))</f>
        <v>0.78769173283333294</v>
      </c>
      <c r="CI209" s="12" t="e">
        <f>IF(Y209="",NA(),IF(Статистика!$J$8="Вкл",(((IF(Статистика!$C$4="Параллельный режим (активная мощность)",AI209,AT209)+Статистика!$J$4))-Статистика!$C$10)/MAX(Статистика!$G$10-Статистика!$C$10,0.000001),NA()))</f>
        <v>#N/A</v>
      </c>
      <c r="CJ209" s="12" t="e">
        <f>IF(AND(Y209&lt;&gt;"",Статистика!$C$6="Вкл",Статистика!$B$6&gt;0),(Статистика!$B$6-Статистика!$C$10)/MAX(Статистика!$G$10-Статистика!$C$10,0.000001),NA())</f>
        <v>#N/A</v>
      </c>
      <c r="CK209" s="12" t="e">
        <f>IF(AND(Y209&lt;&gt;"",Статистика!$F$6="Вкл",Статистика!$E$6&gt;0),(Статистика!$E$6-Статистика!$C$10)/MAX(Статистика!$G$10-Статистика!$C$10,0.000001),NA())</f>
        <v>#N/A</v>
      </c>
      <c r="CL209" s="12" t="e">
        <f>IF(AND(Y209&lt;&gt;"",Статистика!$I$6="Вкл",Статистика!$H$6&gt;0),(Статистика!$H$6-Статистика!$C$10)/MAX(Статистика!$G$10-Статистика!$C$10,0.000001),NA())</f>
        <v>#N/A</v>
      </c>
      <c r="CM209" s="12" t="e">
        <f>IF(AND(Y209&lt;&gt;"",Статистика!$L$6="Вкл",Статистика!$K$6&gt;0),(Статистика!$K$6-Статистика!$C$10)/MAX(Статистика!$G$10-Статистика!$C$10,0.000001),NA())</f>
        <v>#N/A</v>
      </c>
      <c r="CN209" s="12" t="e">
        <f>IF(AND(Y209&lt;&gt;"",Статистика!$M$6="Вкл",Статистика!$O$6&gt;0),(Статистика!$O$6-Статистика!$C$10)/MAX(Статистика!$G$10-Статистика!$C$10,0.000001),NA())</f>
        <v>#N/A</v>
      </c>
      <c r="CO209" s="12">
        <f t="shared" si="7"/>
        <v>1</v>
      </c>
    </row>
    <row r="210" spans="1:93" ht="15" customHeight="1">
      <c r="A210" s="12" t="s">
        <v>882</v>
      </c>
      <c r="B210" s="12">
        <v>7098.6525640000009</v>
      </c>
      <c r="C210" s="12">
        <v>7284.9465533333341</v>
      </c>
      <c r="D210" s="12">
        <v>7382.5354900000011</v>
      </c>
      <c r="E210" s="12">
        <v>7555.5003416666659</v>
      </c>
      <c r="F210" s="12">
        <v>7671.7539333333334</v>
      </c>
      <c r="G210" s="12">
        <v>7869.0896416666665</v>
      </c>
      <c r="H210" s="12">
        <v>8232.5863283333347</v>
      </c>
      <c r="I210" s="12">
        <v>8261.4500466666668</v>
      </c>
      <c r="J210" s="12">
        <v>8272.0280093333331</v>
      </c>
      <c r="K210" s="12">
        <v>8376.7000000000007</v>
      </c>
      <c r="L210" s="12" t="s">
        <v>883</v>
      </c>
      <c r="M210" s="12">
        <v>8010.4454175000001</v>
      </c>
      <c r="N210" s="12">
        <v>8257.402554166667</v>
      </c>
      <c r="O210" s="12">
        <v>8398.2129599999989</v>
      </c>
      <c r="P210" s="12">
        <v>8579.8248416666665</v>
      </c>
      <c r="Q210" s="12">
        <v>8748.3270833333336</v>
      </c>
      <c r="R210" s="12">
        <v>8989.8412916666657</v>
      </c>
      <c r="S210" s="12">
        <v>9309.1681349999999</v>
      </c>
      <c r="T210" s="12">
        <v>9317.989440833333</v>
      </c>
      <c r="U210" s="12">
        <v>9335.9473815000019</v>
      </c>
      <c r="V210" s="12">
        <v>9521.57</v>
      </c>
      <c r="W210" s="12" t="s">
        <v>884</v>
      </c>
      <c r="Y210" s="12" t="s">
        <v>882</v>
      </c>
      <c r="Z210" s="12">
        <v>7499.4426328333338</v>
      </c>
      <c r="AA210" s="12">
        <v>7515.0723641666673</v>
      </c>
      <c r="AB210" s="12">
        <v>7534.6095283333334</v>
      </c>
      <c r="AC210" s="12">
        <v>7580.8355499999998</v>
      </c>
      <c r="AD210" s="12">
        <v>7748.1898666666666</v>
      </c>
      <c r="AE210" s="12">
        <v>7919.8804750000008</v>
      </c>
      <c r="AF210" s="12">
        <v>8348.3887533333327</v>
      </c>
      <c r="AG210" s="12">
        <v>8388.8990766666648</v>
      </c>
      <c r="AH210" s="12">
        <v>8421.307335333333</v>
      </c>
      <c r="AI210" s="12">
        <v>8629.91</v>
      </c>
      <c r="AJ210" s="12" t="s">
        <v>885</v>
      </c>
      <c r="AK210" s="12">
        <v>8595.052289666668</v>
      </c>
      <c r="AL210" s="12">
        <v>8601.9673149999999</v>
      </c>
      <c r="AM210" s="12">
        <v>8610.6110966666656</v>
      </c>
      <c r="AN210" s="12">
        <v>8647.7965416666666</v>
      </c>
      <c r="AO210" s="12">
        <v>8784.4664833333336</v>
      </c>
      <c r="AP210" s="12">
        <v>8978.8856749999995</v>
      </c>
      <c r="AQ210" s="12">
        <v>9416.1794883333332</v>
      </c>
      <c r="AR210" s="12">
        <v>9467.7778941666656</v>
      </c>
      <c r="AS210" s="12">
        <v>9509.0566188333341</v>
      </c>
      <c r="AT210" s="12">
        <v>9791.74</v>
      </c>
      <c r="AU210" s="12" t="s">
        <v>885</v>
      </c>
      <c r="AW210" s="12">
        <f>IF(A210="","",MAX(0,MIN(1,(((IF(Статистика!$C$4="Параллельный режим (активная мощность)",B210,M210)+Статистика!$J$4))-Статистика!$C$10)/MAX(Статистика!$G$10-Статистика!$C$10,0.000001))))</f>
        <v>0.36621752133333363</v>
      </c>
      <c r="AX210" s="12">
        <f>IF(A210="","",MAX(0,MAX(0,MIN(1,(((IF(Статистика!$C$4="Параллельный режим (активная мощность)",D210,O210)+Статистика!$J$4))-Статистика!$C$10)/MAX(Статистика!$G$10-Статистика!$C$10,0.000001)))-MAX(0,MIN(1,(((IF(Статистика!$C$4="Параллельный режим (активная мощность)",B210,M210)+Статистика!$J$4))-Статистика!$C$10)/MAX(Статистика!$G$10-Статистика!$C$10,0.000001)))))</f>
        <v>9.4627642000000067E-2</v>
      </c>
      <c r="AY210" s="12">
        <f>IF(A210="","",MAX(0,MAX(0,MIN(1,(((IF(Статистика!$C$4="Параллельный режим (активная мощность)",E210,P210)+Статистика!$J$4))-Статистика!$C$10)/MAX(Статистика!$G$10-Статистика!$C$10,0.000001)))-MAX(0,MIN(1,(((IF(Статистика!$C$4="Параллельный режим (активная мощность)",D210,O210)+Статистика!$J$4))-Статистика!$C$10)/MAX(Статистика!$G$10-Статистика!$C$10,0.000001)))))</f>
        <v>5.7654950555554918E-2</v>
      </c>
      <c r="AZ210" s="12">
        <f>IF(A210="","",MAX(0,MAX(0,MIN(1,(((IF(Статистика!$C$4="Параллельный режим (активная мощность)",F210,Q210)+Статистика!$J$4))-Статистика!$C$10)/MAX(Статистика!$G$10-Статистика!$C$10,0.000001)))-MAX(0,MIN(1,(((IF(Статистика!$C$4="Параллельный режим (активная мощность)",E210,P210)+Статистика!$J$4))-Статистика!$C$10)/MAX(Статистика!$G$10-Статистика!$C$10,0.000001)))))</f>
        <v>3.8751197222222533E-2</v>
      </c>
      <c r="BA210" s="12">
        <f>IF(A210="","",MAX(0,MAX(0,MIN(1,(((IF(Статистика!$C$4="Параллельный режим (активная мощность)",G210,R210)+Статистика!$J$4))-Статистика!$C$10)/MAX(Статистика!$G$10-Статистика!$C$10,0.000001)))-MAX(0,MIN(1,(((IF(Статистика!$C$4="Параллельный режим (активная мощность)",F210,Q210)+Статистика!$J$4))-Статистика!$C$10)/MAX(Статистика!$G$10-Статистика!$C$10,0.000001)))))</f>
        <v>6.5778569444444379E-2</v>
      </c>
      <c r="BB210" s="12">
        <f>IF(A210="","",MAX(0,MAX(0,MIN(1,(((IF(Статистика!$C$4="Параллельный режим (активная мощность)",H210,S210)+Статистика!$J$4))-Статистика!$C$10)/MAX(Статистика!$G$10-Статистика!$C$10,0.000001)))-MAX(0,MIN(1,(((IF(Статистика!$C$4="Параллельный режим (активная мощность)",G210,R210)+Статистика!$J$4))-Статистика!$C$10)/MAX(Статистика!$G$10-Статистика!$C$10,0.000001)))))</f>
        <v>0.12116556222222274</v>
      </c>
      <c r="BC210" s="12">
        <f>IF(A210="","",MAX(0,MAX(0,MIN(1,(((IF(Статистика!$C$4="Параллельный режим (активная мощность)",J210,U210)+Статистика!$J$4))-Статистика!$C$10)/MAX(Статистика!$G$10-Статистика!$C$10,0.000001)))-MAX(0,MIN(1,(((IF(Статистика!$C$4="Параллельный режим (активная мощность)",H210,S210)+Статистика!$J$4))-Статистика!$C$10)/MAX(Статистика!$G$10-Статистика!$C$10,0.000001)))))</f>
        <v>1.3147226999999484E-2</v>
      </c>
      <c r="BD210" s="12">
        <f>IF(A210="","",MAX(0,1-MAX(0,MIN(1,(((IF(Статистика!$C$4="Параллельный режим (активная мощность)",J210,U210)+Статистика!$J$4))-Статистика!$C$10)/MAX(Статистика!$G$10-Статистика!$C$10,0.000001)))))</f>
        <v>0.24265733022222225</v>
      </c>
      <c r="BE210" s="12">
        <f>IF(A210="",NA(),IF(Статистика!$B$8="Вкл",(((IF(Статистика!$C$4="Параллельный режим (активная мощность)",F210,Q210)+Статистика!$J$4))-Статистика!$C$10)/MAX(Статистика!$G$10-Статистика!$C$10,0.000001),NA()))</f>
        <v>0.55725131111111115</v>
      </c>
      <c r="BF210" s="12">
        <f>IF(A210="",NA(),IF(Статистика!$D$8="Вкл",(((IF(Статистика!$C$4="Параллельный режим (активная мощность)",E210,P210)+Статистика!$J$4))-Статистика!$C$10)/MAX(Статистика!$G$10-Статистика!$C$10,0.000001),NA()))</f>
        <v>0.51850011388888861</v>
      </c>
      <c r="BG210" s="12">
        <f>IF(A210="",NA(),IF(Статистика!$D$8="Вкл",(((IF(Статистика!$C$4="Параллельный режим (активная мощность)",G210,R210)+Статистика!$J$4))-Статистика!$C$10)/MAX(Статистика!$G$10-Статистика!$C$10,0.000001),NA()))</f>
        <v>0.62302988055555553</v>
      </c>
      <c r="BH210" s="12">
        <f>IF(A210="",NA(),IF(Статистика!$F$8="Вкл",(((IF(Статистика!$C$4="Параллельный режим (активная мощность)",D210,O210)+Статистика!$J$4))-Статистика!$C$10)/MAX(Статистика!$G$10-Статистика!$C$10,0.000001),NA()))</f>
        <v>0.4608451633333337</v>
      </c>
      <c r="BI210" s="12">
        <f>IF(A210="",NA(),IF(Статистика!$F$8="Вкл",(((IF(Статистика!$C$4="Параллельный режим (активная мощность)",H210,S210)+Статистика!$J$4))-Статистика!$C$10)/MAX(Статистика!$G$10-Статистика!$C$10,0.000001),NA()))</f>
        <v>0.74419544277777827</v>
      </c>
      <c r="BJ210" s="12">
        <f>IF(A210="",NA(),IF(Статистика!$H$8="Вкл",(((IF(Статистика!$C$4="Параллельный режим (активная мощность)",B210,M210)+Статистика!$J$4))-Статистика!$C$10)/MAX(Статистика!$G$10-Статистика!$C$10,0.000001),NA()))</f>
        <v>0.36621752133333363</v>
      </c>
      <c r="BK210" s="12">
        <f>IF(A210="",NA(),IF(Статистика!$H$8="Вкл",(((IF(Статистика!$C$4="Параллельный режим (активная мощность)",J210,U210)+Статистика!$J$4))-Статистика!$C$10)/MAX(Статистика!$G$10-Статистика!$C$10,0.000001),NA()))</f>
        <v>0.75734266977777775</v>
      </c>
      <c r="BL210" s="12" t="e">
        <f>IF(A210="",NA(),IF(Статистика!$J$8="Вкл",(((IF(Статистика!$C$4="Параллельный режим (активная мощность)",K210,V210)+Статистика!$J$4))-Статистика!$C$10)/MAX(Статистика!$G$10-Статистика!$C$10,0.000001),NA()))</f>
        <v>#N/A</v>
      </c>
      <c r="BM210" s="12" t="e">
        <f>IF(AND(A210&lt;&gt;"",Статистика!$C$6="Вкл",Статистика!$B$6&gt;0),(Статистика!$B$6-Статистика!$C$10)/MAX(Статистика!$G$10-Статистика!$C$10,0.000001),NA())</f>
        <v>#N/A</v>
      </c>
      <c r="BN210" s="12" t="e">
        <f>IF(AND(A210&lt;&gt;"",Статистика!$F$6="Вкл",Статистика!$E$6&gt;0),(Статистика!$E$6-Статистика!$C$10)/MAX(Статистика!$G$10-Статистика!$C$10,0.000001),NA())</f>
        <v>#N/A</v>
      </c>
      <c r="BO210" s="12" t="e">
        <f>IF(AND(A210&lt;&gt;"",Статистика!$I$6="Вкл",Статистика!$H$6&gt;0),(Статистика!$H$6-Статистика!$C$10)/MAX(Статистика!$G$10-Статистика!$C$10,0.000001),NA())</f>
        <v>#N/A</v>
      </c>
      <c r="BP210" s="12" t="e">
        <f>IF(AND(A210&lt;&gt;"",Статистика!$L$6="Вкл",Статистика!$K$6&gt;0),(Статистика!$K$6-Статистика!$C$10)/MAX(Статистика!$G$10-Статистика!$C$10,0.000001),NA())</f>
        <v>#N/A</v>
      </c>
      <c r="BQ210" s="12" t="e">
        <f>IF(AND(A210&lt;&gt;"",Статистика!$M$6="Вкл",Статистика!$O$6&gt;0),(Статистика!$O$6-Статистика!$C$10)/MAX(Статистика!$G$10-Статистика!$C$10,0.000001),NA())</f>
        <v>#N/A</v>
      </c>
      <c r="BR210" s="12">
        <f t="shared" si="6"/>
        <v>1</v>
      </c>
      <c r="BT210" s="12">
        <f>IF(Y210="","",MAX(0,MIN(1,(((IF(Статистика!$C$4="Параллельный режим (активная мощность)",Z210,AK210)+Статистика!$J$4))-Статистика!$C$10)/MAX(Статистика!$G$10-Статистика!$C$10,0.000001))))</f>
        <v>0.49981421094444461</v>
      </c>
      <c r="BU210" s="12">
        <f>IF(Y210="","",MAX(0,MAX(0,MIN(1,(((IF(Статистика!$C$4="Параллельный режим (активная мощность)",AB210,AM210)+Статистика!$J$4))-Статистика!$C$10)/MAX(Статистика!$G$10-Статистика!$C$10,0.000001)))-MAX(0,MIN(1,(((IF(Статистика!$C$4="Параллельный режим (активная мощность)",Z210,AK210)+Статистика!$J$4))-Статистика!$C$10)/MAX(Статистика!$G$10-Статистика!$C$10,0.000001)))))</f>
        <v>1.1722298499999895E-2</v>
      </c>
      <c r="BV210" s="12">
        <f>IF(Y210="","",MAX(0,MAX(0,MIN(1,(((IF(Статистика!$C$4="Параллельный режим (активная мощность)",AC210,AN210)+Статистика!$J$4))-Статистика!$C$10)/MAX(Статистика!$G$10-Статистика!$C$10,0.000001)))-MAX(0,MIN(1,(((IF(Статистика!$C$4="Параллельный режим (активная мощность)",AB210,AM210)+Статистика!$J$4))-Статистика!$C$10)/MAX(Статистика!$G$10-Статистика!$C$10,0.000001)))))</f>
        <v>1.540867388888878E-2</v>
      </c>
      <c r="BW210" s="12">
        <f>IF(Y210="","",MAX(0,MAX(0,MIN(1,(((IF(Статистика!$C$4="Параллельный режим (активная мощность)",AD210,AO210)+Статистика!$J$4))-Статистика!$C$10)/MAX(Статистика!$G$10-Статистика!$C$10,0.000001)))-MAX(0,MIN(1,(((IF(Статистика!$C$4="Параллельный режим (активная мощность)",AC210,AN210)+Статистика!$J$4))-Статистика!$C$10)/MAX(Статистика!$G$10-Статистика!$C$10,0.000001)))))</f>
        <v>5.5784772222222223E-2</v>
      </c>
      <c r="BX210" s="12">
        <f>IF(Y210="","",MAX(0,MAX(0,MIN(1,(((IF(Статистика!$C$4="Параллельный режим (активная мощность)",AE210,AP210)+Статистика!$J$4))-Статистика!$C$10)/MAX(Статистика!$G$10-Статистика!$C$10,0.000001)))-MAX(0,MIN(1,(((IF(Статистика!$C$4="Параллельный режим (активная мощность)",AD210,AO210)+Статистика!$J$4))-Статистика!$C$10)/MAX(Статистика!$G$10-Статистика!$C$10,0.000001)))))</f>
        <v>5.7230202777778127E-2</v>
      </c>
      <c r="BY210" s="12">
        <f>IF(Y210="","",MAX(0,MAX(0,MIN(1,(((IF(Статистика!$C$4="Параллельный режим (активная мощность)",AF210,AQ210)+Статистика!$J$4))-Статистика!$C$10)/MAX(Статистика!$G$10-Статистика!$C$10,0.000001)))-MAX(0,MIN(1,(((IF(Статистика!$C$4="Параллельный режим (активная мощность)",AE210,AP210)+Статистика!$J$4))-Статистика!$C$10)/MAX(Статистика!$G$10-Статистика!$C$10,0.000001)))))</f>
        <v>0.14283609277777731</v>
      </c>
      <c r="BZ210" s="12">
        <f>IF(Y210="","",MAX(0,MAX(0,MIN(1,(((IF(Статистика!$C$4="Параллельный режим (активная мощность)",AH210,AS210)+Статистика!$J$4))-Статистика!$C$10)/MAX(Статистика!$G$10-Статистика!$C$10,0.000001)))-MAX(0,MIN(1,(((IF(Статистика!$C$4="Параллельный режим (активная мощность)",AF210,AQ210)+Статистика!$J$4))-Статистика!$C$10)/MAX(Статистика!$G$10-Статистика!$C$10,0.000001)))))</f>
        <v>2.4306194000000003E-2</v>
      </c>
      <c r="CA210" s="12">
        <f>IF(Y210="","",MAX(0,1-MAX(0,MIN(1,(((IF(Статистика!$C$4="Параллельный режим (активная мощность)",AH210,AS210)+Статистика!$J$4))-Статистика!$C$10)/MAX(Статистика!$G$10-Статистика!$C$10,0.000001)))))</f>
        <v>0.19289755488888904</v>
      </c>
      <c r="CB210" s="12">
        <f>IF(Y210="",NA(),IF(Статистика!$B$8="Вкл",(((IF(Статистика!$C$4="Параллельный режим (активная мощность)",AD210,AO210)+Статистика!$J$4))-Статистика!$C$10)/MAX(Статистика!$G$10-Статистика!$C$10,0.000001),NA()))</f>
        <v>0.58272995555555551</v>
      </c>
      <c r="CC210" s="12">
        <f>IF(Y210="",NA(),IF(Статистика!$D$8="Вкл",(((IF(Статистика!$C$4="Параллельный режим (активная мощность)",AC210,AN210)+Статистика!$J$4))-Статистика!$C$10)/MAX(Статистика!$G$10-Статистика!$C$10,0.000001),NA()))</f>
        <v>0.52694518333333329</v>
      </c>
      <c r="CD210" s="12">
        <f>IF(Y210="",NA(),IF(Статистика!$D$8="Вкл",(((IF(Статистика!$C$4="Параллельный режим (активная мощность)",AE210,AP210)+Статистика!$J$4))-Статистика!$C$10)/MAX(Статистика!$G$10-Статистика!$C$10,0.000001),NA()))</f>
        <v>0.63996015833333364</v>
      </c>
      <c r="CE210" s="12">
        <f>IF(Y210="",NA(),IF(Статистика!$F$8="Вкл",(((IF(Статистика!$C$4="Параллельный режим (активная мощность)",AB210,AM210)+Статистика!$J$4))-Статистика!$C$10)/MAX(Статистика!$G$10-Статистика!$C$10,0.000001),NA()))</f>
        <v>0.51153650944444451</v>
      </c>
      <c r="CF210" s="12">
        <f>IF(Y210="",NA(),IF(Статистика!$F$8="Вкл",(((IF(Статистика!$C$4="Параллельный режим (активная мощность)",AF210,AQ210)+Статистика!$J$4))-Статистика!$C$10)/MAX(Статистика!$G$10-Статистика!$C$10,0.000001),NA()))</f>
        <v>0.78279625111111095</v>
      </c>
      <c r="CG210" s="12">
        <f>IF(Y210="",NA(),IF(Статистика!$H$8="Вкл",(((IF(Статистика!$C$4="Параллельный режим (активная мощность)",Z210,AK210)+Статистика!$J$4))-Статистика!$C$10)/MAX(Статистика!$G$10-Статистика!$C$10,0.000001),NA()))</f>
        <v>0.49981421094444461</v>
      </c>
      <c r="CH210" s="12">
        <f>IF(Y210="",NA(),IF(Статистика!$H$8="Вкл",(((IF(Статистика!$C$4="Параллельный режим (активная мощность)",AH210,AS210)+Статистика!$J$4))-Статистика!$C$10)/MAX(Статистика!$G$10-Статистика!$C$10,0.000001),NA()))</f>
        <v>0.80710244511111096</v>
      </c>
      <c r="CI210" s="12" t="e">
        <f>IF(Y210="",NA(),IF(Статистика!$J$8="Вкл",(((IF(Статистика!$C$4="Параллельный режим (активная мощность)",AI210,AT210)+Статистика!$J$4))-Статистика!$C$10)/MAX(Статистика!$G$10-Статистика!$C$10,0.000001),NA()))</f>
        <v>#N/A</v>
      </c>
      <c r="CJ210" s="12" t="e">
        <f>IF(AND(Y210&lt;&gt;"",Статистика!$C$6="Вкл",Статистика!$B$6&gt;0),(Статистика!$B$6-Статистика!$C$10)/MAX(Статистика!$G$10-Статистика!$C$10,0.000001),NA())</f>
        <v>#N/A</v>
      </c>
      <c r="CK210" s="12" t="e">
        <f>IF(AND(Y210&lt;&gt;"",Статистика!$F$6="Вкл",Статистика!$E$6&gt;0),(Статистика!$E$6-Статистика!$C$10)/MAX(Статистика!$G$10-Статистика!$C$10,0.000001),NA())</f>
        <v>#N/A</v>
      </c>
      <c r="CL210" s="12" t="e">
        <f>IF(AND(Y210&lt;&gt;"",Статистика!$I$6="Вкл",Статистика!$H$6&gt;0),(Статистика!$H$6-Статистика!$C$10)/MAX(Статистика!$G$10-Статистика!$C$10,0.000001),NA())</f>
        <v>#N/A</v>
      </c>
      <c r="CM210" s="12" t="e">
        <f>IF(AND(Y210&lt;&gt;"",Статистика!$L$6="Вкл",Статистика!$K$6&gt;0),(Статистика!$K$6-Статистика!$C$10)/MAX(Статистика!$G$10-Статистика!$C$10,0.000001),NA())</f>
        <v>#N/A</v>
      </c>
      <c r="CN210" s="12" t="e">
        <f>IF(AND(Y210&lt;&gt;"",Статистика!$M$6="Вкл",Статистика!$O$6&gt;0),(Статистика!$O$6-Статистика!$C$10)/MAX(Статистика!$G$10-Статистика!$C$10,0.000001),NA())</f>
        <v>#N/A</v>
      </c>
      <c r="CO210" s="12">
        <f t="shared" si="7"/>
        <v>1</v>
      </c>
    </row>
    <row r="211" spans="1:93" ht="15" customHeight="1">
      <c r="A211" s="12" t="s">
        <v>886</v>
      </c>
      <c r="B211" s="12">
        <v>5060.5888066666666</v>
      </c>
      <c r="C211" s="12">
        <v>6637.8052333333326</v>
      </c>
      <c r="D211" s="12">
        <v>7389.9572416666661</v>
      </c>
      <c r="E211" s="12">
        <v>7539.6103166666671</v>
      </c>
      <c r="F211" s="12">
        <v>7688.1694333333326</v>
      </c>
      <c r="G211" s="12">
        <v>7935.2789416666665</v>
      </c>
      <c r="H211" s="12">
        <v>8259.7572999999993</v>
      </c>
      <c r="I211" s="12">
        <v>8271.1035400000001</v>
      </c>
      <c r="J211" s="12">
        <v>8278.0412680000009</v>
      </c>
      <c r="K211" s="12">
        <v>8362.2199999999993</v>
      </c>
      <c r="L211" s="12" t="s">
        <v>887</v>
      </c>
      <c r="M211" s="12">
        <v>5880.0530081666675</v>
      </c>
      <c r="N211" s="12">
        <v>7572.8599741666685</v>
      </c>
      <c r="O211" s="12">
        <v>8392.3479116666676</v>
      </c>
      <c r="P211" s="12">
        <v>8571.8927916666689</v>
      </c>
      <c r="Q211" s="12">
        <v>8789.4478666666673</v>
      </c>
      <c r="R211" s="12">
        <v>9052.3306083333337</v>
      </c>
      <c r="S211" s="12">
        <v>9312.1396216666672</v>
      </c>
      <c r="T211" s="12">
        <v>9321.3611791666663</v>
      </c>
      <c r="U211" s="12">
        <v>9337.4814091666667</v>
      </c>
      <c r="V211" s="12">
        <v>9514.31</v>
      </c>
      <c r="W211" s="12" t="s">
        <v>888</v>
      </c>
      <c r="Y211" s="12" t="s">
        <v>886</v>
      </c>
      <c r="Z211" s="12">
        <v>7429.5481929999996</v>
      </c>
      <c r="AA211" s="12">
        <v>7448.0309649999999</v>
      </c>
      <c r="AB211" s="12">
        <v>7471.1344299999992</v>
      </c>
      <c r="AC211" s="12">
        <v>7570.0468000000001</v>
      </c>
      <c r="AD211" s="12">
        <v>7733.4605833333335</v>
      </c>
      <c r="AE211" s="12">
        <v>7903.0742499999997</v>
      </c>
      <c r="AF211" s="12">
        <v>8350.5180949999994</v>
      </c>
      <c r="AG211" s="12">
        <v>8383.6107974999995</v>
      </c>
      <c r="AH211" s="12">
        <v>8410.0849595</v>
      </c>
      <c r="AI211" s="12">
        <v>8504.98</v>
      </c>
      <c r="AJ211" s="12" t="s">
        <v>889</v>
      </c>
      <c r="AK211" s="12">
        <v>8506.241302833334</v>
      </c>
      <c r="AL211" s="12">
        <v>8526.5205141666665</v>
      </c>
      <c r="AM211" s="12">
        <v>8551.8695283333327</v>
      </c>
      <c r="AN211" s="12">
        <v>8634.0436499999996</v>
      </c>
      <c r="AO211" s="12">
        <v>8763.0746666666673</v>
      </c>
      <c r="AP211" s="12">
        <v>8946.7532916666678</v>
      </c>
      <c r="AQ211" s="12">
        <v>9425.5079233333327</v>
      </c>
      <c r="AR211" s="12">
        <v>9466.8751283333331</v>
      </c>
      <c r="AS211" s="12">
        <v>9499.9688923333342</v>
      </c>
      <c r="AT211" s="12">
        <v>9592.7199999999993</v>
      </c>
      <c r="AU211" s="12" t="s">
        <v>890</v>
      </c>
      <c r="AW211" s="12">
        <f>IF(A211="","",MAX(0,MIN(1,(((IF(Статистика!$C$4="Параллельный режим (активная мощность)",B211,M211)+Статистика!$J$4))-Статистика!$C$10)/MAX(Статистика!$G$10-Статистика!$C$10,0.000001))))</f>
        <v>0</v>
      </c>
      <c r="AX211" s="12">
        <f>IF(A211="","",MAX(0,MAX(0,MIN(1,(((IF(Статистика!$C$4="Параллельный режим (активная мощность)",D211,O211)+Статистика!$J$4))-Статистика!$C$10)/MAX(Статистика!$G$10-Статистика!$C$10,0.000001)))-MAX(0,MIN(1,(((IF(Статистика!$C$4="Параллельный режим (активная мощность)",B211,M211)+Статистика!$J$4))-Статистика!$C$10)/MAX(Статистика!$G$10-Статистика!$C$10,0.000001)))))</f>
        <v>0.46331908055555537</v>
      </c>
      <c r="AY211" s="12">
        <f>IF(A211="","",MAX(0,MAX(0,MIN(1,(((IF(Статистика!$C$4="Параллельный режим (активная мощность)",E211,P211)+Статистика!$J$4))-Статистика!$C$10)/MAX(Статистика!$G$10-Статистика!$C$10,0.000001)))-MAX(0,MIN(1,(((IF(Статистика!$C$4="Параллельный режим (активная мощность)",D211,O211)+Статистика!$J$4))-Статистика!$C$10)/MAX(Статистика!$G$10-Статистика!$C$10,0.000001)))))</f>
        <v>4.9884358333333711E-2</v>
      </c>
      <c r="AZ211" s="12">
        <f>IF(A211="","",MAX(0,MAX(0,MIN(1,(((IF(Статистика!$C$4="Параллельный режим (активная мощность)",F211,Q211)+Статистика!$J$4))-Статистика!$C$10)/MAX(Статистика!$G$10-Статистика!$C$10,0.000001)))-MAX(0,MIN(1,(((IF(Статистика!$C$4="Параллельный режим (активная мощность)",E211,P211)+Статистика!$J$4))-Статистика!$C$10)/MAX(Статистика!$G$10-Статистика!$C$10,0.000001)))))</f>
        <v>4.9519705555555071E-2</v>
      </c>
      <c r="BA211" s="12">
        <f>IF(A211="","",MAX(0,MAX(0,MIN(1,(((IF(Статистика!$C$4="Параллельный режим (активная мощность)",G211,R211)+Статистика!$J$4))-Статистика!$C$10)/MAX(Статистика!$G$10-Статистика!$C$10,0.000001)))-MAX(0,MIN(1,(((IF(Статистика!$C$4="Параллельный режим (активная мощность)",F211,Q211)+Статистика!$J$4))-Статистика!$C$10)/MAX(Статистика!$G$10-Статистика!$C$10,0.000001)))))</f>
        <v>8.2369836111111372E-2</v>
      </c>
      <c r="BB211" s="12">
        <f>IF(A211="","",MAX(0,MAX(0,MIN(1,(((IF(Статистика!$C$4="Параллельный режим (активная мощность)",H211,S211)+Статистика!$J$4))-Статистика!$C$10)/MAX(Статистика!$G$10-Статистика!$C$10,0.000001)))-MAX(0,MIN(1,(((IF(Статистика!$C$4="Параллельный режим (активная мощность)",G211,R211)+Статистика!$J$4))-Статистика!$C$10)/MAX(Статистика!$G$10-Статистика!$C$10,0.000001)))))</f>
        <v>0.10815945277777761</v>
      </c>
      <c r="BC211" s="12">
        <f>IF(A211="","",MAX(0,MAX(0,MIN(1,(((IF(Статистика!$C$4="Параллельный режим (активная мощность)",J211,U211)+Статистика!$J$4))-Статистика!$C$10)/MAX(Статистика!$G$10-Статистика!$C$10,0.000001)))-MAX(0,MIN(1,(((IF(Статистика!$C$4="Параллельный режим (активная мощность)",H211,S211)+Статистика!$J$4))-Статистика!$C$10)/MAX(Статистика!$G$10-Статистика!$C$10,0.000001)))))</f>
        <v>6.0946560000004757E-3</v>
      </c>
      <c r="BD211" s="12">
        <f>IF(A211="","",MAX(0,1-MAX(0,MIN(1,(((IF(Статистика!$C$4="Параллельный режим (активная мощность)",J211,U211)+Статистика!$J$4))-Статистика!$C$10)/MAX(Статистика!$G$10-Статистика!$C$10,0.000001)))))</f>
        <v>0.24065291066666639</v>
      </c>
      <c r="BE211" s="12">
        <f>IF(A211="",NA(),IF(Статистика!$B$8="Вкл",(((IF(Статистика!$C$4="Параллельный режим (активная мощность)",F211,Q211)+Статистика!$J$4))-Статистика!$C$10)/MAX(Статистика!$G$10-Статистика!$C$10,0.000001),NA()))</f>
        <v>0.56272314444444416</v>
      </c>
      <c r="BF211" s="12">
        <f>IF(A211="",NA(),IF(Статистика!$D$8="Вкл",(((IF(Статистика!$C$4="Параллельный режим (активная мощность)",E211,P211)+Статистика!$J$4))-Статистика!$C$10)/MAX(Статистика!$G$10-Статистика!$C$10,0.000001),NA()))</f>
        <v>0.51320343888888909</v>
      </c>
      <c r="BG211" s="12">
        <f>IF(A211="",NA(),IF(Статистика!$D$8="Вкл",(((IF(Статистика!$C$4="Параллельный режим (активная мощность)",G211,R211)+Статистика!$J$4))-Статистика!$C$10)/MAX(Статистика!$G$10-Статистика!$C$10,0.000001),NA()))</f>
        <v>0.64509298055555553</v>
      </c>
      <c r="BH211" s="12">
        <f>IF(A211="",NA(),IF(Статистика!$F$8="Вкл",(((IF(Статистика!$C$4="Параллельный режим (активная мощность)",D211,O211)+Статистика!$J$4))-Статистика!$C$10)/MAX(Статистика!$G$10-Статистика!$C$10,0.000001),NA()))</f>
        <v>0.46331908055555537</v>
      </c>
      <c r="BI211" s="12">
        <f>IF(A211="",NA(),IF(Статистика!$F$8="Вкл",(((IF(Статистика!$C$4="Параллельный режим (активная мощность)",H211,S211)+Статистика!$J$4))-Статистика!$C$10)/MAX(Статистика!$G$10-Статистика!$C$10,0.000001),NA()))</f>
        <v>0.75325243333333314</v>
      </c>
      <c r="BJ211" s="12">
        <f>IF(A211="",NA(),IF(Статистика!$H$8="Вкл",(((IF(Статистика!$C$4="Параллельный режим (активная мощность)",B211,M211)+Статистика!$J$4))-Статистика!$C$10)/MAX(Статистика!$G$10-Статистика!$C$10,0.000001),NA()))</f>
        <v>-0.31313706444444445</v>
      </c>
      <c r="BK211" s="12">
        <f>IF(A211="",NA(),IF(Статистика!$H$8="Вкл",(((IF(Статистика!$C$4="Параллельный режим (активная мощность)",J211,U211)+Статистика!$J$4))-Статистика!$C$10)/MAX(Статистика!$G$10-Статистика!$C$10,0.000001),NA()))</f>
        <v>0.75934708933333361</v>
      </c>
      <c r="BL211" s="12" t="e">
        <f>IF(A211="",NA(),IF(Статистика!$J$8="Вкл",(((IF(Статистика!$C$4="Параллельный режим (активная мощность)",K211,V211)+Статистика!$J$4))-Статистика!$C$10)/MAX(Статистика!$G$10-Статистика!$C$10,0.000001),NA()))</f>
        <v>#N/A</v>
      </c>
      <c r="BM211" s="12" t="e">
        <f>IF(AND(A211&lt;&gt;"",Статистика!$C$6="Вкл",Статистика!$B$6&gt;0),(Статистика!$B$6-Статистика!$C$10)/MAX(Статистика!$G$10-Статистика!$C$10,0.000001),NA())</f>
        <v>#N/A</v>
      </c>
      <c r="BN211" s="12" t="e">
        <f>IF(AND(A211&lt;&gt;"",Статистика!$F$6="Вкл",Статистика!$E$6&gt;0),(Статистика!$E$6-Статистика!$C$10)/MAX(Статистика!$G$10-Статистика!$C$10,0.000001),NA())</f>
        <v>#N/A</v>
      </c>
      <c r="BO211" s="12" t="e">
        <f>IF(AND(A211&lt;&gt;"",Статистика!$I$6="Вкл",Статистика!$H$6&gt;0),(Статистика!$H$6-Статистика!$C$10)/MAX(Статистика!$G$10-Статистика!$C$10,0.000001),NA())</f>
        <v>#N/A</v>
      </c>
      <c r="BP211" s="12" t="e">
        <f>IF(AND(A211&lt;&gt;"",Статистика!$L$6="Вкл",Статистика!$K$6&gt;0),(Статистика!$K$6-Статистика!$C$10)/MAX(Статистика!$G$10-Статистика!$C$10,0.000001),NA())</f>
        <v>#N/A</v>
      </c>
      <c r="BQ211" s="12" t="e">
        <f>IF(AND(A211&lt;&gt;"",Статистика!$M$6="Вкл",Статистика!$O$6&gt;0),(Статистика!$O$6-Статистика!$C$10)/MAX(Статистика!$G$10-Статистика!$C$10,0.000001),NA())</f>
        <v>#N/A</v>
      </c>
      <c r="BR211" s="12">
        <f t="shared" si="6"/>
        <v>1</v>
      </c>
      <c r="BT211" s="12">
        <f>IF(Y211="","",MAX(0,MIN(1,(((IF(Статистика!$C$4="Параллельный режим (активная мощность)",Z211,AK211)+Статистика!$J$4))-Статистика!$C$10)/MAX(Статистика!$G$10-Статистика!$C$10,0.000001))))</f>
        <v>0.47651606433333321</v>
      </c>
      <c r="BU211" s="12">
        <f>IF(Y211="","",MAX(0,MAX(0,MIN(1,(((IF(Статистика!$C$4="Параллельный режим (активная мощность)",AB211,AM211)+Статистика!$J$4))-Статистика!$C$10)/MAX(Статистика!$G$10-Статистика!$C$10,0.000001)))-MAX(0,MIN(1,(((IF(Статистика!$C$4="Параллельный режим (активная мощность)",Z211,AK211)+Статистика!$J$4))-Статистика!$C$10)/MAX(Статистика!$G$10-Статистика!$C$10,0.000001)))))</f>
        <v>1.3862078999999861E-2</v>
      </c>
      <c r="BV211" s="12">
        <f>IF(Y211="","",MAX(0,MAX(0,MIN(1,(((IF(Статистика!$C$4="Параллельный режим (активная мощность)",AC211,AN211)+Статистика!$J$4))-Статистика!$C$10)/MAX(Статистика!$G$10-Статистика!$C$10,0.000001)))-MAX(0,MIN(1,(((IF(Статистика!$C$4="Параллельный режим (активная мощность)",AB211,AM211)+Статистика!$J$4))-Статистика!$C$10)/MAX(Статистика!$G$10-Статистика!$C$10,0.000001)))))</f>
        <v>3.297079000000025E-2</v>
      </c>
      <c r="BW211" s="12">
        <f>IF(Y211="","",MAX(0,MAX(0,MIN(1,(((IF(Статистика!$C$4="Параллельный режим (активная мощность)",AD211,AO211)+Статистика!$J$4))-Статистика!$C$10)/MAX(Статистика!$G$10-Статистика!$C$10,0.000001)))-MAX(0,MIN(1,(((IF(Статистика!$C$4="Параллельный режим (активная мощность)",AC211,AN211)+Статистика!$J$4))-Статистика!$C$10)/MAX(Статистика!$G$10-Статистика!$C$10,0.000001)))))</f>
        <v>5.4471261111111224E-2</v>
      </c>
      <c r="BX211" s="12">
        <f>IF(Y211="","",MAX(0,MAX(0,MIN(1,(((IF(Статистика!$C$4="Параллельный режим (активная мощность)",AE211,AP211)+Статистика!$J$4))-Статистика!$C$10)/MAX(Статистика!$G$10-Статистика!$C$10,0.000001)))-MAX(0,MIN(1,(((IF(Статистика!$C$4="Параллельный режим (активная мощность)",AD211,AO211)+Статистика!$J$4))-Статистика!$C$10)/MAX(Статистика!$G$10-Статистика!$C$10,0.000001)))))</f>
        <v>5.6537888888888665E-2</v>
      </c>
      <c r="BY211" s="12">
        <f>IF(Y211="","",MAX(0,MAX(0,MIN(1,(((IF(Статистика!$C$4="Параллельный режим (активная мощность)",AF211,AQ211)+Статистика!$J$4))-Статистика!$C$10)/MAX(Статистика!$G$10-Статистика!$C$10,0.000001)))-MAX(0,MIN(1,(((IF(Статистика!$C$4="Параллельный режим (активная мощность)",AE211,AP211)+Статистика!$J$4))-Статистика!$C$10)/MAX(Статистика!$G$10-Статистика!$C$10,0.000001)))))</f>
        <v>0.14914794833333322</v>
      </c>
      <c r="BZ211" s="12">
        <f>IF(Y211="","",MAX(0,MAX(0,MIN(1,(((IF(Статистика!$C$4="Параллельный режим (активная мощность)",AH211,AS211)+Статистика!$J$4))-Статистика!$C$10)/MAX(Статистика!$G$10-Статистика!$C$10,0.000001)))-MAX(0,MIN(1,(((IF(Статистика!$C$4="Параллельный режим (активная мощность)",AF211,AQ211)+Статистика!$J$4))-Статистика!$C$10)/MAX(Статистика!$G$10-Статистика!$C$10,0.000001)))))</f>
        <v>1.9855621500000198E-2</v>
      </c>
      <c r="CA211" s="12">
        <f>IF(Y211="","",MAX(0,1-MAX(0,MIN(1,(((IF(Статистика!$C$4="Параллельный режим (активная мощность)",AH211,AS211)+Статистика!$J$4))-Статистика!$C$10)/MAX(Статистика!$G$10-Статистика!$C$10,0.000001)))))</f>
        <v>0.19663834683333337</v>
      </c>
      <c r="CB211" s="12">
        <f>IF(Y211="",NA(),IF(Статистика!$B$8="Вкл",(((IF(Статистика!$C$4="Параллельный режим (активная мощность)",AD211,AO211)+Статистика!$J$4))-Статистика!$C$10)/MAX(Статистика!$G$10-Статистика!$C$10,0.000001),NA()))</f>
        <v>0.57782019444444455</v>
      </c>
      <c r="CC211" s="12">
        <f>IF(Y211="",NA(),IF(Статистика!$D$8="Вкл",(((IF(Статистика!$C$4="Параллельный режим (активная мощность)",AC211,AN211)+Статистика!$J$4))-Статистика!$C$10)/MAX(Статистика!$G$10-Статистика!$C$10,0.000001),NA()))</f>
        <v>0.52334893333333332</v>
      </c>
      <c r="CD211" s="12">
        <f>IF(Y211="",NA(),IF(Статистика!$D$8="Вкл",(((IF(Статистика!$C$4="Параллельный режим (активная мощность)",AE211,AP211)+Статистика!$J$4))-Статистика!$C$10)/MAX(Статистика!$G$10-Статистика!$C$10,0.000001),NA()))</f>
        <v>0.63435808333333321</v>
      </c>
      <c r="CE211" s="12">
        <f>IF(Y211="",NA(),IF(Статистика!$F$8="Вкл",(((IF(Статистика!$C$4="Параллельный режим (активная мощность)",AB211,AM211)+Статистика!$J$4))-Статистика!$C$10)/MAX(Статистика!$G$10-Статистика!$C$10,0.000001),NA()))</f>
        <v>0.49037814333333307</v>
      </c>
      <c r="CF211" s="12">
        <f>IF(Y211="",NA(),IF(Статистика!$F$8="Вкл",(((IF(Статистика!$C$4="Параллельный режим (активная мощность)",AF211,AQ211)+Статистика!$J$4))-Статистика!$C$10)/MAX(Статистика!$G$10-Статистика!$C$10,0.000001),NA()))</f>
        <v>0.78350603166666644</v>
      </c>
      <c r="CG211" s="12">
        <f>IF(Y211="",NA(),IF(Статистика!$H$8="Вкл",(((IF(Статистика!$C$4="Параллельный режим (активная мощность)",Z211,AK211)+Статистика!$J$4))-Статистика!$C$10)/MAX(Статистика!$G$10-Статистика!$C$10,0.000001),NA()))</f>
        <v>0.47651606433333321</v>
      </c>
      <c r="CH211" s="12">
        <f>IF(Y211="",NA(),IF(Статистика!$H$8="Вкл",(((IF(Статистика!$C$4="Параллельный режим (активная мощность)",AH211,AS211)+Статистика!$J$4))-Статистика!$C$10)/MAX(Статистика!$G$10-Статистика!$C$10,0.000001),NA()))</f>
        <v>0.80336165316666663</v>
      </c>
      <c r="CI211" s="12" t="e">
        <f>IF(Y211="",NA(),IF(Статистика!$J$8="Вкл",(((IF(Статистика!$C$4="Параллельный режим (активная мощность)",AI211,AT211)+Статистика!$J$4))-Статистика!$C$10)/MAX(Статистика!$G$10-Статистика!$C$10,0.000001),NA()))</f>
        <v>#N/A</v>
      </c>
      <c r="CJ211" s="12" t="e">
        <f>IF(AND(Y211&lt;&gt;"",Статистика!$C$6="Вкл",Статистика!$B$6&gt;0),(Статистика!$B$6-Статистика!$C$10)/MAX(Статистика!$G$10-Статистика!$C$10,0.000001),NA())</f>
        <v>#N/A</v>
      </c>
      <c r="CK211" s="12" t="e">
        <f>IF(AND(Y211&lt;&gt;"",Статистика!$F$6="Вкл",Статистика!$E$6&gt;0),(Статистика!$E$6-Статистика!$C$10)/MAX(Статистика!$G$10-Статистика!$C$10,0.000001),NA())</f>
        <v>#N/A</v>
      </c>
      <c r="CL211" s="12" t="e">
        <f>IF(AND(Y211&lt;&gt;"",Статистика!$I$6="Вкл",Статистика!$H$6&gt;0),(Статистика!$H$6-Статистика!$C$10)/MAX(Статистика!$G$10-Статистика!$C$10,0.000001),NA())</f>
        <v>#N/A</v>
      </c>
      <c r="CM211" s="12" t="e">
        <f>IF(AND(Y211&lt;&gt;"",Статистика!$L$6="Вкл",Статистика!$K$6&gt;0),(Статистика!$K$6-Статистика!$C$10)/MAX(Статистика!$G$10-Статистика!$C$10,0.000001),NA())</f>
        <v>#N/A</v>
      </c>
      <c r="CN211" s="12" t="e">
        <f>IF(AND(Y211&lt;&gt;"",Статистика!$M$6="Вкл",Статистика!$O$6&gt;0),(Статистика!$O$6-Статистика!$C$10)/MAX(Статистика!$G$10-Статистика!$C$10,0.000001),NA())</f>
        <v>#N/A</v>
      </c>
      <c r="CO211" s="12">
        <f t="shared" si="7"/>
        <v>1</v>
      </c>
    </row>
    <row r="212" spans="1:93" ht="15" customHeight="1">
      <c r="A212" s="12" t="s">
        <v>891</v>
      </c>
      <c r="B212" s="12">
        <v>5611.8947813333325</v>
      </c>
      <c r="C212" s="12">
        <v>6817.0549733333328</v>
      </c>
      <c r="D212" s="12">
        <v>7393.8732683333319</v>
      </c>
      <c r="E212" s="12">
        <v>7549.466108333334</v>
      </c>
      <c r="F212" s="12">
        <v>7684.2489666666661</v>
      </c>
      <c r="G212" s="12">
        <v>7937.5751749999999</v>
      </c>
      <c r="H212" s="12">
        <v>8241.0716216666679</v>
      </c>
      <c r="I212" s="12">
        <v>8246.4864725000007</v>
      </c>
      <c r="J212" s="12">
        <v>8251.1372411666671</v>
      </c>
      <c r="K212" s="12">
        <v>8416.1299999999992</v>
      </c>
      <c r="L212" s="12" t="s">
        <v>892</v>
      </c>
      <c r="M212" s="12">
        <v>6661.6868935000002</v>
      </c>
      <c r="N212" s="12">
        <v>7825.0568675000013</v>
      </c>
      <c r="O212" s="12">
        <v>8383.911145</v>
      </c>
      <c r="P212" s="12">
        <v>8601.3801249999997</v>
      </c>
      <c r="Q212" s="12">
        <v>8774.5481</v>
      </c>
      <c r="R212" s="12">
        <v>9045.2725833333316</v>
      </c>
      <c r="S212" s="12">
        <v>9300.0109116666663</v>
      </c>
      <c r="T212" s="12">
        <v>9329.1428908333328</v>
      </c>
      <c r="U212" s="12">
        <v>9338.294498166666</v>
      </c>
      <c r="V212" s="12">
        <v>9593.33</v>
      </c>
      <c r="W212" s="12" t="s">
        <v>893</v>
      </c>
      <c r="Y212" s="12" t="s">
        <v>891</v>
      </c>
      <c r="Z212" s="12">
        <v>7446.1311543333331</v>
      </c>
      <c r="AA212" s="12">
        <v>7450.4509716666662</v>
      </c>
      <c r="AB212" s="12">
        <v>7455.8507433333325</v>
      </c>
      <c r="AC212" s="12">
        <v>7561.9793083333325</v>
      </c>
      <c r="AD212" s="12">
        <v>7711.4299499999997</v>
      </c>
      <c r="AE212" s="12">
        <v>7951.6509500000011</v>
      </c>
      <c r="AF212" s="12">
        <v>8326.9333899999983</v>
      </c>
      <c r="AG212" s="12">
        <v>8354.9607116666666</v>
      </c>
      <c r="AH212" s="12">
        <v>8377.3825689999994</v>
      </c>
      <c r="AI212" s="12">
        <v>8466.43</v>
      </c>
      <c r="AJ212" s="12" t="s">
        <v>894</v>
      </c>
      <c r="AK212" s="12">
        <v>8533.0890063333336</v>
      </c>
      <c r="AL212" s="12">
        <v>8534.2788983333339</v>
      </c>
      <c r="AM212" s="12">
        <v>8535.766263333333</v>
      </c>
      <c r="AN212" s="12">
        <v>8609.0783833333335</v>
      </c>
      <c r="AO212" s="12">
        <v>8725.8178666666681</v>
      </c>
      <c r="AP212" s="12">
        <v>8989.8152249999985</v>
      </c>
      <c r="AQ212" s="12">
        <v>9398.2691683333323</v>
      </c>
      <c r="AR212" s="12">
        <v>9436.9008841666673</v>
      </c>
      <c r="AS212" s="12">
        <v>9467.8062568333335</v>
      </c>
      <c r="AT212" s="12">
        <v>9560.91</v>
      </c>
      <c r="AU212" s="12" t="s">
        <v>894</v>
      </c>
      <c r="AW212" s="12">
        <f>IF(A212="","",MAX(0,MIN(1,(((IF(Статистика!$C$4="Параллельный режим (активная мощность)",B212,M212)+Статистика!$J$4))-Статистика!$C$10)/MAX(Статистика!$G$10-Статистика!$C$10,0.000001))))</f>
        <v>0</v>
      </c>
      <c r="AX212" s="12">
        <f>IF(A212="","",MAX(0,MAX(0,MIN(1,(((IF(Статистика!$C$4="Параллельный режим (активная мощность)",D212,O212)+Статистика!$J$4))-Статистика!$C$10)/MAX(Статистика!$G$10-Статистика!$C$10,0.000001)))-MAX(0,MIN(1,(((IF(Статистика!$C$4="Параллельный режим (активная мощность)",B212,M212)+Статистика!$J$4))-Статистика!$C$10)/MAX(Статистика!$G$10-Статистика!$C$10,0.000001)))))</f>
        <v>0.46462442277777732</v>
      </c>
      <c r="AY212" s="12">
        <f>IF(A212="","",MAX(0,MAX(0,MIN(1,(((IF(Статистика!$C$4="Параллельный режим (активная мощность)",E212,P212)+Статистика!$J$4))-Статистика!$C$10)/MAX(Статистика!$G$10-Статистика!$C$10,0.000001)))-MAX(0,MIN(1,(((IF(Статистика!$C$4="Параллельный режим (активная мощность)",D212,O212)+Статистика!$J$4))-Статистика!$C$10)/MAX(Статистика!$G$10-Статистика!$C$10,0.000001)))))</f>
        <v>5.1864280000000706E-2</v>
      </c>
      <c r="AZ212" s="12">
        <f>IF(A212="","",MAX(0,MAX(0,MIN(1,(((IF(Статистика!$C$4="Параллельный режим (активная мощность)",F212,Q212)+Статистика!$J$4))-Статистика!$C$10)/MAX(Статистика!$G$10-Статистика!$C$10,0.000001)))-MAX(0,MIN(1,(((IF(Статистика!$C$4="Параллельный режим (активная мощность)",E212,P212)+Статистика!$J$4))-Статистика!$C$10)/MAX(Статистика!$G$10-Статистика!$C$10,0.000001)))))</f>
        <v>4.4927619444444011E-2</v>
      </c>
      <c r="BA212" s="12">
        <f>IF(A212="","",MAX(0,MAX(0,MIN(1,(((IF(Статистика!$C$4="Параллельный режим (активная мощность)",G212,R212)+Статистика!$J$4))-Статистика!$C$10)/MAX(Статистика!$G$10-Статистика!$C$10,0.000001)))-MAX(0,MIN(1,(((IF(Статистика!$C$4="Параллельный режим (активная мощность)",F212,Q212)+Статистика!$J$4))-Статистика!$C$10)/MAX(Статистика!$G$10-Статистика!$C$10,0.000001)))))</f>
        <v>8.4442069444444656E-2</v>
      </c>
      <c r="BB212" s="12">
        <f>IF(A212="","",MAX(0,MAX(0,MIN(1,(((IF(Статистика!$C$4="Параллельный режим (активная мощность)",H212,S212)+Статистика!$J$4))-Статистика!$C$10)/MAX(Статистика!$G$10-Статистика!$C$10,0.000001)))-MAX(0,MIN(1,(((IF(Статистика!$C$4="Параллельный режим (активная мощность)",G212,R212)+Статистика!$J$4))-Статистика!$C$10)/MAX(Статистика!$G$10-Статистика!$C$10,0.000001)))))</f>
        <v>0.10116548222222255</v>
      </c>
      <c r="BC212" s="12">
        <f>IF(A212="","",MAX(0,MAX(0,MIN(1,(((IF(Статистика!$C$4="Параллельный режим (активная мощность)",J212,U212)+Статистика!$J$4))-Статистика!$C$10)/MAX(Статистика!$G$10-Статистика!$C$10,0.000001)))-MAX(0,MIN(1,(((IF(Статистика!$C$4="Параллельный режим (активная мощность)",H212,S212)+Статистика!$J$4))-Статистика!$C$10)/MAX(Статистика!$G$10-Статистика!$C$10,0.000001)))))</f>
        <v>3.3552064999997633E-3</v>
      </c>
      <c r="BD212" s="12">
        <f>IF(A212="","",MAX(0,1-MAX(0,MIN(1,(((IF(Статистика!$C$4="Параллельный режим (активная мощность)",J212,U212)+Статистика!$J$4))-Статистика!$C$10)/MAX(Статистика!$G$10-Статистика!$C$10,0.000001)))))</f>
        <v>0.24962091961111099</v>
      </c>
      <c r="BE212" s="12">
        <f>IF(A212="",NA(),IF(Статистика!$B$8="Вкл",(((IF(Статистика!$C$4="Параллельный режим (активная мощность)",F212,Q212)+Статистика!$J$4))-Статистика!$C$10)/MAX(Статистика!$G$10-Статистика!$C$10,0.000001),NA()))</f>
        <v>0.56141632222222204</v>
      </c>
      <c r="BF212" s="12">
        <f>IF(A212="",NA(),IF(Статистика!$D$8="Вкл",(((IF(Статистика!$C$4="Параллельный режим (активная мощность)",E212,P212)+Статистика!$J$4))-Статистика!$C$10)/MAX(Статистика!$G$10-Статистика!$C$10,0.000001),NA()))</f>
        <v>0.51648870277777803</v>
      </c>
      <c r="BG212" s="12">
        <f>IF(A212="",NA(),IF(Статистика!$D$8="Вкл",(((IF(Статистика!$C$4="Параллельный режим (активная мощность)",G212,R212)+Статистика!$J$4))-Статистика!$C$10)/MAX(Статистика!$G$10-Статистика!$C$10,0.000001),NA()))</f>
        <v>0.6458583916666667</v>
      </c>
      <c r="BH212" s="12">
        <f>IF(A212="",NA(),IF(Статистика!$F$8="Вкл",(((IF(Статистика!$C$4="Параллельный режим (активная мощность)",D212,O212)+Статистика!$J$4))-Статистика!$C$10)/MAX(Статистика!$G$10-Статистика!$C$10,0.000001),NA()))</f>
        <v>0.46462442277777732</v>
      </c>
      <c r="BI212" s="12">
        <f>IF(A212="",NA(),IF(Статистика!$F$8="Вкл",(((IF(Статистика!$C$4="Параллельный режим (активная мощность)",H212,S212)+Статистика!$J$4))-Статистика!$C$10)/MAX(Статистика!$G$10-Статистика!$C$10,0.000001),NA()))</f>
        <v>0.74702387388888924</v>
      </c>
      <c r="BJ212" s="12">
        <f>IF(A212="",NA(),IF(Статистика!$H$8="Вкл",(((IF(Статистика!$C$4="Параллельный режим (активная мощность)",B212,M212)+Статистика!$J$4))-Статистика!$C$10)/MAX(Статистика!$G$10-Статистика!$C$10,0.000001),NA()))</f>
        <v>-0.12936840622222251</v>
      </c>
      <c r="BK212" s="12">
        <f>IF(A212="",NA(),IF(Статистика!$H$8="Вкл",(((IF(Статистика!$C$4="Параллельный режим (активная мощность)",J212,U212)+Статистика!$J$4))-Статистика!$C$10)/MAX(Статистика!$G$10-Статистика!$C$10,0.000001),NA()))</f>
        <v>0.75037908038888901</v>
      </c>
      <c r="BL212" s="12" t="e">
        <f>IF(A212="",NA(),IF(Статистика!$J$8="Вкл",(((IF(Статистика!$C$4="Параллельный режим (активная мощность)",K212,V212)+Статистика!$J$4))-Статистика!$C$10)/MAX(Статистика!$G$10-Статистика!$C$10,0.000001),NA()))</f>
        <v>#N/A</v>
      </c>
      <c r="BM212" s="12" t="e">
        <f>IF(AND(A212&lt;&gt;"",Статистика!$C$6="Вкл",Статистика!$B$6&gt;0),(Статистика!$B$6-Статистика!$C$10)/MAX(Статистика!$G$10-Статистика!$C$10,0.000001),NA())</f>
        <v>#N/A</v>
      </c>
      <c r="BN212" s="12" t="e">
        <f>IF(AND(A212&lt;&gt;"",Статистика!$F$6="Вкл",Статистика!$E$6&gt;0),(Статистика!$E$6-Статистика!$C$10)/MAX(Статистика!$G$10-Статистика!$C$10,0.000001),NA())</f>
        <v>#N/A</v>
      </c>
      <c r="BO212" s="12" t="e">
        <f>IF(AND(A212&lt;&gt;"",Статистика!$I$6="Вкл",Статистика!$H$6&gt;0),(Статистика!$H$6-Статистика!$C$10)/MAX(Статистика!$G$10-Статистика!$C$10,0.000001),NA())</f>
        <v>#N/A</v>
      </c>
      <c r="BP212" s="12" t="e">
        <f>IF(AND(A212&lt;&gt;"",Статистика!$L$6="Вкл",Статистика!$K$6&gt;0),(Статистика!$K$6-Статистика!$C$10)/MAX(Статистика!$G$10-Статистика!$C$10,0.000001),NA())</f>
        <v>#N/A</v>
      </c>
      <c r="BQ212" s="12" t="e">
        <f>IF(AND(A212&lt;&gt;"",Статистика!$M$6="Вкл",Статистика!$O$6&gt;0),(Статистика!$O$6-Статистика!$C$10)/MAX(Статистика!$G$10-Статистика!$C$10,0.000001),NA())</f>
        <v>#N/A</v>
      </c>
      <c r="BR212" s="12">
        <f t="shared" si="6"/>
        <v>1</v>
      </c>
      <c r="BT212" s="12">
        <f>IF(Y212="","",MAX(0,MIN(1,(((IF(Статистика!$C$4="Параллельный режим (активная мощность)",Z212,AK212)+Статистика!$J$4))-Статистика!$C$10)/MAX(Статистика!$G$10-Статистика!$C$10,0.000001))))</f>
        <v>0.48204371811111107</v>
      </c>
      <c r="BU212" s="12">
        <f>IF(Y212="","",MAX(0,MAX(0,MIN(1,(((IF(Статистика!$C$4="Параллельный режим (активная мощность)",AB212,AM212)+Статистика!$J$4))-Статистика!$C$10)/MAX(Статистика!$G$10-Статистика!$C$10,0.000001)))-MAX(0,MIN(1,(((IF(Статистика!$C$4="Параллельный режим (активная мощность)",Z212,AK212)+Статистика!$J$4))-Статистика!$C$10)/MAX(Статистика!$G$10-Статистика!$C$10,0.000001)))))</f>
        <v>3.2398629999997319E-3</v>
      </c>
      <c r="BV212" s="12">
        <f>IF(Y212="","",MAX(0,MAX(0,MIN(1,(((IF(Статистика!$C$4="Параллельный режим (активная мощность)",AC212,AN212)+Статистика!$J$4))-Статистика!$C$10)/MAX(Статистика!$G$10-Статистика!$C$10,0.000001)))-MAX(0,MIN(1,(((IF(Статистика!$C$4="Параллельный режим (активная мощность)",AB212,AM212)+Статистика!$J$4))-Статистика!$C$10)/MAX(Статистика!$G$10-Статистика!$C$10,0.000001)))))</f>
        <v>3.5376188333333336E-2</v>
      </c>
      <c r="BW212" s="12">
        <f>IF(Y212="","",MAX(0,MAX(0,MIN(1,(((IF(Статистика!$C$4="Параллельный режим (активная мощность)",AD212,AO212)+Статистика!$J$4))-Статистика!$C$10)/MAX(Статистика!$G$10-Статистика!$C$10,0.000001)))-MAX(0,MIN(1,(((IF(Статистика!$C$4="Параллельный режим (активная мощность)",AC212,AN212)+Статистика!$J$4))-Статистика!$C$10)/MAX(Статистика!$G$10-Статистика!$C$10,0.000001)))))</f>
        <v>4.9816880555555776E-2</v>
      </c>
      <c r="BX212" s="12">
        <f>IF(Y212="","",MAX(0,MAX(0,MIN(1,(((IF(Статистика!$C$4="Параллельный режим (активная мощность)",AE212,AP212)+Статистика!$J$4))-Статистика!$C$10)/MAX(Статистика!$G$10-Статистика!$C$10,0.000001)))-MAX(0,MIN(1,(((IF(Статистика!$C$4="Параллельный режим (активная мощность)",AD212,AO212)+Статистика!$J$4))-Статистика!$C$10)/MAX(Статистика!$G$10-Статистика!$C$10,0.000001)))))</f>
        <v>8.0073666666667154E-2</v>
      </c>
      <c r="BY212" s="12">
        <f>IF(Y212="","",MAX(0,MAX(0,MIN(1,(((IF(Статистика!$C$4="Параллельный режим (активная мощность)",AF212,AQ212)+Статистика!$J$4))-Статистика!$C$10)/MAX(Статистика!$G$10-Статистика!$C$10,0.000001)))-MAX(0,MIN(1,(((IF(Статистика!$C$4="Параллельный режим (активная мощность)",AE212,AP212)+Статистика!$J$4))-Статистика!$C$10)/MAX(Статистика!$G$10-Статистика!$C$10,0.000001)))))</f>
        <v>0.12509414666666574</v>
      </c>
      <c r="BZ212" s="12">
        <f>IF(Y212="","",MAX(0,MAX(0,MIN(1,(((IF(Статистика!$C$4="Параллельный режим (активная мощность)",AH212,AS212)+Статистика!$J$4))-Статистика!$C$10)/MAX(Статистика!$G$10-Статистика!$C$10,0.000001)))-MAX(0,MIN(1,(((IF(Статистика!$C$4="Параллельный режим (активная мощность)",AF212,AQ212)+Статистика!$J$4))-Статистика!$C$10)/MAX(Статистика!$G$10-Статистика!$C$10,0.000001)))))</f>
        <v>1.6816393000000374E-2</v>
      </c>
      <c r="CA212" s="12">
        <f>IF(Y212="","",MAX(0,1-MAX(0,MIN(1,(((IF(Статистика!$C$4="Параллельный режим (активная мощность)",AH212,AS212)+Статистика!$J$4))-Статистика!$C$10)/MAX(Статистика!$G$10-Статистика!$C$10,0.000001)))))</f>
        <v>0.20753914366666681</v>
      </c>
      <c r="CB212" s="12">
        <f>IF(Y212="",NA(),IF(Статистика!$B$8="Вкл",(((IF(Статистика!$C$4="Параллельный режим (активная мощность)",AD212,AO212)+Статистика!$J$4))-Статистика!$C$10)/MAX(Статистика!$G$10-Статистика!$C$10,0.000001),NA()))</f>
        <v>0.57047664999999992</v>
      </c>
      <c r="CC212" s="12">
        <f>IF(Y212="",NA(),IF(Статистика!$D$8="Вкл",(((IF(Статистика!$C$4="Параллельный режим (активная мощность)",AC212,AN212)+Статистика!$J$4))-Статистика!$C$10)/MAX(Статистика!$G$10-Статистика!$C$10,0.000001),NA()))</f>
        <v>0.52065976944444414</v>
      </c>
      <c r="CD212" s="12">
        <f>IF(Y212="",NA(),IF(Статистика!$D$8="Вкл",(((IF(Статистика!$C$4="Параллельный режим (активная мощность)",AE212,AP212)+Статистика!$J$4))-Статистика!$C$10)/MAX(Статистика!$G$10-Статистика!$C$10,0.000001),NA()))</f>
        <v>0.65055031666666707</v>
      </c>
      <c r="CE212" s="12">
        <f>IF(Y212="",NA(),IF(Статистика!$F$8="Вкл",(((IF(Статистика!$C$4="Параллельный режим (активная мощность)",AB212,AM212)+Статистика!$J$4))-Статистика!$C$10)/MAX(Статистика!$G$10-Статистика!$C$10,0.000001),NA()))</f>
        <v>0.48528358111111081</v>
      </c>
      <c r="CF212" s="12">
        <f>IF(Y212="",NA(),IF(Статистика!$F$8="Вкл",(((IF(Статистика!$C$4="Параллельный режим (активная мощность)",AF212,AQ212)+Статистика!$J$4))-Статистика!$C$10)/MAX(Статистика!$G$10-Статистика!$C$10,0.000001),NA()))</f>
        <v>0.77564446333333281</v>
      </c>
      <c r="CG212" s="12">
        <f>IF(Y212="",NA(),IF(Статистика!$H$8="Вкл",(((IF(Статистика!$C$4="Параллельный режим (активная мощность)",Z212,AK212)+Статистика!$J$4))-Статистика!$C$10)/MAX(Статистика!$G$10-Статистика!$C$10,0.000001),NA()))</f>
        <v>0.48204371811111107</v>
      </c>
      <c r="CH212" s="12">
        <f>IF(Y212="",NA(),IF(Статистика!$H$8="Вкл",(((IF(Статистика!$C$4="Параллельный режим (активная мощность)",AH212,AS212)+Статистика!$J$4))-Статистика!$C$10)/MAX(Статистика!$G$10-Статистика!$C$10,0.000001),NA()))</f>
        <v>0.79246085633333319</v>
      </c>
      <c r="CI212" s="12" t="e">
        <f>IF(Y212="",NA(),IF(Статистика!$J$8="Вкл",(((IF(Статистика!$C$4="Параллельный режим (активная мощность)",AI212,AT212)+Статистика!$J$4))-Статистика!$C$10)/MAX(Статистика!$G$10-Статистика!$C$10,0.000001),NA()))</f>
        <v>#N/A</v>
      </c>
      <c r="CJ212" s="12" t="e">
        <f>IF(AND(Y212&lt;&gt;"",Статистика!$C$6="Вкл",Статистика!$B$6&gt;0),(Статистика!$B$6-Статистика!$C$10)/MAX(Статистика!$G$10-Статистика!$C$10,0.000001),NA())</f>
        <v>#N/A</v>
      </c>
      <c r="CK212" s="12" t="e">
        <f>IF(AND(Y212&lt;&gt;"",Статистика!$F$6="Вкл",Статистика!$E$6&gt;0),(Статистика!$E$6-Статистика!$C$10)/MAX(Статистика!$G$10-Статистика!$C$10,0.000001),NA())</f>
        <v>#N/A</v>
      </c>
      <c r="CL212" s="12" t="e">
        <f>IF(AND(Y212&lt;&gt;"",Статистика!$I$6="Вкл",Статистика!$H$6&gt;0),(Статистика!$H$6-Статистика!$C$10)/MAX(Статистика!$G$10-Статистика!$C$10,0.000001),NA())</f>
        <v>#N/A</v>
      </c>
      <c r="CM212" s="12" t="e">
        <f>IF(AND(Y212&lt;&gt;"",Статистика!$L$6="Вкл",Статистика!$K$6&gt;0),(Статистика!$K$6-Статистика!$C$10)/MAX(Статистика!$G$10-Статистика!$C$10,0.000001),NA())</f>
        <v>#N/A</v>
      </c>
      <c r="CN212" s="12" t="e">
        <f>IF(AND(Y212&lt;&gt;"",Статистика!$M$6="Вкл",Статистика!$O$6&gt;0),(Статистика!$O$6-Статистика!$C$10)/MAX(Статистика!$G$10-Статистика!$C$10,0.000001),NA())</f>
        <v>#N/A</v>
      </c>
      <c r="CO212" s="12">
        <f t="shared" si="7"/>
        <v>1</v>
      </c>
    </row>
    <row r="213" spans="1:93" ht="15" customHeight="1">
      <c r="A213" s="12" t="s">
        <v>895</v>
      </c>
      <c r="B213" s="12">
        <v>6211.0551759999998</v>
      </c>
      <c r="C213" s="12">
        <v>6973.895613333334</v>
      </c>
      <c r="D213" s="12">
        <v>7361.6003800000008</v>
      </c>
      <c r="E213" s="12">
        <v>7567.2905499999997</v>
      </c>
      <c r="F213" s="12">
        <v>7661.9486000000015</v>
      </c>
      <c r="G213" s="12">
        <v>7943.9917166666655</v>
      </c>
      <c r="H213" s="12">
        <v>8234.483538333332</v>
      </c>
      <c r="I213" s="12">
        <v>8246.8424683333342</v>
      </c>
      <c r="J213" s="12">
        <v>8256.8204403333348</v>
      </c>
      <c r="K213" s="12">
        <v>8367.49</v>
      </c>
      <c r="L213" s="12" t="s">
        <v>896</v>
      </c>
      <c r="M213" s="12">
        <v>7212.466835166666</v>
      </c>
      <c r="N213" s="12">
        <v>8010.3140425000011</v>
      </c>
      <c r="O213" s="12">
        <v>8410.1376966666685</v>
      </c>
      <c r="P213" s="12">
        <v>8589.6303749999988</v>
      </c>
      <c r="Q213" s="12">
        <v>8754.1868333333332</v>
      </c>
      <c r="R213" s="12">
        <v>9041.0895333333319</v>
      </c>
      <c r="S213" s="12">
        <v>9307.6475116666679</v>
      </c>
      <c r="T213" s="12">
        <v>9332.3428258333333</v>
      </c>
      <c r="U213" s="12">
        <v>9339.9860851666672</v>
      </c>
      <c r="V213" s="12">
        <v>9529.5300000000007</v>
      </c>
      <c r="W213" s="12" t="s">
        <v>897</v>
      </c>
      <c r="Y213" s="12" t="s">
        <v>895</v>
      </c>
      <c r="Z213" s="12">
        <v>7419.9779651666677</v>
      </c>
      <c r="AA213" s="12">
        <v>7438.649959166667</v>
      </c>
      <c r="AB213" s="12">
        <v>7461.9899516666665</v>
      </c>
      <c r="AC213" s="12">
        <v>7586.1575750000002</v>
      </c>
      <c r="AD213" s="12">
        <v>7736.014533333333</v>
      </c>
      <c r="AE213" s="12">
        <v>7926.2717250000005</v>
      </c>
      <c r="AF213" s="12">
        <v>8319.710004999999</v>
      </c>
      <c r="AG213" s="12">
        <v>8337.8547524999994</v>
      </c>
      <c r="AH213" s="12">
        <v>8352.3705504999998</v>
      </c>
      <c r="AI213" s="12">
        <v>8436.73</v>
      </c>
      <c r="AJ213" s="12" t="s">
        <v>898</v>
      </c>
      <c r="AK213" s="12">
        <v>8511.445733166669</v>
      </c>
      <c r="AL213" s="12">
        <v>8524.9427991666689</v>
      </c>
      <c r="AM213" s="12">
        <v>8541.8141316666679</v>
      </c>
      <c r="AN213" s="12">
        <v>8634.1869583333319</v>
      </c>
      <c r="AO213" s="12">
        <v>8748.8754000000008</v>
      </c>
      <c r="AP213" s="12">
        <v>8966.0946916666653</v>
      </c>
      <c r="AQ213" s="12">
        <v>9386.680805</v>
      </c>
      <c r="AR213" s="12">
        <v>9413.7498524999992</v>
      </c>
      <c r="AS213" s="12">
        <v>9435.4050905000004</v>
      </c>
      <c r="AT213" s="12">
        <v>9520.59</v>
      </c>
      <c r="AU213" s="12" t="s">
        <v>898</v>
      </c>
      <c r="AW213" s="12">
        <f>IF(A213="","",MAX(0,MIN(1,(((IF(Статистика!$C$4="Параллельный режим (активная мощность)",B213,M213)+Статистика!$J$4))-Статистика!$C$10)/MAX(Статистика!$G$10-Статистика!$C$10,0.000001))))</f>
        <v>7.0351725333333281E-2</v>
      </c>
      <c r="AX213" s="12">
        <f>IF(A213="","",MAX(0,MAX(0,MIN(1,(((IF(Статистика!$C$4="Параллельный режим (активная мощность)",D213,O213)+Статистика!$J$4))-Статистика!$C$10)/MAX(Статистика!$G$10-Статистика!$C$10,0.000001)))-MAX(0,MIN(1,(((IF(Статистика!$C$4="Параллельный режим (активная мощность)",B213,M213)+Статистика!$J$4))-Статистика!$C$10)/MAX(Статистика!$G$10-Статистика!$C$10,0.000001)))))</f>
        <v>0.38351506800000029</v>
      </c>
      <c r="AY213" s="12">
        <f>IF(A213="","",MAX(0,MAX(0,MIN(1,(((IF(Статистика!$C$4="Параллельный режим (активная мощность)",E213,P213)+Статистика!$J$4))-Статистика!$C$10)/MAX(Статистика!$G$10-Статистика!$C$10,0.000001)))-MAX(0,MIN(1,(((IF(Статистика!$C$4="Параллельный режим (активная мощность)",D213,O213)+Статистика!$J$4))-Статистика!$C$10)/MAX(Статистика!$G$10-Статистика!$C$10,0.000001)))))</f>
        <v>6.8563389999999669E-2</v>
      </c>
      <c r="AZ213" s="12">
        <f>IF(A213="","",MAX(0,MAX(0,MIN(1,(((IF(Статистика!$C$4="Параллельный режим (активная мощность)",F213,Q213)+Статистика!$J$4))-Статистика!$C$10)/MAX(Статистика!$G$10-Статистика!$C$10,0.000001)))-MAX(0,MIN(1,(((IF(Статистика!$C$4="Параллельный режим (активная мощность)",E213,P213)+Статистика!$J$4))-Статистика!$C$10)/MAX(Статистика!$G$10-Статистика!$C$10,0.000001)))))</f>
        <v>3.1552683333333942E-2</v>
      </c>
      <c r="BA213" s="12">
        <f>IF(A213="","",MAX(0,MAX(0,MIN(1,(((IF(Статистика!$C$4="Параллельный режим (активная мощность)",G213,R213)+Статистика!$J$4))-Статистика!$C$10)/MAX(Статистика!$G$10-Статистика!$C$10,0.000001)))-MAX(0,MIN(1,(((IF(Статистика!$C$4="Параллельный режим (активная мощность)",F213,Q213)+Статистика!$J$4))-Статистика!$C$10)/MAX(Статистика!$G$10-Статистика!$C$10,0.000001)))))</f>
        <v>9.401437222222131E-2</v>
      </c>
      <c r="BB213" s="12">
        <f>IF(A213="","",MAX(0,MAX(0,MIN(1,(((IF(Статистика!$C$4="Параллельный режим (активная мощность)",H213,S213)+Статистика!$J$4))-Статистика!$C$10)/MAX(Статистика!$G$10-Статистика!$C$10,0.000001)))-MAX(0,MIN(1,(((IF(Статистика!$C$4="Параллельный режим (активная мощность)",G213,R213)+Статистика!$J$4))-Статистика!$C$10)/MAX(Статистика!$G$10-Статистика!$C$10,0.000001)))))</f>
        <v>9.6830607222222143E-2</v>
      </c>
      <c r="BC213" s="12">
        <f>IF(A213="","",MAX(0,MAX(0,MIN(1,(((IF(Статистика!$C$4="Параллельный режим (активная мощность)",J213,U213)+Статистика!$J$4))-Статистика!$C$10)/MAX(Статистика!$G$10-Статистика!$C$10,0.000001)))-MAX(0,MIN(1,(((IF(Статистика!$C$4="Параллельный режим (активная мощность)",H213,S213)+Статистика!$J$4))-Статистика!$C$10)/MAX(Статистика!$G$10-Статистика!$C$10,0.000001)))))</f>
        <v>7.445634000000978E-3</v>
      </c>
      <c r="BD213" s="12">
        <f>IF(A213="","",MAX(0,1-MAX(0,MIN(1,(((IF(Статистика!$C$4="Параллельный режим (активная мощность)",J213,U213)+Статистика!$J$4))-Статистика!$C$10)/MAX(Статистика!$G$10-Статистика!$C$10,0.000001)))))</f>
        <v>0.24772651988888839</v>
      </c>
      <c r="BE213" s="12">
        <f>IF(A213="",NA(),IF(Статистика!$B$8="Вкл",(((IF(Статистика!$C$4="Параллельный режим (активная мощность)",F213,Q213)+Статистика!$J$4))-Статистика!$C$10)/MAX(Статистика!$G$10-Статистика!$C$10,0.000001),NA()))</f>
        <v>0.55398286666666718</v>
      </c>
      <c r="BF213" s="12">
        <f>IF(A213="",NA(),IF(Статистика!$D$8="Вкл",(((IF(Статистика!$C$4="Параллельный режим (активная мощность)",E213,P213)+Статистика!$J$4))-Статистика!$C$10)/MAX(Статистика!$G$10-Статистика!$C$10,0.000001),NA()))</f>
        <v>0.52243018333333324</v>
      </c>
      <c r="BG213" s="12">
        <f>IF(A213="",NA(),IF(Статистика!$D$8="Вкл",(((IF(Статистика!$C$4="Параллельный режим (активная мощность)",G213,R213)+Статистика!$J$4))-Статистика!$C$10)/MAX(Статистика!$G$10-Статистика!$C$10,0.000001),NA()))</f>
        <v>0.64799723888888849</v>
      </c>
      <c r="BH213" s="12">
        <f>IF(A213="",NA(),IF(Статистика!$F$8="Вкл",(((IF(Статистика!$C$4="Параллельный режим (активная мощность)",D213,O213)+Статистика!$J$4))-Статистика!$C$10)/MAX(Статистика!$G$10-Статистика!$C$10,0.000001),NA()))</f>
        <v>0.45386679333333357</v>
      </c>
      <c r="BI213" s="12">
        <f>IF(A213="",NA(),IF(Статистика!$F$8="Вкл",(((IF(Статистика!$C$4="Параллельный режим (активная мощность)",H213,S213)+Статистика!$J$4))-Статистика!$C$10)/MAX(Статистика!$G$10-Статистика!$C$10,0.000001),NA()))</f>
        <v>0.74482784611111064</v>
      </c>
      <c r="BJ213" s="12">
        <f>IF(A213="",NA(),IF(Статистика!$H$8="Вкл",(((IF(Статистика!$C$4="Параллельный режим (активная мощность)",B213,M213)+Статистика!$J$4))-Статистика!$C$10)/MAX(Статистика!$G$10-Статистика!$C$10,0.000001),NA()))</f>
        <v>7.0351725333333281E-2</v>
      </c>
      <c r="BK213" s="12">
        <f>IF(A213="",NA(),IF(Статистика!$H$8="Вкл",(((IF(Статистика!$C$4="Параллельный режим (активная мощность)",J213,U213)+Статистика!$J$4))-Статистика!$C$10)/MAX(Статистика!$G$10-Статистика!$C$10,0.000001),NA()))</f>
        <v>0.75227348011111161</v>
      </c>
      <c r="BL213" s="12" t="e">
        <f>IF(A213="",NA(),IF(Статистика!$J$8="Вкл",(((IF(Статистика!$C$4="Параллельный режим (активная мощность)",K213,V213)+Статистика!$J$4))-Статистика!$C$10)/MAX(Статистика!$G$10-Статистика!$C$10,0.000001),NA()))</f>
        <v>#N/A</v>
      </c>
      <c r="BM213" s="12" t="e">
        <f>IF(AND(A213&lt;&gt;"",Статистика!$C$6="Вкл",Статистика!$B$6&gt;0),(Статистика!$B$6-Статистика!$C$10)/MAX(Статистика!$G$10-Статистика!$C$10,0.000001),NA())</f>
        <v>#N/A</v>
      </c>
      <c r="BN213" s="12" t="e">
        <f>IF(AND(A213&lt;&gt;"",Статистика!$F$6="Вкл",Статистика!$E$6&gt;0),(Статистика!$E$6-Статистика!$C$10)/MAX(Статистика!$G$10-Статистика!$C$10,0.000001),NA())</f>
        <v>#N/A</v>
      </c>
      <c r="BO213" s="12" t="e">
        <f>IF(AND(A213&lt;&gt;"",Статистика!$I$6="Вкл",Статистика!$H$6&gt;0),(Статистика!$H$6-Статистика!$C$10)/MAX(Статистика!$G$10-Статистика!$C$10,0.000001),NA())</f>
        <v>#N/A</v>
      </c>
      <c r="BP213" s="12" t="e">
        <f>IF(AND(A213&lt;&gt;"",Статистика!$L$6="Вкл",Статистика!$K$6&gt;0),(Статистика!$K$6-Статистика!$C$10)/MAX(Статистика!$G$10-Статистика!$C$10,0.000001),NA())</f>
        <v>#N/A</v>
      </c>
      <c r="BQ213" s="12" t="e">
        <f>IF(AND(A213&lt;&gt;"",Статистика!$M$6="Вкл",Статистика!$O$6&gt;0),(Статистика!$O$6-Статистика!$C$10)/MAX(Статистика!$G$10-Статистика!$C$10,0.000001),NA())</f>
        <v>#N/A</v>
      </c>
      <c r="BR213" s="12">
        <f t="shared" si="6"/>
        <v>1</v>
      </c>
      <c r="BT213" s="12">
        <f>IF(Y213="","",MAX(0,MIN(1,(((IF(Статистика!$C$4="Параллельный режим (активная мощность)",Z213,AK213)+Статистика!$J$4))-Статистика!$C$10)/MAX(Статистика!$G$10-Статистика!$C$10,0.000001))))</f>
        <v>0.47332598838888923</v>
      </c>
      <c r="BU213" s="12">
        <f>IF(Y213="","",MAX(0,MAX(0,MIN(1,(((IF(Статистика!$C$4="Параллельный режим (активная мощность)",AB213,AM213)+Статистика!$J$4))-Статистика!$C$10)/MAX(Статистика!$G$10-Статистика!$C$10,0.000001)))-MAX(0,MIN(1,(((IF(Статистика!$C$4="Параллельный режим (активная мощность)",Z213,AK213)+Статистика!$J$4))-Статистика!$C$10)/MAX(Статистика!$G$10-Статистика!$C$10,0.000001)))))</f>
        <v>1.4003995499999589E-2</v>
      </c>
      <c r="BV213" s="12">
        <f>IF(Y213="","",MAX(0,MAX(0,MIN(1,(((IF(Статистика!$C$4="Параллельный режим (активная мощность)",AC213,AN213)+Статистика!$J$4))-Статистика!$C$10)/MAX(Статистика!$G$10-Статистика!$C$10,0.000001)))-MAX(0,MIN(1,(((IF(Статистика!$C$4="Параллельный режим (активная мощность)",AB213,AM213)+Статистика!$J$4))-Статистика!$C$10)/MAX(Статистика!$G$10-Статистика!$C$10,0.000001)))))</f>
        <v>4.1389207777777881E-2</v>
      </c>
      <c r="BW213" s="12">
        <f>IF(Y213="","",MAX(0,MAX(0,MIN(1,(((IF(Статистика!$C$4="Параллельный режим (активная мощность)",AD213,AO213)+Статистика!$J$4))-Статистика!$C$10)/MAX(Статистика!$G$10-Статистика!$C$10,0.000001)))-MAX(0,MIN(1,(((IF(Статистика!$C$4="Параллельный режим (активная мощность)",AC213,AN213)+Статистика!$J$4))-Статистика!$C$10)/MAX(Статистика!$G$10-Статистика!$C$10,0.000001)))))</f>
        <v>4.9952319444444337E-2</v>
      </c>
      <c r="BX213" s="12">
        <f>IF(Y213="","",MAX(0,MAX(0,MIN(1,(((IF(Статистика!$C$4="Параллельный режим (активная мощность)",AE213,AP213)+Статистика!$J$4))-Статистика!$C$10)/MAX(Статистика!$G$10-Статистика!$C$10,0.000001)))-MAX(0,MIN(1,(((IF(Статистика!$C$4="Параллельный режим (активная мощность)",AD213,AO213)+Статистика!$J$4))-Статистика!$C$10)/MAX(Статистика!$G$10-Статистика!$C$10,0.000001)))))</f>
        <v>6.3419063888889182E-2</v>
      </c>
      <c r="BY213" s="12">
        <f>IF(Y213="","",MAX(0,MAX(0,MIN(1,(((IF(Статистика!$C$4="Параллельный режим (активная мощность)",AF213,AQ213)+Статистика!$J$4))-Статистика!$C$10)/MAX(Статистика!$G$10-Статистика!$C$10,0.000001)))-MAX(0,MIN(1,(((IF(Статистика!$C$4="Параллельный режим (активная мощность)",AE213,AP213)+Статистика!$J$4))-Статистика!$C$10)/MAX(Статистика!$G$10-Статистика!$C$10,0.000001)))))</f>
        <v>0.13114609333333282</v>
      </c>
      <c r="BZ213" s="12">
        <f>IF(Y213="","",MAX(0,MAX(0,MIN(1,(((IF(Статистика!$C$4="Параллельный режим (активная мощность)",AH213,AS213)+Статистика!$J$4))-Статистика!$C$10)/MAX(Статистика!$G$10-Статистика!$C$10,0.000001)))-MAX(0,MIN(1,(((IF(Статистика!$C$4="Параллельный режим (активная мощность)",AF213,AQ213)+Статистика!$J$4))-Статистика!$C$10)/MAX(Статистика!$G$10-Статистика!$C$10,0.000001)))))</f>
        <v>1.0886848500000212E-2</v>
      </c>
      <c r="CA213" s="12">
        <f>IF(Y213="","",MAX(0,1-MAX(0,MIN(1,(((IF(Статистика!$C$4="Параллельный режим (активная мощность)",AH213,AS213)+Статистика!$J$4))-Статистика!$C$10)/MAX(Статистика!$G$10-Статистика!$C$10,0.000001)))))</f>
        <v>0.21587648316666674</v>
      </c>
      <c r="CB213" s="12">
        <f>IF(Y213="",NA(),IF(Статистика!$B$8="Вкл",(((IF(Статистика!$C$4="Параллельный режим (активная мощность)",AD213,AO213)+Статистика!$J$4))-Статистика!$C$10)/MAX(Статистика!$G$10-Статистика!$C$10,0.000001),NA()))</f>
        <v>0.57867151111111104</v>
      </c>
      <c r="CC213" s="12">
        <f>IF(Y213="",NA(),IF(Статистика!$D$8="Вкл",(((IF(Статистика!$C$4="Параллельный режим (активная мощность)",AC213,AN213)+Статистика!$J$4))-Статистика!$C$10)/MAX(Статистика!$G$10-Статистика!$C$10,0.000001),NA()))</f>
        <v>0.5287191916666667</v>
      </c>
      <c r="CD213" s="12">
        <f>IF(Y213="",NA(),IF(Статистика!$D$8="Вкл",(((IF(Статистика!$C$4="Параллельный режим (активная мощность)",AE213,AP213)+Статистика!$J$4))-Статистика!$C$10)/MAX(Статистика!$G$10-Статистика!$C$10,0.000001),NA()))</f>
        <v>0.64209057500000022</v>
      </c>
      <c r="CE213" s="12">
        <f>IF(Y213="",NA(),IF(Статистика!$F$8="Вкл",(((IF(Статистика!$C$4="Параллельный режим (активная мощность)",AB213,AM213)+Статистика!$J$4))-Статистика!$C$10)/MAX(Статистика!$G$10-Статистика!$C$10,0.000001),NA()))</f>
        <v>0.48732998388888882</v>
      </c>
      <c r="CF213" s="12">
        <f>IF(Y213="",NA(),IF(Статистика!$F$8="Вкл",(((IF(Статистика!$C$4="Параллельный режим (активная мощность)",AF213,AQ213)+Статистика!$J$4))-Статистика!$C$10)/MAX(Статистика!$G$10-Статистика!$C$10,0.000001),NA()))</f>
        <v>0.77323666833333304</v>
      </c>
      <c r="CG213" s="12">
        <f>IF(Y213="",NA(),IF(Статистика!$H$8="Вкл",(((IF(Статистика!$C$4="Параллельный режим (активная мощность)",Z213,AK213)+Статистика!$J$4))-Статистика!$C$10)/MAX(Статистика!$G$10-Статистика!$C$10,0.000001),NA()))</f>
        <v>0.47332598838888923</v>
      </c>
      <c r="CH213" s="12">
        <f>IF(Y213="",NA(),IF(Статистика!$H$8="Вкл",(((IF(Статистика!$C$4="Параллельный режим (активная мощность)",AH213,AS213)+Статистика!$J$4))-Статистика!$C$10)/MAX(Статистика!$G$10-Статистика!$C$10,0.000001),NA()))</f>
        <v>0.78412351683333326</v>
      </c>
      <c r="CI213" s="12" t="e">
        <f>IF(Y213="",NA(),IF(Статистика!$J$8="Вкл",(((IF(Статистика!$C$4="Параллельный режим (активная мощность)",AI213,AT213)+Статистика!$J$4))-Статистика!$C$10)/MAX(Статистика!$G$10-Статистика!$C$10,0.000001),NA()))</f>
        <v>#N/A</v>
      </c>
      <c r="CJ213" s="12" t="e">
        <f>IF(AND(Y213&lt;&gt;"",Статистика!$C$6="Вкл",Статистика!$B$6&gt;0),(Статистика!$B$6-Статистика!$C$10)/MAX(Статистика!$G$10-Статистика!$C$10,0.000001),NA())</f>
        <v>#N/A</v>
      </c>
      <c r="CK213" s="12" t="e">
        <f>IF(AND(Y213&lt;&gt;"",Статистика!$F$6="Вкл",Статистика!$E$6&gt;0),(Статистика!$E$6-Статистика!$C$10)/MAX(Статистика!$G$10-Статистика!$C$10,0.000001),NA())</f>
        <v>#N/A</v>
      </c>
      <c r="CL213" s="12" t="e">
        <f>IF(AND(Y213&lt;&gt;"",Статистика!$I$6="Вкл",Статистика!$H$6&gt;0),(Статистика!$H$6-Статистика!$C$10)/MAX(Статистика!$G$10-Статистика!$C$10,0.000001),NA())</f>
        <v>#N/A</v>
      </c>
      <c r="CM213" s="12" t="e">
        <f>IF(AND(Y213&lt;&gt;"",Статистика!$L$6="Вкл",Статистика!$K$6&gt;0),(Статистика!$K$6-Статистика!$C$10)/MAX(Статистика!$G$10-Статистика!$C$10,0.000001),NA())</f>
        <v>#N/A</v>
      </c>
      <c r="CN213" s="12" t="e">
        <f>IF(AND(Y213&lt;&gt;"",Статистика!$M$6="Вкл",Статистика!$O$6&gt;0),(Статистика!$O$6-Статистика!$C$10)/MAX(Статистика!$G$10-Статистика!$C$10,0.000001),NA())</f>
        <v>#N/A</v>
      </c>
      <c r="CO213" s="12">
        <f t="shared" si="7"/>
        <v>1</v>
      </c>
    </row>
    <row r="214" spans="1:93" ht="15" customHeight="1">
      <c r="A214" s="12" t="s">
        <v>899</v>
      </c>
      <c r="B214" s="12">
        <v>6318.9051006666668</v>
      </c>
      <c r="C214" s="12">
        <v>7030.964836666667</v>
      </c>
      <c r="D214" s="12">
        <v>7407.6507966666668</v>
      </c>
      <c r="E214" s="12">
        <v>7559.2482249999994</v>
      </c>
      <c r="F214" s="12">
        <v>7687.4128500000006</v>
      </c>
      <c r="G214" s="12">
        <v>7951.0454583333321</v>
      </c>
      <c r="H214" s="12">
        <v>8202.9336183333344</v>
      </c>
      <c r="I214" s="12">
        <v>8250.2649691666666</v>
      </c>
      <c r="J214" s="12">
        <v>8265.0177138333347</v>
      </c>
      <c r="K214" s="12">
        <v>8369.81</v>
      </c>
      <c r="L214" s="12" t="s">
        <v>900</v>
      </c>
      <c r="M214" s="12">
        <v>7296.3127558333317</v>
      </c>
      <c r="N214" s="12">
        <v>8047.3685791666658</v>
      </c>
      <c r="O214" s="12">
        <v>8418.3523633333334</v>
      </c>
      <c r="P214" s="12">
        <v>8592.3726750000005</v>
      </c>
      <c r="Q214" s="12">
        <v>8727.8798999999999</v>
      </c>
      <c r="R214" s="12">
        <v>9021.9563083333323</v>
      </c>
      <c r="S214" s="12">
        <v>9283.7570699999997</v>
      </c>
      <c r="T214" s="12">
        <v>9299.7417766666658</v>
      </c>
      <c r="U214" s="12">
        <v>9323.2351020000006</v>
      </c>
      <c r="V214" s="12">
        <v>9538.2000000000007</v>
      </c>
      <c r="W214" s="12" t="s">
        <v>901</v>
      </c>
      <c r="Y214" s="12" t="s">
        <v>899</v>
      </c>
      <c r="Z214" s="12">
        <v>7413.6488720000007</v>
      </c>
      <c r="AA214" s="12">
        <v>7439.5172933333333</v>
      </c>
      <c r="AB214" s="12">
        <v>7471.8528199999992</v>
      </c>
      <c r="AC214" s="12">
        <v>7592.9928666666665</v>
      </c>
      <c r="AD214" s="12">
        <v>7741.4782499999983</v>
      </c>
      <c r="AE214" s="12">
        <v>7962.8635166666663</v>
      </c>
      <c r="AF214" s="12">
        <v>8349.3429516666674</v>
      </c>
      <c r="AG214" s="12">
        <v>8364.550809166667</v>
      </c>
      <c r="AH214" s="12">
        <v>8376.7170951666667</v>
      </c>
      <c r="AI214" s="12">
        <v>8445.5300000000007</v>
      </c>
      <c r="AJ214" s="12" t="s">
        <v>902</v>
      </c>
      <c r="AK214" s="12">
        <v>8496.6309043333313</v>
      </c>
      <c r="AL214" s="12">
        <v>8520.9553216666645</v>
      </c>
      <c r="AM214" s="12">
        <v>8551.360843333332</v>
      </c>
      <c r="AN214" s="12">
        <v>8655.2633166666674</v>
      </c>
      <c r="AO214" s="12">
        <v>8742.5321666666678</v>
      </c>
      <c r="AP214" s="12">
        <v>9030.2330083333327</v>
      </c>
      <c r="AQ214" s="12">
        <v>9409.1075216666668</v>
      </c>
      <c r="AR214" s="12">
        <v>9439.9610275000014</v>
      </c>
      <c r="AS214" s="12">
        <v>9464.6438321666683</v>
      </c>
      <c r="AT214" s="12">
        <v>9525.66</v>
      </c>
      <c r="AU214" s="12" t="s">
        <v>903</v>
      </c>
      <c r="AW214" s="12">
        <f>IF(A214="","",MAX(0,MIN(1,(((IF(Статистика!$C$4="Параллельный режим (активная мощность)",B214,M214)+Статистика!$J$4))-Статистика!$C$10)/MAX(Статистика!$G$10-Статистика!$C$10,0.000001))))</f>
        <v>0.10630170022222228</v>
      </c>
      <c r="AX214" s="12">
        <f>IF(A214="","",MAX(0,MAX(0,MIN(1,(((IF(Статистика!$C$4="Параллельный режим (активная мощность)",D214,O214)+Статистика!$J$4))-Статистика!$C$10)/MAX(Статистика!$G$10-Статистика!$C$10,0.000001)))-MAX(0,MIN(1,(((IF(Статистика!$C$4="Параллельный режим (активная мощность)",B214,M214)+Статистика!$J$4))-Статистика!$C$10)/MAX(Статистика!$G$10-Статистика!$C$10,0.000001)))))</f>
        <v>0.36291523199999998</v>
      </c>
      <c r="AY214" s="12">
        <f>IF(A214="","",MAX(0,MAX(0,MIN(1,(((IF(Статистика!$C$4="Параллельный режим (активная мощность)",E214,P214)+Статистика!$J$4))-Статистика!$C$10)/MAX(Статистика!$G$10-Статистика!$C$10,0.000001)))-MAX(0,MIN(1,(((IF(Статистика!$C$4="Параллельный режим (активная мощность)",D214,O214)+Статистика!$J$4))-Статистика!$C$10)/MAX(Статистика!$G$10-Статистика!$C$10,0.000001)))))</f>
        <v>5.0532476111110891E-2</v>
      </c>
      <c r="AZ214" s="12">
        <f>IF(A214="","",MAX(0,MAX(0,MIN(1,(((IF(Статистика!$C$4="Параллельный режим (активная мощность)",F214,Q214)+Статистика!$J$4))-Статистика!$C$10)/MAX(Статистика!$G$10-Статистика!$C$10,0.000001)))-MAX(0,MIN(1,(((IF(Статистика!$C$4="Параллельный режим (активная мощность)",E214,P214)+Статистика!$J$4))-Статистика!$C$10)/MAX(Статистика!$G$10-Статистика!$C$10,0.000001)))))</f>
        <v>4.2721541666667084E-2</v>
      </c>
      <c r="BA214" s="12">
        <f>IF(A214="","",MAX(0,MAX(0,MIN(1,(((IF(Статистика!$C$4="Параллельный режим (активная мощность)",G214,R214)+Статистика!$J$4))-Статистика!$C$10)/MAX(Статистика!$G$10-Статистика!$C$10,0.000001)))-MAX(0,MIN(1,(((IF(Статистика!$C$4="Параллельный режим (активная мощность)",F214,Q214)+Статистика!$J$4))-Статистика!$C$10)/MAX(Статистика!$G$10-Статистика!$C$10,0.000001)))))</f>
        <v>8.7877536111110488E-2</v>
      </c>
      <c r="BB214" s="12">
        <f>IF(A214="","",MAX(0,MAX(0,MIN(1,(((IF(Статистика!$C$4="Параллельный режим (активная мощность)",H214,S214)+Статистика!$J$4))-Статистика!$C$10)/MAX(Статистика!$G$10-Статистика!$C$10,0.000001)))-MAX(0,MIN(1,(((IF(Статистика!$C$4="Параллельный режим (активная мощность)",G214,R214)+Статистика!$J$4))-Статистика!$C$10)/MAX(Статистика!$G$10-Статистика!$C$10,0.000001)))))</f>
        <v>8.3962720000000712E-2</v>
      </c>
      <c r="BC214" s="12">
        <f>IF(A214="","",MAX(0,MAX(0,MIN(1,(((IF(Статистика!$C$4="Параллельный режим (активная мощность)",J214,U214)+Статистика!$J$4))-Статистика!$C$10)/MAX(Статистика!$G$10-Статистика!$C$10,0.000001)))-MAX(0,MIN(1,(((IF(Статистика!$C$4="Параллельный режим (активная мощность)",H214,S214)+Статистика!$J$4))-Статистика!$C$10)/MAX(Статистика!$G$10-Статистика!$C$10,0.000001)))))</f>
        <v>2.0694698500000164E-2</v>
      </c>
      <c r="BD214" s="12">
        <f>IF(A214="","",MAX(0,1-MAX(0,MIN(1,(((IF(Статистика!$C$4="Параллельный режим (активная мощность)",J214,U214)+Статистика!$J$4))-Статистика!$C$10)/MAX(Статистика!$G$10-Статистика!$C$10,0.000001)))))</f>
        <v>0.24499409538888839</v>
      </c>
      <c r="BE214" s="12">
        <f>IF(A214="",NA(),IF(Статистика!$B$8="Вкл",(((IF(Статистика!$C$4="Параллельный режим (активная мощность)",F214,Q214)+Статистика!$J$4))-Статистика!$C$10)/MAX(Статистика!$G$10-Статистика!$C$10,0.000001),NA()))</f>
        <v>0.56247095000000025</v>
      </c>
      <c r="BF214" s="12">
        <f>IF(A214="",NA(),IF(Статистика!$D$8="Вкл",(((IF(Статистика!$C$4="Параллельный режим (активная мощность)",E214,P214)+Статистика!$J$4))-Статистика!$C$10)/MAX(Статистика!$G$10-Статистика!$C$10,0.000001),NA()))</f>
        <v>0.51974940833333316</v>
      </c>
      <c r="BG214" s="12">
        <f>IF(A214="",NA(),IF(Статистика!$D$8="Вкл",(((IF(Статистика!$C$4="Параллельный режим (активная мощность)",G214,R214)+Статистика!$J$4))-Статистика!$C$10)/MAX(Статистика!$G$10-Статистика!$C$10,0.000001),NA()))</f>
        <v>0.65034848611111074</v>
      </c>
      <c r="BH214" s="12">
        <f>IF(A214="",NA(),IF(Статистика!$F$8="Вкл",(((IF(Статистика!$C$4="Параллельный режим (активная мощность)",D214,O214)+Статистика!$J$4))-Статистика!$C$10)/MAX(Статистика!$G$10-Статистика!$C$10,0.000001),NA()))</f>
        <v>0.46921693222222227</v>
      </c>
      <c r="BI214" s="12">
        <f>IF(A214="",NA(),IF(Статистика!$F$8="Вкл",(((IF(Статистика!$C$4="Параллельный режим (активная мощность)",H214,S214)+Статистика!$J$4))-Статистика!$C$10)/MAX(Статистика!$G$10-Статистика!$C$10,0.000001),NA()))</f>
        <v>0.73431120611111145</v>
      </c>
      <c r="BJ214" s="12">
        <f>IF(A214="",NA(),IF(Статистика!$H$8="Вкл",(((IF(Статистика!$C$4="Параллельный режим (активная мощность)",B214,M214)+Статистика!$J$4))-Статистика!$C$10)/MAX(Статистика!$G$10-Статистика!$C$10,0.000001),NA()))</f>
        <v>0.10630170022222228</v>
      </c>
      <c r="BK214" s="12">
        <f>IF(A214="",NA(),IF(Статистика!$H$8="Вкл",(((IF(Статистика!$C$4="Параллельный режим (активная мощность)",J214,U214)+Статистика!$J$4))-Статистика!$C$10)/MAX(Статистика!$G$10-Статистика!$C$10,0.000001),NA()))</f>
        <v>0.75500590461111161</v>
      </c>
      <c r="BL214" s="12" t="e">
        <f>IF(A214="",NA(),IF(Статистика!$J$8="Вкл",(((IF(Статистика!$C$4="Параллельный режим (активная мощность)",K214,V214)+Статистика!$J$4))-Статистика!$C$10)/MAX(Статистика!$G$10-Статистика!$C$10,0.000001),NA()))</f>
        <v>#N/A</v>
      </c>
      <c r="BM214" s="12" t="e">
        <f>IF(AND(A214&lt;&gt;"",Статистика!$C$6="Вкл",Статистика!$B$6&gt;0),(Статистика!$B$6-Статистика!$C$10)/MAX(Статистика!$G$10-Статистика!$C$10,0.000001),NA())</f>
        <v>#N/A</v>
      </c>
      <c r="BN214" s="12" t="e">
        <f>IF(AND(A214&lt;&gt;"",Статистика!$F$6="Вкл",Статистика!$E$6&gt;0),(Статистика!$E$6-Статистика!$C$10)/MAX(Статистика!$G$10-Статистика!$C$10,0.000001),NA())</f>
        <v>#N/A</v>
      </c>
      <c r="BO214" s="12" t="e">
        <f>IF(AND(A214&lt;&gt;"",Статистика!$I$6="Вкл",Статистика!$H$6&gt;0),(Статистика!$H$6-Статистика!$C$10)/MAX(Статистика!$G$10-Статистика!$C$10,0.000001),NA())</f>
        <v>#N/A</v>
      </c>
      <c r="BP214" s="12" t="e">
        <f>IF(AND(A214&lt;&gt;"",Статистика!$L$6="Вкл",Статистика!$K$6&gt;0),(Статистика!$K$6-Статистика!$C$10)/MAX(Статистика!$G$10-Статистика!$C$10,0.000001),NA())</f>
        <v>#N/A</v>
      </c>
      <c r="BQ214" s="12" t="e">
        <f>IF(AND(A214&lt;&gt;"",Статистика!$M$6="Вкл",Статистика!$O$6&gt;0),(Статистика!$O$6-Статистика!$C$10)/MAX(Статистика!$G$10-Статистика!$C$10,0.000001),NA())</f>
        <v>#N/A</v>
      </c>
      <c r="BR214" s="12">
        <f t="shared" si="6"/>
        <v>1</v>
      </c>
      <c r="BT214" s="12">
        <f>IF(Y214="","",MAX(0,MIN(1,(((IF(Статистика!$C$4="Параллельный режим (активная мощность)",Z214,AK214)+Статистика!$J$4))-Статистика!$C$10)/MAX(Статистика!$G$10-Статистика!$C$10,0.000001))))</f>
        <v>0.47121629066666687</v>
      </c>
      <c r="BU214" s="12">
        <f>IF(Y214="","",MAX(0,MAX(0,MIN(1,(((IF(Статистика!$C$4="Параллельный режим (активная мощность)",AB214,AM214)+Статистика!$J$4))-Статистика!$C$10)/MAX(Статистика!$G$10-Статистика!$C$10,0.000001)))-MAX(0,MIN(1,(((IF(Статистика!$C$4="Параллельный режим (активная мощность)",Z214,AK214)+Статистика!$J$4))-Статистика!$C$10)/MAX(Статистика!$G$10-Статистика!$C$10,0.000001)))))</f>
        <v>1.9401315999999502E-2</v>
      </c>
      <c r="BV214" s="12">
        <f>IF(Y214="","",MAX(0,MAX(0,MIN(1,(((IF(Статистика!$C$4="Параллельный режим (активная мощность)",AC214,AN214)+Статистика!$J$4))-Статистика!$C$10)/MAX(Статистика!$G$10-Статистика!$C$10,0.000001)))-MAX(0,MIN(1,(((IF(Статистика!$C$4="Параллельный режим (активная мощность)",AB214,AM214)+Статистика!$J$4))-Статистика!$C$10)/MAX(Статистика!$G$10-Статистика!$C$10,0.000001)))))</f>
        <v>4.0380015555555759E-2</v>
      </c>
      <c r="BW214" s="12">
        <f>IF(Y214="","",MAX(0,MAX(0,MIN(1,(((IF(Статистика!$C$4="Параллельный режим (активная мощность)",AD214,AO214)+Статистика!$J$4))-Статистика!$C$10)/MAX(Статистика!$G$10-Статистика!$C$10,0.000001)))-MAX(0,MIN(1,(((IF(Статистика!$C$4="Параллельный режим (активная мощность)",AC214,AN214)+Статистика!$J$4))-Статистика!$C$10)/MAX(Статистика!$G$10-Статистика!$C$10,0.000001)))))</f>
        <v>4.9495127777777315E-2</v>
      </c>
      <c r="BX214" s="12">
        <f>IF(Y214="","",MAX(0,MAX(0,MIN(1,(((IF(Статистика!$C$4="Параллельный режим (активная мощность)",AE214,AP214)+Статистика!$J$4))-Статистика!$C$10)/MAX(Статистика!$G$10-Статистика!$C$10,0.000001)))-MAX(0,MIN(1,(((IF(Статистика!$C$4="Параллельный режим (активная мощность)",AD214,AO214)+Статистика!$J$4))-Статистика!$C$10)/MAX(Статистика!$G$10-Статистика!$C$10,0.000001)))))</f>
        <v>7.3795088888889304E-2</v>
      </c>
      <c r="BY214" s="12">
        <f>IF(Y214="","",MAX(0,MAX(0,MIN(1,(((IF(Статистика!$C$4="Параллельный режим (активная мощность)",AF214,AQ214)+Статистика!$J$4))-Статистика!$C$10)/MAX(Статистика!$G$10-Статистика!$C$10,0.000001)))-MAX(0,MIN(1,(((IF(Статистика!$C$4="Параллельный режим (активная мощность)",AE214,AP214)+Статистика!$J$4))-Статистика!$C$10)/MAX(Статистика!$G$10-Статистика!$C$10,0.000001)))))</f>
        <v>0.12882647833333372</v>
      </c>
      <c r="BZ214" s="12">
        <f>IF(Y214="","",MAX(0,MAX(0,MIN(1,(((IF(Статистика!$C$4="Параллельный режим (активная мощность)",AH214,AS214)+Статистика!$J$4))-Статистика!$C$10)/MAX(Статистика!$G$10-Статистика!$C$10,0.000001)))-MAX(0,MIN(1,(((IF(Статистика!$C$4="Параллельный режим (активная мощность)",AF214,AQ214)+Статистика!$J$4))-Статистика!$C$10)/MAX(Статистика!$G$10-Статистика!$C$10,0.000001)))))</f>
        <v>9.124714499999742E-3</v>
      </c>
      <c r="CA214" s="12">
        <f>IF(Y214="","",MAX(0,1-MAX(0,MIN(1,(((IF(Статистика!$C$4="Параллельный режим (активная мощность)",AH214,AS214)+Статистика!$J$4))-Статистика!$C$10)/MAX(Статистика!$G$10-Статистика!$C$10,0.000001)))))</f>
        <v>0.20776096827777779</v>
      </c>
      <c r="CB214" s="12">
        <f>IF(Y214="",NA(),IF(Статистика!$B$8="Вкл",(((IF(Статистика!$C$4="Параллельный режим (активная мощность)",AD214,AO214)+Статистика!$J$4))-Статистика!$C$10)/MAX(Статистика!$G$10-Статистика!$C$10,0.000001),NA()))</f>
        <v>0.58049274999999945</v>
      </c>
      <c r="CC214" s="12">
        <f>IF(Y214="",NA(),IF(Статистика!$D$8="Вкл",(((IF(Статистика!$C$4="Параллельный режим (активная мощность)",AC214,AN214)+Статистика!$J$4))-Статистика!$C$10)/MAX(Статистика!$G$10-Статистика!$C$10,0.000001),NA()))</f>
        <v>0.53099762222222213</v>
      </c>
      <c r="CD214" s="12">
        <f>IF(Y214="",NA(),IF(Статистика!$D$8="Вкл",(((IF(Статистика!$C$4="Параллельный режим (активная мощность)",AE214,AP214)+Статистика!$J$4))-Статистика!$C$10)/MAX(Статистика!$G$10-Статистика!$C$10,0.000001),NA()))</f>
        <v>0.65428783888888875</v>
      </c>
      <c r="CE214" s="12">
        <f>IF(Y214="",NA(),IF(Статистика!$F$8="Вкл",(((IF(Статистика!$C$4="Параллельный режим (активная мощность)",AB214,AM214)+Статистика!$J$4))-Статистика!$C$10)/MAX(Статистика!$G$10-Статистика!$C$10,0.000001),NA()))</f>
        <v>0.49061760666666637</v>
      </c>
      <c r="CF214" s="12">
        <f>IF(Y214="",NA(),IF(Статистика!$F$8="Вкл",(((IF(Статистика!$C$4="Параллельный режим (активная мощность)",AF214,AQ214)+Статистика!$J$4))-Статистика!$C$10)/MAX(Статистика!$G$10-Статистика!$C$10,0.000001),NA()))</f>
        <v>0.78311431722222247</v>
      </c>
      <c r="CG214" s="12">
        <f>IF(Y214="",NA(),IF(Статистика!$H$8="Вкл",(((IF(Статистика!$C$4="Параллельный режим (активная мощность)",Z214,AK214)+Статистика!$J$4))-Статистика!$C$10)/MAX(Статистика!$G$10-Статистика!$C$10,0.000001),NA()))</f>
        <v>0.47121629066666687</v>
      </c>
      <c r="CH214" s="12">
        <f>IF(Y214="",NA(),IF(Статистика!$H$8="Вкл",(((IF(Статистика!$C$4="Параллельный режим (активная мощность)",AH214,AS214)+Статистика!$J$4))-Статистика!$C$10)/MAX(Статистика!$G$10-Статистика!$C$10,0.000001),NA()))</f>
        <v>0.79223903172222221</v>
      </c>
      <c r="CI214" s="12" t="e">
        <f>IF(Y214="",NA(),IF(Статистика!$J$8="Вкл",(((IF(Статистика!$C$4="Параллельный режим (активная мощность)",AI214,AT214)+Статистика!$J$4))-Статистика!$C$10)/MAX(Статистика!$G$10-Статистика!$C$10,0.000001),NA()))</f>
        <v>#N/A</v>
      </c>
      <c r="CJ214" s="12" t="e">
        <f>IF(AND(Y214&lt;&gt;"",Статистика!$C$6="Вкл",Статистика!$B$6&gt;0),(Статистика!$B$6-Статистика!$C$10)/MAX(Статистика!$G$10-Статистика!$C$10,0.000001),NA())</f>
        <v>#N/A</v>
      </c>
      <c r="CK214" s="12" t="e">
        <f>IF(AND(Y214&lt;&gt;"",Статистика!$F$6="Вкл",Статистика!$E$6&gt;0),(Статистика!$E$6-Статистика!$C$10)/MAX(Статистика!$G$10-Статистика!$C$10,0.000001),NA())</f>
        <v>#N/A</v>
      </c>
      <c r="CL214" s="12" t="e">
        <f>IF(AND(Y214&lt;&gt;"",Статистика!$I$6="Вкл",Статистика!$H$6&gt;0),(Статистика!$H$6-Статистика!$C$10)/MAX(Статистика!$G$10-Статистика!$C$10,0.000001),NA())</f>
        <v>#N/A</v>
      </c>
      <c r="CM214" s="12" t="e">
        <f>IF(AND(Y214&lt;&gt;"",Статистика!$L$6="Вкл",Статистика!$K$6&gt;0),(Статистика!$K$6-Статистика!$C$10)/MAX(Статистика!$G$10-Статистика!$C$10,0.000001),NA())</f>
        <v>#N/A</v>
      </c>
      <c r="CN214" s="12" t="e">
        <f>IF(AND(Y214&lt;&gt;"",Статистика!$M$6="Вкл",Статистика!$O$6&gt;0),(Статистика!$O$6-Статистика!$C$10)/MAX(Статистика!$G$10-Статистика!$C$10,0.000001),NA())</f>
        <v>#N/A</v>
      </c>
      <c r="CO214" s="12">
        <f t="shared" si="7"/>
        <v>1</v>
      </c>
    </row>
    <row r="215" spans="1:93" ht="15" customHeight="1">
      <c r="A215" s="12" t="s">
        <v>904</v>
      </c>
      <c r="B215" s="12">
        <v>6353.4869793333337</v>
      </c>
      <c r="C215" s="12">
        <v>7018.6666300000006</v>
      </c>
      <c r="D215" s="12">
        <v>7372.485873333334</v>
      </c>
      <c r="E215" s="12">
        <v>7533.7083166666671</v>
      </c>
      <c r="F215" s="12">
        <v>7682.0941833333336</v>
      </c>
      <c r="G215" s="12">
        <v>7852.2922666666664</v>
      </c>
      <c r="H215" s="12">
        <v>8153.9301033333331</v>
      </c>
      <c r="I215" s="12">
        <v>8198.923074166667</v>
      </c>
      <c r="J215" s="12">
        <v>8229.6758148333338</v>
      </c>
      <c r="K215" s="12">
        <v>8346.44</v>
      </c>
      <c r="L215" s="12" t="s">
        <v>905</v>
      </c>
      <c r="M215" s="12">
        <v>7307.0370828333344</v>
      </c>
      <c r="N215" s="12">
        <v>8004.3032808333337</v>
      </c>
      <c r="O215" s="12">
        <v>8385.7062933333327</v>
      </c>
      <c r="P215" s="12">
        <v>8537.5184916666676</v>
      </c>
      <c r="Q215" s="12">
        <v>8714.38105</v>
      </c>
      <c r="R215" s="12">
        <v>9007.4259833333326</v>
      </c>
      <c r="S215" s="12">
        <v>9209.8140016666657</v>
      </c>
      <c r="T215" s="12">
        <v>9241.1259183333332</v>
      </c>
      <c r="U215" s="12">
        <v>9273.9787036666676</v>
      </c>
      <c r="V215" s="12">
        <v>9527.36</v>
      </c>
      <c r="W215" s="12" t="s">
        <v>906</v>
      </c>
      <c r="Y215" s="12" t="s">
        <v>904</v>
      </c>
      <c r="Z215" s="12">
        <v>7445.4217526666671</v>
      </c>
      <c r="AA215" s="12">
        <v>7469.6243633333333</v>
      </c>
      <c r="AB215" s="12">
        <v>7499.8776266666673</v>
      </c>
      <c r="AC215" s="12">
        <v>7632.4347583333338</v>
      </c>
      <c r="AD215" s="12">
        <v>7761.6256333333331</v>
      </c>
      <c r="AE215" s="12">
        <v>7971.3523500000001</v>
      </c>
      <c r="AF215" s="12">
        <v>8363.1766800000005</v>
      </c>
      <c r="AG215" s="12">
        <v>8380.4330399999999</v>
      </c>
      <c r="AH215" s="12">
        <v>8394.2381280000009</v>
      </c>
      <c r="AI215" s="12">
        <v>8477.7900000000009</v>
      </c>
      <c r="AJ215" s="12" t="s">
        <v>907</v>
      </c>
      <c r="AK215" s="12">
        <v>8523.3388558333318</v>
      </c>
      <c r="AL215" s="12">
        <v>8547.4074791666662</v>
      </c>
      <c r="AM215" s="12">
        <v>8577.4932583333339</v>
      </c>
      <c r="AN215" s="12">
        <v>8650.5173583333344</v>
      </c>
      <c r="AO215" s="12">
        <v>8782.223750000001</v>
      </c>
      <c r="AP215" s="12">
        <v>9037.2337750000006</v>
      </c>
      <c r="AQ215" s="12">
        <v>9432.8518416666666</v>
      </c>
      <c r="AR215" s="12">
        <v>9437.1525208333333</v>
      </c>
      <c r="AS215" s="12">
        <v>9440.5930641666673</v>
      </c>
      <c r="AT215" s="12">
        <v>9512.5499999999993</v>
      </c>
      <c r="AU215" s="12" t="s">
        <v>908</v>
      </c>
      <c r="AW215" s="12">
        <f>IF(A215="","",MAX(0,MIN(1,(((IF(Статистика!$C$4="Параллельный режим (активная мощность)",B215,M215)+Статистика!$J$4))-Статистика!$C$10)/MAX(Статистика!$G$10-Статистика!$C$10,0.000001))))</f>
        <v>0.11782899311111122</v>
      </c>
      <c r="AX215" s="12">
        <f>IF(A215="","",MAX(0,MAX(0,MIN(1,(((IF(Статистика!$C$4="Параллельный режим (активная мощность)",D215,O215)+Статистика!$J$4))-Статистика!$C$10)/MAX(Статистика!$G$10-Статистика!$C$10,0.000001)))-MAX(0,MIN(1,(((IF(Статистика!$C$4="Параллельный режим (активная мощность)",B215,M215)+Статистика!$J$4))-Статистика!$C$10)/MAX(Статистика!$G$10-Статистика!$C$10,0.000001)))))</f>
        <v>0.33966629800000009</v>
      </c>
      <c r="AY215" s="12">
        <f>IF(A215="","",MAX(0,MAX(0,MIN(1,(((IF(Статистика!$C$4="Параллельный режим (активная мощность)",E215,P215)+Статистика!$J$4))-Статистика!$C$10)/MAX(Статистика!$G$10-Статистика!$C$10,0.000001)))-MAX(0,MIN(1,(((IF(Статистика!$C$4="Параллельный режим (активная мощность)",D215,O215)+Статистика!$J$4))-Статистика!$C$10)/MAX(Статистика!$G$10-Статистика!$C$10,0.000001)))))</f>
        <v>5.374081444444434E-2</v>
      </c>
      <c r="AZ215" s="12">
        <f>IF(A215="","",MAX(0,MAX(0,MIN(1,(((IF(Статистика!$C$4="Параллельный режим (активная мощность)",F215,Q215)+Статистика!$J$4))-Статистика!$C$10)/MAX(Статистика!$G$10-Статистика!$C$10,0.000001)))-MAX(0,MIN(1,(((IF(Статистика!$C$4="Параллельный режим (активная мощность)",E215,P215)+Статистика!$J$4))-Статистика!$C$10)/MAX(Статистика!$G$10-Статистика!$C$10,0.000001)))))</f>
        <v>4.9461955555555548E-2</v>
      </c>
      <c r="BA215" s="12">
        <f>IF(A215="","",MAX(0,MAX(0,MIN(1,(((IF(Статистика!$C$4="Параллельный режим (активная мощность)",G215,R215)+Статистика!$J$4))-Статистика!$C$10)/MAX(Статистика!$G$10-Статистика!$C$10,0.000001)))-MAX(0,MIN(1,(((IF(Статистика!$C$4="Параллельный режим (активная мощность)",F215,Q215)+Статистика!$J$4))-Статистика!$C$10)/MAX(Статистика!$G$10-Статистика!$C$10,0.000001)))))</f>
        <v>5.6732694444444287E-2</v>
      </c>
      <c r="BB215" s="12">
        <f>IF(A215="","",MAX(0,MAX(0,MIN(1,(((IF(Статистика!$C$4="Параллельный режим (активная мощность)",H215,S215)+Статистика!$J$4))-Статистика!$C$10)/MAX(Статистика!$G$10-Статистика!$C$10,0.000001)))-MAX(0,MIN(1,(((IF(Статистика!$C$4="Параллельный режим (активная мощность)",G215,R215)+Статистика!$J$4))-Статистика!$C$10)/MAX(Статистика!$G$10-Статистика!$C$10,0.000001)))))</f>
        <v>0.10054594555555552</v>
      </c>
      <c r="BC215" s="12">
        <f>IF(A215="","",MAX(0,MAX(0,MIN(1,(((IF(Статистика!$C$4="Параллельный режим (активная мощность)",J215,U215)+Статистика!$J$4))-Статистика!$C$10)/MAX(Статистика!$G$10-Статистика!$C$10,0.000001)))-MAX(0,MIN(1,(((IF(Статистика!$C$4="Параллельный режим (активная мощность)",H215,S215)+Статистика!$J$4))-Статистика!$C$10)/MAX(Статистика!$G$10-Статистика!$C$10,0.000001)))))</f>
        <v>2.5248570500000289E-2</v>
      </c>
      <c r="BD215" s="12">
        <f>IF(A215="","",MAX(0,1-MAX(0,MIN(1,(((IF(Статистика!$C$4="Параллельный режим (активная мощность)",J215,U215)+Статистика!$J$4))-Статистика!$C$10)/MAX(Статистика!$G$10-Статистика!$C$10,0.000001)))))</f>
        <v>0.25677472838888871</v>
      </c>
      <c r="BE215" s="12">
        <f>IF(A215="",NA(),IF(Статистика!$B$8="Вкл",(((IF(Статистика!$C$4="Параллельный режим (активная мощность)",F215,Q215)+Статистика!$J$4))-Статистика!$C$10)/MAX(Статистика!$G$10-Статистика!$C$10,0.000001),NA()))</f>
        <v>0.5606980611111112</v>
      </c>
      <c r="BF215" s="12">
        <f>IF(A215="",NA(),IF(Статистика!$D$8="Вкл",(((IF(Статистика!$C$4="Параллельный режим (активная мощность)",E215,P215)+Статистика!$J$4))-Статистика!$C$10)/MAX(Статистика!$G$10-Статистика!$C$10,0.000001),NA()))</f>
        <v>0.51123610555555565</v>
      </c>
      <c r="BG215" s="12">
        <f>IF(A215="",NA(),IF(Статистика!$D$8="Вкл",(((IF(Статистика!$C$4="Параллельный режим (активная мощность)",G215,R215)+Статистика!$J$4))-Статистика!$C$10)/MAX(Статистика!$G$10-Статистика!$C$10,0.000001),NA()))</f>
        <v>0.61743075555555549</v>
      </c>
      <c r="BH215" s="12">
        <f>IF(A215="",NA(),IF(Статистика!$F$8="Вкл",(((IF(Статистика!$C$4="Параллельный режим (активная мощность)",D215,O215)+Статистика!$J$4))-Статистика!$C$10)/MAX(Статистика!$G$10-Статистика!$C$10,0.000001),NA()))</f>
        <v>0.45749529111111131</v>
      </c>
      <c r="BI215" s="12">
        <f>IF(A215="",NA(),IF(Статистика!$F$8="Вкл",(((IF(Статистика!$C$4="Параллельный режим (активная мощность)",H215,S215)+Статистика!$J$4))-Статистика!$C$10)/MAX(Статистика!$G$10-Статистика!$C$10,0.000001),NA()))</f>
        <v>0.717976701111111</v>
      </c>
      <c r="BJ215" s="12">
        <f>IF(A215="",NA(),IF(Статистика!$H$8="Вкл",(((IF(Статистика!$C$4="Параллельный режим (активная мощность)",B215,M215)+Статистика!$J$4))-Статистика!$C$10)/MAX(Статистика!$G$10-Статистика!$C$10,0.000001),NA()))</f>
        <v>0.11782899311111122</v>
      </c>
      <c r="BK215" s="12">
        <f>IF(A215="",NA(),IF(Статистика!$H$8="Вкл",(((IF(Статистика!$C$4="Параллельный режим (активная мощность)",J215,U215)+Статистика!$J$4))-Статистика!$C$10)/MAX(Статистика!$G$10-Статистика!$C$10,0.000001),NA()))</f>
        <v>0.74322527161111129</v>
      </c>
      <c r="BL215" s="12" t="e">
        <f>IF(A215="",NA(),IF(Статистика!$J$8="Вкл",(((IF(Статистика!$C$4="Параллельный режим (активная мощность)",K215,V215)+Статистика!$J$4))-Статистика!$C$10)/MAX(Статистика!$G$10-Статистика!$C$10,0.000001),NA()))</f>
        <v>#N/A</v>
      </c>
      <c r="BM215" s="12" t="e">
        <f>IF(AND(A215&lt;&gt;"",Статистика!$C$6="Вкл",Статистика!$B$6&gt;0),(Статистика!$B$6-Статистика!$C$10)/MAX(Статистика!$G$10-Статистика!$C$10,0.000001),NA())</f>
        <v>#N/A</v>
      </c>
      <c r="BN215" s="12" t="e">
        <f>IF(AND(A215&lt;&gt;"",Статистика!$F$6="Вкл",Статистика!$E$6&gt;0),(Статистика!$E$6-Статистика!$C$10)/MAX(Статистика!$G$10-Статистика!$C$10,0.000001),NA())</f>
        <v>#N/A</v>
      </c>
      <c r="BO215" s="12" t="e">
        <f>IF(AND(A215&lt;&gt;"",Статистика!$I$6="Вкл",Статистика!$H$6&gt;0),(Статистика!$H$6-Статистика!$C$10)/MAX(Статистика!$G$10-Статистика!$C$10,0.000001),NA())</f>
        <v>#N/A</v>
      </c>
      <c r="BP215" s="12" t="e">
        <f>IF(AND(A215&lt;&gt;"",Статистика!$L$6="Вкл",Статистика!$K$6&gt;0),(Статистика!$K$6-Статистика!$C$10)/MAX(Статистика!$G$10-Статистика!$C$10,0.000001),NA())</f>
        <v>#N/A</v>
      </c>
      <c r="BQ215" s="12" t="e">
        <f>IF(AND(A215&lt;&gt;"",Статистика!$M$6="Вкл",Статистика!$O$6&gt;0),(Статистика!$O$6-Статистика!$C$10)/MAX(Статистика!$G$10-Статистика!$C$10,0.000001),NA())</f>
        <v>#N/A</v>
      </c>
      <c r="BR215" s="12">
        <f t="shared" si="6"/>
        <v>1</v>
      </c>
      <c r="BT215" s="12">
        <f>IF(Y215="","",MAX(0,MIN(1,(((IF(Статистика!$C$4="Параллельный режим (активная мощность)",Z215,AK215)+Статистика!$J$4))-Статистика!$C$10)/MAX(Статистика!$G$10-Статистика!$C$10,0.000001))))</f>
        <v>0.48180725088888904</v>
      </c>
      <c r="BU215" s="12">
        <f>IF(Y215="","",MAX(0,MAX(0,MIN(1,(((IF(Статистика!$C$4="Параллельный режим (активная мощность)",AB215,AM215)+Статистика!$J$4))-Статистика!$C$10)/MAX(Статистика!$G$10-Статистика!$C$10,0.000001)))-MAX(0,MIN(1,(((IF(Статистика!$C$4="Параллельный режим (активная мощность)",Z215,AK215)+Статистика!$J$4))-Статистика!$C$10)/MAX(Статистика!$G$10-Статистика!$C$10,0.000001)))))</f>
        <v>1.8151958000000079E-2</v>
      </c>
      <c r="BV215" s="12">
        <f>IF(Y215="","",MAX(0,MAX(0,MIN(1,(((IF(Статистика!$C$4="Параллельный режим (активная мощность)",AC215,AN215)+Статистика!$J$4))-Статистика!$C$10)/MAX(Статистика!$G$10-Статистика!$C$10,0.000001)))-MAX(0,MIN(1,(((IF(Статистика!$C$4="Параллельный режим (активная мощность)",AB215,AM215)+Статистика!$J$4))-Статистика!$C$10)/MAX(Статистика!$G$10-Статистика!$C$10,0.000001)))))</f>
        <v>4.4185710555555424E-2</v>
      </c>
      <c r="BW215" s="12">
        <f>IF(Y215="","",MAX(0,MAX(0,MIN(1,(((IF(Статистика!$C$4="Параллельный режим (активная мощность)",AD215,AO215)+Статистика!$J$4))-Статистика!$C$10)/MAX(Статистика!$G$10-Статистика!$C$10,0.000001)))-MAX(0,MIN(1,(((IF(Статистика!$C$4="Параллельный режим (активная мощность)",AC215,AN215)+Статистика!$J$4))-Статистика!$C$10)/MAX(Статистика!$G$10-Статистика!$C$10,0.000001)))))</f>
        <v>4.3063624999999828E-2</v>
      </c>
      <c r="BX215" s="12">
        <f>IF(Y215="","",MAX(0,MAX(0,MIN(1,(((IF(Статистика!$C$4="Параллельный режим (активная мощность)",AE215,AP215)+Статистика!$J$4))-Статистика!$C$10)/MAX(Статистика!$G$10-Статистика!$C$10,0.000001)))-MAX(0,MIN(1,(((IF(Статистика!$C$4="Параллельный режим (активная мощность)",AD215,AO215)+Статистика!$J$4))-Статистика!$C$10)/MAX(Статистика!$G$10-Статистика!$C$10,0.000001)))))</f>
        <v>6.9908905555555623E-2</v>
      </c>
      <c r="BY215" s="12">
        <f>IF(Y215="","",MAX(0,MAX(0,MIN(1,(((IF(Статистика!$C$4="Параллельный режим (активная мощность)",AF215,AQ215)+Статистика!$J$4))-Статистика!$C$10)/MAX(Статистика!$G$10-Статистика!$C$10,0.000001)))-MAX(0,MIN(1,(((IF(Статистика!$C$4="Параллельный режим (активная мощность)",AE215,AP215)+Статистика!$J$4))-Статистика!$C$10)/MAX(Статистика!$G$10-Статистика!$C$10,0.000001)))))</f>
        <v>0.13060811000000017</v>
      </c>
      <c r="BZ215" s="12">
        <f>IF(Y215="","",MAX(0,MAX(0,MIN(1,(((IF(Статистика!$C$4="Параллельный режим (активная мощность)",AH215,AS215)+Статистика!$J$4))-Статистика!$C$10)/MAX(Статистика!$G$10-Статистика!$C$10,0.000001)))-MAX(0,MIN(1,(((IF(Статистика!$C$4="Параллельный режим (активная мощность)",AF215,AQ215)+Статистика!$J$4))-Статистика!$C$10)/MAX(Статистика!$G$10-Статистика!$C$10,0.000001)))))</f>
        <v>1.0353816000000182E-2</v>
      </c>
      <c r="CA215" s="12">
        <f>IF(Y215="","",MAX(0,1-MAX(0,MIN(1,(((IF(Статистика!$C$4="Параллельный режим (активная мощность)",AH215,AS215)+Статистика!$J$4))-Статистика!$C$10)/MAX(Статистика!$G$10-Статистика!$C$10,0.000001)))))</f>
        <v>0.20192062399999966</v>
      </c>
      <c r="CB215" s="12">
        <f>IF(Y215="",NA(),IF(Статистика!$B$8="Вкл",(((IF(Статистика!$C$4="Параллельный режим (активная мощность)",AD215,AO215)+Статистика!$J$4))-Статистика!$C$10)/MAX(Статистика!$G$10-Статистика!$C$10,0.000001),NA()))</f>
        <v>0.58720854444444437</v>
      </c>
      <c r="CC215" s="12">
        <f>IF(Y215="",NA(),IF(Статистика!$D$8="Вкл",(((IF(Статистика!$C$4="Параллельный режим (активная мощность)",AC215,AN215)+Статистика!$J$4))-Статистика!$C$10)/MAX(Статистика!$G$10-Статистика!$C$10,0.000001),NA()))</f>
        <v>0.54414491944444454</v>
      </c>
      <c r="CD215" s="12">
        <f>IF(Y215="",NA(),IF(Статистика!$D$8="Вкл",(((IF(Статистика!$C$4="Параллельный режим (активная мощность)",AE215,AP215)+Статистика!$J$4))-Статистика!$C$10)/MAX(Статистика!$G$10-Статистика!$C$10,0.000001),NA()))</f>
        <v>0.65711744999999999</v>
      </c>
      <c r="CE215" s="12">
        <f>IF(Y215="",NA(),IF(Статистика!$F$8="Вкл",(((IF(Статистика!$C$4="Параллельный режим (активная мощность)",AB215,AM215)+Статистика!$J$4))-Статистика!$C$10)/MAX(Статистика!$G$10-Статистика!$C$10,0.000001),NA()))</f>
        <v>0.49995920888888912</v>
      </c>
      <c r="CF215" s="12">
        <f>IF(Y215="",NA(),IF(Статистика!$F$8="Вкл",(((IF(Статистика!$C$4="Параллельный режим (активная мощность)",AF215,AQ215)+Статистика!$J$4))-Статистика!$C$10)/MAX(Статистика!$G$10-Статистика!$C$10,0.000001),NA()))</f>
        <v>0.78772556000000016</v>
      </c>
      <c r="CG215" s="12">
        <f>IF(Y215="",NA(),IF(Статистика!$H$8="Вкл",(((IF(Статистика!$C$4="Параллельный режим (активная мощность)",Z215,AK215)+Статистика!$J$4))-Статистика!$C$10)/MAX(Статистика!$G$10-Статистика!$C$10,0.000001),NA()))</f>
        <v>0.48180725088888904</v>
      </c>
      <c r="CH215" s="12">
        <f>IF(Y215="",NA(),IF(Статистика!$H$8="Вкл",(((IF(Статистика!$C$4="Параллельный режим (активная мощность)",AH215,AS215)+Статистика!$J$4))-Статистика!$C$10)/MAX(Статистика!$G$10-Статистика!$C$10,0.000001),NA()))</f>
        <v>0.79807937600000034</v>
      </c>
      <c r="CI215" s="12" t="e">
        <f>IF(Y215="",NA(),IF(Статистика!$J$8="Вкл",(((IF(Статистика!$C$4="Параллельный режим (активная мощность)",AI215,AT215)+Статистика!$J$4))-Статистика!$C$10)/MAX(Статистика!$G$10-Статистика!$C$10,0.000001),NA()))</f>
        <v>#N/A</v>
      </c>
      <c r="CJ215" s="12" t="e">
        <f>IF(AND(Y215&lt;&gt;"",Статистика!$C$6="Вкл",Статистика!$B$6&gt;0),(Статистика!$B$6-Статистика!$C$10)/MAX(Статистика!$G$10-Статистика!$C$10,0.000001),NA())</f>
        <v>#N/A</v>
      </c>
      <c r="CK215" s="12" t="e">
        <f>IF(AND(Y215&lt;&gt;"",Статистика!$F$6="Вкл",Статистика!$E$6&gt;0),(Статистика!$E$6-Статистика!$C$10)/MAX(Статистика!$G$10-Статистика!$C$10,0.000001),NA())</f>
        <v>#N/A</v>
      </c>
      <c r="CL215" s="12" t="e">
        <f>IF(AND(Y215&lt;&gt;"",Статистика!$I$6="Вкл",Статистика!$H$6&gt;0),(Статистика!$H$6-Статистика!$C$10)/MAX(Статистика!$G$10-Статистика!$C$10,0.000001),NA())</f>
        <v>#N/A</v>
      </c>
      <c r="CM215" s="12" t="e">
        <f>IF(AND(Y215&lt;&gt;"",Статистика!$L$6="Вкл",Статистика!$K$6&gt;0),(Статистика!$K$6-Статистика!$C$10)/MAX(Статистика!$G$10-Статистика!$C$10,0.000001),NA())</f>
        <v>#N/A</v>
      </c>
      <c r="CN215" s="12" t="e">
        <f>IF(AND(Y215&lt;&gt;"",Статистика!$M$6="Вкл",Статистика!$O$6&gt;0),(Статистика!$O$6-Статистика!$C$10)/MAX(Статистика!$G$10-Статистика!$C$10,0.000001),NA())</f>
        <v>#N/A</v>
      </c>
      <c r="CO215" s="12">
        <f t="shared" si="7"/>
        <v>1</v>
      </c>
    </row>
    <row r="216" spans="1:93" ht="15" customHeight="1">
      <c r="A216" s="12" t="s">
        <v>909</v>
      </c>
      <c r="B216" s="12">
        <v>6458.948856</v>
      </c>
      <c r="C216" s="12">
        <v>7045.8892133333329</v>
      </c>
      <c r="D216" s="12">
        <v>7358.0650799999994</v>
      </c>
      <c r="E216" s="12">
        <v>7517.9576000000006</v>
      </c>
      <c r="F216" s="12">
        <v>7677.7167999999992</v>
      </c>
      <c r="G216" s="12">
        <v>7844.4854833333338</v>
      </c>
      <c r="H216" s="12">
        <v>8171.7334183333332</v>
      </c>
      <c r="I216" s="12">
        <v>8211.4739408333335</v>
      </c>
      <c r="J216" s="12">
        <v>8216.9301748333346</v>
      </c>
      <c r="K216" s="12">
        <v>9247.7800000000007</v>
      </c>
      <c r="L216" s="12" t="s">
        <v>910</v>
      </c>
      <c r="M216" s="12">
        <v>7411.0335798333335</v>
      </c>
      <c r="N216" s="12">
        <v>8029.9950991666665</v>
      </c>
      <c r="O216" s="12">
        <v>8362.4336583333334</v>
      </c>
      <c r="P216" s="12">
        <v>8561.9632999999994</v>
      </c>
      <c r="Q216" s="12">
        <v>8721.0097833333348</v>
      </c>
      <c r="R216" s="12">
        <v>9009.611616666667</v>
      </c>
      <c r="S216" s="12">
        <v>9206.8002233333318</v>
      </c>
      <c r="T216" s="12">
        <v>9224.3887283333333</v>
      </c>
      <c r="U216" s="12">
        <v>9228.0994523333338</v>
      </c>
      <c r="V216" s="12">
        <v>9510.35</v>
      </c>
      <c r="W216" s="12" t="s">
        <v>911</v>
      </c>
      <c r="Y216" s="12" t="s">
        <v>909</v>
      </c>
      <c r="Z216" s="12">
        <v>7466.8600943333331</v>
      </c>
      <c r="AA216" s="12">
        <v>7473.6310050000002</v>
      </c>
      <c r="AB216" s="12">
        <v>7482.0946433333338</v>
      </c>
      <c r="AC216" s="12">
        <v>7605.0929000000015</v>
      </c>
      <c r="AD216" s="12">
        <v>7740.7429833333335</v>
      </c>
      <c r="AE216" s="12">
        <v>7967.0883666666668</v>
      </c>
      <c r="AF216" s="12">
        <v>8397.0847699999995</v>
      </c>
      <c r="AG216" s="12">
        <v>8423.7383016666663</v>
      </c>
      <c r="AH216" s="12">
        <v>8445.061126999999</v>
      </c>
      <c r="AI216" s="12">
        <v>8653.19</v>
      </c>
      <c r="AJ216" s="12" t="s">
        <v>912</v>
      </c>
      <c r="AK216" s="12">
        <v>8533.3562343333342</v>
      </c>
      <c r="AL216" s="12">
        <v>8540.004238333333</v>
      </c>
      <c r="AM216" s="12">
        <v>8548.3142433333342</v>
      </c>
      <c r="AN216" s="12">
        <v>8688.1028333333343</v>
      </c>
      <c r="AO216" s="12">
        <v>8734.7967166666658</v>
      </c>
      <c r="AP216" s="12">
        <v>9037.1564249999992</v>
      </c>
      <c r="AQ216" s="12">
        <v>9455.7815833333334</v>
      </c>
      <c r="AR216" s="12">
        <v>9491.8365583333343</v>
      </c>
      <c r="AS216" s="12">
        <v>9520.680538333334</v>
      </c>
      <c r="AT216" s="12">
        <v>9688.93</v>
      </c>
      <c r="AU216" s="12" t="s">
        <v>912</v>
      </c>
      <c r="AW216" s="12">
        <f>IF(A216="","",MAX(0,MIN(1,(((IF(Статистика!$C$4="Параллельный режим (активная мощность)",B216,M216)+Статистика!$J$4))-Статистика!$C$10)/MAX(Статистика!$G$10-Статистика!$C$10,0.000001))))</f>
        <v>0.15298295200000001</v>
      </c>
      <c r="AX216" s="12">
        <f>IF(A216="","",MAX(0,MAX(0,MIN(1,(((IF(Статистика!$C$4="Параллельный режим (активная мощность)",D216,O216)+Статистика!$J$4))-Статистика!$C$10)/MAX(Статистика!$G$10-Статистика!$C$10,0.000001)))-MAX(0,MIN(1,(((IF(Статистика!$C$4="Параллельный режим (активная мощность)",B216,M216)+Статистика!$J$4))-Статистика!$C$10)/MAX(Статистика!$G$10-Статистика!$C$10,0.000001)))))</f>
        <v>0.29970540799999978</v>
      </c>
      <c r="AY216" s="12">
        <f>IF(A216="","",MAX(0,MAX(0,MIN(1,(((IF(Статистика!$C$4="Параллельный режим (активная мощность)",E216,P216)+Статистика!$J$4))-Статистика!$C$10)/MAX(Статистика!$G$10-Статистика!$C$10,0.000001)))-MAX(0,MIN(1,(((IF(Статистика!$C$4="Параллельный режим (активная мощность)",D216,O216)+Статистика!$J$4))-Статистика!$C$10)/MAX(Статистика!$G$10-Статистика!$C$10,0.000001)))))</f>
        <v>5.3297506666667105E-2</v>
      </c>
      <c r="AZ216" s="12">
        <f>IF(A216="","",MAX(0,MAX(0,MIN(1,(((IF(Статистика!$C$4="Параллельный режим (активная мощность)",F216,Q216)+Статистика!$J$4))-Статистика!$C$10)/MAX(Статистика!$G$10-Статистика!$C$10,0.000001)))-MAX(0,MIN(1,(((IF(Статистика!$C$4="Параллельный режим (активная мощность)",E216,P216)+Статистика!$J$4))-Статистика!$C$10)/MAX(Статистика!$G$10-Статистика!$C$10,0.000001)))))</f>
        <v>5.3253066666666182E-2</v>
      </c>
      <c r="BA216" s="12">
        <f>IF(A216="","",MAX(0,MAX(0,MIN(1,(((IF(Статистика!$C$4="Параллельный режим (активная мощность)",G216,R216)+Статистика!$J$4))-Статистика!$C$10)/MAX(Статистика!$G$10-Статистика!$C$10,0.000001)))-MAX(0,MIN(1,(((IF(Статистика!$C$4="Параллельный режим (активная мощность)",F216,Q216)+Статистика!$J$4))-Статистика!$C$10)/MAX(Статистика!$G$10-Статистика!$C$10,0.000001)))))</f>
        <v>5.5589561111111574E-2</v>
      </c>
      <c r="BB216" s="12">
        <f>IF(A216="","",MAX(0,MAX(0,MIN(1,(((IF(Статистика!$C$4="Параллельный режим (активная мощность)",H216,S216)+Статистика!$J$4))-Статистика!$C$10)/MAX(Статистика!$G$10-Статистика!$C$10,0.000001)))-MAX(0,MIN(1,(((IF(Статистика!$C$4="Параллельный режим (активная мощность)",G216,R216)+Статистика!$J$4))-Статистика!$C$10)/MAX(Статистика!$G$10-Статистика!$C$10,0.000001)))))</f>
        <v>0.10908264499999976</v>
      </c>
      <c r="BC216" s="12">
        <f>IF(A216="","",MAX(0,MAX(0,MIN(1,(((IF(Статистика!$C$4="Параллельный режим (активная мощность)",J216,U216)+Статистика!$J$4))-Статистика!$C$10)/MAX(Статистика!$G$10-Статистика!$C$10,0.000001)))-MAX(0,MIN(1,(((IF(Статистика!$C$4="Параллельный режим (активная мощность)",H216,S216)+Статистика!$J$4))-Статистика!$C$10)/MAX(Статистика!$G$10-Статистика!$C$10,0.000001)))))</f>
        <v>1.5065585500000478E-2</v>
      </c>
      <c r="BD216" s="12">
        <f>IF(A216="","",MAX(0,1-MAX(0,MIN(1,(((IF(Статистика!$C$4="Параллельный режим (активная мощность)",J216,U216)+Статистика!$J$4))-Статистика!$C$10)/MAX(Статистика!$G$10-Статистика!$C$10,0.000001)))))</f>
        <v>0.26102327505555512</v>
      </c>
      <c r="BE216" s="12">
        <f>IF(A216="",NA(),IF(Статистика!$B$8="Вкл",(((IF(Статистика!$C$4="Параллельный режим (активная мощность)",F216,Q216)+Статистика!$J$4))-Статистика!$C$10)/MAX(Статистика!$G$10-Статистика!$C$10,0.000001),NA()))</f>
        <v>0.55923893333333308</v>
      </c>
      <c r="BF216" s="12">
        <f>IF(A216="",NA(),IF(Статистика!$D$8="Вкл",(((IF(Статистика!$C$4="Параллельный режим (активная мощность)",E216,P216)+Статистика!$J$4))-Статистика!$C$10)/MAX(Статистика!$G$10-Статистика!$C$10,0.000001),NA()))</f>
        <v>0.50598586666666689</v>
      </c>
      <c r="BG216" s="12">
        <f>IF(A216="",NA(),IF(Статистика!$D$8="Вкл",(((IF(Статистика!$C$4="Параллельный режим (активная мощность)",G216,R216)+Статистика!$J$4))-Статистика!$C$10)/MAX(Статистика!$G$10-Статистика!$C$10,0.000001),NA()))</f>
        <v>0.61482849444444465</v>
      </c>
      <c r="BH216" s="12">
        <f>IF(A216="",NA(),IF(Статистика!$F$8="Вкл",(((IF(Статистика!$C$4="Параллельный режим (активная мощность)",D216,O216)+Статистика!$J$4))-Статистика!$C$10)/MAX(Статистика!$G$10-Статистика!$C$10,0.000001),NA()))</f>
        <v>0.45268835999999979</v>
      </c>
      <c r="BI216" s="12">
        <f>IF(A216="",NA(),IF(Статистика!$F$8="Вкл",(((IF(Статистика!$C$4="Параллельный режим (активная мощность)",H216,S216)+Статистика!$J$4))-Статистика!$C$10)/MAX(Статистика!$G$10-Статистика!$C$10,0.000001),NA()))</f>
        <v>0.72391113944444441</v>
      </c>
      <c r="BJ216" s="12">
        <f>IF(A216="",NA(),IF(Статистика!$H$8="Вкл",(((IF(Статистика!$C$4="Параллельный режим (активная мощность)",B216,M216)+Статистика!$J$4))-Статистика!$C$10)/MAX(Статистика!$G$10-Статистика!$C$10,0.000001),NA()))</f>
        <v>0.15298295200000001</v>
      </c>
      <c r="BK216" s="12">
        <f>IF(A216="",NA(),IF(Статистика!$H$8="Вкл",(((IF(Статистика!$C$4="Параллельный режим (активная мощность)",J216,U216)+Статистика!$J$4))-Статистика!$C$10)/MAX(Статистика!$G$10-Статистика!$C$10,0.000001),NA()))</f>
        <v>0.73897672494444488</v>
      </c>
      <c r="BL216" s="12" t="e">
        <f>IF(A216="",NA(),IF(Статистика!$J$8="Вкл",(((IF(Статистика!$C$4="Параллельный режим (активная мощность)",K216,V216)+Статистика!$J$4))-Статистика!$C$10)/MAX(Статистика!$G$10-Статистика!$C$10,0.000001),NA()))</f>
        <v>#N/A</v>
      </c>
      <c r="BM216" s="12" t="e">
        <f>IF(AND(A216&lt;&gt;"",Статистика!$C$6="Вкл",Статистика!$B$6&gt;0),(Статистика!$B$6-Статистика!$C$10)/MAX(Статистика!$G$10-Статистика!$C$10,0.000001),NA())</f>
        <v>#N/A</v>
      </c>
      <c r="BN216" s="12" t="e">
        <f>IF(AND(A216&lt;&gt;"",Статистика!$F$6="Вкл",Статистика!$E$6&gt;0),(Статистика!$E$6-Статистика!$C$10)/MAX(Статистика!$G$10-Статистика!$C$10,0.000001),NA())</f>
        <v>#N/A</v>
      </c>
      <c r="BO216" s="12" t="e">
        <f>IF(AND(A216&lt;&gt;"",Статистика!$I$6="Вкл",Статистика!$H$6&gt;0),(Статистика!$H$6-Статистика!$C$10)/MAX(Статистика!$G$10-Статистика!$C$10,0.000001),NA())</f>
        <v>#N/A</v>
      </c>
      <c r="BP216" s="12" t="e">
        <f>IF(AND(A216&lt;&gt;"",Статистика!$L$6="Вкл",Статистика!$K$6&gt;0),(Статистика!$K$6-Статистика!$C$10)/MAX(Статистика!$G$10-Статистика!$C$10,0.000001),NA())</f>
        <v>#N/A</v>
      </c>
      <c r="BQ216" s="12" t="e">
        <f>IF(AND(A216&lt;&gt;"",Статистика!$M$6="Вкл",Статистика!$O$6&gt;0),(Статистика!$O$6-Статистика!$C$10)/MAX(Статистика!$G$10-Статистика!$C$10,0.000001),NA())</f>
        <v>#N/A</v>
      </c>
      <c r="BR216" s="12">
        <f t="shared" si="6"/>
        <v>1</v>
      </c>
      <c r="BT216" s="12">
        <f>IF(Y216="","",MAX(0,MIN(1,(((IF(Статистика!$C$4="Параллельный режим (активная мощность)",Z216,AK216)+Статистика!$J$4))-Статистика!$C$10)/MAX(Статистика!$G$10-Статистика!$C$10,0.000001))))</f>
        <v>0.48895336477777768</v>
      </c>
      <c r="BU216" s="12">
        <f>IF(Y216="","",MAX(0,MAX(0,MIN(1,(((IF(Статистика!$C$4="Параллельный режим (активная мощность)",AB216,AM216)+Статистика!$J$4))-Статистика!$C$10)/MAX(Статистика!$G$10-Статистика!$C$10,0.000001)))-MAX(0,MIN(1,(((IF(Статистика!$C$4="Параллельный режим (активная мощность)",Z216,AK216)+Статистика!$J$4))-Статистика!$C$10)/MAX(Статистика!$G$10-Статистика!$C$10,0.000001)))))</f>
        <v>5.0781830000002359E-3</v>
      </c>
      <c r="BV216" s="12">
        <f>IF(Y216="","",MAX(0,MAX(0,MIN(1,(((IF(Статистика!$C$4="Параллельный режим (активная мощность)",AC216,AN216)+Статистика!$J$4))-Статистика!$C$10)/MAX(Статистика!$G$10-Статистика!$C$10,0.000001)))-MAX(0,MIN(1,(((IF(Статистика!$C$4="Параллельный режим (активная мощность)",AB216,AM216)+Статистика!$J$4))-Статистика!$C$10)/MAX(Статистика!$G$10-Статистика!$C$10,0.000001)))))</f>
        <v>4.099941888888925E-2</v>
      </c>
      <c r="BW216" s="12">
        <f>IF(Y216="","",MAX(0,MAX(0,MIN(1,(((IF(Статистика!$C$4="Параллельный режим (активная мощность)",AD216,AO216)+Статистика!$J$4))-Статистика!$C$10)/MAX(Статистика!$G$10-Статистика!$C$10,0.000001)))-MAX(0,MIN(1,(((IF(Статистика!$C$4="Параллельный режим (активная мощность)",AC216,AN216)+Статистика!$J$4))-Статистика!$C$10)/MAX(Статистика!$G$10-Статистика!$C$10,0.000001)))))</f>
        <v>4.5216694444443983E-2</v>
      </c>
      <c r="BX216" s="12">
        <f>IF(Y216="","",MAX(0,MAX(0,MIN(1,(((IF(Статистика!$C$4="Параллельный режим (активная мощность)",AE216,AP216)+Статистика!$J$4))-Статистика!$C$10)/MAX(Статистика!$G$10-Статистика!$C$10,0.000001)))-MAX(0,MIN(1,(((IF(Статистика!$C$4="Параллельный режим (активная мощность)",AD216,AO216)+Статистика!$J$4))-Статистика!$C$10)/MAX(Статистика!$G$10-Статистика!$C$10,0.000001)))))</f>
        <v>7.5448461111111143E-2</v>
      </c>
      <c r="BY216" s="12">
        <f>IF(Y216="","",MAX(0,MAX(0,MIN(1,(((IF(Статистика!$C$4="Параллельный режим (активная мощность)",AF216,AQ216)+Статистика!$J$4))-Статистика!$C$10)/MAX(Статистика!$G$10-Статистика!$C$10,0.000001)))-MAX(0,MIN(1,(((IF(Статистика!$C$4="Параллельный режим (активная мощность)",AE216,AP216)+Статистика!$J$4))-Статистика!$C$10)/MAX(Статистика!$G$10-Статистика!$C$10,0.000001)))))</f>
        <v>0.14333213444444426</v>
      </c>
      <c r="BZ216" s="12">
        <f>IF(Y216="","",MAX(0,MAX(0,MIN(1,(((IF(Статистика!$C$4="Параллельный режим (активная мощность)",AH216,AS216)+Статистика!$J$4))-Статистика!$C$10)/MAX(Статистика!$G$10-Статистика!$C$10,0.000001)))-MAX(0,MIN(1,(((IF(Статистика!$C$4="Параллельный режим (активная мощность)",AF216,AQ216)+Статистика!$J$4))-Статистика!$C$10)/MAX(Статистика!$G$10-Статистика!$C$10,0.000001)))))</f>
        <v>1.5992118999999749E-2</v>
      </c>
      <c r="CA216" s="12">
        <f>IF(Y216="","",MAX(0,1-MAX(0,MIN(1,(((IF(Статистика!$C$4="Параллельный режим (активная мощность)",AH216,AS216)+Статистика!$J$4))-Статистика!$C$10)/MAX(Статистика!$G$10-Статистика!$C$10,0.000001)))))</f>
        <v>0.1849796243333337</v>
      </c>
      <c r="CB216" s="12">
        <f>IF(Y216="",NA(),IF(Статистика!$B$8="Вкл",(((IF(Статистика!$C$4="Параллельный режим (активная мощность)",AD216,AO216)+Статистика!$J$4))-Статистика!$C$10)/MAX(Статистика!$G$10-Статистика!$C$10,0.000001),NA()))</f>
        <v>0.58024766111111115</v>
      </c>
      <c r="CC216" s="12">
        <f>IF(Y216="",NA(),IF(Статистика!$D$8="Вкл",(((IF(Статистика!$C$4="Параллельный режим (активная мощность)",AC216,AN216)+Статистика!$J$4))-Статистика!$C$10)/MAX(Статистика!$G$10-Статистика!$C$10,0.000001),NA()))</f>
        <v>0.53503096666666716</v>
      </c>
      <c r="CD216" s="12">
        <f>IF(Y216="",NA(),IF(Статистика!$D$8="Вкл",(((IF(Статистика!$C$4="Параллельный режим (активная мощность)",AE216,AP216)+Статистика!$J$4))-Статистика!$C$10)/MAX(Статистика!$G$10-Статистика!$C$10,0.000001),NA()))</f>
        <v>0.65569612222222229</v>
      </c>
      <c r="CE216" s="12">
        <f>IF(Y216="",NA(),IF(Статистика!$F$8="Вкл",(((IF(Статистика!$C$4="Параллельный режим (активная мощность)",AB216,AM216)+Статистика!$J$4))-Статистика!$C$10)/MAX(Статистика!$G$10-Статистика!$C$10,0.000001),NA()))</f>
        <v>0.49403154777777791</v>
      </c>
      <c r="CF216" s="12">
        <f>IF(Y216="",NA(),IF(Статистика!$F$8="Вкл",(((IF(Статистика!$C$4="Параллельный режим (активная мощность)",AF216,AQ216)+Статистика!$J$4))-Статистика!$C$10)/MAX(Статистика!$G$10-Статистика!$C$10,0.000001),NA()))</f>
        <v>0.79902825666666655</v>
      </c>
      <c r="CG216" s="12">
        <f>IF(Y216="",NA(),IF(Статистика!$H$8="Вкл",(((IF(Статистика!$C$4="Параллельный режим (активная мощность)",Z216,AK216)+Статистика!$J$4))-Статистика!$C$10)/MAX(Статистика!$G$10-Статистика!$C$10,0.000001),NA()))</f>
        <v>0.48895336477777768</v>
      </c>
      <c r="CH216" s="12">
        <f>IF(Y216="",NA(),IF(Статистика!$H$8="Вкл",(((IF(Статистика!$C$4="Параллельный режим (активная мощность)",AH216,AS216)+Статистика!$J$4))-Статистика!$C$10)/MAX(Статистика!$G$10-Статистика!$C$10,0.000001),NA()))</f>
        <v>0.8150203756666663</v>
      </c>
      <c r="CI216" s="12" t="e">
        <f>IF(Y216="",NA(),IF(Статистика!$J$8="Вкл",(((IF(Статистика!$C$4="Параллельный режим (активная мощность)",AI216,AT216)+Статистика!$J$4))-Статистика!$C$10)/MAX(Статистика!$G$10-Статистика!$C$10,0.000001),NA()))</f>
        <v>#N/A</v>
      </c>
      <c r="CJ216" s="12" t="e">
        <f>IF(AND(Y216&lt;&gt;"",Статистика!$C$6="Вкл",Статистика!$B$6&gt;0),(Статистика!$B$6-Статистика!$C$10)/MAX(Статистика!$G$10-Статистика!$C$10,0.000001),NA())</f>
        <v>#N/A</v>
      </c>
      <c r="CK216" s="12" t="e">
        <f>IF(AND(Y216&lt;&gt;"",Статистика!$F$6="Вкл",Статистика!$E$6&gt;0),(Статистика!$E$6-Статистика!$C$10)/MAX(Статистика!$G$10-Статистика!$C$10,0.000001),NA())</f>
        <v>#N/A</v>
      </c>
      <c r="CL216" s="12" t="e">
        <f>IF(AND(Y216&lt;&gt;"",Статистика!$I$6="Вкл",Статистика!$H$6&gt;0),(Статистика!$H$6-Статистика!$C$10)/MAX(Статистика!$G$10-Статистика!$C$10,0.000001),NA())</f>
        <v>#N/A</v>
      </c>
      <c r="CM216" s="12" t="e">
        <f>IF(AND(Y216&lt;&gt;"",Статистика!$L$6="Вкл",Статистика!$K$6&gt;0),(Статистика!$K$6-Статистика!$C$10)/MAX(Статистика!$G$10-Статистика!$C$10,0.000001),NA())</f>
        <v>#N/A</v>
      </c>
      <c r="CN216" s="12" t="e">
        <f>IF(AND(Y216&lt;&gt;"",Статистика!$M$6="Вкл",Статистика!$O$6&gt;0),(Статистика!$O$6-Статистика!$C$10)/MAX(Статистика!$G$10-Статистика!$C$10,0.000001),NA())</f>
        <v>#N/A</v>
      </c>
      <c r="CO216" s="12">
        <f t="shared" si="7"/>
        <v>1</v>
      </c>
    </row>
    <row r="217" spans="1:93" ht="15" customHeight="1">
      <c r="A217" s="12" t="s">
        <v>913</v>
      </c>
      <c r="B217" s="12">
        <v>6366.7329436666669</v>
      </c>
      <c r="C217" s="12">
        <v>7011.6519183333339</v>
      </c>
      <c r="D217" s="12">
        <v>7323.1441516666673</v>
      </c>
      <c r="E217" s="12">
        <v>7536.614716666666</v>
      </c>
      <c r="F217" s="12">
        <v>7654.4961999999996</v>
      </c>
      <c r="G217" s="12">
        <v>7810.7313833333319</v>
      </c>
      <c r="H217" s="12">
        <v>8136.3873250000015</v>
      </c>
      <c r="I217" s="12">
        <v>8185.8508933333342</v>
      </c>
      <c r="J217" s="12">
        <v>8225.5003119999983</v>
      </c>
      <c r="K217" s="12">
        <v>8315.7800000000007</v>
      </c>
      <c r="L217" s="12" t="s">
        <v>914</v>
      </c>
      <c r="M217" s="12">
        <v>7287.1819201666667</v>
      </c>
      <c r="N217" s="12">
        <v>7966.0284008333329</v>
      </c>
      <c r="O217" s="12">
        <v>8312.5708666666669</v>
      </c>
      <c r="P217" s="12">
        <v>8557.7683333333334</v>
      </c>
      <c r="Q217" s="12">
        <v>8701.7719500000021</v>
      </c>
      <c r="R217" s="12">
        <v>8961.0093916666683</v>
      </c>
      <c r="S217" s="12">
        <v>9169.8013649999994</v>
      </c>
      <c r="T217" s="12">
        <v>9200.1676974999991</v>
      </c>
      <c r="U217" s="12">
        <v>9252.7521795000011</v>
      </c>
      <c r="V217" s="12">
        <v>9397.82</v>
      </c>
      <c r="W217" s="12" t="s">
        <v>915</v>
      </c>
      <c r="Y217" s="12" t="s">
        <v>913</v>
      </c>
      <c r="Z217" s="12">
        <v>7517.5303828333326</v>
      </c>
      <c r="AA217" s="12">
        <v>7518.2096474999998</v>
      </c>
      <c r="AB217" s="12">
        <v>7519.0587283333334</v>
      </c>
      <c r="AC217" s="12">
        <v>7586.3444499999987</v>
      </c>
      <c r="AD217" s="12">
        <v>7760.0614666666679</v>
      </c>
      <c r="AE217" s="12">
        <v>7878.6766583333347</v>
      </c>
      <c r="AF217" s="12">
        <v>8441.9976283333344</v>
      </c>
      <c r="AG217" s="12">
        <v>8476.0324808333335</v>
      </c>
      <c r="AH217" s="12">
        <v>8503.2603628333345</v>
      </c>
      <c r="AI217" s="12">
        <v>8578.66</v>
      </c>
      <c r="AJ217" s="12" t="s">
        <v>916</v>
      </c>
      <c r="AK217" s="12">
        <v>8557.6084988333332</v>
      </c>
      <c r="AL217" s="12">
        <v>8563.596627500001</v>
      </c>
      <c r="AM217" s="12">
        <v>8571.081788333333</v>
      </c>
      <c r="AN217" s="12">
        <v>8676.387558333332</v>
      </c>
      <c r="AO217" s="12">
        <v>8762.1734333333334</v>
      </c>
      <c r="AP217" s="12">
        <v>8948.8852166666675</v>
      </c>
      <c r="AQ217" s="12">
        <v>9511.5143800000005</v>
      </c>
      <c r="AR217" s="12">
        <v>9545.4324400000005</v>
      </c>
      <c r="AS217" s="12">
        <v>9572.5668880000012</v>
      </c>
      <c r="AT217" s="12">
        <v>9713.7099999999991</v>
      </c>
      <c r="AU217" s="12" t="s">
        <v>916</v>
      </c>
      <c r="AW217" s="12">
        <f>IF(A217="","",MAX(0,MIN(1,(((IF(Статистика!$C$4="Параллельный режим (активная мощность)",B217,M217)+Статистика!$J$4))-Статистика!$C$10)/MAX(Статистика!$G$10-Статистика!$C$10,0.000001))))</f>
        <v>0.12224431455555562</v>
      </c>
      <c r="AX217" s="12">
        <f>IF(A217="","",MAX(0,MAX(0,MIN(1,(((IF(Статистика!$C$4="Параллельный режим (активная мощность)",D217,O217)+Статистика!$J$4))-Статистика!$C$10)/MAX(Статистика!$G$10-Статистика!$C$10,0.000001)))-MAX(0,MIN(1,(((IF(Статистика!$C$4="Параллельный режим (активная мощность)",B217,M217)+Статистика!$J$4))-Статистика!$C$10)/MAX(Статистика!$G$10-Статистика!$C$10,0.000001)))))</f>
        <v>0.31880373600000017</v>
      </c>
      <c r="AY217" s="12">
        <f>IF(A217="","",MAX(0,MAX(0,MIN(1,(((IF(Статистика!$C$4="Параллельный режим (активная мощность)",E217,P217)+Статистика!$J$4))-Статистика!$C$10)/MAX(Статистика!$G$10-Статистика!$C$10,0.000001)))-MAX(0,MIN(1,(((IF(Статистика!$C$4="Параллельный режим (активная мощность)",D217,O217)+Статистика!$J$4))-Статистика!$C$10)/MAX(Статистика!$G$10-Статистика!$C$10,0.000001)))))</f>
        <v>7.1156854999999519E-2</v>
      </c>
      <c r="AZ217" s="12">
        <f>IF(A217="","",MAX(0,MAX(0,MIN(1,(((IF(Статистика!$C$4="Параллельный режим (активная мощность)",F217,Q217)+Статистика!$J$4))-Статистика!$C$10)/MAX(Статистика!$G$10-Статистика!$C$10,0.000001)))-MAX(0,MIN(1,(((IF(Статистика!$C$4="Параллельный режим (активная мощность)",E217,P217)+Статистика!$J$4))-Статистика!$C$10)/MAX(Статистика!$G$10-Статистика!$C$10,0.000001)))))</f>
        <v>3.9293827777777901E-2</v>
      </c>
      <c r="BA217" s="12">
        <f>IF(A217="","",MAX(0,MAX(0,MIN(1,(((IF(Статистика!$C$4="Параллельный режим (активная мощность)",G217,R217)+Статистика!$J$4))-Статистика!$C$10)/MAX(Статистика!$G$10-Статистика!$C$10,0.000001)))-MAX(0,MIN(1,(((IF(Статистика!$C$4="Параллельный режим (активная мощность)",F217,Q217)+Статистика!$J$4))-Статистика!$C$10)/MAX(Статистика!$G$10-Статистика!$C$10,0.000001)))))</f>
        <v>5.2078394444444065E-2</v>
      </c>
      <c r="BB217" s="12">
        <f>IF(A217="","",MAX(0,MAX(0,MIN(1,(((IF(Статистика!$C$4="Параллельный режим (активная мощность)",H217,S217)+Статистика!$J$4))-Статистика!$C$10)/MAX(Статистика!$G$10-Статистика!$C$10,0.000001)))-MAX(0,MIN(1,(((IF(Статистика!$C$4="Параллельный режим (активная мощность)",G217,R217)+Статистика!$J$4))-Статистика!$C$10)/MAX(Статистика!$G$10-Статистика!$C$10,0.000001)))))</f>
        <v>0.10855198055555659</v>
      </c>
      <c r="BC217" s="12">
        <f>IF(A217="","",MAX(0,MAX(0,MIN(1,(((IF(Статистика!$C$4="Параллельный режим (активная мощность)",J217,U217)+Статистика!$J$4))-Статистика!$C$10)/MAX(Статистика!$G$10-Статистика!$C$10,0.000001)))-MAX(0,MIN(1,(((IF(Статистика!$C$4="Параллельный режим (активная мощность)",H217,S217)+Статистика!$J$4))-Статистика!$C$10)/MAX(Статистика!$G$10-Статистика!$C$10,0.000001)))))</f>
        <v>2.9704328999998864E-2</v>
      </c>
      <c r="BD217" s="12">
        <f>IF(A217="","",MAX(0,1-MAX(0,MIN(1,(((IF(Статистика!$C$4="Параллельный режим (активная мощность)",J217,U217)+Статистика!$J$4))-Статистика!$C$10)/MAX(Статистика!$G$10-Статистика!$C$10,0.000001)))))</f>
        <v>0.25816656266666727</v>
      </c>
      <c r="BE217" s="12">
        <f>IF(A217="",NA(),IF(Статистика!$B$8="Вкл",(((IF(Статистика!$C$4="Параллельный режим (активная мощность)",F217,Q217)+Статистика!$J$4))-Статистика!$C$10)/MAX(Статистика!$G$10-Статистика!$C$10,0.000001),NA()))</f>
        <v>0.55149873333333321</v>
      </c>
      <c r="BF217" s="12">
        <f>IF(A217="",NA(),IF(Статистика!$D$8="Вкл",(((IF(Статистика!$C$4="Параллельный режим (активная мощность)",E217,P217)+Статистика!$J$4))-Статистика!$C$10)/MAX(Статистика!$G$10-Статистика!$C$10,0.000001),NA()))</f>
        <v>0.51220490555555531</v>
      </c>
      <c r="BG217" s="12">
        <f>IF(A217="",NA(),IF(Статистика!$D$8="Вкл",(((IF(Статистика!$C$4="Параллельный режим (активная мощность)",G217,R217)+Статистика!$J$4))-Статистика!$C$10)/MAX(Статистика!$G$10-Статистика!$C$10,0.000001),NA()))</f>
        <v>0.60357712777777728</v>
      </c>
      <c r="BH217" s="12">
        <f>IF(A217="",NA(),IF(Статистика!$F$8="Вкл",(((IF(Статистика!$C$4="Параллельный режим (активная мощность)",D217,O217)+Статистика!$J$4))-Статистика!$C$10)/MAX(Статистика!$G$10-Статистика!$C$10,0.000001),NA()))</f>
        <v>0.44104805055555579</v>
      </c>
      <c r="BI217" s="12">
        <f>IF(A217="",NA(),IF(Статистика!$F$8="Вкл",(((IF(Статистика!$C$4="Параллельный режим (активная мощность)",H217,S217)+Статистика!$J$4))-Статистика!$C$10)/MAX(Статистика!$G$10-Статистика!$C$10,0.000001),NA()))</f>
        <v>0.71212910833333387</v>
      </c>
      <c r="BJ217" s="12">
        <f>IF(A217="",NA(),IF(Статистика!$H$8="Вкл",(((IF(Статистика!$C$4="Параллельный режим (активная мощность)",B217,M217)+Статистика!$J$4))-Статистика!$C$10)/MAX(Статистика!$G$10-Статистика!$C$10,0.000001),NA()))</f>
        <v>0.12224431455555562</v>
      </c>
      <c r="BK217" s="12">
        <f>IF(A217="",NA(),IF(Статистика!$H$8="Вкл",(((IF(Статистика!$C$4="Параллельный режим (активная мощность)",J217,U217)+Статистика!$J$4))-Статистика!$C$10)/MAX(Статистика!$G$10-Статистика!$C$10,0.000001),NA()))</f>
        <v>0.74183343733333273</v>
      </c>
      <c r="BL217" s="12" t="e">
        <f>IF(A217="",NA(),IF(Статистика!$J$8="Вкл",(((IF(Статистика!$C$4="Параллельный режим (активная мощность)",K217,V217)+Статистика!$J$4))-Статистика!$C$10)/MAX(Статистика!$G$10-Статистика!$C$10,0.000001),NA()))</f>
        <v>#N/A</v>
      </c>
      <c r="BM217" s="12" t="e">
        <f>IF(AND(A217&lt;&gt;"",Статистика!$C$6="Вкл",Статистика!$B$6&gt;0),(Статистика!$B$6-Статистика!$C$10)/MAX(Статистика!$G$10-Статистика!$C$10,0.000001),NA())</f>
        <v>#N/A</v>
      </c>
      <c r="BN217" s="12" t="e">
        <f>IF(AND(A217&lt;&gt;"",Статистика!$F$6="Вкл",Статистика!$E$6&gt;0),(Статистика!$E$6-Статистика!$C$10)/MAX(Статистика!$G$10-Статистика!$C$10,0.000001),NA())</f>
        <v>#N/A</v>
      </c>
      <c r="BO217" s="12" t="e">
        <f>IF(AND(A217&lt;&gt;"",Статистика!$I$6="Вкл",Статистика!$H$6&gt;0),(Статистика!$H$6-Статистика!$C$10)/MAX(Статистика!$G$10-Статистика!$C$10,0.000001),NA())</f>
        <v>#N/A</v>
      </c>
      <c r="BP217" s="12" t="e">
        <f>IF(AND(A217&lt;&gt;"",Статистика!$L$6="Вкл",Статистика!$K$6&gt;0),(Статистика!$K$6-Статистика!$C$10)/MAX(Статистика!$G$10-Статистика!$C$10,0.000001),NA())</f>
        <v>#N/A</v>
      </c>
      <c r="BQ217" s="12" t="e">
        <f>IF(AND(A217&lt;&gt;"",Статистика!$M$6="Вкл",Статистика!$O$6&gt;0),(Статистика!$O$6-Статистика!$C$10)/MAX(Статистика!$G$10-Статистика!$C$10,0.000001),NA())</f>
        <v>#N/A</v>
      </c>
      <c r="BR217" s="12">
        <f t="shared" si="6"/>
        <v>1</v>
      </c>
      <c r="BT217" s="12">
        <f>IF(Y217="","",MAX(0,MIN(1,(((IF(Статистика!$C$4="Параллельный режим (активная мощность)",Z217,AK217)+Статистика!$J$4))-Статистика!$C$10)/MAX(Статистика!$G$10-Статистика!$C$10,0.000001))))</f>
        <v>0.50584346094444421</v>
      </c>
      <c r="BU217" s="12">
        <f>IF(Y217="","",MAX(0,MAX(0,MIN(1,(((IF(Статистика!$C$4="Параллельный режим (активная мощность)",AB217,AM217)+Статистика!$J$4))-Статистика!$C$10)/MAX(Статистика!$G$10-Статистика!$C$10,0.000001)))-MAX(0,MIN(1,(((IF(Статистика!$C$4="Параллельный режим (активная мощность)",Z217,AK217)+Статистика!$J$4))-Статистика!$C$10)/MAX(Статистика!$G$10-Статистика!$C$10,0.000001)))))</f>
        <v>5.0944850000023134E-4</v>
      </c>
      <c r="BV217" s="12">
        <f>IF(Y217="","",MAX(0,MAX(0,MIN(1,(((IF(Статистика!$C$4="Параллельный режим (активная мощность)",AC217,AN217)+Статистика!$J$4))-Статистика!$C$10)/MAX(Статистика!$G$10-Статистика!$C$10,0.000001)))-MAX(0,MIN(1,(((IF(Статистика!$C$4="Параллельный режим (активная мощность)",AB217,AM217)+Статистика!$J$4))-Статистика!$C$10)/MAX(Статистика!$G$10-Статистика!$C$10,0.000001)))))</f>
        <v>2.2428573888888415E-2</v>
      </c>
      <c r="BW217" s="12">
        <f>IF(Y217="","",MAX(0,MAX(0,MIN(1,(((IF(Статистика!$C$4="Параллельный режим (активная мощность)",AD217,AO217)+Статистика!$J$4))-Статистика!$C$10)/MAX(Статистика!$G$10-Статистика!$C$10,0.000001)))-MAX(0,MIN(1,(((IF(Статистика!$C$4="Параллельный режим (активная мощность)",AC217,AN217)+Статистика!$J$4))-Статистика!$C$10)/MAX(Статистика!$G$10-Статистика!$C$10,0.000001)))))</f>
        <v>5.7905672222223092E-2</v>
      </c>
      <c r="BX217" s="12">
        <f>IF(Y217="","",MAX(0,MAX(0,MIN(1,(((IF(Статистика!$C$4="Параллельный режим (активная мощность)",AE217,AP217)+Статистика!$J$4))-Статистика!$C$10)/MAX(Статистика!$G$10-Статистика!$C$10,0.000001)))-MAX(0,MIN(1,(((IF(Статистика!$C$4="Параллельный режим (активная мощность)",AD217,AO217)+Статистика!$J$4))-Статистика!$C$10)/MAX(Статистика!$G$10-Статистика!$C$10,0.000001)))))</f>
        <v>3.9538397222222299E-2</v>
      </c>
      <c r="BY217" s="12">
        <f>IF(Y217="","",MAX(0,MAX(0,MIN(1,(((IF(Статистика!$C$4="Параллельный режим (активная мощность)",AF217,AQ217)+Статистика!$J$4))-Статистика!$C$10)/MAX(Статистика!$G$10-Статистика!$C$10,0.000001)))-MAX(0,MIN(1,(((IF(Статистика!$C$4="Параллельный режим (активная мощность)",AE217,AP217)+Статистика!$J$4))-Статистика!$C$10)/MAX(Статистика!$G$10-Статистика!$C$10,0.000001)))))</f>
        <v>0.18777365666666657</v>
      </c>
      <c r="BZ217" s="12">
        <f>IF(Y217="","",MAX(0,MAX(0,MIN(1,(((IF(Статистика!$C$4="Параллельный режим (активная мощность)",AH217,AS217)+Статистика!$J$4))-Статистика!$C$10)/MAX(Статистика!$G$10-Статистика!$C$10,0.000001)))-MAX(0,MIN(1,(((IF(Статистика!$C$4="Параллельный режим (активная мощность)",AF217,AQ217)+Статистика!$J$4))-Статистика!$C$10)/MAX(Статистика!$G$10-Статистика!$C$10,0.000001)))))</f>
        <v>2.0420911500000027E-2</v>
      </c>
      <c r="CA217" s="12">
        <f>IF(Y217="","",MAX(0,1-MAX(0,MIN(1,(((IF(Статистика!$C$4="Параллельный режим (активная мощность)",AH217,AS217)+Статистика!$J$4))-Статистика!$C$10)/MAX(Статистика!$G$10-Статистика!$C$10,0.000001)))))</f>
        <v>0.16557987905555516</v>
      </c>
      <c r="CB217" s="12">
        <f>IF(Y217="",NA(),IF(Статистика!$B$8="Вкл",(((IF(Статистика!$C$4="Параллельный режим (активная мощность)",AD217,AO217)+Статистика!$J$4))-Статистика!$C$10)/MAX(Статистика!$G$10-Статистика!$C$10,0.000001),NA()))</f>
        <v>0.58668715555555595</v>
      </c>
      <c r="CC217" s="12">
        <f>IF(Y217="",NA(),IF(Статистика!$D$8="Вкл",(((IF(Статистика!$C$4="Параллельный режим (активная мощность)",AC217,AN217)+Статистика!$J$4))-Статистика!$C$10)/MAX(Статистика!$G$10-Статистика!$C$10,0.000001),NA()))</f>
        <v>0.52878148333333286</v>
      </c>
      <c r="CD217" s="12">
        <f>IF(Y217="",NA(),IF(Статистика!$D$8="Вкл",(((IF(Статистика!$C$4="Параллельный режим (активная мощность)",AE217,AP217)+Статистика!$J$4))-Статистика!$C$10)/MAX(Статистика!$G$10-Статистика!$C$10,0.000001),NA()))</f>
        <v>0.62622555277777825</v>
      </c>
      <c r="CE217" s="12">
        <f>IF(Y217="",NA(),IF(Статистика!$F$8="Вкл",(((IF(Статистика!$C$4="Параллельный режим (активная мощность)",AB217,AM217)+Статистика!$J$4))-Статистика!$C$10)/MAX(Статистика!$G$10-Статистика!$C$10,0.000001),NA()))</f>
        <v>0.50635290944444444</v>
      </c>
      <c r="CF217" s="12">
        <f>IF(Y217="",NA(),IF(Статистика!$F$8="Вкл",(((IF(Статистика!$C$4="Параллельный режим (активная мощность)",AF217,AQ217)+Статистика!$J$4))-Статистика!$C$10)/MAX(Статистика!$G$10-Статистика!$C$10,0.000001),NA()))</f>
        <v>0.81399920944444482</v>
      </c>
      <c r="CG217" s="12">
        <f>IF(Y217="",NA(),IF(Статистика!$H$8="Вкл",(((IF(Статистика!$C$4="Параллельный режим (активная мощность)",Z217,AK217)+Статистика!$J$4))-Статистика!$C$10)/MAX(Статистика!$G$10-Статистика!$C$10,0.000001),NA()))</f>
        <v>0.50584346094444421</v>
      </c>
      <c r="CH217" s="12">
        <f>IF(Y217="",NA(),IF(Статистика!$H$8="Вкл",(((IF(Статистика!$C$4="Параллельный режим (активная мощность)",AH217,AS217)+Статистика!$J$4))-Статистика!$C$10)/MAX(Статистика!$G$10-Статистика!$C$10,0.000001),NA()))</f>
        <v>0.83442012094444484</v>
      </c>
      <c r="CI217" s="12" t="e">
        <f>IF(Y217="",NA(),IF(Статистика!$J$8="Вкл",(((IF(Статистика!$C$4="Параллельный режим (активная мощность)",AI217,AT217)+Статистика!$J$4))-Статистика!$C$10)/MAX(Статистика!$G$10-Статистика!$C$10,0.000001),NA()))</f>
        <v>#N/A</v>
      </c>
      <c r="CJ217" s="12" t="e">
        <f>IF(AND(Y217&lt;&gt;"",Статистика!$C$6="Вкл",Статистика!$B$6&gt;0),(Статистика!$B$6-Статистика!$C$10)/MAX(Статистика!$G$10-Статистика!$C$10,0.000001),NA())</f>
        <v>#N/A</v>
      </c>
      <c r="CK217" s="12" t="e">
        <f>IF(AND(Y217&lt;&gt;"",Статистика!$F$6="Вкл",Статистика!$E$6&gt;0),(Статистика!$E$6-Статистика!$C$10)/MAX(Статистика!$G$10-Статистика!$C$10,0.000001),NA())</f>
        <v>#N/A</v>
      </c>
      <c r="CL217" s="12" t="e">
        <f>IF(AND(Y217&lt;&gt;"",Статистика!$I$6="Вкл",Статистика!$H$6&gt;0),(Статистика!$H$6-Статистика!$C$10)/MAX(Статистика!$G$10-Статистика!$C$10,0.000001),NA())</f>
        <v>#N/A</v>
      </c>
      <c r="CM217" s="12" t="e">
        <f>IF(AND(Y217&lt;&gt;"",Статистика!$L$6="Вкл",Статистика!$K$6&gt;0),(Статистика!$K$6-Статистика!$C$10)/MAX(Статистика!$G$10-Статистика!$C$10,0.000001),NA())</f>
        <v>#N/A</v>
      </c>
      <c r="CN217" s="12" t="e">
        <f>IF(AND(Y217&lt;&gt;"",Статистика!$M$6="Вкл",Статистика!$O$6&gt;0),(Статистика!$O$6-Статистика!$C$10)/MAX(Статистика!$G$10-Статистика!$C$10,0.000001),NA())</f>
        <v>#N/A</v>
      </c>
      <c r="CO217" s="12">
        <f t="shared" si="7"/>
        <v>1</v>
      </c>
    </row>
    <row r="218" spans="1:93" ht="15" customHeight="1">
      <c r="A218" s="12" t="s">
        <v>917</v>
      </c>
      <c r="B218" s="12">
        <v>6396.6974376666676</v>
      </c>
      <c r="C218" s="12">
        <v>6979.0327883333339</v>
      </c>
      <c r="D218" s="12">
        <v>7284.0995466666664</v>
      </c>
      <c r="E218" s="12">
        <v>7503.9654333333337</v>
      </c>
      <c r="F218" s="12">
        <v>7684.6369166666664</v>
      </c>
      <c r="G218" s="12">
        <v>7836.420916666666</v>
      </c>
      <c r="H218" s="12">
        <v>8090.9466433333328</v>
      </c>
      <c r="I218" s="12">
        <v>8143.7404433333331</v>
      </c>
      <c r="J218" s="12">
        <v>8197.3001953333332</v>
      </c>
      <c r="K218" s="12">
        <v>8305.48</v>
      </c>
      <c r="L218" s="12" t="s">
        <v>918</v>
      </c>
      <c r="M218" s="12">
        <v>7321.4815753333341</v>
      </c>
      <c r="N218" s="12">
        <v>7921.1085433333337</v>
      </c>
      <c r="O218" s="12">
        <v>8270.0340583333327</v>
      </c>
      <c r="P218" s="12">
        <v>8564.2078333333338</v>
      </c>
      <c r="Q218" s="12">
        <v>8710.463466666668</v>
      </c>
      <c r="R218" s="12">
        <v>8929.1391750000003</v>
      </c>
      <c r="S218" s="12">
        <v>9132.4253416666652</v>
      </c>
      <c r="T218" s="12">
        <v>9165.6551074999988</v>
      </c>
      <c r="U218" s="12">
        <v>9220.8815281666648</v>
      </c>
      <c r="V218" s="12">
        <v>9331.2800000000007</v>
      </c>
      <c r="W218" s="12" t="s">
        <v>918</v>
      </c>
      <c r="Y218" s="12" t="s">
        <v>917</v>
      </c>
      <c r="Z218" s="12">
        <v>7460.3538556666663</v>
      </c>
      <c r="AA218" s="12">
        <v>7469.0614116666666</v>
      </c>
      <c r="AB218" s="12">
        <v>7479.9458566666672</v>
      </c>
      <c r="AC218" s="12">
        <v>7547.0850083333335</v>
      </c>
      <c r="AD218" s="12">
        <v>7705.3501833333339</v>
      </c>
      <c r="AE218" s="12">
        <v>7822.749558333333</v>
      </c>
      <c r="AF218" s="12">
        <v>8432.827580000001</v>
      </c>
      <c r="AG218" s="12">
        <v>8469.4802400000008</v>
      </c>
      <c r="AH218" s="12">
        <v>8498.8023680000006</v>
      </c>
      <c r="AI218" s="12">
        <v>8588.14</v>
      </c>
      <c r="AJ218" s="12" t="s">
        <v>919</v>
      </c>
      <c r="AK218" s="12">
        <v>8503.2305364999993</v>
      </c>
      <c r="AL218" s="12">
        <v>8512.2720158333323</v>
      </c>
      <c r="AM218" s="12">
        <v>8523.5738650000003</v>
      </c>
      <c r="AN218" s="12">
        <v>8585.8556749999989</v>
      </c>
      <c r="AO218" s="12">
        <v>8727.2923666666647</v>
      </c>
      <c r="AP218" s="12">
        <v>8922.3387000000002</v>
      </c>
      <c r="AQ218" s="12">
        <v>9510.2480133333338</v>
      </c>
      <c r="AR218" s="12">
        <v>9551.7522233333348</v>
      </c>
      <c r="AS218" s="12">
        <v>9584.9555913333334</v>
      </c>
      <c r="AT218" s="12">
        <v>9670.44</v>
      </c>
      <c r="AU218" s="12" t="s">
        <v>919</v>
      </c>
      <c r="AW218" s="12">
        <f>IF(A218="","",MAX(0,MIN(1,(((IF(Статистика!$C$4="Параллельный режим (активная мощность)",B218,M218)+Статистика!$J$4))-Статистика!$C$10)/MAX(Статистика!$G$10-Статистика!$C$10,0.000001))))</f>
        <v>0.13223247922222253</v>
      </c>
      <c r="AX218" s="12">
        <f>IF(A218="","",MAX(0,MAX(0,MIN(1,(((IF(Статистика!$C$4="Параллельный режим (активная мощность)",D218,O218)+Статистика!$J$4))-Статистика!$C$10)/MAX(Статистика!$G$10-Статистика!$C$10,0.000001)))-MAX(0,MIN(1,(((IF(Статистика!$C$4="Параллельный режим (активная мощность)",B218,M218)+Статистика!$J$4))-Статистика!$C$10)/MAX(Статистика!$G$10-Статистика!$C$10,0.000001)))))</f>
        <v>0.29580070299999961</v>
      </c>
      <c r="AY218" s="12">
        <f>IF(A218="","",MAX(0,MAX(0,MIN(1,(((IF(Статистика!$C$4="Параллельный режим (активная мощность)",E218,P218)+Статистика!$J$4))-Статистика!$C$10)/MAX(Статистика!$G$10-Статистика!$C$10,0.000001)))-MAX(0,MIN(1,(((IF(Статистика!$C$4="Параллельный режим (активная мощность)",D218,O218)+Статистика!$J$4))-Статистика!$C$10)/MAX(Статистика!$G$10-Статистика!$C$10,0.000001)))))</f>
        <v>7.3288628888889151E-2</v>
      </c>
      <c r="AZ218" s="12">
        <f>IF(A218="","",MAX(0,MAX(0,MIN(1,(((IF(Статистика!$C$4="Параллельный режим (активная мощность)",F218,Q218)+Статистика!$J$4))-Статистика!$C$10)/MAX(Статистика!$G$10-Статистика!$C$10,0.000001)))-MAX(0,MIN(1,(((IF(Статистика!$C$4="Параллельный режим (активная мощность)",E218,P218)+Статистика!$J$4))-Статистика!$C$10)/MAX(Статистика!$G$10-Статистика!$C$10,0.000001)))))</f>
        <v>6.0223827777777461E-2</v>
      </c>
      <c r="BA218" s="12">
        <f>IF(A218="","",MAX(0,MAX(0,MIN(1,(((IF(Статистика!$C$4="Параллельный режим (активная мощность)",G218,R218)+Статистика!$J$4))-Статистика!$C$10)/MAX(Статистика!$G$10-Статистика!$C$10,0.000001)))-MAX(0,MIN(1,(((IF(Статистика!$C$4="Параллельный режим (активная мощность)",F218,Q218)+Статистика!$J$4))-Статистика!$C$10)/MAX(Статистика!$G$10-Статистика!$C$10,0.000001)))))</f>
        <v>5.0594666666666566E-2</v>
      </c>
      <c r="BB218" s="12">
        <f>IF(A218="","",MAX(0,MAX(0,MIN(1,(((IF(Статистика!$C$4="Параллельный режим (активная мощность)",H218,S218)+Статистика!$J$4))-Статистика!$C$10)/MAX(Статистика!$G$10-Статистика!$C$10,0.000001)))-MAX(0,MIN(1,(((IF(Статистика!$C$4="Параллельный режим (активная мощность)",G218,R218)+Статистика!$J$4))-Статистика!$C$10)/MAX(Статистика!$G$10-Статистика!$C$10,0.000001)))))</f>
        <v>8.4841908888888984E-2</v>
      </c>
      <c r="BC218" s="12">
        <f>IF(A218="","",MAX(0,MAX(0,MIN(1,(((IF(Статистика!$C$4="Параллельный режим (активная мощность)",J218,U218)+Статистика!$J$4))-Статистика!$C$10)/MAX(Статистика!$G$10-Статистика!$C$10,0.000001)))-MAX(0,MIN(1,(((IF(Статистика!$C$4="Параллельный режим (активная мощность)",H218,S218)+Статистика!$J$4))-Статистика!$C$10)/MAX(Статистика!$G$10-Статистика!$C$10,0.000001)))))</f>
        <v>3.5451184000000135E-2</v>
      </c>
      <c r="BD218" s="12">
        <f>IF(A218="","",MAX(0,1-MAX(0,MIN(1,(((IF(Статистика!$C$4="Параллельный режим (активная мощность)",J218,U218)+Статистика!$J$4))-Статистика!$C$10)/MAX(Статистика!$G$10-Статистика!$C$10,0.000001)))))</f>
        <v>0.26756660155555556</v>
      </c>
      <c r="BE218" s="12">
        <f>IF(A218="",NA(),IF(Статистика!$B$8="Вкл",(((IF(Статистика!$C$4="Параллельный режим (активная мощность)",F218,Q218)+Статистика!$J$4))-Статистика!$C$10)/MAX(Статистика!$G$10-Статистика!$C$10,0.000001),NA()))</f>
        <v>0.56154563888888875</v>
      </c>
      <c r="BF218" s="12">
        <f>IF(A218="",NA(),IF(Статистика!$D$8="Вкл",(((IF(Статистика!$C$4="Параллельный режим (активная мощность)",E218,P218)+Статистика!$J$4))-Статистика!$C$10)/MAX(Статистика!$G$10-Статистика!$C$10,0.000001),NA()))</f>
        <v>0.50132181111111129</v>
      </c>
      <c r="BG218" s="12">
        <f>IF(A218="",NA(),IF(Статистика!$D$8="Вкл",(((IF(Статистика!$C$4="Параллельный режим (активная мощность)",G218,R218)+Статистика!$J$4))-Статистика!$C$10)/MAX(Статистика!$G$10-Статистика!$C$10,0.000001),NA()))</f>
        <v>0.61214030555555532</v>
      </c>
      <c r="BH218" s="12">
        <f>IF(A218="",NA(),IF(Статистика!$F$8="Вкл",(((IF(Статистика!$C$4="Параллельный режим (активная мощность)",D218,O218)+Статистика!$J$4))-Статистика!$C$10)/MAX(Статистика!$G$10-Статистика!$C$10,0.000001),NA()))</f>
        <v>0.42803318222222214</v>
      </c>
      <c r="BI218" s="12">
        <f>IF(A218="",NA(),IF(Статистика!$F$8="Вкл",(((IF(Статистика!$C$4="Параллельный режим (активная мощность)",H218,S218)+Статистика!$J$4))-Статистика!$C$10)/MAX(Статистика!$G$10-Статистика!$C$10,0.000001),NA()))</f>
        <v>0.6969822144444443</v>
      </c>
      <c r="BJ218" s="12">
        <f>IF(A218="",NA(),IF(Статистика!$H$8="Вкл",(((IF(Статистика!$C$4="Параллельный режим (активная мощность)",B218,M218)+Статистика!$J$4))-Статистика!$C$10)/MAX(Статистика!$G$10-Статистика!$C$10,0.000001),NA()))</f>
        <v>0.13223247922222253</v>
      </c>
      <c r="BK218" s="12">
        <f>IF(A218="",NA(),IF(Статистика!$H$8="Вкл",(((IF(Статистика!$C$4="Параллельный режим (активная мощность)",J218,U218)+Статистика!$J$4))-Статистика!$C$10)/MAX(Статистика!$G$10-Статистика!$C$10,0.000001),NA()))</f>
        <v>0.73243339844444444</v>
      </c>
      <c r="BL218" s="12" t="e">
        <f>IF(A218="",NA(),IF(Статистика!$J$8="Вкл",(((IF(Статистика!$C$4="Параллельный режим (активная мощность)",K218,V218)+Статистика!$J$4))-Статистика!$C$10)/MAX(Статистика!$G$10-Статистика!$C$10,0.000001),NA()))</f>
        <v>#N/A</v>
      </c>
      <c r="BM218" s="12" t="e">
        <f>IF(AND(A218&lt;&gt;"",Статистика!$C$6="Вкл",Статистика!$B$6&gt;0),(Статистика!$B$6-Статистика!$C$10)/MAX(Статистика!$G$10-Статистика!$C$10,0.000001),NA())</f>
        <v>#N/A</v>
      </c>
      <c r="BN218" s="12" t="e">
        <f>IF(AND(A218&lt;&gt;"",Статистика!$F$6="Вкл",Статистика!$E$6&gt;0),(Статистика!$E$6-Статистика!$C$10)/MAX(Статистика!$G$10-Статистика!$C$10,0.000001),NA())</f>
        <v>#N/A</v>
      </c>
      <c r="BO218" s="12" t="e">
        <f>IF(AND(A218&lt;&gt;"",Статистика!$I$6="Вкл",Статистика!$H$6&gt;0),(Статистика!$H$6-Статистика!$C$10)/MAX(Статистика!$G$10-Статистика!$C$10,0.000001),NA())</f>
        <v>#N/A</v>
      </c>
      <c r="BP218" s="12" t="e">
        <f>IF(AND(A218&lt;&gt;"",Статистика!$L$6="Вкл",Статистика!$K$6&gt;0),(Статистика!$K$6-Статистика!$C$10)/MAX(Статистика!$G$10-Статистика!$C$10,0.000001),NA())</f>
        <v>#N/A</v>
      </c>
      <c r="BQ218" s="12" t="e">
        <f>IF(AND(A218&lt;&gt;"",Статистика!$M$6="Вкл",Статистика!$O$6&gt;0),(Статистика!$O$6-Статистика!$C$10)/MAX(Статистика!$G$10-Статистика!$C$10,0.000001),NA())</f>
        <v>#N/A</v>
      </c>
      <c r="BR218" s="12">
        <f t="shared" si="6"/>
        <v>1</v>
      </c>
      <c r="BT218" s="12">
        <f>IF(Y218="","",MAX(0,MIN(1,(((IF(Статистика!$C$4="Параллельный режим (активная мощность)",Z218,AK218)+Статистика!$J$4))-Статистика!$C$10)/MAX(Статистика!$G$10-Статистика!$C$10,0.000001))))</f>
        <v>0.48678461855555544</v>
      </c>
      <c r="BU218" s="12">
        <f>IF(Y218="","",MAX(0,MAX(0,MIN(1,(((IF(Статистика!$C$4="Параллельный режим (активная мощность)",AB218,AM218)+Статистика!$J$4))-Статистика!$C$10)/MAX(Статистика!$G$10-Статистика!$C$10,0.000001)))-MAX(0,MIN(1,(((IF(Статистика!$C$4="Параллельный режим (активная мощность)",Z218,AK218)+Статистика!$J$4))-Статистика!$C$10)/MAX(Статистика!$G$10-Статистика!$C$10,0.000001)))))</f>
        <v>6.5306670000002676E-3</v>
      </c>
      <c r="BV218" s="12">
        <f>IF(Y218="","",MAX(0,MAX(0,MIN(1,(((IF(Статистика!$C$4="Параллельный режим (активная мощность)",AC218,AN218)+Статистика!$J$4))-Статистика!$C$10)/MAX(Статистика!$G$10-Статистика!$C$10,0.000001)))-MAX(0,MIN(1,(((IF(Статистика!$C$4="Параллельный режим (активная мощность)",AB218,AM218)+Статистика!$J$4))-Статистика!$C$10)/MAX(Статистика!$G$10-Статистика!$C$10,0.000001)))))</f>
        <v>2.2379717222222095E-2</v>
      </c>
      <c r="BW218" s="12">
        <f>IF(Y218="","",MAX(0,MAX(0,MIN(1,(((IF(Статистика!$C$4="Параллельный режим (активная мощность)",AD218,AO218)+Статистика!$J$4))-Статистика!$C$10)/MAX(Статистика!$G$10-Статистика!$C$10,0.000001)))-MAX(0,MIN(1,(((IF(Статистика!$C$4="Параллельный режим (активная мощность)",AC218,AN218)+Статистика!$J$4))-Статистика!$C$10)/MAX(Статистика!$G$10-Статистика!$C$10,0.000001)))))</f>
        <v>5.2755058333333493E-2</v>
      </c>
      <c r="BX218" s="12">
        <f>IF(Y218="","",MAX(0,MAX(0,MIN(1,(((IF(Статистика!$C$4="Параллельный режим (активная мощность)",AE218,AP218)+Статистика!$J$4))-Статистика!$C$10)/MAX(Статистика!$G$10-Статистика!$C$10,0.000001)))-MAX(0,MIN(1,(((IF(Статистика!$C$4="Параллельный режим (активная мощность)",AD218,AO218)+Статистика!$J$4))-Статистика!$C$10)/MAX(Статистика!$G$10-Статистика!$C$10,0.000001)))))</f>
        <v>3.9133124999999658E-2</v>
      </c>
      <c r="BY218" s="12">
        <f>IF(Y218="","",MAX(0,MAX(0,MIN(1,(((IF(Статистика!$C$4="Параллельный режим (активная мощность)",AF218,AQ218)+Статистика!$J$4))-Статистика!$C$10)/MAX(Статистика!$G$10-Статистика!$C$10,0.000001)))-MAX(0,MIN(1,(((IF(Статистика!$C$4="Параллельный режим (активная мощность)",AE218,AP218)+Статистика!$J$4))-Статистика!$C$10)/MAX(Статистика!$G$10-Статистика!$C$10,0.000001)))))</f>
        <v>0.20335934055555605</v>
      </c>
      <c r="BZ218" s="12">
        <f>IF(Y218="","",MAX(0,MAX(0,MIN(1,(((IF(Статистика!$C$4="Параллельный режим (активная мощность)",AH218,AS218)+Статистика!$J$4))-Статистика!$C$10)/MAX(Статистика!$G$10-Статистика!$C$10,0.000001)))-MAX(0,MIN(1,(((IF(Статистика!$C$4="Параллельный режим (активная мощность)",AF218,AQ218)+Статистика!$J$4))-Статистика!$C$10)/MAX(Статистика!$G$10-Статистика!$C$10,0.000001)))))</f>
        <v>2.1991595999999891E-2</v>
      </c>
      <c r="CA218" s="12">
        <f>IF(Y218="","",MAX(0,1-MAX(0,MIN(1,(((IF(Статистика!$C$4="Параллельный режим (активная мощность)",AH218,AS218)+Статистика!$J$4))-Статистика!$C$10)/MAX(Статистика!$G$10-Статистика!$C$10,0.000001)))))</f>
        <v>0.16706587733333311</v>
      </c>
      <c r="CB218" s="12">
        <f>IF(Y218="",NA(),IF(Статистика!$B$8="Вкл",(((IF(Статистика!$C$4="Параллельный режим (активная мощность)",AD218,AO218)+Статистика!$J$4))-Статистика!$C$10)/MAX(Статистика!$G$10-Статистика!$C$10,0.000001),NA()))</f>
        <v>0.56845006111111129</v>
      </c>
      <c r="CC218" s="12">
        <f>IF(Y218="",NA(),IF(Статистика!$D$8="Вкл",(((IF(Статистика!$C$4="Параллельный режим (активная мощность)",AC218,AN218)+Статистика!$J$4))-Статистика!$C$10)/MAX(Статистика!$G$10-Статистика!$C$10,0.000001),NA()))</f>
        <v>0.5156950027777778</v>
      </c>
      <c r="CD218" s="12">
        <f>IF(Y218="",NA(),IF(Статистика!$D$8="Вкл",(((IF(Статистика!$C$4="Параллельный режим (активная мощность)",AE218,AP218)+Статистика!$J$4))-Статистика!$C$10)/MAX(Статистика!$G$10-Статистика!$C$10,0.000001),NA()))</f>
        <v>0.60758318611111095</v>
      </c>
      <c r="CE218" s="12">
        <f>IF(Y218="",NA(),IF(Статистика!$F$8="Вкл",(((IF(Статистика!$C$4="Параллельный режим (активная мощность)",AB218,AM218)+Статистика!$J$4))-Статистика!$C$10)/MAX(Статистика!$G$10-Статистика!$C$10,0.000001),NA()))</f>
        <v>0.4933152855555557</v>
      </c>
      <c r="CF218" s="12">
        <f>IF(Y218="",NA(),IF(Статистика!$F$8="Вкл",(((IF(Статистика!$C$4="Параллельный режим (активная мощность)",AF218,AQ218)+Статистика!$J$4))-Статистика!$C$10)/MAX(Статистика!$G$10-Статистика!$C$10,0.000001),NA()))</f>
        <v>0.810942526666667</v>
      </c>
      <c r="CG218" s="12">
        <f>IF(Y218="",NA(),IF(Статистика!$H$8="Вкл",(((IF(Статистика!$C$4="Параллельный режим (активная мощность)",Z218,AK218)+Статистика!$J$4))-Статистика!$C$10)/MAX(Статистика!$G$10-Статистика!$C$10,0.000001),NA()))</f>
        <v>0.48678461855555544</v>
      </c>
      <c r="CH218" s="12">
        <f>IF(Y218="",NA(),IF(Статистика!$H$8="Вкл",(((IF(Статистика!$C$4="Параллельный режим (активная мощность)",AH218,AS218)+Статистика!$J$4))-Статистика!$C$10)/MAX(Статистика!$G$10-Статистика!$C$10,0.000001),NA()))</f>
        <v>0.83293412266666689</v>
      </c>
      <c r="CI218" s="12" t="e">
        <f>IF(Y218="",NA(),IF(Статистика!$J$8="Вкл",(((IF(Статистика!$C$4="Параллельный режим (активная мощность)",AI218,AT218)+Статистика!$J$4))-Статистика!$C$10)/MAX(Статистика!$G$10-Статистика!$C$10,0.000001),NA()))</f>
        <v>#N/A</v>
      </c>
      <c r="CJ218" s="12" t="e">
        <f>IF(AND(Y218&lt;&gt;"",Статистика!$C$6="Вкл",Статистика!$B$6&gt;0),(Статистика!$B$6-Статистика!$C$10)/MAX(Статистика!$G$10-Статистика!$C$10,0.000001),NA())</f>
        <v>#N/A</v>
      </c>
      <c r="CK218" s="12" t="e">
        <f>IF(AND(Y218&lt;&gt;"",Статистика!$F$6="Вкл",Статистика!$E$6&gt;0),(Статистика!$E$6-Статистика!$C$10)/MAX(Статистика!$G$10-Статистика!$C$10,0.000001),NA())</f>
        <v>#N/A</v>
      </c>
      <c r="CL218" s="12" t="e">
        <f>IF(AND(Y218&lt;&gt;"",Статистика!$I$6="Вкл",Статистика!$H$6&gt;0),(Статистика!$H$6-Статистика!$C$10)/MAX(Статистика!$G$10-Статистика!$C$10,0.000001),NA())</f>
        <v>#N/A</v>
      </c>
      <c r="CM218" s="12" t="e">
        <f>IF(AND(Y218&lt;&gt;"",Статистика!$L$6="Вкл",Статистика!$K$6&gt;0),(Статистика!$K$6-Статистика!$C$10)/MAX(Статистика!$G$10-Статистика!$C$10,0.000001),NA())</f>
        <v>#N/A</v>
      </c>
      <c r="CN218" s="12" t="e">
        <f>IF(AND(Y218&lt;&gt;"",Статистика!$M$6="Вкл",Статистика!$O$6&gt;0),(Статистика!$O$6-Статистика!$C$10)/MAX(Статистика!$G$10-Статистика!$C$10,0.000001),NA())</f>
        <v>#N/A</v>
      </c>
      <c r="CO218" s="12">
        <f t="shared" si="7"/>
        <v>1</v>
      </c>
    </row>
    <row r="219" spans="1:93" ht="15" customHeight="1">
      <c r="A219" s="12" t="s">
        <v>920</v>
      </c>
      <c r="B219" s="12">
        <v>6389.9415804999999</v>
      </c>
      <c r="C219" s="12">
        <v>6994.172569166667</v>
      </c>
      <c r="D219" s="12">
        <v>7312.5531699999992</v>
      </c>
      <c r="E219" s="12">
        <v>7520.6512250000005</v>
      </c>
      <c r="F219" s="12">
        <v>7673.386716666666</v>
      </c>
      <c r="G219" s="12">
        <v>7822.3568166666673</v>
      </c>
      <c r="H219" s="12">
        <v>8108.2901316666666</v>
      </c>
      <c r="I219" s="12">
        <v>8141.0158566666669</v>
      </c>
      <c r="J219" s="12">
        <v>8151.2491446666672</v>
      </c>
      <c r="K219" s="12">
        <v>8298.81</v>
      </c>
      <c r="L219" s="12" t="s">
        <v>921</v>
      </c>
      <c r="M219" s="12">
        <v>7373.4271078333331</v>
      </c>
      <c r="N219" s="12">
        <v>7953.2114058333336</v>
      </c>
      <c r="O219" s="12">
        <v>8261.1721783333323</v>
      </c>
      <c r="P219" s="12">
        <v>8587.044291666667</v>
      </c>
      <c r="Q219" s="12">
        <v>8689.9154166666667</v>
      </c>
      <c r="R219" s="12">
        <v>8937.9658999999992</v>
      </c>
      <c r="S219" s="12">
        <v>9128.391228333332</v>
      </c>
      <c r="T219" s="12">
        <v>9151.178179999999</v>
      </c>
      <c r="U219" s="12">
        <v>9156.1224093333331</v>
      </c>
      <c r="V219" s="12">
        <v>9322.69</v>
      </c>
      <c r="W219" s="12" t="s">
        <v>921</v>
      </c>
      <c r="Y219" s="12" t="s">
        <v>920</v>
      </c>
      <c r="Z219" s="12">
        <v>7476.3417016666672</v>
      </c>
      <c r="AA219" s="12">
        <v>7483.034908333334</v>
      </c>
      <c r="AB219" s="12">
        <v>7491.4014166666675</v>
      </c>
      <c r="AC219" s="12">
        <v>7531.5084000000006</v>
      </c>
      <c r="AD219" s="12">
        <v>7723.0699499999992</v>
      </c>
      <c r="AE219" s="12">
        <v>7843.1885833333345</v>
      </c>
      <c r="AF219" s="12">
        <v>8387.6806283333335</v>
      </c>
      <c r="AG219" s="12">
        <v>8438.9632975000004</v>
      </c>
      <c r="AH219" s="12">
        <v>8479.9894328333339</v>
      </c>
      <c r="AI219" s="12">
        <v>8582.0400000000009</v>
      </c>
      <c r="AJ219" s="12" t="s">
        <v>922</v>
      </c>
      <c r="AK219" s="12">
        <v>8480.7742590000016</v>
      </c>
      <c r="AL219" s="12">
        <v>8489.493695000001</v>
      </c>
      <c r="AM219" s="12">
        <v>8500.3929900000003</v>
      </c>
      <c r="AN219" s="12">
        <v>8610.6890249999997</v>
      </c>
      <c r="AO219" s="12">
        <v>8732.3714333333337</v>
      </c>
      <c r="AP219" s="12">
        <v>8949.2798916666652</v>
      </c>
      <c r="AQ219" s="12">
        <v>9452.6986550000001</v>
      </c>
      <c r="AR219" s="12">
        <v>9506.0849275000019</v>
      </c>
      <c r="AS219" s="12">
        <v>9548.7939455000014</v>
      </c>
      <c r="AT219" s="12">
        <v>9665.3700000000008</v>
      </c>
      <c r="AU219" s="12" t="s">
        <v>922</v>
      </c>
      <c r="AW219" s="12">
        <f>IF(A219="","",MAX(0,MIN(1,(((IF(Статистика!$C$4="Параллельный режим (активная мощность)",B219,M219)+Статистика!$J$4))-Статистика!$C$10)/MAX(Статистика!$G$10-Статистика!$C$10,0.000001))))</f>
        <v>0.1299805268333333</v>
      </c>
      <c r="AX219" s="12">
        <f>IF(A219="","",MAX(0,MAX(0,MIN(1,(((IF(Статистика!$C$4="Параллельный режим (активная мощность)",D219,O219)+Статистика!$J$4))-Статистика!$C$10)/MAX(Статистика!$G$10-Статистика!$C$10,0.000001)))-MAX(0,MIN(1,(((IF(Статистика!$C$4="Параллельный режим (активная мощность)",B219,M219)+Статистика!$J$4))-Статистика!$C$10)/MAX(Статистика!$G$10-Статистика!$C$10,0.000001)))))</f>
        <v>0.30753719649999978</v>
      </c>
      <c r="AY219" s="12">
        <f>IF(A219="","",MAX(0,MAX(0,MIN(1,(((IF(Статистика!$C$4="Параллельный режим (активная мощность)",E219,P219)+Статистика!$J$4))-Статистика!$C$10)/MAX(Статистика!$G$10-Статистика!$C$10,0.000001)))-MAX(0,MIN(1,(((IF(Статистика!$C$4="Параллельный режим (активная мощность)",D219,O219)+Статистика!$J$4))-Статистика!$C$10)/MAX(Статистика!$G$10-Статистика!$C$10,0.000001)))))</f>
        <v>6.9366018333333779E-2</v>
      </c>
      <c r="AZ219" s="12">
        <f>IF(A219="","",MAX(0,MAX(0,MIN(1,(((IF(Статистика!$C$4="Параллельный режим (активная мощность)",F219,Q219)+Статистика!$J$4))-Статистика!$C$10)/MAX(Статистика!$G$10-Статистика!$C$10,0.000001)))-MAX(0,MIN(1,(((IF(Статистика!$C$4="Параллельный режим (активная мощность)",E219,P219)+Статистика!$J$4))-Статистика!$C$10)/MAX(Статистика!$G$10-Статистика!$C$10,0.000001)))))</f>
        <v>5.0911830555555149E-2</v>
      </c>
      <c r="BA219" s="12">
        <f>IF(A219="","",MAX(0,MAX(0,MIN(1,(((IF(Статистика!$C$4="Параллельный режим (активная мощность)",G219,R219)+Статистика!$J$4))-Статистика!$C$10)/MAX(Статистика!$G$10-Статистика!$C$10,0.000001)))-MAX(0,MIN(1,(((IF(Статистика!$C$4="Параллельный режим (активная мощность)",F219,Q219)+Статистика!$J$4))-Статистика!$C$10)/MAX(Статистика!$G$10-Статистика!$C$10,0.000001)))))</f>
        <v>4.9656700000000442E-2</v>
      </c>
      <c r="BB219" s="12">
        <f>IF(A219="","",MAX(0,MAX(0,MIN(1,(((IF(Статистика!$C$4="Параллельный режим (активная мощность)",H219,S219)+Статистика!$J$4))-Статистика!$C$10)/MAX(Статистика!$G$10-Статистика!$C$10,0.000001)))-MAX(0,MIN(1,(((IF(Статистика!$C$4="Параллельный режим (активная мощность)",G219,R219)+Статистика!$J$4))-Статистика!$C$10)/MAX(Статистика!$G$10-Статистика!$C$10,0.000001)))))</f>
        <v>9.5311104999999841E-2</v>
      </c>
      <c r="BC219" s="12">
        <f>IF(A219="","",MAX(0,MAX(0,MIN(1,(((IF(Статистика!$C$4="Параллельный режим (активная мощность)",J219,U219)+Статистика!$J$4))-Статистика!$C$10)/MAX(Статистика!$G$10-Статистика!$C$10,0.000001)))-MAX(0,MIN(1,(((IF(Статистика!$C$4="Параллельный режим (активная мощность)",H219,S219)+Статистика!$J$4))-Статистика!$C$10)/MAX(Статистика!$G$10-Статистика!$C$10,0.000001)))))</f>
        <v>1.43196710000002E-2</v>
      </c>
      <c r="BD219" s="12">
        <f>IF(A219="","",MAX(0,1-MAX(0,MIN(1,(((IF(Статистика!$C$4="Параллельный режим (активная мощность)",J219,U219)+Статистика!$J$4))-Статистика!$C$10)/MAX(Статистика!$G$10-Статистика!$C$10,0.000001)))))</f>
        <v>0.28291695177777754</v>
      </c>
      <c r="BE219" s="12">
        <f>IF(A219="",NA(),IF(Статистика!$B$8="Вкл",(((IF(Статистика!$C$4="Параллельный режим (активная мощность)",F219,Q219)+Статистика!$J$4))-Статистика!$C$10)/MAX(Статистика!$G$10-Статистика!$C$10,0.000001),NA()))</f>
        <v>0.55779557222222198</v>
      </c>
      <c r="BF219" s="12">
        <f>IF(A219="",NA(),IF(Статистика!$D$8="Вкл",(((IF(Статистика!$C$4="Параллельный режим (активная мощность)",E219,P219)+Статистика!$J$4))-Статистика!$C$10)/MAX(Статистика!$G$10-Статистика!$C$10,0.000001),NA()))</f>
        <v>0.50688374166666683</v>
      </c>
      <c r="BG219" s="12">
        <f>IF(A219="",NA(),IF(Статистика!$D$8="Вкл",(((IF(Статистика!$C$4="Параллельный режим (активная мощность)",G219,R219)+Статистика!$J$4))-Статистика!$C$10)/MAX(Статистика!$G$10-Статистика!$C$10,0.000001),NA()))</f>
        <v>0.60745227222222242</v>
      </c>
      <c r="BH219" s="12">
        <f>IF(A219="",NA(),IF(Статистика!$F$8="Вкл",(((IF(Статистика!$C$4="Параллельный режим (активная мощность)",D219,O219)+Статистика!$J$4))-Статистика!$C$10)/MAX(Статистика!$G$10-Статистика!$C$10,0.000001),NA()))</f>
        <v>0.43751772333333305</v>
      </c>
      <c r="BI219" s="12">
        <f>IF(A219="",NA(),IF(Статистика!$F$8="Вкл",(((IF(Статистика!$C$4="Параллельный режим (активная мощность)",H219,S219)+Статистика!$J$4))-Статистика!$C$10)/MAX(Статистика!$G$10-Статистика!$C$10,0.000001),NA()))</f>
        <v>0.70276337722222226</v>
      </c>
      <c r="BJ219" s="12">
        <f>IF(A219="",NA(),IF(Статистика!$H$8="Вкл",(((IF(Статистика!$C$4="Параллельный режим (активная мощность)",B219,M219)+Статистика!$J$4))-Статистика!$C$10)/MAX(Статистика!$G$10-Статистика!$C$10,0.000001),NA()))</f>
        <v>0.1299805268333333</v>
      </c>
      <c r="BK219" s="12">
        <f>IF(A219="",NA(),IF(Статистика!$H$8="Вкл",(((IF(Статистика!$C$4="Параллельный режим (активная мощность)",J219,U219)+Статистика!$J$4))-Статистика!$C$10)/MAX(Статистика!$G$10-Статистика!$C$10,0.000001),NA()))</f>
        <v>0.71708304822222246</v>
      </c>
      <c r="BL219" s="12" t="e">
        <f>IF(A219="",NA(),IF(Статистика!$J$8="Вкл",(((IF(Статистика!$C$4="Параллельный режим (активная мощность)",K219,V219)+Статистика!$J$4))-Статистика!$C$10)/MAX(Статистика!$G$10-Статистика!$C$10,0.000001),NA()))</f>
        <v>#N/A</v>
      </c>
      <c r="BM219" s="12" t="e">
        <f>IF(AND(A219&lt;&gt;"",Статистика!$C$6="Вкл",Статистика!$B$6&gt;0),(Статистика!$B$6-Статистика!$C$10)/MAX(Статистика!$G$10-Статистика!$C$10,0.000001),NA())</f>
        <v>#N/A</v>
      </c>
      <c r="BN219" s="12" t="e">
        <f>IF(AND(A219&lt;&gt;"",Статистика!$F$6="Вкл",Статистика!$E$6&gt;0),(Статистика!$E$6-Статистика!$C$10)/MAX(Статистика!$G$10-Статистика!$C$10,0.000001),NA())</f>
        <v>#N/A</v>
      </c>
      <c r="BO219" s="12" t="e">
        <f>IF(AND(A219&lt;&gt;"",Статистика!$I$6="Вкл",Статистика!$H$6&gt;0),(Статистика!$H$6-Статистика!$C$10)/MAX(Статистика!$G$10-Статистика!$C$10,0.000001),NA())</f>
        <v>#N/A</v>
      </c>
      <c r="BP219" s="12" t="e">
        <f>IF(AND(A219&lt;&gt;"",Статистика!$L$6="Вкл",Статистика!$K$6&gt;0),(Статистика!$K$6-Статистика!$C$10)/MAX(Статистика!$G$10-Статистика!$C$10,0.000001),NA())</f>
        <v>#N/A</v>
      </c>
      <c r="BQ219" s="12" t="e">
        <f>IF(AND(A219&lt;&gt;"",Статистика!$M$6="Вкл",Статистика!$O$6&gt;0),(Статистика!$O$6-Статистика!$C$10)/MAX(Статистика!$G$10-Статистика!$C$10,0.000001),NA())</f>
        <v>#N/A</v>
      </c>
      <c r="BR219" s="12">
        <f t="shared" si="6"/>
        <v>1</v>
      </c>
      <c r="BT219" s="12">
        <f>IF(Y219="","",MAX(0,MIN(1,(((IF(Статистика!$C$4="Параллельный режим (активная мощность)",Z219,AK219)+Статистика!$J$4))-Статистика!$C$10)/MAX(Статистика!$G$10-Статистика!$C$10,0.000001))))</f>
        <v>0.49211390055555571</v>
      </c>
      <c r="BU219" s="12">
        <f>IF(Y219="","",MAX(0,MAX(0,MIN(1,(((IF(Статистика!$C$4="Параллельный режим (активная мощность)",AB219,AM219)+Статистика!$J$4))-Статистика!$C$10)/MAX(Статистика!$G$10-Статистика!$C$10,0.000001)))-MAX(0,MIN(1,(((IF(Статистика!$C$4="Параллельный режим (активная мощность)",Z219,AK219)+Статистика!$J$4))-Статистика!$C$10)/MAX(Статистика!$G$10-Статистика!$C$10,0.000001)))))</f>
        <v>5.0199050000001022E-3</v>
      </c>
      <c r="BV219" s="12">
        <f>IF(Y219="","",MAX(0,MAX(0,MIN(1,(((IF(Статистика!$C$4="Параллельный режим (активная мощность)",AC219,AN219)+Статистика!$J$4))-Статистика!$C$10)/MAX(Статистика!$G$10-Статистика!$C$10,0.000001)))-MAX(0,MIN(1,(((IF(Статистика!$C$4="Параллельный режим (активная мощность)",AB219,AM219)+Статистика!$J$4))-Статистика!$C$10)/MAX(Статистика!$G$10-Статистика!$C$10,0.000001)))))</f>
        <v>1.3368994444444449E-2</v>
      </c>
      <c r="BW219" s="12">
        <f>IF(Y219="","",MAX(0,MAX(0,MIN(1,(((IF(Статистика!$C$4="Параллельный режим (активная мощность)",AD219,AO219)+Статистика!$J$4))-Статистика!$C$10)/MAX(Статистика!$G$10-Статистика!$C$10,0.000001)))-MAX(0,MIN(1,(((IF(Статистика!$C$4="Параллельный режим (активная мощность)",AC219,AN219)+Статистика!$J$4))-Статистика!$C$10)/MAX(Статистика!$G$10-Статистика!$C$10,0.000001)))))</f>
        <v>6.3853849999999435E-2</v>
      </c>
      <c r="BX219" s="12">
        <f>IF(Y219="","",MAX(0,MAX(0,MIN(1,(((IF(Статистика!$C$4="Параллельный режим (активная мощность)",AE219,AP219)+Статистика!$J$4))-Статистика!$C$10)/MAX(Статистика!$G$10-Статистика!$C$10,0.000001)))-MAX(0,MIN(1,(((IF(Статистика!$C$4="Параллельный режим (активная мощность)",AD219,AO219)+Статистика!$J$4))-Статистика!$C$10)/MAX(Статистика!$G$10-Статистика!$C$10,0.000001)))))</f>
        <v>4.003954444444513E-2</v>
      </c>
      <c r="BY219" s="12">
        <f>IF(Y219="","",MAX(0,MAX(0,MIN(1,(((IF(Статистика!$C$4="Параллельный режим (активная мощность)",AF219,AQ219)+Статистика!$J$4))-Статистика!$C$10)/MAX(Статистика!$G$10-Статистика!$C$10,0.000001)))-MAX(0,MIN(1,(((IF(Статистика!$C$4="Параллельный режим (активная мощность)",AE219,AP219)+Статистика!$J$4))-Статистика!$C$10)/MAX(Статистика!$G$10-Статистика!$C$10,0.000001)))))</f>
        <v>0.18149734833333298</v>
      </c>
      <c r="BZ219" s="12">
        <f>IF(Y219="","",MAX(0,MAX(0,MIN(1,(((IF(Статистика!$C$4="Параллельный режим (активная мощность)",AH219,AS219)+Статистика!$J$4))-Статистика!$C$10)/MAX(Статистика!$G$10-Статистика!$C$10,0.000001)))-MAX(0,MIN(1,(((IF(Статистика!$C$4="Параллельный режим (активная мощность)",AF219,AQ219)+Статистика!$J$4))-Статистика!$C$10)/MAX(Статистика!$G$10-Статистика!$C$10,0.000001)))))</f>
        <v>3.0769601500000188E-2</v>
      </c>
      <c r="CA219" s="12">
        <f>IF(Y219="","",MAX(0,1-MAX(0,MIN(1,(((IF(Статистика!$C$4="Параллельный режим (активная мощность)",AH219,AS219)+Статистика!$J$4))-Статистика!$C$10)/MAX(Статистика!$G$10-Статистика!$C$10,0.000001)))))</f>
        <v>0.17333685572222202</v>
      </c>
      <c r="CB219" s="12">
        <f>IF(Y219="",NA(),IF(Статистика!$B$8="Вкл",(((IF(Статистика!$C$4="Параллельный режим (активная мощность)",AD219,AO219)+Статистика!$J$4))-Статистика!$C$10)/MAX(Статистика!$G$10-Статистика!$C$10,0.000001),NA()))</f>
        <v>0.57435664999999969</v>
      </c>
      <c r="CC219" s="12">
        <f>IF(Y219="",NA(),IF(Статистика!$D$8="Вкл",(((IF(Статистика!$C$4="Параллельный режим (активная мощность)",AC219,AN219)+Статистика!$J$4))-Статистика!$C$10)/MAX(Статистика!$G$10-Статистика!$C$10,0.000001),NA()))</f>
        <v>0.51050280000000026</v>
      </c>
      <c r="CD219" s="12">
        <f>IF(Y219="",NA(),IF(Статистика!$D$8="Вкл",(((IF(Статистика!$C$4="Параллельный режим (активная мощность)",AE219,AP219)+Статистика!$J$4))-Статистика!$C$10)/MAX(Статистика!$G$10-Статистика!$C$10,0.000001),NA()))</f>
        <v>0.61439619444444482</v>
      </c>
      <c r="CE219" s="12">
        <f>IF(Y219="",NA(),IF(Статистика!$F$8="Вкл",(((IF(Статистика!$C$4="Параллельный режим (активная мощность)",AB219,AM219)+Статистика!$J$4))-Статистика!$C$10)/MAX(Статистика!$G$10-Статистика!$C$10,0.000001),NA()))</f>
        <v>0.49713380555555581</v>
      </c>
      <c r="CF219" s="12">
        <f>IF(Y219="",NA(),IF(Статистика!$F$8="Вкл",(((IF(Статистика!$C$4="Параллельный режим (активная мощность)",AF219,AQ219)+Статистика!$J$4))-Статистика!$C$10)/MAX(Статистика!$G$10-Статистика!$C$10,0.000001),NA()))</f>
        <v>0.7958935427777778</v>
      </c>
      <c r="CG219" s="12">
        <f>IF(Y219="",NA(),IF(Статистика!$H$8="Вкл",(((IF(Статистика!$C$4="Параллельный режим (активная мощность)",Z219,AK219)+Статистика!$J$4))-Статистика!$C$10)/MAX(Статистика!$G$10-Статистика!$C$10,0.000001),NA()))</f>
        <v>0.49211390055555571</v>
      </c>
      <c r="CH219" s="12">
        <f>IF(Y219="",NA(),IF(Статистика!$H$8="Вкл",(((IF(Статистика!$C$4="Параллельный режим (активная мощность)",AH219,AS219)+Статистика!$J$4))-Статистика!$C$10)/MAX(Статистика!$G$10-Статистика!$C$10,0.000001),NA()))</f>
        <v>0.82666314427777798</v>
      </c>
      <c r="CI219" s="12" t="e">
        <f>IF(Y219="",NA(),IF(Статистика!$J$8="Вкл",(((IF(Статистика!$C$4="Параллельный режим (активная мощность)",AI219,AT219)+Статистика!$J$4))-Статистика!$C$10)/MAX(Статистика!$G$10-Статистика!$C$10,0.000001),NA()))</f>
        <v>#N/A</v>
      </c>
      <c r="CJ219" s="12" t="e">
        <f>IF(AND(Y219&lt;&gt;"",Статистика!$C$6="Вкл",Статистика!$B$6&gt;0),(Статистика!$B$6-Статистика!$C$10)/MAX(Статистика!$G$10-Статистика!$C$10,0.000001),NA())</f>
        <v>#N/A</v>
      </c>
      <c r="CK219" s="12" t="e">
        <f>IF(AND(Y219&lt;&gt;"",Статистика!$F$6="Вкл",Статистика!$E$6&gt;0),(Статистика!$E$6-Статистика!$C$10)/MAX(Статистика!$G$10-Статистика!$C$10,0.000001),NA())</f>
        <v>#N/A</v>
      </c>
      <c r="CL219" s="12" t="e">
        <f>IF(AND(Y219&lt;&gt;"",Статистика!$I$6="Вкл",Статистика!$H$6&gt;0),(Статистика!$H$6-Статистика!$C$10)/MAX(Статистика!$G$10-Статистика!$C$10,0.000001),NA())</f>
        <v>#N/A</v>
      </c>
      <c r="CM219" s="12" t="e">
        <f>IF(AND(Y219&lt;&gt;"",Статистика!$L$6="Вкл",Статистика!$K$6&gt;0),(Статистика!$K$6-Статистика!$C$10)/MAX(Статистика!$G$10-Статистика!$C$10,0.000001),NA())</f>
        <v>#N/A</v>
      </c>
      <c r="CN219" s="12" t="e">
        <f>IF(AND(Y219&lt;&gt;"",Статистика!$M$6="Вкл",Статистика!$O$6&gt;0),(Статистика!$O$6-Статистика!$C$10)/MAX(Статистика!$G$10-Статистика!$C$10,0.000001),NA())</f>
        <v>#N/A</v>
      </c>
      <c r="CO219" s="12">
        <f t="shared" si="7"/>
        <v>1</v>
      </c>
    </row>
    <row r="220" spans="1:93" ht="15" customHeight="1">
      <c r="A220" s="12" t="s">
        <v>923</v>
      </c>
      <c r="B220" s="12">
        <v>2003.3020221666666</v>
      </c>
      <c r="C220" s="12">
        <v>5591.9781108333336</v>
      </c>
      <c r="D220" s="12">
        <v>7315.0127466666663</v>
      </c>
      <c r="E220" s="12">
        <v>7513.1295166666669</v>
      </c>
      <c r="F220" s="12">
        <v>7689.4845833333329</v>
      </c>
      <c r="G220" s="12">
        <v>7833.3410000000003</v>
      </c>
      <c r="H220" s="12">
        <v>8095.6479083333343</v>
      </c>
      <c r="I220" s="12">
        <v>8116.3522600000006</v>
      </c>
      <c r="J220" s="12">
        <v>8143.4961053333336</v>
      </c>
      <c r="K220" s="12">
        <v>8245.9599999999991</v>
      </c>
      <c r="L220" s="12" t="s">
        <v>924</v>
      </c>
      <c r="M220" s="12">
        <v>2387.956707833333</v>
      </c>
      <c r="N220" s="12">
        <v>6356.2479391666666</v>
      </c>
      <c r="O220" s="12">
        <v>8261.5237883333339</v>
      </c>
      <c r="P220" s="12">
        <v>8631.0937333333331</v>
      </c>
      <c r="Q220" s="12">
        <v>8686.7983500000009</v>
      </c>
      <c r="R220" s="12">
        <v>8974.343308333333</v>
      </c>
      <c r="S220" s="12">
        <v>9109.4546233333331</v>
      </c>
      <c r="T220" s="12">
        <v>9126.5548158333331</v>
      </c>
      <c r="U220" s="12">
        <v>9153.7500298333343</v>
      </c>
      <c r="V220" s="12">
        <v>9253.31</v>
      </c>
      <c r="W220" s="12" t="s">
        <v>925</v>
      </c>
      <c r="Y220" s="12" t="s">
        <v>923</v>
      </c>
      <c r="Z220" s="12">
        <v>7494.5508335000004</v>
      </c>
      <c r="AA220" s="12">
        <v>7497.9703008333336</v>
      </c>
      <c r="AB220" s="12">
        <v>7502.2446350000009</v>
      </c>
      <c r="AC220" s="12">
        <v>7546.6434916666676</v>
      </c>
      <c r="AD220" s="12">
        <v>7691.4938999999995</v>
      </c>
      <c r="AE220" s="12">
        <v>7832.5401083333336</v>
      </c>
      <c r="AF220" s="12">
        <v>8332.7793633333331</v>
      </c>
      <c r="AG220" s="12">
        <v>8412.4100316666663</v>
      </c>
      <c r="AH220" s="12">
        <v>8476.1145663333336</v>
      </c>
      <c r="AI220" s="12">
        <v>8575.1200000000008</v>
      </c>
      <c r="AJ220" s="12" t="s">
        <v>926</v>
      </c>
      <c r="AK220" s="12">
        <v>8472.7482248333363</v>
      </c>
      <c r="AL220" s="12">
        <v>8489.0425908333345</v>
      </c>
      <c r="AM220" s="12">
        <v>8509.4105483333333</v>
      </c>
      <c r="AN220" s="12">
        <v>8608.0151083333349</v>
      </c>
      <c r="AO220" s="12">
        <v>8699.1718666666657</v>
      </c>
      <c r="AP220" s="12">
        <v>8929.836150000001</v>
      </c>
      <c r="AQ220" s="12">
        <v>9410.7675983333338</v>
      </c>
      <c r="AR220" s="12">
        <v>9487.9123491666669</v>
      </c>
      <c r="AS220" s="12">
        <v>9549.6281498333337</v>
      </c>
      <c r="AT220" s="12">
        <v>9657.9</v>
      </c>
      <c r="AU220" s="12" t="s">
        <v>927</v>
      </c>
      <c r="AW220" s="12">
        <f>IF(A220="","",MAX(0,MIN(1,(((IF(Статистика!$C$4="Параллельный режим (активная мощность)",B220,M220)+Статистика!$J$4))-Статистика!$C$10)/MAX(Статистика!$G$10-Статистика!$C$10,0.000001))))</f>
        <v>0</v>
      </c>
      <c r="AX220" s="12">
        <f>IF(A220="","",MAX(0,MAX(0,MIN(1,(((IF(Статистика!$C$4="Параллельный режим (активная мощность)",D220,O220)+Статистика!$J$4))-Статистика!$C$10)/MAX(Статистика!$G$10-Статистика!$C$10,0.000001)))-MAX(0,MIN(1,(((IF(Статистика!$C$4="Параллельный режим (активная мощность)",B220,M220)+Статистика!$J$4))-Статистика!$C$10)/MAX(Статистика!$G$10-Статистика!$C$10,0.000001)))))</f>
        <v>0.43833758222222213</v>
      </c>
      <c r="AY220" s="12">
        <f>IF(A220="","",MAX(0,MAX(0,MIN(1,(((IF(Статистика!$C$4="Параллельный режим (активная мощность)",E220,P220)+Статистика!$J$4))-Статистика!$C$10)/MAX(Статистика!$G$10-Статистика!$C$10,0.000001)))-MAX(0,MIN(1,(((IF(Статистика!$C$4="Параллельный режим (активная мощность)",D220,O220)+Статистика!$J$4))-Статистика!$C$10)/MAX(Статистика!$G$10-Статистика!$C$10,0.000001)))))</f>
        <v>6.6038923333333444E-2</v>
      </c>
      <c r="AZ220" s="12">
        <f>IF(A220="","",MAX(0,MAX(0,MIN(1,(((IF(Статистика!$C$4="Параллельный режим (активная мощность)",F220,Q220)+Статистика!$J$4))-Статистика!$C$10)/MAX(Статистика!$G$10-Статистика!$C$10,0.000001)))-MAX(0,MIN(1,(((IF(Статистика!$C$4="Параллельный режим (активная мощность)",E220,P220)+Статистика!$J$4))-Статистика!$C$10)/MAX(Статистика!$G$10-Статистика!$C$10,0.000001)))))</f>
        <v>5.8785022222222039E-2</v>
      </c>
      <c r="BA220" s="12">
        <f>IF(A220="","",MAX(0,MAX(0,MIN(1,(((IF(Статистика!$C$4="Параллельный режим (активная мощность)",G220,R220)+Статистика!$J$4))-Статистика!$C$10)/MAX(Статистика!$G$10-Статистика!$C$10,0.000001)))-MAX(0,MIN(1,(((IF(Статистика!$C$4="Параллельный режим (активная мощность)",F220,Q220)+Статистика!$J$4))-Статистика!$C$10)/MAX(Статистика!$G$10-Статистика!$C$10,0.000001)))))</f>
        <v>4.7952138888889162E-2</v>
      </c>
      <c r="BB220" s="12">
        <f>IF(A220="","",MAX(0,MAX(0,MIN(1,(((IF(Статистика!$C$4="Параллельный режим (активная мощность)",H220,S220)+Статистика!$J$4))-Статистика!$C$10)/MAX(Статистика!$G$10-Статистика!$C$10,0.000001)))-MAX(0,MIN(1,(((IF(Статистика!$C$4="Параллельный режим (активная мощность)",G220,R220)+Статистика!$J$4))-Статистика!$C$10)/MAX(Статистика!$G$10-Статистика!$C$10,0.000001)))))</f>
        <v>8.743563611111127E-2</v>
      </c>
      <c r="BC220" s="12">
        <f>IF(A220="","",MAX(0,MAX(0,MIN(1,(((IF(Статистика!$C$4="Параллельный режим (активная мощность)",J220,U220)+Статистика!$J$4))-Статистика!$C$10)/MAX(Статистика!$G$10-Статистика!$C$10,0.000001)))-MAX(0,MIN(1,(((IF(Статистика!$C$4="Параллельный режим (активная мощность)",H220,S220)+Статистика!$J$4))-Статистика!$C$10)/MAX(Статистика!$G$10-Статистика!$C$10,0.000001)))))</f>
        <v>1.5949398999999809E-2</v>
      </c>
      <c r="BD220" s="12">
        <f>IF(A220="","",MAX(0,1-MAX(0,MIN(1,(((IF(Статистика!$C$4="Параллельный режим (активная мощность)",J220,U220)+Статистика!$J$4))-Статистика!$C$10)/MAX(Статистика!$G$10-Статистика!$C$10,0.000001)))))</f>
        <v>0.28550129822222214</v>
      </c>
      <c r="BE220" s="12">
        <f>IF(A220="",NA(),IF(Статистика!$B$8="Вкл",(((IF(Статистика!$C$4="Параллельный режим (активная мощность)",F220,Q220)+Статистика!$J$4))-Статистика!$C$10)/MAX(Статистика!$G$10-Статистика!$C$10,0.000001),NA()))</f>
        <v>0.56316152777777762</v>
      </c>
      <c r="BF220" s="12">
        <f>IF(A220="",NA(),IF(Статистика!$D$8="Вкл",(((IF(Статистика!$C$4="Параллельный режим (активная мощность)",E220,P220)+Статистика!$J$4))-Статистика!$C$10)/MAX(Статистика!$G$10-Статистика!$C$10,0.000001),NA()))</f>
        <v>0.50437650555555558</v>
      </c>
      <c r="BG220" s="12">
        <f>IF(A220="",NA(),IF(Статистика!$D$8="Вкл",(((IF(Статистика!$C$4="Параллельный режим (активная мощность)",G220,R220)+Статистика!$J$4))-Статистика!$C$10)/MAX(Статистика!$G$10-Статистика!$C$10,0.000001),NA()))</f>
        <v>0.61111366666666678</v>
      </c>
      <c r="BH220" s="12">
        <f>IF(A220="",NA(),IF(Статистика!$F$8="Вкл",(((IF(Статистика!$C$4="Параллельный режим (активная мощность)",D220,O220)+Статистика!$J$4))-Статистика!$C$10)/MAX(Статистика!$G$10-Статистика!$C$10,0.000001),NA()))</f>
        <v>0.43833758222222213</v>
      </c>
      <c r="BI220" s="12">
        <f>IF(A220="",NA(),IF(Статистика!$F$8="Вкл",(((IF(Статистика!$C$4="Параллельный режим (активная мощность)",H220,S220)+Статистика!$J$4))-Статистика!$C$10)/MAX(Статистика!$G$10-Статистика!$C$10,0.000001),NA()))</f>
        <v>0.69854930277777805</v>
      </c>
      <c r="BJ220" s="12">
        <f>IF(A220="",NA(),IF(Статистика!$H$8="Вкл",(((IF(Статистика!$C$4="Параллельный режим (активная мощность)",B220,M220)+Статистика!$J$4))-Статистика!$C$10)/MAX(Статистика!$G$10-Статистика!$C$10,0.000001),NA()))</f>
        <v>-1.3322326592777778</v>
      </c>
      <c r="BK220" s="12">
        <f>IF(A220="",NA(),IF(Статистика!$H$8="Вкл",(((IF(Статистика!$C$4="Параллельный режим (активная мощность)",J220,U220)+Статистика!$J$4))-Статистика!$C$10)/MAX(Статистика!$G$10-Статистика!$C$10,0.000001),NA()))</f>
        <v>0.71449870177777786</v>
      </c>
      <c r="BL220" s="12" t="e">
        <f>IF(A220="",NA(),IF(Статистика!$J$8="Вкл",(((IF(Статистика!$C$4="Параллельный режим (активная мощность)",K220,V220)+Статистика!$J$4))-Статистика!$C$10)/MAX(Статистика!$G$10-Статистика!$C$10,0.000001),NA()))</f>
        <v>#N/A</v>
      </c>
      <c r="BM220" s="12" t="e">
        <f>IF(AND(A220&lt;&gt;"",Статистика!$C$6="Вкл",Статистика!$B$6&gt;0),(Статистика!$B$6-Статистика!$C$10)/MAX(Статистика!$G$10-Статистика!$C$10,0.000001),NA())</f>
        <v>#N/A</v>
      </c>
      <c r="BN220" s="12" t="e">
        <f>IF(AND(A220&lt;&gt;"",Статистика!$F$6="Вкл",Статистика!$E$6&gt;0),(Статистика!$E$6-Статистика!$C$10)/MAX(Статистика!$G$10-Статистика!$C$10,0.000001),NA())</f>
        <v>#N/A</v>
      </c>
      <c r="BO220" s="12" t="e">
        <f>IF(AND(A220&lt;&gt;"",Статистика!$I$6="Вкл",Статистика!$H$6&gt;0),(Статистика!$H$6-Статистика!$C$10)/MAX(Статистика!$G$10-Статистика!$C$10,0.000001),NA())</f>
        <v>#N/A</v>
      </c>
      <c r="BP220" s="12" t="e">
        <f>IF(AND(A220&lt;&gt;"",Статистика!$L$6="Вкл",Статистика!$K$6&gt;0),(Статистика!$K$6-Статистика!$C$10)/MAX(Статистика!$G$10-Статистика!$C$10,0.000001),NA())</f>
        <v>#N/A</v>
      </c>
      <c r="BQ220" s="12" t="e">
        <f>IF(AND(A220&lt;&gt;"",Статистика!$M$6="Вкл",Статистика!$O$6&gt;0),(Статистика!$O$6-Статистика!$C$10)/MAX(Статистика!$G$10-Статистика!$C$10,0.000001),NA())</f>
        <v>#N/A</v>
      </c>
      <c r="BR220" s="12">
        <f t="shared" si="6"/>
        <v>1</v>
      </c>
      <c r="BT220" s="12">
        <f>IF(Y220="","",MAX(0,MIN(1,(((IF(Статистика!$C$4="Параллельный режим (активная мощность)",Z220,AK220)+Статистика!$J$4))-Статистика!$C$10)/MAX(Статистика!$G$10-Статистика!$C$10,0.000001))))</f>
        <v>0.49818361116666682</v>
      </c>
      <c r="BU220" s="12">
        <f>IF(Y220="","",MAX(0,MAX(0,MIN(1,(((IF(Статистика!$C$4="Параллельный режим (активная мощность)",AB220,AM220)+Статистика!$J$4))-Статистика!$C$10)/MAX(Статистика!$G$10-Статистика!$C$10,0.000001)))-MAX(0,MIN(1,(((IF(Статистика!$C$4="Параллельный режим (активная мощность)",Z220,AK220)+Статистика!$J$4))-Статистика!$C$10)/MAX(Статистика!$G$10-Статистика!$C$10,0.000001)))))</f>
        <v>2.5646005000001248E-3</v>
      </c>
      <c r="BV220" s="12">
        <f>IF(Y220="","",MAX(0,MAX(0,MIN(1,(((IF(Статистика!$C$4="Параллельный режим (активная мощность)",AC220,AN220)+Статистика!$J$4))-Статистика!$C$10)/MAX(Статистика!$G$10-Статистика!$C$10,0.000001)))-MAX(0,MIN(1,(((IF(Статистика!$C$4="Параллельный режим (активная мощность)",AB220,AM220)+Статистика!$J$4))-Статистика!$C$10)/MAX(Статистика!$G$10-Статистика!$C$10,0.000001)))))</f>
        <v>1.4799618888888921E-2</v>
      </c>
      <c r="BW220" s="12">
        <f>IF(Y220="","",MAX(0,MAX(0,MIN(1,(((IF(Статистика!$C$4="Параллельный режим (активная мощность)",AD220,AO220)+Статистика!$J$4))-Статистика!$C$10)/MAX(Статистика!$G$10-Статистика!$C$10,0.000001)))-MAX(0,MIN(1,(((IF(Статистика!$C$4="Параллельный режим (активная мощность)",AC220,AN220)+Статистика!$J$4))-Статистика!$C$10)/MAX(Статистика!$G$10-Статистика!$C$10,0.000001)))))</f>
        <v>4.8283469444443949E-2</v>
      </c>
      <c r="BX220" s="12">
        <f>IF(Y220="","",MAX(0,MAX(0,MIN(1,(((IF(Статистика!$C$4="Параллельный режим (активная мощность)",AE220,AP220)+Статистика!$J$4))-Статистика!$C$10)/MAX(Статистика!$G$10-Статистика!$C$10,0.000001)))-MAX(0,MIN(1,(((IF(Статистика!$C$4="Параллельный режим (активная мощность)",AD220,AO220)+Статистика!$J$4))-Статистика!$C$10)/MAX(Статистика!$G$10-Статистика!$C$10,0.000001)))))</f>
        <v>4.7015402777778048E-2</v>
      </c>
      <c r="BY220" s="12">
        <f>IF(Y220="","",MAX(0,MAX(0,MIN(1,(((IF(Статистика!$C$4="Параллельный режим (активная мощность)",AF220,AQ220)+Статистика!$J$4))-Статистика!$C$10)/MAX(Статистика!$G$10-Статистика!$C$10,0.000001)))-MAX(0,MIN(1,(((IF(Статистика!$C$4="Параллельный режим (активная мощность)",AE220,AP220)+Статистика!$J$4))-Статистика!$C$10)/MAX(Статистика!$G$10-Статистика!$C$10,0.000001)))))</f>
        <v>0.16674641833333315</v>
      </c>
      <c r="BZ220" s="12">
        <f>IF(Y220="","",MAX(0,MAX(0,MIN(1,(((IF(Статистика!$C$4="Параллельный режим (активная мощность)",AH220,AS220)+Статистика!$J$4))-Статистика!$C$10)/MAX(Статистика!$G$10-Статистика!$C$10,0.000001)))-MAX(0,MIN(1,(((IF(Статистика!$C$4="Параллельный режим (активная мощность)",AF220,AQ220)+Статистика!$J$4))-Статистика!$C$10)/MAX(Статистика!$G$10-Статистика!$C$10,0.000001)))))</f>
        <v>4.7778401000000192E-2</v>
      </c>
      <c r="CA220" s="12">
        <f>IF(Y220="","",MAX(0,1-MAX(0,MIN(1,(((IF(Статистика!$C$4="Параллельный режим (активная мощность)",AH220,AS220)+Статистика!$J$4))-Статистика!$C$10)/MAX(Статистика!$G$10-Статистика!$C$10,0.000001)))))</f>
        <v>0.1746284778888888</v>
      </c>
      <c r="CB220" s="12">
        <f>IF(Y220="",NA(),IF(Статистика!$B$8="Вкл",(((IF(Статистика!$C$4="Параллельный режим (активная мощность)",AD220,AO220)+Статистика!$J$4))-Статистика!$C$10)/MAX(Статистика!$G$10-Статистика!$C$10,0.000001),NA()))</f>
        <v>0.56383129999999981</v>
      </c>
      <c r="CC220" s="12">
        <f>IF(Y220="",NA(),IF(Статистика!$D$8="Вкл",(((IF(Статистика!$C$4="Параллельный режим (активная мощность)",AC220,AN220)+Статистика!$J$4))-Статистика!$C$10)/MAX(Статистика!$G$10-Статистика!$C$10,0.000001),NA()))</f>
        <v>0.51554783055555586</v>
      </c>
      <c r="CD220" s="12">
        <f>IF(Y220="",NA(),IF(Статистика!$D$8="Вкл",(((IF(Статистика!$C$4="Параллельный режим (активная мощность)",AE220,AP220)+Статистика!$J$4))-Статистика!$C$10)/MAX(Статистика!$G$10-Статистика!$C$10,0.000001),NA()))</f>
        <v>0.61084670277777786</v>
      </c>
      <c r="CE220" s="12">
        <f>IF(Y220="",NA(),IF(Статистика!$F$8="Вкл",(((IF(Статистика!$C$4="Параллельный режим (активная мощность)",AB220,AM220)+Статистика!$J$4))-Статистика!$C$10)/MAX(Статистика!$G$10-Статистика!$C$10,0.000001),NA()))</f>
        <v>0.50074821166666694</v>
      </c>
      <c r="CF220" s="12">
        <f>IF(Y220="",NA(),IF(Статистика!$F$8="Вкл",(((IF(Статистика!$C$4="Параллельный режим (активная мощность)",AF220,AQ220)+Статистика!$J$4))-Статистика!$C$10)/MAX(Статистика!$G$10-Статистика!$C$10,0.000001),NA()))</f>
        <v>0.77759312111111101</v>
      </c>
      <c r="CG220" s="12">
        <f>IF(Y220="",NA(),IF(Статистика!$H$8="Вкл",(((IF(Статистика!$C$4="Параллельный режим (активная мощность)",Z220,AK220)+Статистика!$J$4))-Статистика!$C$10)/MAX(Статистика!$G$10-Статистика!$C$10,0.000001),NA()))</f>
        <v>0.49818361116666682</v>
      </c>
      <c r="CH220" s="12">
        <f>IF(Y220="",NA(),IF(Статистика!$H$8="Вкл",(((IF(Статистика!$C$4="Параллельный режим (активная мощность)",AH220,AS220)+Статистика!$J$4))-Статистика!$C$10)/MAX(Статистика!$G$10-Статистика!$C$10,0.000001),NA()))</f>
        <v>0.8253715221111112</v>
      </c>
      <c r="CI220" s="12" t="e">
        <f>IF(Y220="",NA(),IF(Статистика!$J$8="Вкл",(((IF(Статистика!$C$4="Параллельный режим (активная мощность)",AI220,AT220)+Статистика!$J$4))-Статистика!$C$10)/MAX(Статистика!$G$10-Статистика!$C$10,0.000001),NA()))</f>
        <v>#N/A</v>
      </c>
      <c r="CJ220" s="12" t="e">
        <f>IF(AND(Y220&lt;&gt;"",Статистика!$C$6="Вкл",Статистика!$B$6&gt;0),(Статистика!$B$6-Статистика!$C$10)/MAX(Статистика!$G$10-Статистика!$C$10,0.000001),NA())</f>
        <v>#N/A</v>
      </c>
      <c r="CK220" s="12" t="e">
        <f>IF(AND(Y220&lt;&gt;"",Статистика!$F$6="Вкл",Статистика!$E$6&gt;0),(Статистика!$E$6-Статистика!$C$10)/MAX(Статистика!$G$10-Статистика!$C$10,0.000001),NA())</f>
        <v>#N/A</v>
      </c>
      <c r="CL220" s="12" t="e">
        <f>IF(AND(Y220&lt;&gt;"",Статистика!$I$6="Вкл",Статистика!$H$6&gt;0),(Статистика!$H$6-Статистика!$C$10)/MAX(Статистика!$G$10-Статистика!$C$10,0.000001),NA())</f>
        <v>#N/A</v>
      </c>
      <c r="CM220" s="12" t="e">
        <f>IF(AND(Y220&lt;&gt;"",Статистика!$L$6="Вкл",Статистика!$K$6&gt;0),(Статистика!$K$6-Статистика!$C$10)/MAX(Статистика!$G$10-Статистика!$C$10,0.000001),NA())</f>
        <v>#N/A</v>
      </c>
      <c r="CN220" s="12" t="e">
        <f>IF(AND(Y220&lt;&gt;"",Статистика!$M$6="Вкл",Статистика!$O$6&gt;0),(Статистика!$O$6-Статистика!$C$10)/MAX(Статистика!$G$10-Статистика!$C$10,0.000001),NA())</f>
        <v>#N/A</v>
      </c>
      <c r="CO220" s="12">
        <f t="shared" si="7"/>
        <v>1</v>
      </c>
    </row>
    <row r="221" spans="1:93" ht="15" customHeight="1">
      <c r="A221" s="12" t="s">
        <v>928</v>
      </c>
      <c r="B221" s="12">
        <v>1922.6678286666668</v>
      </c>
      <c r="C221" s="12">
        <v>5529.2522100000006</v>
      </c>
      <c r="D221" s="12">
        <v>7263.9232416666673</v>
      </c>
      <c r="E221" s="12">
        <v>7518.2604250000004</v>
      </c>
      <c r="F221" s="12">
        <v>7719.3607499999998</v>
      </c>
      <c r="G221" s="12">
        <v>7836.0198166666669</v>
      </c>
      <c r="H221" s="12">
        <v>8103.6974750000008</v>
      </c>
      <c r="I221" s="12">
        <v>8123.1285466666668</v>
      </c>
      <c r="J221" s="12">
        <v>8159.9890160000004</v>
      </c>
      <c r="K221" s="12">
        <v>8259.18</v>
      </c>
      <c r="L221" s="12" t="s">
        <v>929</v>
      </c>
      <c r="M221" s="12">
        <v>2259.0047975000002</v>
      </c>
      <c r="N221" s="12">
        <v>6290.0427875000014</v>
      </c>
      <c r="O221" s="12">
        <v>8221.6528400000007</v>
      </c>
      <c r="P221" s="12">
        <v>8572.9227666666666</v>
      </c>
      <c r="Q221" s="12">
        <v>8738.020199999999</v>
      </c>
      <c r="R221" s="12">
        <v>8941.565833333334</v>
      </c>
      <c r="S221" s="12">
        <v>9129.9014333333325</v>
      </c>
      <c r="T221" s="12">
        <v>9154.9443616666649</v>
      </c>
      <c r="U221" s="12">
        <v>9178.0866323333321</v>
      </c>
      <c r="V221" s="12">
        <v>9280.77</v>
      </c>
      <c r="W221" s="12" t="s">
        <v>930</v>
      </c>
      <c r="Y221" s="12" t="s">
        <v>928</v>
      </c>
      <c r="Z221" s="12">
        <v>7395.423899333332</v>
      </c>
      <c r="AA221" s="12">
        <v>7414.1681633333328</v>
      </c>
      <c r="AB221" s="12">
        <v>7437.5984933333339</v>
      </c>
      <c r="AC221" s="12">
        <v>7568.558458333333</v>
      </c>
      <c r="AD221" s="12">
        <v>7713.335500000001</v>
      </c>
      <c r="AE221" s="12">
        <v>7834.9235916666657</v>
      </c>
      <c r="AF221" s="12">
        <v>8313.2999683333328</v>
      </c>
      <c r="AG221" s="12">
        <v>8394.6666841666647</v>
      </c>
      <c r="AH221" s="12">
        <v>8459.7600568333328</v>
      </c>
      <c r="AI221" s="12">
        <v>8551.36</v>
      </c>
      <c r="AJ221" s="12" t="s">
        <v>931</v>
      </c>
      <c r="AK221" s="12">
        <v>8373.0990518333347</v>
      </c>
      <c r="AL221" s="12">
        <v>8412.2979258333344</v>
      </c>
      <c r="AM221" s="12">
        <v>8461.2965183333345</v>
      </c>
      <c r="AN221" s="12">
        <v>8645.0736666666671</v>
      </c>
      <c r="AO221" s="12">
        <v>8729.2440333333325</v>
      </c>
      <c r="AP221" s="12">
        <v>8910.932233333333</v>
      </c>
      <c r="AQ221" s="12">
        <v>9390.7289983333339</v>
      </c>
      <c r="AR221" s="12">
        <v>9466.1119158333331</v>
      </c>
      <c r="AS221" s="12">
        <v>9526.4182498333339</v>
      </c>
      <c r="AT221" s="12">
        <v>9621.31</v>
      </c>
      <c r="AU221" s="12" t="s">
        <v>932</v>
      </c>
      <c r="AW221" s="12">
        <f>IF(A221="","",MAX(0,MIN(1,(((IF(Статистика!$C$4="Параллельный режим (активная мощность)",B221,M221)+Статистика!$J$4))-Статистика!$C$10)/MAX(Статистика!$G$10-Статистика!$C$10,0.000001))))</f>
        <v>0</v>
      </c>
      <c r="AX221" s="12">
        <f>IF(A221="","",MAX(0,MAX(0,MIN(1,(((IF(Статистика!$C$4="Параллельный режим (активная мощность)",D221,O221)+Статистика!$J$4))-Статистика!$C$10)/MAX(Статистика!$G$10-Статистика!$C$10,0.000001)))-MAX(0,MIN(1,(((IF(Статистика!$C$4="Параллельный режим (активная мощность)",B221,M221)+Статистика!$J$4))-Статистика!$C$10)/MAX(Статистика!$G$10-Статистика!$C$10,0.000001)))))</f>
        <v>0.42130774722222242</v>
      </c>
      <c r="AY221" s="12">
        <f>IF(A221="","",MAX(0,MAX(0,MIN(1,(((IF(Статистика!$C$4="Параллельный режим (активная мощность)",E221,P221)+Статистика!$J$4))-Статистика!$C$10)/MAX(Статистика!$G$10-Статистика!$C$10,0.000001)))-MAX(0,MIN(1,(((IF(Статистика!$C$4="Параллельный режим (активная мощность)",D221,O221)+Статистика!$J$4))-Статистика!$C$10)/MAX(Статистика!$G$10-Статистика!$C$10,0.000001)))))</f>
        <v>8.4779061111110998E-2</v>
      </c>
      <c r="AZ221" s="12">
        <f>IF(A221="","",MAX(0,MAX(0,MIN(1,(((IF(Статистика!$C$4="Параллельный режим (активная мощность)",F221,Q221)+Статистика!$J$4))-Статистика!$C$10)/MAX(Статистика!$G$10-Статистика!$C$10,0.000001)))-MAX(0,MIN(1,(((IF(Статистика!$C$4="Параллельный режим (активная мощность)",E221,P221)+Статистика!$J$4))-Статистика!$C$10)/MAX(Статистика!$G$10-Статистика!$C$10,0.000001)))))</f>
        <v>6.7033441666666471E-2</v>
      </c>
      <c r="BA221" s="12">
        <f>IF(A221="","",MAX(0,MAX(0,MIN(1,(((IF(Статистика!$C$4="Параллельный режим (активная мощность)",G221,R221)+Статистика!$J$4))-Статистика!$C$10)/MAX(Статистика!$G$10-Статистика!$C$10,0.000001)))-MAX(0,MIN(1,(((IF(Статистика!$C$4="Параллельный режим (активная мощность)",F221,Q221)+Статистика!$J$4))-Статистика!$C$10)/MAX(Статистика!$G$10-Статистика!$C$10,0.000001)))))</f>
        <v>3.8886355555555752E-2</v>
      </c>
      <c r="BB221" s="12">
        <f>IF(A221="","",MAX(0,MAX(0,MIN(1,(((IF(Статистика!$C$4="Параллельный режим (активная мощность)",H221,S221)+Статистика!$J$4))-Статистика!$C$10)/MAX(Статистика!$G$10-Статистика!$C$10,0.000001)))-MAX(0,MIN(1,(((IF(Статистика!$C$4="Параллельный режим (активная мощность)",G221,R221)+Статистика!$J$4))-Статистика!$C$10)/MAX(Статистика!$G$10-Статистика!$C$10,0.000001)))))</f>
        <v>8.9225886111111263E-2</v>
      </c>
      <c r="BC221" s="12">
        <f>IF(A221="","",MAX(0,MAX(0,MIN(1,(((IF(Статистика!$C$4="Параллельный режим (активная мощность)",J221,U221)+Статистика!$J$4))-Статистика!$C$10)/MAX(Статистика!$G$10-Статистика!$C$10,0.000001)))-MAX(0,MIN(1,(((IF(Статистика!$C$4="Параллельный режим (активная мощность)",H221,S221)+Статистика!$J$4))-Статистика!$C$10)/MAX(Статистика!$G$10-Статистика!$C$10,0.000001)))))</f>
        <v>1.8763846999999889E-2</v>
      </c>
      <c r="BD221" s="12">
        <f>IF(A221="","",MAX(0,1-MAX(0,MIN(1,(((IF(Статистика!$C$4="Параллельный режим (активная мощность)",J221,U221)+Статистика!$J$4))-Статистика!$C$10)/MAX(Статистика!$G$10-Статистика!$C$10,0.000001)))))</f>
        <v>0.28000366133333321</v>
      </c>
      <c r="BE221" s="12">
        <f>IF(A221="",NA(),IF(Статистика!$B$8="Вкл",(((IF(Статистика!$C$4="Параллельный режим (активная мощность)",F221,Q221)+Статистика!$J$4))-Статистика!$C$10)/MAX(Статистика!$G$10-Статистика!$C$10,0.000001),NA()))</f>
        <v>0.57312024999999989</v>
      </c>
      <c r="BF221" s="12">
        <f>IF(A221="",NA(),IF(Статистика!$D$8="Вкл",(((IF(Статистика!$C$4="Параллельный режим (активная мощность)",E221,P221)+Статистика!$J$4))-Статистика!$C$10)/MAX(Статистика!$G$10-Статистика!$C$10,0.000001),NA()))</f>
        <v>0.50608680833333342</v>
      </c>
      <c r="BG221" s="12">
        <f>IF(A221="",NA(),IF(Статистика!$D$8="Вкл",(((IF(Статистика!$C$4="Параллельный режим (активная мощность)",G221,R221)+Статистика!$J$4))-Статистика!$C$10)/MAX(Статистика!$G$10-Статистика!$C$10,0.000001),NA()))</f>
        <v>0.61200660555555564</v>
      </c>
      <c r="BH221" s="12">
        <f>IF(A221="",NA(),IF(Статистика!$F$8="Вкл",(((IF(Статистика!$C$4="Параллельный режим (активная мощность)",D221,O221)+Статистика!$J$4))-Статистика!$C$10)/MAX(Статистика!$G$10-Статистика!$C$10,0.000001),NA()))</f>
        <v>0.42130774722222242</v>
      </c>
      <c r="BI221" s="12">
        <f>IF(A221="",NA(),IF(Статистика!$F$8="Вкл",(((IF(Статистика!$C$4="Параллельный режим (активная мощность)",H221,S221)+Статистика!$J$4))-Статистика!$C$10)/MAX(Статистика!$G$10-Статистика!$C$10,0.000001),NA()))</f>
        <v>0.7012324916666669</v>
      </c>
      <c r="BJ221" s="12">
        <f>IF(A221="",NA(),IF(Статистика!$H$8="Вкл",(((IF(Статистика!$C$4="Параллельный режим (активная мощность)",B221,M221)+Статистика!$J$4))-Статистика!$C$10)/MAX(Статистика!$G$10-Статистика!$C$10,0.000001),NA()))</f>
        <v>-1.3591107237777778</v>
      </c>
      <c r="BK221" s="12">
        <f>IF(A221="",NA(),IF(Статистика!$H$8="Вкл",(((IF(Статистика!$C$4="Параллельный режим (активная мощность)",J221,U221)+Статистика!$J$4))-Статистика!$C$10)/MAX(Статистика!$G$10-Статистика!$C$10,0.000001),NA()))</f>
        <v>0.71999633866666679</v>
      </c>
      <c r="BL221" s="12" t="e">
        <f>IF(A221="",NA(),IF(Статистика!$J$8="Вкл",(((IF(Статистика!$C$4="Параллельный режим (активная мощность)",K221,V221)+Статистика!$J$4))-Статистика!$C$10)/MAX(Статистика!$G$10-Статистика!$C$10,0.000001),NA()))</f>
        <v>#N/A</v>
      </c>
      <c r="BM221" s="12" t="e">
        <f>IF(AND(A221&lt;&gt;"",Статистика!$C$6="Вкл",Статистика!$B$6&gt;0),(Статистика!$B$6-Статистика!$C$10)/MAX(Статистика!$G$10-Статистика!$C$10,0.000001),NA())</f>
        <v>#N/A</v>
      </c>
      <c r="BN221" s="12" t="e">
        <f>IF(AND(A221&lt;&gt;"",Статистика!$F$6="Вкл",Статистика!$E$6&gt;0),(Статистика!$E$6-Статистика!$C$10)/MAX(Статистика!$G$10-Статистика!$C$10,0.000001),NA())</f>
        <v>#N/A</v>
      </c>
      <c r="BO221" s="12" t="e">
        <f>IF(AND(A221&lt;&gt;"",Статистика!$I$6="Вкл",Статистика!$H$6&gt;0),(Статистика!$H$6-Статистика!$C$10)/MAX(Статистика!$G$10-Статистика!$C$10,0.000001),NA())</f>
        <v>#N/A</v>
      </c>
      <c r="BP221" s="12" t="e">
        <f>IF(AND(A221&lt;&gt;"",Статистика!$L$6="Вкл",Статистика!$K$6&gt;0),(Статистика!$K$6-Статистика!$C$10)/MAX(Статистика!$G$10-Статистика!$C$10,0.000001),NA())</f>
        <v>#N/A</v>
      </c>
      <c r="BQ221" s="12" t="e">
        <f>IF(AND(A221&lt;&gt;"",Статистика!$M$6="Вкл",Статистика!$O$6&gt;0),(Статистика!$O$6-Статистика!$C$10)/MAX(Статистика!$G$10-Статистика!$C$10,0.000001),NA())</f>
        <v>#N/A</v>
      </c>
      <c r="BR221" s="12">
        <f t="shared" si="6"/>
        <v>1</v>
      </c>
      <c r="BT221" s="12">
        <f>IF(Y221="","",MAX(0,MIN(1,(((IF(Статистика!$C$4="Параллельный режим (активная мощность)",Z221,AK221)+Статистика!$J$4))-Статистика!$C$10)/MAX(Статистика!$G$10-Статистика!$C$10,0.000001))))</f>
        <v>0.46514129977777735</v>
      </c>
      <c r="BU221" s="12">
        <f>IF(Y221="","",MAX(0,MAX(0,MIN(1,(((IF(Статистика!$C$4="Параллельный режим (активная мощность)",AB221,AM221)+Статистика!$J$4))-Статистика!$C$10)/MAX(Статистика!$G$10-Статистика!$C$10,0.000001)))-MAX(0,MIN(1,(((IF(Статистика!$C$4="Параллельный режим (активная мощность)",Z221,AK221)+Статистика!$J$4))-Статистика!$C$10)/MAX(Статистика!$G$10-Статистика!$C$10,0.000001)))))</f>
        <v>1.4058198000000577E-2</v>
      </c>
      <c r="BV221" s="12">
        <f>IF(Y221="","",MAX(0,MAX(0,MIN(1,(((IF(Статистика!$C$4="Параллельный режим (активная мощность)",AC221,AN221)+Статистика!$J$4))-Статистика!$C$10)/MAX(Статистика!$G$10-Статистика!$C$10,0.000001)))-MAX(0,MIN(1,(((IF(Статистика!$C$4="Параллельный режим (активная мощность)",AB221,AM221)+Статистика!$J$4))-Статистика!$C$10)/MAX(Статистика!$G$10-Статистика!$C$10,0.000001)))))</f>
        <v>4.3653321666666356E-2</v>
      </c>
      <c r="BW221" s="12">
        <f>IF(Y221="","",MAX(0,MAX(0,MIN(1,(((IF(Статистика!$C$4="Параллельный режим (активная мощность)",AD221,AO221)+Статистика!$J$4))-Статистика!$C$10)/MAX(Статистика!$G$10-Статистика!$C$10,0.000001)))-MAX(0,MIN(1,(((IF(Статистика!$C$4="Параллельный режим (активная мощность)",AC221,AN221)+Статистика!$J$4))-Статистика!$C$10)/MAX(Статистика!$G$10-Статистика!$C$10,0.000001)))))</f>
        <v>4.8259013888889424E-2</v>
      </c>
      <c r="BX221" s="12">
        <f>IF(Y221="","",MAX(0,MAX(0,MIN(1,(((IF(Статистика!$C$4="Параллельный режим (активная мощность)",AE221,AP221)+Статистика!$J$4))-Статистика!$C$10)/MAX(Статистика!$G$10-Статистика!$C$10,0.000001)))-MAX(0,MIN(1,(((IF(Статистика!$C$4="Параллельный режим (активная мощность)",AD221,AO221)+Статистика!$J$4))-Статистика!$C$10)/MAX(Статистика!$G$10-Статистика!$C$10,0.000001)))))</f>
        <v>4.052936388888817E-2</v>
      </c>
      <c r="BY221" s="12">
        <f>IF(Y221="","",MAX(0,MAX(0,MIN(1,(((IF(Статистика!$C$4="Параллельный режим (активная мощность)",AF221,AQ221)+Статистика!$J$4))-Статистика!$C$10)/MAX(Статистика!$G$10-Статистика!$C$10,0.000001)))-MAX(0,MIN(1,(((IF(Статистика!$C$4="Параллельный режим (активная мощность)",AE221,AP221)+Статистика!$J$4))-Статистика!$C$10)/MAX(Статистика!$G$10-Статистика!$C$10,0.000001)))))</f>
        <v>0.15945879222222237</v>
      </c>
      <c r="BZ221" s="12">
        <f>IF(Y221="","",MAX(0,MAX(0,MIN(1,(((IF(Статистика!$C$4="Параллельный режим (активная мощность)",AH221,AS221)+Статистика!$J$4))-Статистика!$C$10)/MAX(Статистика!$G$10-Статистика!$C$10,0.000001)))-MAX(0,MIN(1,(((IF(Статистика!$C$4="Параллельный режим (активная мощность)",AF221,AQ221)+Статистика!$J$4))-Статистика!$C$10)/MAX(Статистика!$G$10-Статистика!$C$10,0.000001)))))</f>
        <v>4.8820029499999973E-2</v>
      </c>
      <c r="CA221" s="12">
        <f>IF(Y221="","",MAX(0,1-MAX(0,MIN(1,(((IF(Статистика!$C$4="Параллельный режим (активная мощность)",AH221,AS221)+Статистика!$J$4))-Статистика!$C$10)/MAX(Статистика!$G$10-Статистика!$C$10,0.000001)))))</f>
        <v>0.18007998105555578</v>
      </c>
      <c r="CB221" s="12">
        <f>IF(Y221="",NA(),IF(Статистика!$B$8="Вкл",(((IF(Статистика!$C$4="Параллельный режим (активная мощность)",AD221,AO221)+Статистика!$J$4))-Статистика!$C$10)/MAX(Статистика!$G$10-Статистика!$C$10,0.000001),NA()))</f>
        <v>0.57111183333333371</v>
      </c>
      <c r="CC221" s="12">
        <f>IF(Y221="",NA(),IF(Статистика!$D$8="Вкл",(((IF(Статистика!$C$4="Параллельный режим (активная мощность)",AC221,AN221)+Статистика!$J$4))-Статистика!$C$10)/MAX(Статистика!$G$10-Статистика!$C$10,0.000001),NA()))</f>
        <v>0.52285281944444428</v>
      </c>
      <c r="CD221" s="12">
        <f>IF(Y221="",NA(),IF(Статистика!$D$8="Вкл",(((IF(Статистика!$C$4="Параллельный режим (активная мощность)",AE221,AP221)+Статистика!$J$4))-Статистика!$C$10)/MAX(Статистика!$G$10-Статистика!$C$10,0.000001),NA()))</f>
        <v>0.61164119722222188</v>
      </c>
      <c r="CE221" s="12">
        <f>IF(Y221="",NA(),IF(Статистика!$F$8="Вкл",(((IF(Статистика!$C$4="Параллельный режим (активная мощность)",AB221,AM221)+Статистика!$J$4))-Статистика!$C$10)/MAX(Статистика!$G$10-Статистика!$C$10,0.000001),NA()))</f>
        <v>0.47919949777777793</v>
      </c>
      <c r="CF221" s="12">
        <f>IF(Y221="",NA(),IF(Статистика!$F$8="Вкл",(((IF(Статистика!$C$4="Параллельный режим (активная мощность)",AF221,AQ221)+Статистика!$J$4))-Статистика!$C$10)/MAX(Статистика!$G$10-Статистика!$C$10,0.000001),NA()))</f>
        <v>0.77109998944444424</v>
      </c>
      <c r="CG221" s="12">
        <f>IF(Y221="",NA(),IF(Статистика!$H$8="Вкл",(((IF(Статистика!$C$4="Параллельный режим (активная мощность)",Z221,AK221)+Статистика!$J$4))-Статистика!$C$10)/MAX(Статистика!$G$10-Статистика!$C$10,0.000001),NA()))</f>
        <v>0.46514129977777735</v>
      </c>
      <c r="CH221" s="12">
        <f>IF(Y221="",NA(),IF(Статистика!$H$8="Вкл",(((IF(Статистика!$C$4="Параллельный режим (активная мощность)",AH221,AS221)+Статистика!$J$4))-Статистика!$C$10)/MAX(Статистика!$G$10-Статистика!$C$10,0.000001),NA()))</f>
        <v>0.81992001894444422</v>
      </c>
      <c r="CI221" s="12" t="e">
        <f>IF(Y221="",NA(),IF(Статистика!$J$8="Вкл",(((IF(Статистика!$C$4="Параллельный режим (активная мощность)",AI221,AT221)+Статистика!$J$4))-Статистика!$C$10)/MAX(Статистика!$G$10-Статистика!$C$10,0.000001),NA()))</f>
        <v>#N/A</v>
      </c>
      <c r="CJ221" s="12" t="e">
        <f>IF(AND(Y221&lt;&gt;"",Статистика!$C$6="Вкл",Статистика!$B$6&gt;0),(Статистика!$B$6-Статистика!$C$10)/MAX(Статистика!$G$10-Статистика!$C$10,0.000001),NA())</f>
        <v>#N/A</v>
      </c>
      <c r="CK221" s="12" t="e">
        <f>IF(AND(Y221&lt;&gt;"",Статистика!$F$6="Вкл",Статистика!$E$6&gt;0),(Статистика!$E$6-Статистика!$C$10)/MAX(Статистика!$G$10-Статистика!$C$10,0.000001),NA())</f>
        <v>#N/A</v>
      </c>
      <c r="CL221" s="12" t="e">
        <f>IF(AND(Y221&lt;&gt;"",Статистика!$I$6="Вкл",Статистика!$H$6&gt;0),(Статистика!$H$6-Статистика!$C$10)/MAX(Статистика!$G$10-Статистика!$C$10,0.000001),NA())</f>
        <v>#N/A</v>
      </c>
      <c r="CM221" s="12" t="e">
        <f>IF(AND(Y221&lt;&gt;"",Статистика!$L$6="Вкл",Статистика!$K$6&gt;0),(Статистика!$K$6-Статистика!$C$10)/MAX(Статистика!$G$10-Статистика!$C$10,0.000001),NA())</f>
        <v>#N/A</v>
      </c>
      <c r="CN221" s="12" t="e">
        <f>IF(AND(Y221&lt;&gt;"",Статистика!$M$6="Вкл",Статистика!$O$6&gt;0),(Статистика!$O$6-Статистика!$C$10)/MAX(Статистика!$G$10-Статистика!$C$10,0.000001),NA())</f>
        <v>#N/A</v>
      </c>
      <c r="CO221" s="12">
        <f t="shared" si="7"/>
        <v>1</v>
      </c>
    </row>
    <row r="222" spans="1:93" ht="15" customHeight="1">
      <c r="A222" s="12" t="s">
        <v>933</v>
      </c>
      <c r="B222" s="12">
        <v>1881.2987744999998</v>
      </c>
      <c r="C222" s="12">
        <v>5523.0925391666669</v>
      </c>
      <c r="D222" s="12">
        <v>7279.009755</v>
      </c>
      <c r="E222" s="12">
        <v>7544.676375</v>
      </c>
      <c r="F222" s="12">
        <v>7717.4505000000008</v>
      </c>
      <c r="G222" s="12">
        <v>7851.7655416666666</v>
      </c>
      <c r="H222" s="12">
        <v>8088.1950083333331</v>
      </c>
      <c r="I222" s="12">
        <v>8107.6966425000001</v>
      </c>
      <c r="J222" s="12">
        <v>8148.3175418333331</v>
      </c>
      <c r="K222" s="12">
        <v>8237.81</v>
      </c>
      <c r="L222" s="12" t="s">
        <v>934</v>
      </c>
      <c r="M222" s="12">
        <v>2232.4634985000002</v>
      </c>
      <c r="N222" s="12">
        <v>6293.4954925000011</v>
      </c>
      <c r="O222" s="12">
        <v>8238.676845</v>
      </c>
      <c r="P222" s="12">
        <v>8608.0626000000011</v>
      </c>
      <c r="Q222" s="12">
        <v>8742.24935</v>
      </c>
      <c r="R222" s="12">
        <v>8925.4161500000009</v>
      </c>
      <c r="S222" s="12">
        <v>9121.8458849999988</v>
      </c>
      <c r="T222" s="12">
        <v>9140.4069874999986</v>
      </c>
      <c r="U222" s="12">
        <v>9161.1770775000005</v>
      </c>
      <c r="V222" s="12">
        <v>9271.94</v>
      </c>
      <c r="W222" s="12" t="s">
        <v>935</v>
      </c>
      <c r="Y222" s="12" t="s">
        <v>933</v>
      </c>
      <c r="Z222" s="12">
        <v>7394.6830761666661</v>
      </c>
      <c r="AA222" s="12">
        <v>7422.9837808333332</v>
      </c>
      <c r="AB222" s="12">
        <v>7458.3596616666664</v>
      </c>
      <c r="AC222" s="12">
        <v>7545.3146416666668</v>
      </c>
      <c r="AD222" s="12">
        <v>7725.4902999999995</v>
      </c>
      <c r="AE222" s="12">
        <v>7794.7925750000013</v>
      </c>
      <c r="AF222" s="12">
        <v>8312.8223183333339</v>
      </c>
      <c r="AG222" s="12">
        <v>8405.6547924999995</v>
      </c>
      <c r="AH222" s="12">
        <v>8479.9207718333346</v>
      </c>
      <c r="AI222" s="12">
        <v>8631.23</v>
      </c>
      <c r="AJ222" s="12" t="s">
        <v>936</v>
      </c>
      <c r="AK222" s="12">
        <v>8361.6622736666668</v>
      </c>
      <c r="AL222" s="12">
        <v>8412.2727016666668</v>
      </c>
      <c r="AM222" s="12">
        <v>8475.5357366666667</v>
      </c>
      <c r="AN222" s="12">
        <v>8631.5116499999986</v>
      </c>
      <c r="AO222" s="12">
        <v>8746.778033333334</v>
      </c>
      <c r="AP222" s="12">
        <v>8840.3965000000007</v>
      </c>
      <c r="AQ222" s="12">
        <v>9385.0428866666662</v>
      </c>
      <c r="AR222" s="12">
        <v>9469.3390766666671</v>
      </c>
      <c r="AS222" s="12">
        <v>9536.7760286666671</v>
      </c>
      <c r="AT222" s="12">
        <v>9721.76</v>
      </c>
      <c r="AU222" s="12" t="s">
        <v>936</v>
      </c>
      <c r="AW222" s="12">
        <f>IF(A222="","",MAX(0,MIN(1,(((IF(Статистика!$C$4="Параллельный режим (активная мощность)",B222,M222)+Статистика!$J$4))-Статистика!$C$10)/MAX(Статистика!$G$10-Статистика!$C$10,0.000001))))</f>
        <v>0</v>
      </c>
      <c r="AX222" s="12">
        <f>IF(A222="","",MAX(0,MAX(0,MIN(1,(((IF(Статистика!$C$4="Параллельный режим (активная мощность)",D222,O222)+Статистика!$J$4))-Статистика!$C$10)/MAX(Статистика!$G$10-Статистика!$C$10,0.000001)))-MAX(0,MIN(1,(((IF(Статистика!$C$4="Параллельный режим (активная мощность)",B222,M222)+Статистика!$J$4))-Статистика!$C$10)/MAX(Статистика!$G$10-Статистика!$C$10,0.000001)))))</f>
        <v>0.42633658499999999</v>
      </c>
      <c r="AY222" s="12">
        <f>IF(A222="","",MAX(0,MAX(0,MIN(1,(((IF(Статистика!$C$4="Параллельный режим (активная мощность)",E222,P222)+Статистика!$J$4))-Статистика!$C$10)/MAX(Статистика!$G$10-Статистика!$C$10,0.000001)))-MAX(0,MIN(1,(((IF(Статистика!$C$4="Параллельный режим (активная мощность)",D222,O222)+Статистика!$J$4))-Статистика!$C$10)/MAX(Статистика!$G$10-Статистика!$C$10,0.000001)))))</f>
        <v>8.8555540000000044E-2</v>
      </c>
      <c r="AZ222" s="12">
        <f>IF(A222="","",MAX(0,MAX(0,MIN(1,(((IF(Статистика!$C$4="Параллельный режим (активная мощность)",F222,Q222)+Статистика!$J$4))-Статистика!$C$10)/MAX(Статистика!$G$10-Статистика!$C$10,0.000001)))-MAX(0,MIN(1,(((IF(Статистика!$C$4="Параллельный режим (активная мощность)",E222,P222)+Статистика!$J$4))-Статистика!$C$10)/MAX(Статистика!$G$10-Статистика!$C$10,0.000001)))))</f>
        <v>5.7591375000000222E-2</v>
      </c>
      <c r="BA222" s="12">
        <f>IF(A222="","",MAX(0,MAX(0,MIN(1,(((IF(Статистика!$C$4="Параллельный режим (активная мощность)",G222,R222)+Статистика!$J$4))-Статистика!$C$10)/MAX(Статистика!$G$10-Статистика!$C$10,0.000001)))-MAX(0,MIN(1,(((IF(Статистика!$C$4="Параллельный режим (активная мощность)",F222,Q222)+Статистика!$J$4))-Статистика!$C$10)/MAX(Статистика!$G$10-Статистика!$C$10,0.000001)))))</f>
        <v>4.4771680555555249E-2</v>
      </c>
      <c r="BB222" s="12">
        <f>IF(A222="","",MAX(0,MAX(0,MIN(1,(((IF(Статистика!$C$4="Параллельный режим (активная мощность)",H222,S222)+Статистика!$J$4))-Статистика!$C$10)/MAX(Статистика!$G$10-Статистика!$C$10,0.000001)))-MAX(0,MIN(1,(((IF(Статистика!$C$4="Параллельный режим (активная мощность)",G222,R222)+Статистика!$J$4))-Статистика!$C$10)/MAX(Статистика!$G$10-Статистика!$C$10,0.000001)))))</f>
        <v>7.8809822222222214E-2</v>
      </c>
      <c r="BC222" s="12">
        <f>IF(A222="","",MAX(0,MAX(0,MIN(1,(((IF(Статистика!$C$4="Параллельный режим (активная мощность)",J222,U222)+Статистика!$J$4))-Статистика!$C$10)/MAX(Статистика!$G$10-Статистика!$C$10,0.000001)))-MAX(0,MIN(1,(((IF(Статистика!$C$4="Параллельный режим (активная мощность)",H222,S222)+Статистика!$J$4))-Статистика!$C$10)/MAX(Статистика!$G$10-Статистика!$C$10,0.000001)))))</f>
        <v>2.0040844499999988E-2</v>
      </c>
      <c r="BD222" s="12">
        <f>IF(A222="","",MAX(0,1-MAX(0,MIN(1,(((IF(Статистика!$C$4="Параллельный режим (активная мощность)",J222,U222)+Статистика!$J$4))-Статистика!$C$10)/MAX(Статистика!$G$10-Статистика!$C$10,0.000001)))))</f>
        <v>0.28389415272222229</v>
      </c>
      <c r="BE222" s="12">
        <f>IF(A222="",NA(),IF(Статистика!$B$8="Вкл",(((IF(Статистика!$C$4="Параллельный режим (активная мощность)",F222,Q222)+Статистика!$J$4))-Статистика!$C$10)/MAX(Статистика!$G$10-Статистика!$C$10,0.000001),NA()))</f>
        <v>0.57248350000000026</v>
      </c>
      <c r="BF222" s="12">
        <f>IF(A222="",NA(),IF(Статистика!$D$8="Вкл",(((IF(Статистика!$C$4="Параллельный режим (активная мощность)",E222,P222)+Статистика!$J$4))-Статистика!$C$10)/MAX(Статистика!$G$10-Статистика!$C$10,0.000001),NA()))</f>
        <v>0.51489212500000003</v>
      </c>
      <c r="BG222" s="12">
        <f>IF(A222="",NA(),IF(Статистика!$D$8="Вкл",(((IF(Статистика!$C$4="Параллельный режим (активная мощность)",G222,R222)+Статистика!$J$4))-Статистика!$C$10)/MAX(Статистика!$G$10-Статистика!$C$10,0.000001),NA()))</f>
        <v>0.6172551805555555</v>
      </c>
      <c r="BH222" s="12">
        <f>IF(A222="",NA(),IF(Статистика!$F$8="Вкл",(((IF(Статистика!$C$4="Параллельный режим (активная мощность)",D222,O222)+Статистика!$J$4))-Статистика!$C$10)/MAX(Статистика!$G$10-Статистика!$C$10,0.000001),NA()))</f>
        <v>0.42633658499999999</v>
      </c>
      <c r="BI222" s="12">
        <f>IF(A222="",NA(),IF(Статистика!$F$8="Вкл",(((IF(Статистика!$C$4="Параллельный режим (активная мощность)",H222,S222)+Статистика!$J$4))-Статистика!$C$10)/MAX(Статистика!$G$10-Статистика!$C$10,0.000001),NA()))</f>
        <v>0.69606500277777772</v>
      </c>
      <c r="BJ222" s="12">
        <f>IF(A222="",NA(),IF(Статистика!$H$8="Вкл",(((IF(Статистика!$C$4="Параллельный режим (активная мощность)",B222,M222)+Статистика!$J$4))-Статистика!$C$10)/MAX(Статистика!$G$10-Статистика!$C$10,0.000001),NA()))</f>
        <v>-1.3729004085000001</v>
      </c>
      <c r="BK222" s="12">
        <f>IF(A222="",NA(),IF(Статистика!$H$8="Вкл",(((IF(Статистика!$C$4="Параллельный режим (активная мощность)",J222,U222)+Статистика!$J$4))-Статистика!$C$10)/MAX(Статистика!$G$10-Статистика!$C$10,0.000001),NA()))</f>
        <v>0.71610584727777771</v>
      </c>
      <c r="BL222" s="12" t="e">
        <f>IF(A222="",NA(),IF(Статистика!$J$8="Вкл",(((IF(Статистика!$C$4="Параллельный режим (активная мощность)",K222,V222)+Статистика!$J$4))-Статистика!$C$10)/MAX(Статистика!$G$10-Статистика!$C$10,0.000001),NA()))</f>
        <v>#N/A</v>
      </c>
      <c r="BM222" s="12" t="e">
        <f>IF(AND(A222&lt;&gt;"",Статистика!$C$6="Вкл",Статистика!$B$6&gt;0),(Статистика!$B$6-Статистика!$C$10)/MAX(Статистика!$G$10-Статистика!$C$10,0.000001),NA())</f>
        <v>#N/A</v>
      </c>
      <c r="BN222" s="12" t="e">
        <f>IF(AND(A222&lt;&gt;"",Статистика!$F$6="Вкл",Статистика!$E$6&gt;0),(Статистика!$E$6-Статистика!$C$10)/MAX(Статистика!$G$10-Статистика!$C$10,0.000001),NA())</f>
        <v>#N/A</v>
      </c>
      <c r="BO222" s="12" t="e">
        <f>IF(AND(A222&lt;&gt;"",Статистика!$I$6="Вкл",Статистика!$H$6&gt;0),(Статистика!$H$6-Статистика!$C$10)/MAX(Статистика!$G$10-Статистика!$C$10,0.000001),NA())</f>
        <v>#N/A</v>
      </c>
      <c r="BP222" s="12" t="e">
        <f>IF(AND(A222&lt;&gt;"",Статистика!$L$6="Вкл",Статистика!$K$6&gt;0),(Статистика!$K$6-Статистика!$C$10)/MAX(Статистика!$G$10-Статистика!$C$10,0.000001),NA())</f>
        <v>#N/A</v>
      </c>
      <c r="BQ222" s="12" t="e">
        <f>IF(AND(A222&lt;&gt;"",Статистика!$M$6="Вкл",Статистика!$O$6&gt;0),(Статистика!$O$6-Статистика!$C$10)/MAX(Статистика!$G$10-Статистика!$C$10,0.000001),NA())</f>
        <v>#N/A</v>
      </c>
      <c r="BR222" s="12">
        <f t="shared" si="6"/>
        <v>1</v>
      </c>
      <c r="BT222" s="12">
        <f>IF(Y222="","",MAX(0,MIN(1,(((IF(Статистика!$C$4="Параллельный режим (активная мощность)",Z222,AK222)+Статистика!$J$4))-Статистика!$C$10)/MAX(Статистика!$G$10-Статистика!$C$10,0.000001))))</f>
        <v>0.46489435872222201</v>
      </c>
      <c r="BU222" s="12">
        <f>IF(Y222="","",MAX(0,MAX(0,MIN(1,(((IF(Статистика!$C$4="Параллельный режим (активная мощность)",AB222,AM222)+Статистика!$J$4))-Статистика!$C$10)/MAX(Статистика!$G$10-Статистика!$C$10,0.000001)))-MAX(0,MIN(1,(((IF(Статистика!$C$4="Параллельный режим (активная мощность)",Z222,AK222)+Статистика!$J$4))-Статистика!$C$10)/MAX(Статистика!$G$10-Статистика!$C$10,0.000001)))))</f>
        <v>2.1225528500000146E-2</v>
      </c>
      <c r="BV222" s="12">
        <f>IF(Y222="","",MAX(0,MAX(0,MIN(1,(((IF(Статистика!$C$4="Параллельный режим (активная мощность)",AC222,AN222)+Статистика!$J$4))-Статистика!$C$10)/MAX(Статистика!$G$10-Статистика!$C$10,0.000001)))-MAX(0,MIN(1,(((IF(Статистика!$C$4="Параллельный режим (активная мощность)",AB222,AM222)+Статистика!$J$4))-Статистика!$C$10)/MAX(Статистика!$G$10-Статистика!$C$10,0.000001)))))</f>
        <v>2.8984993333333431E-2</v>
      </c>
      <c r="BW222" s="12">
        <f>IF(Y222="","",MAX(0,MAX(0,MIN(1,(((IF(Статистика!$C$4="Параллельный режим (активная мощность)",AD222,AO222)+Статистика!$J$4))-Статистика!$C$10)/MAX(Статистика!$G$10-Статистика!$C$10,0.000001)))-MAX(0,MIN(1,(((IF(Статистика!$C$4="Параллельный режим (активная мощность)",AC222,AN222)+Статистика!$J$4))-Статистика!$C$10)/MAX(Статистика!$G$10-Статистика!$C$10,0.000001)))))</f>
        <v>6.0058552777777607E-2</v>
      </c>
      <c r="BX222" s="12">
        <f>IF(Y222="","",MAX(0,MAX(0,MIN(1,(((IF(Статистика!$C$4="Параллельный режим (активная мощность)",AE222,AP222)+Статистика!$J$4))-Статистика!$C$10)/MAX(Статистика!$G$10-Статистика!$C$10,0.000001)))-MAX(0,MIN(1,(((IF(Статистика!$C$4="Параллельный режим (активная мощность)",AD222,AO222)+Статистика!$J$4))-Статистика!$C$10)/MAX(Статистика!$G$10-Статистика!$C$10,0.000001)))))</f>
        <v>2.3100758333333915E-2</v>
      </c>
      <c r="BY222" s="12">
        <f>IF(Y222="","",MAX(0,MAX(0,MIN(1,(((IF(Статистика!$C$4="Параллельный режим (активная мощность)",AF222,AQ222)+Статистика!$J$4))-Статистика!$C$10)/MAX(Статистика!$G$10-Статистика!$C$10,0.000001)))-MAX(0,MIN(1,(((IF(Статистика!$C$4="Параллельный режим (активная мощность)",AE222,AP222)+Статистика!$J$4))-Статистика!$C$10)/MAX(Статистика!$G$10-Статистика!$C$10,0.000001)))))</f>
        <v>0.17267658111111084</v>
      </c>
      <c r="BZ222" s="12">
        <f>IF(Y222="","",MAX(0,MAX(0,MIN(1,(((IF(Статистика!$C$4="Параллельный режим (активная мощность)",AH222,AS222)+Статистика!$J$4))-Статистика!$C$10)/MAX(Статистика!$G$10-Статистика!$C$10,0.000001)))-MAX(0,MIN(1,(((IF(Статистика!$C$4="Параллельный режим (активная мощность)",AF222,AQ222)+Статистика!$J$4))-Статистика!$C$10)/MAX(Статистика!$G$10-Статистика!$C$10,0.000001)))))</f>
        <v>5.5699484500000285E-2</v>
      </c>
      <c r="CA222" s="12">
        <f>IF(Y222="","",MAX(0,1-MAX(0,MIN(1,(((IF(Статистика!$C$4="Параллельный режим (активная мощность)",AH222,AS222)+Статистика!$J$4))-Статистика!$C$10)/MAX(Статистика!$G$10-Статистика!$C$10,0.000001)))))</f>
        <v>0.17335974272222177</v>
      </c>
      <c r="CB222" s="12">
        <f>IF(Y222="",NA(),IF(Статистика!$B$8="Вкл",(((IF(Статистика!$C$4="Параллельный режим (активная мощность)",AD222,AO222)+Статистика!$J$4))-Статистика!$C$10)/MAX(Статистика!$G$10-Статистика!$C$10,0.000001),NA()))</f>
        <v>0.5751634333333332</v>
      </c>
      <c r="CC222" s="12">
        <f>IF(Y222="",NA(),IF(Статистика!$D$8="Вкл",(((IF(Статистика!$C$4="Параллельный режим (активная мощность)",AC222,AN222)+Статистика!$J$4))-Статистика!$C$10)/MAX(Статистика!$G$10-Статистика!$C$10,0.000001),NA()))</f>
        <v>0.51510488055555559</v>
      </c>
      <c r="CD222" s="12">
        <f>IF(Y222="",NA(),IF(Статистика!$D$8="Вкл",(((IF(Статистика!$C$4="Параллельный режим (активная мощность)",AE222,AP222)+Статистика!$J$4))-Статистика!$C$10)/MAX(Статистика!$G$10-Статистика!$C$10,0.000001),NA()))</f>
        <v>0.59826419166666711</v>
      </c>
      <c r="CE222" s="12">
        <f>IF(Y222="",NA(),IF(Статистика!$F$8="Вкл",(((IF(Статистика!$C$4="Параллельный режим (активная мощность)",AB222,AM222)+Статистика!$J$4))-Статистика!$C$10)/MAX(Статистика!$G$10-Статистика!$C$10,0.000001),NA()))</f>
        <v>0.48611988722222216</v>
      </c>
      <c r="CF222" s="12">
        <f>IF(Y222="",NA(),IF(Статистика!$F$8="Вкл",(((IF(Статистика!$C$4="Параллельный режим (активная мощность)",AF222,AQ222)+Статистика!$J$4))-Статистика!$C$10)/MAX(Статистика!$G$10-Статистика!$C$10,0.000001),NA()))</f>
        <v>0.77094077277777795</v>
      </c>
      <c r="CG222" s="12">
        <f>IF(Y222="",NA(),IF(Статистика!$H$8="Вкл",(((IF(Статистика!$C$4="Параллельный режим (активная мощность)",Z222,AK222)+Статистика!$J$4))-Статистика!$C$10)/MAX(Статистика!$G$10-Статистика!$C$10,0.000001),NA()))</f>
        <v>0.46489435872222201</v>
      </c>
      <c r="CH222" s="12">
        <f>IF(Y222="",NA(),IF(Статистика!$H$8="Вкл",(((IF(Статистика!$C$4="Параллельный режим (активная мощность)",AH222,AS222)+Статистика!$J$4))-Статистика!$C$10)/MAX(Статистика!$G$10-Статистика!$C$10,0.000001),NA()))</f>
        <v>0.82664025727777823</v>
      </c>
      <c r="CI222" s="12" t="e">
        <f>IF(Y222="",NA(),IF(Статистика!$J$8="Вкл",(((IF(Статистика!$C$4="Параллельный режим (активная мощность)",AI222,AT222)+Статистика!$J$4))-Статистика!$C$10)/MAX(Статистика!$G$10-Статистика!$C$10,0.000001),NA()))</f>
        <v>#N/A</v>
      </c>
      <c r="CJ222" s="12" t="e">
        <f>IF(AND(Y222&lt;&gt;"",Статистика!$C$6="Вкл",Статистика!$B$6&gt;0),(Статистика!$B$6-Статистика!$C$10)/MAX(Статистика!$G$10-Статистика!$C$10,0.000001),NA())</f>
        <v>#N/A</v>
      </c>
      <c r="CK222" s="12" t="e">
        <f>IF(AND(Y222&lt;&gt;"",Статистика!$F$6="Вкл",Статистика!$E$6&gt;0),(Статистика!$E$6-Статистика!$C$10)/MAX(Статистика!$G$10-Статистика!$C$10,0.000001),NA())</f>
        <v>#N/A</v>
      </c>
      <c r="CL222" s="12" t="e">
        <f>IF(AND(Y222&lt;&gt;"",Статистика!$I$6="Вкл",Статистика!$H$6&gt;0),(Статистика!$H$6-Статистика!$C$10)/MAX(Статистика!$G$10-Статистика!$C$10,0.000001),NA())</f>
        <v>#N/A</v>
      </c>
      <c r="CM222" s="12" t="e">
        <f>IF(AND(Y222&lt;&gt;"",Статистика!$L$6="Вкл",Статистика!$K$6&gt;0),(Статистика!$K$6-Статистика!$C$10)/MAX(Статистика!$G$10-Статистика!$C$10,0.000001),NA())</f>
        <v>#N/A</v>
      </c>
      <c r="CN222" s="12" t="e">
        <f>IF(AND(Y222&lt;&gt;"",Статистика!$M$6="Вкл",Статистика!$O$6&gt;0),(Статистика!$O$6-Статистика!$C$10)/MAX(Статистика!$G$10-Статистика!$C$10,0.000001),NA())</f>
        <v>#N/A</v>
      </c>
      <c r="CO222" s="12">
        <f t="shared" si="7"/>
        <v>1</v>
      </c>
    </row>
    <row r="223" spans="1:93" ht="15" customHeight="1">
      <c r="A223" s="12" t="s">
        <v>937</v>
      </c>
      <c r="B223" s="12">
        <v>1871.4214403333335</v>
      </c>
      <c r="C223" s="12">
        <v>5533.2417350000005</v>
      </c>
      <c r="D223" s="12">
        <v>7294.9628333333339</v>
      </c>
      <c r="E223" s="12">
        <v>7521.3312499999993</v>
      </c>
      <c r="F223" s="12">
        <v>7700.9204166666668</v>
      </c>
      <c r="G223" s="12">
        <v>7882.7751749999989</v>
      </c>
      <c r="H223" s="12">
        <v>8091.1011149999995</v>
      </c>
      <c r="I223" s="12">
        <v>8149.1026558333324</v>
      </c>
      <c r="J223" s="12">
        <v>8224.2153044999995</v>
      </c>
      <c r="K223" s="12">
        <v>8344.35</v>
      </c>
      <c r="L223" s="12" t="s">
        <v>938</v>
      </c>
      <c r="M223" s="12">
        <v>2220.1522886666667</v>
      </c>
      <c r="N223" s="12">
        <v>6309.3129100000006</v>
      </c>
      <c r="O223" s="12">
        <v>8253.3049616666667</v>
      </c>
      <c r="P223" s="12">
        <v>8576.8263916666656</v>
      </c>
      <c r="Q223" s="12">
        <v>8742.2399499999992</v>
      </c>
      <c r="R223" s="12">
        <v>8973.0222749999994</v>
      </c>
      <c r="S223" s="12">
        <v>9136.9558550000002</v>
      </c>
      <c r="T223" s="12">
        <v>9188.3998774999982</v>
      </c>
      <c r="U223" s="12">
        <v>9239.4178954999988</v>
      </c>
      <c r="V223" s="12">
        <v>9352.25</v>
      </c>
      <c r="W223" s="12" t="s">
        <v>938</v>
      </c>
      <c r="Y223" s="12" t="s">
        <v>937</v>
      </c>
      <c r="Z223" s="12">
        <v>7391.1494993333345</v>
      </c>
      <c r="AA223" s="12">
        <v>7416.9498966666679</v>
      </c>
      <c r="AB223" s="12">
        <v>7449.2003933333344</v>
      </c>
      <c r="AC223" s="12">
        <v>7547.4817583333343</v>
      </c>
      <c r="AD223" s="12">
        <v>7712.1076499999999</v>
      </c>
      <c r="AE223" s="12">
        <v>7781.7751666666663</v>
      </c>
      <c r="AF223" s="12">
        <v>8308.2921683333334</v>
      </c>
      <c r="AG223" s="12">
        <v>8373.4469008333326</v>
      </c>
      <c r="AH223" s="12">
        <v>8425.5706868333345</v>
      </c>
      <c r="AI223" s="12">
        <v>8561.4500000000007</v>
      </c>
      <c r="AJ223" s="12" t="s">
        <v>939</v>
      </c>
      <c r="AK223" s="12">
        <v>8355.9004395000011</v>
      </c>
      <c r="AL223" s="12">
        <v>8404.6551308333346</v>
      </c>
      <c r="AM223" s="12">
        <v>8465.5984950000002</v>
      </c>
      <c r="AN223" s="12">
        <v>8626.2197000000015</v>
      </c>
      <c r="AO223" s="12">
        <v>8733.2428666666674</v>
      </c>
      <c r="AP223" s="12">
        <v>8820.5458500000004</v>
      </c>
      <c r="AQ223" s="12">
        <v>9363.4911466666654</v>
      </c>
      <c r="AR223" s="12">
        <v>9412.0377399999998</v>
      </c>
      <c r="AS223" s="12">
        <v>9450.8750146666662</v>
      </c>
      <c r="AT223" s="12">
        <v>9599.6200000000008</v>
      </c>
      <c r="AU223" s="12" t="s">
        <v>939</v>
      </c>
      <c r="AW223" s="12">
        <f>IF(A223="","",MAX(0,MIN(1,(((IF(Статистика!$C$4="Параллельный режим (активная мощность)",B223,M223)+Статистика!$J$4))-Статистика!$C$10)/MAX(Статистика!$G$10-Статистика!$C$10,0.000001))))</f>
        <v>0</v>
      </c>
      <c r="AX223" s="12">
        <f>IF(A223="","",MAX(0,MAX(0,MIN(1,(((IF(Статистика!$C$4="Параллельный режим (активная мощность)",D223,O223)+Статистика!$J$4))-Статистика!$C$10)/MAX(Статистика!$G$10-Статистика!$C$10,0.000001)))-MAX(0,MIN(1,(((IF(Статистика!$C$4="Параллельный режим (активная мощность)",B223,M223)+Статистика!$J$4))-Статистика!$C$10)/MAX(Статистика!$G$10-Статистика!$C$10,0.000001)))))</f>
        <v>0.43165427777777798</v>
      </c>
      <c r="AY223" s="12">
        <f>IF(A223="","",MAX(0,MAX(0,MIN(1,(((IF(Статистика!$C$4="Параллельный режим (активная мощность)",E223,P223)+Статистика!$J$4))-Статистика!$C$10)/MAX(Статистика!$G$10-Статистика!$C$10,0.000001)))-MAX(0,MIN(1,(((IF(Статистика!$C$4="Параллельный режим (активная мощность)",D223,O223)+Статистика!$J$4))-Статистика!$C$10)/MAX(Статистика!$G$10-Статистика!$C$10,0.000001)))))</f>
        <v>7.5456138888888469E-2</v>
      </c>
      <c r="AZ223" s="12">
        <f>IF(A223="","",MAX(0,MAX(0,MIN(1,(((IF(Статистика!$C$4="Параллельный режим (активная мощность)",F223,Q223)+Статистика!$J$4))-Статистика!$C$10)/MAX(Статистика!$G$10-Статистика!$C$10,0.000001)))-MAX(0,MIN(1,(((IF(Статистика!$C$4="Параллельный режим (активная мощность)",E223,P223)+Статистика!$J$4))-Статистика!$C$10)/MAX(Статистика!$G$10-Статистика!$C$10,0.000001)))))</f>
        <v>5.9863055555555822E-2</v>
      </c>
      <c r="BA223" s="12">
        <f>IF(A223="","",MAX(0,MAX(0,MIN(1,(((IF(Статистика!$C$4="Параллельный режим (активная мощность)",G223,R223)+Статистика!$J$4))-Статистика!$C$10)/MAX(Статистика!$G$10-Статистика!$C$10,0.000001)))-MAX(0,MIN(1,(((IF(Статистика!$C$4="Параллельный режим (активная мощность)",F223,Q223)+Статистика!$J$4))-Статистика!$C$10)/MAX(Статистика!$G$10-Статистика!$C$10,0.000001)))))</f>
        <v>6.0618252777777326E-2</v>
      </c>
      <c r="BB223" s="12">
        <f>IF(A223="","",MAX(0,MAX(0,MIN(1,(((IF(Статистика!$C$4="Параллельный режим (активная мощность)",H223,S223)+Статистика!$J$4))-Статистика!$C$10)/MAX(Статистика!$G$10-Статистика!$C$10,0.000001)))-MAX(0,MIN(1,(((IF(Статистика!$C$4="Параллельный режим (активная мощность)",G223,R223)+Статистика!$J$4))-Статистика!$C$10)/MAX(Статистика!$G$10-Статистика!$C$10,0.000001)))))</f>
        <v>6.9441980000000236E-2</v>
      </c>
      <c r="BC223" s="12">
        <f>IF(A223="","",MAX(0,MAX(0,MIN(1,(((IF(Статистика!$C$4="Параллельный режим (активная мощность)",J223,U223)+Статистика!$J$4))-Статистика!$C$10)/MAX(Статистика!$G$10-Статистика!$C$10,0.000001)))-MAX(0,MIN(1,(((IF(Статистика!$C$4="Параллельный режим (активная мощность)",H223,S223)+Статистика!$J$4))-Статистика!$C$10)/MAX(Статистика!$G$10-Статистика!$C$10,0.000001)))))</f>
        <v>4.4371396499999993E-2</v>
      </c>
      <c r="BD223" s="12">
        <f>IF(A223="","",MAX(0,1-MAX(0,MIN(1,(((IF(Статистика!$C$4="Параллельный режим (активная мощность)",J223,U223)+Статистика!$J$4))-Статистика!$C$10)/MAX(Статистика!$G$10-Статистика!$C$10,0.000001)))))</f>
        <v>0.25859489850000017</v>
      </c>
      <c r="BE223" s="12">
        <f>IF(A223="",NA(),IF(Статистика!$B$8="Вкл",(((IF(Статистика!$C$4="Параллельный режим (активная мощность)",F223,Q223)+Статистика!$J$4))-Статистика!$C$10)/MAX(Статистика!$G$10-Статистика!$C$10,0.000001),NA()))</f>
        <v>0.56697347222222227</v>
      </c>
      <c r="BF223" s="12">
        <f>IF(A223="",NA(),IF(Статистика!$D$8="Вкл",(((IF(Статистика!$C$4="Параллельный режим (активная мощность)",E223,P223)+Статистика!$J$4))-Статистика!$C$10)/MAX(Статистика!$G$10-Статистика!$C$10,0.000001),NA()))</f>
        <v>0.50711041666666645</v>
      </c>
      <c r="BG223" s="12">
        <f>IF(A223="",NA(),IF(Статистика!$D$8="Вкл",(((IF(Статистика!$C$4="Параллельный режим (активная мощность)",G223,R223)+Статистика!$J$4))-Статистика!$C$10)/MAX(Статистика!$G$10-Статистика!$C$10,0.000001),NA()))</f>
        <v>0.6275917249999996</v>
      </c>
      <c r="BH223" s="12">
        <f>IF(A223="",NA(),IF(Статистика!$F$8="Вкл",(((IF(Статистика!$C$4="Параллельный режим (активная мощность)",D223,O223)+Статистика!$J$4))-Статистика!$C$10)/MAX(Статистика!$G$10-Статистика!$C$10,0.000001),NA()))</f>
        <v>0.43165427777777798</v>
      </c>
      <c r="BI223" s="12">
        <f>IF(A223="",NA(),IF(Статистика!$F$8="Вкл",(((IF(Статистика!$C$4="Параллельный режим (активная мощность)",H223,S223)+Статистика!$J$4))-Статистика!$C$10)/MAX(Статистика!$G$10-Статистика!$C$10,0.000001),NA()))</f>
        <v>0.69703370499999984</v>
      </c>
      <c r="BJ223" s="12">
        <f>IF(A223="",NA(),IF(Статистика!$H$8="Вкл",(((IF(Статистика!$C$4="Параллельный режим (активная мощность)",B223,M223)+Статистика!$J$4))-Статистика!$C$10)/MAX(Статистика!$G$10-Статистика!$C$10,0.000001),NA()))</f>
        <v>-1.3761928532222221</v>
      </c>
      <c r="BK223" s="12">
        <f>IF(A223="",NA(),IF(Статистика!$H$8="Вкл",(((IF(Статистика!$C$4="Параллельный режим (активная мощность)",J223,U223)+Статистика!$J$4))-Статистика!$C$10)/MAX(Статистика!$G$10-Статистика!$C$10,0.000001),NA()))</f>
        <v>0.74140510149999983</v>
      </c>
      <c r="BL223" s="12" t="e">
        <f>IF(A223="",NA(),IF(Статистика!$J$8="Вкл",(((IF(Статистика!$C$4="Параллельный режим (активная мощность)",K223,V223)+Статистика!$J$4))-Статистика!$C$10)/MAX(Статистика!$G$10-Статистика!$C$10,0.000001),NA()))</f>
        <v>#N/A</v>
      </c>
      <c r="BM223" s="12" t="e">
        <f>IF(AND(A223&lt;&gt;"",Статистика!$C$6="Вкл",Статистика!$B$6&gt;0),(Статистика!$B$6-Статистика!$C$10)/MAX(Статистика!$G$10-Статистика!$C$10,0.000001),NA())</f>
        <v>#N/A</v>
      </c>
      <c r="BN223" s="12" t="e">
        <f>IF(AND(A223&lt;&gt;"",Статистика!$F$6="Вкл",Статистика!$E$6&gt;0),(Статистика!$E$6-Статистика!$C$10)/MAX(Статистика!$G$10-Статистика!$C$10,0.000001),NA())</f>
        <v>#N/A</v>
      </c>
      <c r="BO223" s="12" t="e">
        <f>IF(AND(A223&lt;&gt;"",Статистика!$I$6="Вкл",Статистика!$H$6&gt;0),(Статистика!$H$6-Статистика!$C$10)/MAX(Статистика!$G$10-Статистика!$C$10,0.000001),NA())</f>
        <v>#N/A</v>
      </c>
      <c r="BP223" s="12" t="e">
        <f>IF(AND(A223&lt;&gt;"",Статистика!$L$6="Вкл",Статистика!$K$6&gt;0),(Статистика!$K$6-Статистика!$C$10)/MAX(Статистика!$G$10-Статистика!$C$10,0.000001),NA())</f>
        <v>#N/A</v>
      </c>
      <c r="BQ223" s="12" t="e">
        <f>IF(AND(A223&lt;&gt;"",Статистика!$M$6="Вкл",Статистика!$O$6&gt;0),(Статистика!$O$6-Статистика!$C$10)/MAX(Статистика!$G$10-Статистика!$C$10,0.000001),NA())</f>
        <v>#N/A</v>
      </c>
      <c r="BR223" s="12">
        <f t="shared" si="6"/>
        <v>1</v>
      </c>
      <c r="BT223" s="12">
        <f>IF(Y223="","",MAX(0,MIN(1,(((IF(Статистика!$C$4="Параллельный режим (активная мощность)",Z223,AK223)+Статистика!$J$4))-Статистика!$C$10)/MAX(Статистика!$G$10-Статистика!$C$10,0.000001))))</f>
        <v>0.46371649977777818</v>
      </c>
      <c r="BU223" s="12">
        <f>IF(Y223="","",MAX(0,MAX(0,MIN(1,(((IF(Статистика!$C$4="Параллельный режим (активная мощность)",AB223,AM223)+Статистика!$J$4))-Статистика!$C$10)/MAX(Статистика!$G$10-Статистика!$C$10,0.000001)))-MAX(0,MIN(1,(((IF(Статистика!$C$4="Параллельный режим (активная мощность)",Z223,AK223)+Статистика!$J$4))-Статистика!$C$10)/MAX(Статистика!$G$10-Статистика!$C$10,0.000001)))))</f>
        <v>1.9350297999999988E-2</v>
      </c>
      <c r="BV223" s="12">
        <f>IF(Y223="","",MAX(0,MAX(0,MIN(1,(((IF(Статистика!$C$4="Параллельный режим (активная мощность)",AC223,AN223)+Статистика!$J$4))-Статистика!$C$10)/MAX(Статистика!$G$10-Статистика!$C$10,0.000001)))-MAX(0,MIN(1,(((IF(Статистика!$C$4="Параллельный режим (активная мощность)",AB223,AM223)+Статистика!$J$4))-Статистика!$C$10)/MAX(Статистика!$G$10-Статистика!$C$10,0.000001)))))</f>
        <v>3.2760454999999911E-2</v>
      </c>
      <c r="BW223" s="12">
        <f>IF(Y223="","",MAX(0,MAX(0,MIN(1,(((IF(Статистика!$C$4="Параллельный режим (активная мощность)",AD223,AO223)+Статистика!$J$4))-Статистика!$C$10)/MAX(Статистика!$G$10-Статистика!$C$10,0.000001)))-MAX(0,MIN(1,(((IF(Статистика!$C$4="Параллельный режим (активная мощность)",AC223,AN223)+Статистика!$J$4))-Статистика!$C$10)/MAX(Статистика!$G$10-Статистика!$C$10,0.000001)))))</f>
        <v>5.4875297222221842E-2</v>
      </c>
      <c r="BX223" s="12">
        <f>IF(Y223="","",MAX(0,MAX(0,MIN(1,(((IF(Статистика!$C$4="Параллельный режим (активная мощность)",AE223,AP223)+Статистика!$J$4))-Статистика!$C$10)/MAX(Статистика!$G$10-Статистика!$C$10,0.000001)))-MAX(0,MIN(1,(((IF(Статистика!$C$4="Параллельный режим (активная мощность)",AD223,AO223)+Статистика!$J$4))-Статистика!$C$10)/MAX(Статистика!$G$10-Статистика!$C$10,0.000001)))))</f>
        <v>2.3222505555555495E-2</v>
      </c>
      <c r="BY223" s="12">
        <f>IF(Y223="","",MAX(0,MAX(0,MIN(1,(((IF(Статистика!$C$4="Параллельный режим (активная мощность)",AF223,AQ223)+Статистика!$J$4))-Статистика!$C$10)/MAX(Статистика!$G$10-Статистика!$C$10,0.000001)))-MAX(0,MIN(1,(((IF(Статистика!$C$4="Параллельный режим (активная мощность)",AE223,AP223)+Статистика!$J$4))-Статистика!$C$10)/MAX(Статистика!$G$10-Статистика!$C$10,0.000001)))))</f>
        <v>0.17550566722222238</v>
      </c>
      <c r="BZ223" s="12">
        <f>IF(Y223="","",MAX(0,MAX(0,MIN(1,(((IF(Статистика!$C$4="Параллельный режим (активная мощность)",AH223,AS223)+Статистика!$J$4))-Статистика!$C$10)/MAX(Статистика!$G$10-Статистика!$C$10,0.000001)))-MAX(0,MIN(1,(((IF(Статистика!$C$4="Параллельный режим (активная мощность)",AF223,AQ223)+Статистика!$J$4))-Статистика!$C$10)/MAX(Статистика!$G$10-Статистика!$C$10,0.000001)))))</f>
        <v>3.909283950000042E-2</v>
      </c>
      <c r="CA223" s="12">
        <f>IF(Y223="","",MAX(0,1-MAX(0,MIN(1,(((IF(Статистика!$C$4="Параллельный режим (активная мощность)",AH223,AS223)+Статистика!$J$4))-Статистика!$C$10)/MAX(Статистика!$G$10-Статистика!$C$10,0.000001)))))</f>
        <v>0.19147643772222178</v>
      </c>
      <c r="CB223" s="12">
        <f>IF(Y223="",NA(),IF(Статистика!$B$8="Вкл",(((IF(Статистика!$C$4="Параллельный режим (активная мощность)",AD223,AO223)+Статистика!$J$4))-Статистика!$C$10)/MAX(Статистика!$G$10-Статистика!$C$10,0.000001),NA()))</f>
        <v>0.57070254999999992</v>
      </c>
      <c r="CC223" s="12">
        <f>IF(Y223="",NA(),IF(Статистика!$D$8="Вкл",(((IF(Статистика!$C$4="Параллельный режим (активная мощность)",AC223,AN223)+Статистика!$J$4))-Статистика!$C$10)/MAX(Статистика!$G$10-Статистика!$C$10,0.000001),NA()))</f>
        <v>0.51582725277777808</v>
      </c>
      <c r="CD223" s="12">
        <f>IF(Y223="",NA(),IF(Статистика!$D$8="Вкл",(((IF(Статистика!$C$4="Параллельный режим (активная мощность)",AE223,AP223)+Статистика!$J$4))-Статистика!$C$10)/MAX(Статистика!$G$10-Статистика!$C$10,0.000001),NA()))</f>
        <v>0.59392505555555541</v>
      </c>
      <c r="CE223" s="12">
        <f>IF(Y223="",NA(),IF(Статистика!$F$8="Вкл",(((IF(Статистика!$C$4="Параллельный режим (активная мощность)",AB223,AM223)+Статистика!$J$4))-Статистика!$C$10)/MAX(Статистика!$G$10-Статистика!$C$10,0.000001),NA()))</f>
        <v>0.48306679777777817</v>
      </c>
      <c r="CF223" s="12">
        <f>IF(Y223="",NA(),IF(Статистика!$F$8="Вкл",(((IF(Статистика!$C$4="Параллельный режим (активная мощность)",AF223,AQ223)+Статистика!$J$4))-Статистика!$C$10)/MAX(Статистика!$G$10-Статистика!$C$10,0.000001),NA()))</f>
        <v>0.7694307227777778</v>
      </c>
      <c r="CG223" s="12">
        <f>IF(Y223="",NA(),IF(Статистика!$H$8="Вкл",(((IF(Статистика!$C$4="Параллельный режим (активная мощность)",Z223,AK223)+Статистика!$J$4))-Статистика!$C$10)/MAX(Статистика!$G$10-Статистика!$C$10,0.000001),NA()))</f>
        <v>0.46371649977777818</v>
      </c>
      <c r="CH223" s="12">
        <f>IF(Y223="",NA(),IF(Статистика!$H$8="Вкл",(((IF(Статистика!$C$4="Параллельный режим (активная мощность)",AH223,AS223)+Статистика!$J$4))-Статистика!$C$10)/MAX(Статистика!$G$10-Статистика!$C$10,0.000001),NA()))</f>
        <v>0.80852356227777822</v>
      </c>
      <c r="CI223" s="12" t="e">
        <f>IF(Y223="",NA(),IF(Статистика!$J$8="Вкл",(((IF(Статистика!$C$4="Параллельный режим (активная мощность)",AI223,AT223)+Статистика!$J$4))-Статистика!$C$10)/MAX(Статистика!$G$10-Статистика!$C$10,0.000001),NA()))</f>
        <v>#N/A</v>
      </c>
      <c r="CJ223" s="12" t="e">
        <f>IF(AND(Y223&lt;&gt;"",Статистика!$C$6="Вкл",Статистика!$B$6&gt;0),(Статистика!$B$6-Статистика!$C$10)/MAX(Статистика!$G$10-Статистика!$C$10,0.000001),NA())</f>
        <v>#N/A</v>
      </c>
      <c r="CK223" s="12" t="e">
        <f>IF(AND(Y223&lt;&gt;"",Статистика!$F$6="Вкл",Статистика!$E$6&gt;0),(Статистика!$E$6-Статистика!$C$10)/MAX(Статистика!$G$10-Статистика!$C$10,0.000001),NA())</f>
        <v>#N/A</v>
      </c>
      <c r="CL223" s="12" t="e">
        <f>IF(AND(Y223&lt;&gt;"",Статистика!$I$6="Вкл",Статистика!$H$6&gt;0),(Статистика!$H$6-Статистика!$C$10)/MAX(Статистика!$G$10-Статистика!$C$10,0.000001),NA())</f>
        <v>#N/A</v>
      </c>
      <c r="CM223" s="12" t="e">
        <f>IF(AND(Y223&lt;&gt;"",Статистика!$L$6="Вкл",Статистика!$K$6&gt;0),(Статистика!$K$6-Статистика!$C$10)/MAX(Статистика!$G$10-Статистика!$C$10,0.000001),NA())</f>
        <v>#N/A</v>
      </c>
      <c r="CN223" s="12" t="e">
        <f>IF(AND(Y223&lt;&gt;"",Статистика!$M$6="Вкл",Статистика!$O$6&gt;0),(Статистика!$O$6-Статистика!$C$10)/MAX(Статистика!$G$10-Статистика!$C$10,0.000001),NA())</f>
        <v>#N/A</v>
      </c>
      <c r="CO223" s="12">
        <f t="shared" si="7"/>
        <v>1</v>
      </c>
    </row>
    <row r="224" spans="1:93" ht="15" customHeight="1">
      <c r="A224" s="12" t="s">
        <v>940</v>
      </c>
      <c r="B224" s="12">
        <v>1865.0076106666666</v>
      </c>
      <c r="C224" s="12">
        <v>5512.7632533333335</v>
      </c>
      <c r="D224" s="12">
        <v>7275.0136066666664</v>
      </c>
      <c r="E224" s="12">
        <v>7486.5567416666672</v>
      </c>
      <c r="F224" s="12">
        <v>7674.2353499999999</v>
      </c>
      <c r="G224" s="12">
        <v>7854.825541666667</v>
      </c>
      <c r="H224" s="12">
        <v>8084.5934966666664</v>
      </c>
      <c r="I224" s="12">
        <v>8145.276474166666</v>
      </c>
      <c r="J224" s="12">
        <v>8224.7778281666669</v>
      </c>
      <c r="K224" s="12">
        <v>8326.83</v>
      </c>
      <c r="L224" s="12" t="s">
        <v>941</v>
      </c>
      <c r="M224" s="12">
        <v>2211.764957833333</v>
      </c>
      <c r="N224" s="12">
        <v>6277.0186558333335</v>
      </c>
      <c r="O224" s="12">
        <v>8228.5547083333331</v>
      </c>
      <c r="P224" s="12">
        <v>8565.0767833333339</v>
      </c>
      <c r="Q224" s="12">
        <v>8698.7470499999999</v>
      </c>
      <c r="R224" s="12">
        <v>8995.8298083333339</v>
      </c>
      <c r="S224" s="12">
        <v>9102.6256599999997</v>
      </c>
      <c r="T224" s="12">
        <v>9142.7556358333331</v>
      </c>
      <c r="U224" s="12">
        <v>9216.5245405000005</v>
      </c>
      <c r="V224" s="12">
        <v>9339.6200000000008</v>
      </c>
      <c r="W224" s="12" t="s">
        <v>942</v>
      </c>
      <c r="Y224" s="12" t="s">
        <v>940</v>
      </c>
      <c r="Z224" s="12">
        <v>7445.6202046666667</v>
      </c>
      <c r="AA224" s="12">
        <v>7463.9971566666673</v>
      </c>
      <c r="AB224" s="12">
        <v>7486.9683466666665</v>
      </c>
      <c r="AC224" s="12">
        <v>7561.0636583333344</v>
      </c>
      <c r="AD224" s="12">
        <v>7653.3234666666667</v>
      </c>
      <c r="AE224" s="12">
        <v>7762.0229666666655</v>
      </c>
      <c r="AF224" s="12">
        <v>8288.4080166666663</v>
      </c>
      <c r="AG224" s="12">
        <v>8350.7555583333324</v>
      </c>
      <c r="AH224" s="12">
        <v>8400.6335916666649</v>
      </c>
      <c r="AI224" s="12">
        <v>8512.81</v>
      </c>
      <c r="AJ224" s="12" t="s">
        <v>943</v>
      </c>
      <c r="AK224" s="12">
        <v>8446.357093333334</v>
      </c>
      <c r="AL224" s="12">
        <v>8479.4242666666669</v>
      </c>
      <c r="AM224" s="12">
        <v>8520.7582333333339</v>
      </c>
      <c r="AN224" s="12">
        <v>8624.6834750000016</v>
      </c>
      <c r="AO224" s="12">
        <v>8683.6055166666665</v>
      </c>
      <c r="AP224" s="12">
        <v>8783.4263666666666</v>
      </c>
      <c r="AQ224" s="12">
        <v>9343.8888466666667</v>
      </c>
      <c r="AR224" s="12">
        <v>9381.909356666667</v>
      </c>
      <c r="AS224" s="12">
        <v>9412.325764666668</v>
      </c>
      <c r="AT224" s="12">
        <v>9518.32</v>
      </c>
      <c r="AU224" s="12" t="s">
        <v>943</v>
      </c>
      <c r="AW224" s="12">
        <f>IF(A224="","",MAX(0,MIN(1,(((IF(Статистика!$C$4="Параллельный режим (активная мощность)",B224,M224)+Статистика!$J$4))-Статистика!$C$10)/MAX(Статистика!$G$10-Статистика!$C$10,0.000001))))</f>
        <v>0</v>
      </c>
      <c r="AX224" s="12">
        <f>IF(A224="","",MAX(0,MAX(0,MIN(1,(((IF(Статистика!$C$4="Параллельный режим (активная мощность)",D224,O224)+Статистика!$J$4))-Статистика!$C$10)/MAX(Статистика!$G$10-Статистика!$C$10,0.000001)))-MAX(0,MIN(1,(((IF(Статистика!$C$4="Параллельный режим (активная мощность)",B224,M224)+Статистика!$J$4))-Статистика!$C$10)/MAX(Статистика!$G$10-Статистика!$C$10,0.000001)))))</f>
        <v>0.42500453555555545</v>
      </c>
      <c r="AY224" s="12">
        <f>IF(A224="","",MAX(0,MAX(0,MIN(1,(((IF(Статистика!$C$4="Параллельный режим (активная мощность)",E224,P224)+Статистика!$J$4))-Статистика!$C$10)/MAX(Статистика!$G$10-Статистика!$C$10,0.000001)))-MAX(0,MIN(1,(((IF(Статистика!$C$4="Параллельный режим (активная мощность)",D224,O224)+Статистика!$J$4))-Статистика!$C$10)/MAX(Статистика!$G$10-Статистика!$C$10,0.000001)))))</f>
        <v>7.0514378333333627E-2</v>
      </c>
      <c r="AZ224" s="12">
        <f>IF(A224="","",MAX(0,MAX(0,MIN(1,(((IF(Статистика!$C$4="Параллельный режим (активная мощность)",F224,Q224)+Статистика!$J$4))-Статистика!$C$10)/MAX(Статистика!$G$10-Статистика!$C$10,0.000001)))-MAX(0,MIN(1,(((IF(Статистика!$C$4="Параллельный режим (активная мощность)",E224,P224)+Статистика!$J$4))-Статистика!$C$10)/MAX(Статистика!$G$10-Статистика!$C$10,0.000001)))))</f>
        <v>6.2559536111110925E-2</v>
      </c>
      <c r="BA224" s="12">
        <f>IF(A224="","",MAX(0,MAX(0,MIN(1,(((IF(Статистика!$C$4="Параллельный режим (активная мощность)",G224,R224)+Статистика!$J$4))-Статистика!$C$10)/MAX(Статистика!$G$10-Статистика!$C$10,0.000001)))-MAX(0,MIN(1,(((IF(Статистика!$C$4="Параллельный режим (активная мощность)",F224,Q224)+Статистика!$J$4))-Статистика!$C$10)/MAX(Статистика!$G$10-Статистика!$C$10,0.000001)))))</f>
        <v>6.0196730555555633E-2</v>
      </c>
      <c r="BB224" s="12">
        <f>IF(A224="","",MAX(0,MAX(0,MIN(1,(((IF(Статистика!$C$4="Параллельный режим (активная мощность)",H224,S224)+Статистика!$J$4))-Статистика!$C$10)/MAX(Статистика!$G$10-Статистика!$C$10,0.000001)))-MAX(0,MIN(1,(((IF(Статистика!$C$4="Параллельный режим (активная мощность)",G224,R224)+Статистика!$J$4))-Статистика!$C$10)/MAX(Статистика!$G$10-Статистика!$C$10,0.000001)))))</f>
        <v>7.6589318333333156E-2</v>
      </c>
      <c r="BC224" s="12">
        <f>IF(A224="","",MAX(0,MAX(0,MIN(1,(((IF(Статистика!$C$4="Параллельный режим (активная мощность)",J224,U224)+Статистика!$J$4))-Статистика!$C$10)/MAX(Статистика!$G$10-Статистика!$C$10,0.000001)))-MAX(0,MIN(1,(((IF(Статистика!$C$4="Параллельный режим (активная мощность)",H224,S224)+Статистика!$J$4))-Статистика!$C$10)/MAX(Статистика!$G$10-Статистика!$C$10,0.000001)))))</f>
        <v>4.6728110500000142E-2</v>
      </c>
      <c r="BD224" s="12">
        <f>IF(A224="","",MAX(0,1-MAX(0,MIN(1,(((IF(Статистика!$C$4="Параллельный режим (активная мощность)",J224,U224)+Статистика!$J$4))-Статистика!$C$10)/MAX(Статистика!$G$10-Статистика!$C$10,0.000001)))))</f>
        <v>0.25840739061111107</v>
      </c>
      <c r="BE224" s="12">
        <f>IF(A224="",NA(),IF(Статистика!$B$8="Вкл",(((IF(Статистика!$C$4="Параллельный режим (активная мощность)",F224,Q224)+Статистика!$J$4))-Статистика!$C$10)/MAX(Статистика!$G$10-Статистика!$C$10,0.000001),NA()))</f>
        <v>0.55807845</v>
      </c>
      <c r="BF224" s="12">
        <f>IF(A224="",NA(),IF(Статистика!$D$8="Вкл",(((IF(Статистика!$C$4="Параллельный режим (активная мощность)",E224,P224)+Статистика!$J$4))-Статистика!$C$10)/MAX(Статистика!$G$10-Статистика!$C$10,0.000001),NA()))</f>
        <v>0.49551891388888908</v>
      </c>
      <c r="BG224" s="12">
        <f>IF(A224="",NA(),IF(Статистика!$D$8="Вкл",(((IF(Статистика!$C$4="Параллельный режим (активная мощность)",G224,R224)+Статистика!$J$4))-Статистика!$C$10)/MAX(Статистика!$G$10-Статистика!$C$10,0.000001),NA()))</f>
        <v>0.61827518055555564</v>
      </c>
      <c r="BH224" s="12">
        <f>IF(A224="",NA(),IF(Статистика!$F$8="Вкл",(((IF(Статистика!$C$4="Параллельный режим (активная мощность)",D224,O224)+Статистика!$J$4))-Статистика!$C$10)/MAX(Статистика!$G$10-Статистика!$C$10,0.000001),NA()))</f>
        <v>0.42500453555555545</v>
      </c>
      <c r="BI224" s="12">
        <f>IF(A224="",NA(),IF(Статистика!$F$8="Вкл",(((IF(Статистика!$C$4="Параллельный режим (активная мощность)",H224,S224)+Статистика!$J$4))-Статистика!$C$10)/MAX(Статистика!$G$10-Статистика!$C$10,0.000001),NA()))</f>
        <v>0.69486449888888879</v>
      </c>
      <c r="BJ224" s="12">
        <f>IF(A224="",NA(),IF(Статистика!$H$8="Вкл",(((IF(Статистика!$C$4="Параллельный режим (активная мощность)",B224,M224)+Статистика!$J$4))-Статистика!$C$10)/MAX(Статистика!$G$10-Статистика!$C$10,0.000001),NA()))</f>
        <v>-1.3783307964444445</v>
      </c>
      <c r="BK224" s="12">
        <f>IF(A224="",NA(),IF(Статистика!$H$8="Вкл",(((IF(Статистика!$C$4="Параллельный режим (активная мощность)",J224,U224)+Статистика!$J$4))-Статистика!$C$10)/MAX(Статистика!$G$10-Статистика!$C$10,0.000001),NA()))</f>
        <v>0.74159260938888893</v>
      </c>
      <c r="BL224" s="12" t="e">
        <f>IF(A224="",NA(),IF(Статистика!$J$8="Вкл",(((IF(Статистика!$C$4="Параллельный режим (активная мощность)",K224,V224)+Статистика!$J$4))-Статистика!$C$10)/MAX(Статистика!$G$10-Статистика!$C$10,0.000001),NA()))</f>
        <v>#N/A</v>
      </c>
      <c r="BM224" s="12" t="e">
        <f>IF(AND(A224&lt;&gt;"",Статистика!$C$6="Вкл",Статистика!$B$6&gt;0),(Статистика!$B$6-Статистика!$C$10)/MAX(Статистика!$G$10-Статистика!$C$10,0.000001),NA())</f>
        <v>#N/A</v>
      </c>
      <c r="BN224" s="12" t="e">
        <f>IF(AND(A224&lt;&gt;"",Статистика!$F$6="Вкл",Статистика!$E$6&gt;0),(Статистика!$E$6-Статистика!$C$10)/MAX(Статистика!$G$10-Статистика!$C$10,0.000001),NA())</f>
        <v>#N/A</v>
      </c>
      <c r="BO224" s="12" t="e">
        <f>IF(AND(A224&lt;&gt;"",Статистика!$I$6="Вкл",Статистика!$H$6&gt;0),(Статистика!$H$6-Статистика!$C$10)/MAX(Статистика!$G$10-Статистика!$C$10,0.000001),NA())</f>
        <v>#N/A</v>
      </c>
      <c r="BP224" s="12" t="e">
        <f>IF(AND(A224&lt;&gt;"",Статистика!$L$6="Вкл",Статистика!$K$6&gt;0),(Статистика!$K$6-Статистика!$C$10)/MAX(Статистика!$G$10-Статистика!$C$10,0.000001),NA())</f>
        <v>#N/A</v>
      </c>
      <c r="BQ224" s="12" t="e">
        <f>IF(AND(A224&lt;&gt;"",Статистика!$M$6="Вкл",Статистика!$O$6&gt;0),(Статистика!$O$6-Статистика!$C$10)/MAX(Статистика!$G$10-Статистика!$C$10,0.000001),NA())</f>
        <v>#N/A</v>
      </c>
      <c r="BR224" s="12">
        <f t="shared" si="6"/>
        <v>1</v>
      </c>
      <c r="BT224" s="12">
        <f>IF(Y224="","",MAX(0,MIN(1,(((IF(Статистика!$C$4="Параллельный режим (активная мощность)",Z224,AK224)+Статистика!$J$4))-Статистика!$C$10)/MAX(Статистика!$G$10-Статистика!$C$10,0.000001))))</f>
        <v>0.48187340155555558</v>
      </c>
      <c r="BU224" s="12">
        <f>IF(Y224="","",MAX(0,MAX(0,MIN(1,(((IF(Статистика!$C$4="Параллельный режим (активная мощность)",AB224,AM224)+Статистика!$J$4))-Статистика!$C$10)/MAX(Статистика!$G$10-Статистика!$C$10,0.000001)))-MAX(0,MIN(1,(((IF(Статистика!$C$4="Параллельный режим (активная мощность)",Z224,AK224)+Статистика!$J$4))-Статистика!$C$10)/MAX(Статистика!$G$10-Статистика!$C$10,0.000001)))))</f>
        <v>1.3782713999999918E-2</v>
      </c>
      <c r="BV224" s="12">
        <f>IF(Y224="","",MAX(0,MAX(0,MIN(1,(((IF(Статистика!$C$4="Параллельный режим (активная мощность)",AC224,AN224)+Статистика!$J$4))-Статистика!$C$10)/MAX(Статистика!$G$10-Статистика!$C$10,0.000001)))-MAX(0,MIN(1,(((IF(Статистика!$C$4="Параллельный режим (активная мощность)",AB224,AM224)+Статистика!$J$4))-Статистика!$C$10)/MAX(Статистика!$G$10-Статистика!$C$10,0.000001)))))</f>
        <v>2.4698437222222591E-2</v>
      </c>
      <c r="BW224" s="12">
        <f>IF(Y224="","",MAX(0,MAX(0,MIN(1,(((IF(Статистика!$C$4="Параллельный режим (активная мощность)",AD224,AO224)+Статистика!$J$4))-Статистика!$C$10)/MAX(Статистика!$G$10-Статистика!$C$10,0.000001)))-MAX(0,MIN(1,(((IF(Статистика!$C$4="Параллельный режим (активная мощность)",AC224,AN224)+Статистика!$J$4))-Статистика!$C$10)/MAX(Статистика!$G$10-Статистика!$C$10,0.000001)))))</f>
        <v>3.075326944444412E-2</v>
      </c>
      <c r="BX224" s="12">
        <f>IF(Y224="","",MAX(0,MAX(0,MIN(1,(((IF(Статистика!$C$4="Параллельный режим (активная мощность)",AE224,AP224)+Статистика!$J$4))-Статистика!$C$10)/MAX(Статистика!$G$10-Статистика!$C$10,0.000001)))-MAX(0,MIN(1,(((IF(Статистика!$C$4="Параллельный режим (активная мощность)",AD224,AO224)+Статистика!$J$4))-Статистика!$C$10)/MAX(Статистика!$G$10-Статистика!$C$10,0.000001)))))</f>
        <v>3.6233166666666317E-2</v>
      </c>
      <c r="BY224" s="12">
        <f>IF(Y224="","",MAX(0,MAX(0,MIN(1,(((IF(Статистика!$C$4="Параллельный режим (активная мощность)",AF224,AQ224)+Статистика!$J$4))-Статистика!$C$10)/MAX(Статистика!$G$10-Статистика!$C$10,0.000001)))-MAX(0,MIN(1,(((IF(Статистика!$C$4="Параллельный режим (активная мощность)",AE224,AP224)+Статистика!$J$4))-Статистика!$C$10)/MAX(Статистика!$G$10-Статистика!$C$10,0.000001)))))</f>
        <v>0.17546168333333356</v>
      </c>
      <c r="BZ224" s="12">
        <f>IF(Y224="","",MAX(0,MAX(0,MIN(1,(((IF(Статистика!$C$4="Параллельный режим (активная мощность)",AH224,AS224)+Статистика!$J$4))-Статистика!$C$10)/MAX(Статистика!$G$10-Статистика!$C$10,0.000001)))-MAX(0,MIN(1,(((IF(Статистика!$C$4="Параллельный режим (активная мощность)",AF224,AQ224)+Статистика!$J$4))-Статистика!$C$10)/MAX(Статистика!$G$10-Статистика!$C$10,0.000001)))))</f>
        <v>3.7408524999999582E-2</v>
      </c>
      <c r="CA224" s="12">
        <f>IF(Y224="","",MAX(0,1-MAX(0,MIN(1,(((IF(Статистика!$C$4="Параллельный режим (активная мощность)",AH224,AS224)+Статистика!$J$4))-Статистика!$C$10)/MAX(Статистика!$G$10-Статистика!$C$10,0.000001)))))</f>
        <v>0.19978880277777833</v>
      </c>
      <c r="CB224" s="12">
        <f>IF(Y224="",NA(),IF(Статистика!$B$8="Вкл",(((IF(Статистика!$C$4="Параллельный режим (активная мощность)",AD224,AO224)+Статистика!$J$4))-Статистика!$C$10)/MAX(Статистика!$G$10-Статистика!$C$10,0.000001),NA()))</f>
        <v>0.55110782222222221</v>
      </c>
      <c r="CC224" s="12">
        <f>IF(Y224="",NA(),IF(Статистика!$D$8="Вкл",(((IF(Статистика!$C$4="Параллельный режим (активная мощность)",AC224,AN224)+Статистика!$J$4))-Статистика!$C$10)/MAX(Статистика!$G$10-Статистика!$C$10,0.000001),NA()))</f>
        <v>0.52035455277777809</v>
      </c>
      <c r="CD224" s="12">
        <f>IF(Y224="",NA(),IF(Статистика!$D$8="Вкл",(((IF(Статистика!$C$4="Параллельный режим (активная мощность)",AE224,AP224)+Статистика!$J$4))-Статистика!$C$10)/MAX(Статистика!$G$10-Статистика!$C$10,0.000001),NA()))</f>
        <v>0.58734098888888853</v>
      </c>
      <c r="CE224" s="12">
        <f>IF(Y224="",NA(),IF(Статистика!$F$8="Вкл",(((IF(Статистика!$C$4="Параллельный режим (активная мощность)",AB224,AM224)+Статистика!$J$4))-Статистика!$C$10)/MAX(Статистика!$G$10-Статистика!$C$10,0.000001),NA()))</f>
        <v>0.4956561155555555</v>
      </c>
      <c r="CF224" s="12">
        <f>IF(Y224="",NA(),IF(Статистика!$F$8="Вкл",(((IF(Статистика!$C$4="Параллельный режим (активная мощность)",AF224,AQ224)+Статистика!$J$4))-Статистика!$C$10)/MAX(Статистика!$G$10-Статистика!$C$10,0.000001),NA()))</f>
        <v>0.76280267222222209</v>
      </c>
      <c r="CG224" s="12">
        <f>IF(Y224="",NA(),IF(Статистика!$H$8="Вкл",(((IF(Статистика!$C$4="Параллельный режим (активная мощность)",Z224,AK224)+Статистика!$J$4))-Статистика!$C$10)/MAX(Статистика!$G$10-Статистика!$C$10,0.000001),NA()))</f>
        <v>0.48187340155555558</v>
      </c>
      <c r="CH224" s="12">
        <f>IF(Y224="",NA(),IF(Статистика!$H$8="Вкл",(((IF(Статистика!$C$4="Параллельный режим (активная мощность)",AH224,AS224)+Статистика!$J$4))-Статистика!$C$10)/MAX(Статистика!$G$10-Статистика!$C$10,0.000001),NA()))</f>
        <v>0.80021119722222167</v>
      </c>
      <c r="CI224" s="12" t="e">
        <f>IF(Y224="",NA(),IF(Статистика!$J$8="Вкл",(((IF(Статистика!$C$4="Параллельный режим (активная мощность)",AI224,AT224)+Статистика!$J$4))-Статистика!$C$10)/MAX(Статистика!$G$10-Статистика!$C$10,0.000001),NA()))</f>
        <v>#N/A</v>
      </c>
      <c r="CJ224" s="12" t="e">
        <f>IF(AND(Y224&lt;&gt;"",Статистика!$C$6="Вкл",Статистика!$B$6&gt;0),(Статистика!$B$6-Статистика!$C$10)/MAX(Статистика!$G$10-Статистика!$C$10,0.000001),NA())</f>
        <v>#N/A</v>
      </c>
      <c r="CK224" s="12" t="e">
        <f>IF(AND(Y224&lt;&gt;"",Статистика!$F$6="Вкл",Статистика!$E$6&gt;0),(Статистика!$E$6-Статистика!$C$10)/MAX(Статистика!$G$10-Статистика!$C$10,0.000001),NA())</f>
        <v>#N/A</v>
      </c>
      <c r="CL224" s="12" t="e">
        <f>IF(AND(Y224&lt;&gt;"",Статистика!$I$6="Вкл",Статистика!$H$6&gt;0),(Статистика!$H$6-Статистика!$C$10)/MAX(Статистика!$G$10-Статистика!$C$10,0.000001),NA())</f>
        <v>#N/A</v>
      </c>
      <c r="CM224" s="12" t="e">
        <f>IF(AND(Y224&lt;&gt;"",Статистика!$L$6="Вкл",Статистика!$K$6&gt;0),(Статистика!$K$6-Статистика!$C$10)/MAX(Статистика!$G$10-Статистика!$C$10,0.000001),NA())</f>
        <v>#N/A</v>
      </c>
      <c r="CN224" s="12" t="e">
        <f>IF(AND(Y224&lt;&gt;"",Статистика!$M$6="Вкл",Статистика!$O$6&gt;0),(Статистика!$O$6-Статистика!$C$10)/MAX(Статистика!$G$10-Статистика!$C$10,0.000001),NA())</f>
        <v>#N/A</v>
      </c>
      <c r="CO224" s="12">
        <f t="shared" si="7"/>
        <v>1</v>
      </c>
    </row>
    <row r="225" spans="1:93" ht="15" customHeight="1">
      <c r="A225" s="12" t="s">
        <v>944</v>
      </c>
      <c r="B225" s="12">
        <v>1859.9691281666667</v>
      </c>
      <c r="C225" s="12">
        <v>5508.3172408333339</v>
      </c>
      <c r="D225" s="12">
        <v>7261.7599466666661</v>
      </c>
      <c r="E225" s="12">
        <v>7482.9108166666665</v>
      </c>
      <c r="F225" s="12">
        <v>7651.605716666666</v>
      </c>
      <c r="G225" s="12">
        <v>7880.6705416666664</v>
      </c>
      <c r="H225" s="12">
        <v>8154.1588116666671</v>
      </c>
      <c r="I225" s="12">
        <v>8195.1867425</v>
      </c>
      <c r="J225" s="12">
        <v>8228.9458551666685</v>
      </c>
      <c r="K225" s="12">
        <v>8449.5</v>
      </c>
      <c r="L225" s="12" t="s">
        <v>945</v>
      </c>
      <c r="M225" s="12">
        <v>2203.7658648333331</v>
      </c>
      <c r="N225" s="12">
        <v>6256.6829241666674</v>
      </c>
      <c r="O225" s="12">
        <v>8190.5719983333338</v>
      </c>
      <c r="P225" s="12">
        <v>8497.2569583333334</v>
      </c>
      <c r="Q225" s="12">
        <v>8664.2227333333321</v>
      </c>
      <c r="R225" s="12">
        <v>9014.9015833333324</v>
      </c>
      <c r="S225" s="12">
        <v>9170.545998333333</v>
      </c>
      <c r="T225" s="12">
        <v>9185.6532524999984</v>
      </c>
      <c r="U225" s="12">
        <v>9207.3710238333315</v>
      </c>
      <c r="V225" s="12">
        <v>9408.26</v>
      </c>
      <c r="W225" s="12" t="s">
        <v>945</v>
      </c>
      <c r="Y225" s="12" t="s">
        <v>944</v>
      </c>
      <c r="Z225" s="12">
        <v>7437.869555833332</v>
      </c>
      <c r="AA225" s="12">
        <v>7459.7689791666653</v>
      </c>
      <c r="AB225" s="12">
        <v>7487.1432583333326</v>
      </c>
      <c r="AC225" s="12">
        <v>7582.4556999999986</v>
      </c>
      <c r="AD225" s="12">
        <v>7664.2919666666658</v>
      </c>
      <c r="AE225" s="12">
        <v>7786.3520666666664</v>
      </c>
      <c r="AF225" s="12">
        <v>8313.4898183333335</v>
      </c>
      <c r="AG225" s="12">
        <v>8378.599175833333</v>
      </c>
      <c r="AH225" s="12">
        <v>8430.6866618333352</v>
      </c>
      <c r="AI225" s="12">
        <v>8662.8799999999992</v>
      </c>
      <c r="AJ225" s="12" t="s">
        <v>946</v>
      </c>
      <c r="AK225" s="12">
        <v>8439.5148806666675</v>
      </c>
      <c r="AL225" s="12">
        <v>8469.0054700000001</v>
      </c>
      <c r="AM225" s="12">
        <v>8505.8687066666662</v>
      </c>
      <c r="AN225" s="12">
        <v>8636.4289499999995</v>
      </c>
      <c r="AO225" s="12">
        <v>8722.0887833333327</v>
      </c>
      <c r="AP225" s="12">
        <v>8807.0077416666663</v>
      </c>
      <c r="AQ225" s="12">
        <v>9368.668169999999</v>
      </c>
      <c r="AR225" s="12">
        <v>9410.8861516666675</v>
      </c>
      <c r="AS225" s="12">
        <v>9444.6605370000016</v>
      </c>
      <c r="AT225" s="12">
        <v>9656.94</v>
      </c>
      <c r="AU225" s="12" t="s">
        <v>947</v>
      </c>
      <c r="AW225" s="12">
        <f>IF(A225="","",MAX(0,MIN(1,(((IF(Статистика!$C$4="Параллельный режим (активная мощность)",B225,M225)+Статистика!$J$4))-Статистика!$C$10)/MAX(Статистика!$G$10-Статистика!$C$10,0.000001))))</f>
        <v>0</v>
      </c>
      <c r="AX225" s="12">
        <f>IF(A225="","",MAX(0,MAX(0,MIN(1,(((IF(Статистика!$C$4="Параллельный режим (активная мощность)",D225,O225)+Статистика!$J$4))-Статистика!$C$10)/MAX(Статистика!$G$10-Статистика!$C$10,0.000001)))-MAX(0,MIN(1,(((IF(Статистика!$C$4="Параллельный режим (активная мощность)",B225,M225)+Статистика!$J$4))-Статистика!$C$10)/MAX(Статистика!$G$10-Статистика!$C$10,0.000001)))))</f>
        <v>0.42058664888888869</v>
      </c>
      <c r="AY225" s="12">
        <f>IF(A225="","",MAX(0,MAX(0,MIN(1,(((IF(Статистика!$C$4="Параллельный режим (активная мощность)",E225,P225)+Статистика!$J$4))-Статистика!$C$10)/MAX(Статистика!$G$10-Статистика!$C$10,0.000001)))-MAX(0,MIN(1,(((IF(Статистика!$C$4="Параллельный режим (активная мощность)",D225,O225)+Статистика!$J$4))-Статистика!$C$10)/MAX(Статистика!$G$10-Статистика!$C$10,0.000001)))))</f>
        <v>7.3716956666666833E-2</v>
      </c>
      <c r="AZ225" s="12">
        <f>IF(A225="","",MAX(0,MAX(0,MIN(1,(((IF(Статистика!$C$4="Параллельный режим (активная мощность)",F225,Q225)+Статистика!$J$4))-Статистика!$C$10)/MAX(Статистика!$G$10-Статистика!$C$10,0.000001)))-MAX(0,MIN(1,(((IF(Статистика!$C$4="Параллельный режим (активная мощность)",E225,P225)+Статистика!$J$4))-Статистика!$C$10)/MAX(Статистика!$G$10-Статистика!$C$10,0.000001)))))</f>
        <v>5.6231633333333142E-2</v>
      </c>
      <c r="BA225" s="12">
        <f>IF(A225="","",MAX(0,MAX(0,MIN(1,(((IF(Статистика!$C$4="Параллельный режим (активная мощность)",G225,R225)+Статистика!$J$4))-Статистика!$C$10)/MAX(Статистика!$G$10-Статистика!$C$10,0.000001)))-MAX(0,MIN(1,(((IF(Статистика!$C$4="Параллельный режим (активная мощность)",F225,Q225)+Статистика!$J$4))-Статистика!$C$10)/MAX(Статистика!$G$10-Статистика!$C$10,0.000001)))))</f>
        <v>7.6354941666666787E-2</v>
      </c>
      <c r="BB225" s="12">
        <f>IF(A225="","",MAX(0,MAX(0,MIN(1,(((IF(Статистика!$C$4="Параллельный режим (активная мощность)",H225,S225)+Статистика!$J$4))-Статистика!$C$10)/MAX(Статистика!$G$10-Статистика!$C$10,0.000001)))-MAX(0,MIN(1,(((IF(Статистика!$C$4="Параллельный режим (активная мощность)",G225,R225)+Статистика!$J$4))-Статистика!$C$10)/MAX(Статистика!$G$10-Статистика!$C$10,0.000001)))))</f>
        <v>9.1162756666666955E-2</v>
      </c>
      <c r="BC225" s="12">
        <f>IF(A225="","",MAX(0,MAX(0,MIN(1,(((IF(Статистика!$C$4="Параллельный режим (активная мощность)",J225,U225)+Статистика!$J$4))-Статистика!$C$10)/MAX(Статистика!$G$10-Статистика!$C$10,0.000001)))-MAX(0,MIN(1,(((IF(Статистика!$C$4="Параллельный режим (активная мощность)",H225,S225)+Статистика!$J$4))-Статистика!$C$10)/MAX(Статистика!$G$10-Статистика!$C$10,0.000001)))))</f>
        <v>2.4929014500000402E-2</v>
      </c>
      <c r="BD225" s="12">
        <f>IF(A225="","",MAX(0,1-MAX(0,MIN(1,(((IF(Статистика!$C$4="Параллельный режим (активная мощность)",J225,U225)+Статистика!$J$4))-Статистика!$C$10)/MAX(Статистика!$G$10-Статистика!$C$10,0.000001)))))</f>
        <v>0.25701804827777719</v>
      </c>
      <c r="BE225" s="12">
        <f>IF(A225="",NA(),IF(Статистика!$B$8="Вкл",(((IF(Статистика!$C$4="Параллельный режим (активная мощность)",F225,Q225)+Статистика!$J$4))-Статистика!$C$10)/MAX(Статистика!$G$10-Статистика!$C$10,0.000001),NA()))</f>
        <v>0.55053523888888867</v>
      </c>
      <c r="BF225" s="12">
        <f>IF(A225="",NA(),IF(Статистика!$D$8="Вкл",(((IF(Статистика!$C$4="Параллельный режим (активная мощность)",E225,P225)+Статистика!$J$4))-Статистика!$C$10)/MAX(Статистика!$G$10-Статистика!$C$10,0.000001),NA()))</f>
        <v>0.49430360555555553</v>
      </c>
      <c r="BG225" s="12">
        <f>IF(A225="",NA(),IF(Статистика!$D$8="Вкл",(((IF(Статистика!$C$4="Параллельный режим (активная мощность)",G225,R225)+Статистика!$J$4))-Статистика!$C$10)/MAX(Статистика!$G$10-Статистика!$C$10,0.000001),NA()))</f>
        <v>0.62689018055555545</v>
      </c>
      <c r="BH225" s="12">
        <f>IF(A225="",NA(),IF(Статистика!$F$8="Вкл",(((IF(Статистика!$C$4="Параллельный режим (активная мощность)",D225,O225)+Статистика!$J$4))-Статистика!$C$10)/MAX(Статистика!$G$10-Статистика!$C$10,0.000001),NA()))</f>
        <v>0.42058664888888869</v>
      </c>
      <c r="BI225" s="12">
        <f>IF(A225="",NA(),IF(Статистика!$F$8="Вкл",(((IF(Статистика!$C$4="Параллельный режим (активная мощность)",H225,S225)+Статистика!$J$4))-Статистика!$C$10)/MAX(Статистика!$G$10-Статистика!$C$10,0.000001),NA()))</f>
        <v>0.71805293722222241</v>
      </c>
      <c r="BJ225" s="12">
        <f>IF(A225="",NA(),IF(Статистика!$H$8="Вкл",(((IF(Статистика!$C$4="Параллельный режим (активная мощность)",B225,M225)+Статистика!$J$4))-Статистика!$C$10)/MAX(Статистика!$G$10-Статистика!$C$10,0.000001),NA()))</f>
        <v>-1.3800102906111111</v>
      </c>
      <c r="BK225" s="12">
        <f>IF(A225="",NA(),IF(Статистика!$H$8="Вкл",(((IF(Статистика!$C$4="Параллельный режим (активная мощность)",J225,U225)+Статистика!$J$4))-Статистика!$C$10)/MAX(Статистика!$G$10-Статистика!$C$10,0.000001),NA()))</f>
        <v>0.74298195172222281</v>
      </c>
      <c r="BL225" s="12" t="e">
        <f>IF(A225="",NA(),IF(Статистика!$J$8="Вкл",(((IF(Статистика!$C$4="Параллельный режим (активная мощность)",K225,V225)+Статистика!$J$4))-Статистика!$C$10)/MAX(Статистика!$G$10-Статистика!$C$10,0.000001),NA()))</f>
        <v>#N/A</v>
      </c>
      <c r="BM225" s="12" t="e">
        <f>IF(AND(A225&lt;&gt;"",Статистика!$C$6="Вкл",Статистика!$B$6&gt;0),(Статистика!$B$6-Статистика!$C$10)/MAX(Статистика!$G$10-Статистика!$C$10,0.000001),NA())</f>
        <v>#N/A</v>
      </c>
      <c r="BN225" s="12" t="e">
        <f>IF(AND(A225&lt;&gt;"",Статистика!$F$6="Вкл",Статистика!$E$6&gt;0),(Статистика!$E$6-Статистика!$C$10)/MAX(Статистика!$G$10-Статистика!$C$10,0.000001),NA())</f>
        <v>#N/A</v>
      </c>
      <c r="BO225" s="12" t="e">
        <f>IF(AND(A225&lt;&gt;"",Статистика!$I$6="Вкл",Статистика!$H$6&gt;0),(Статистика!$H$6-Статистика!$C$10)/MAX(Статистика!$G$10-Статистика!$C$10,0.000001),NA())</f>
        <v>#N/A</v>
      </c>
      <c r="BP225" s="12" t="e">
        <f>IF(AND(A225&lt;&gt;"",Статистика!$L$6="Вкл",Статистика!$K$6&gt;0),(Статистика!$K$6-Статистика!$C$10)/MAX(Статистика!$G$10-Статистика!$C$10,0.000001),NA())</f>
        <v>#N/A</v>
      </c>
      <c r="BQ225" s="12" t="e">
        <f>IF(AND(A225&lt;&gt;"",Статистика!$M$6="Вкл",Статистика!$O$6&gt;0),(Статистика!$O$6-Статистика!$C$10)/MAX(Статистика!$G$10-Статистика!$C$10,0.000001),NA())</f>
        <v>#N/A</v>
      </c>
      <c r="BR225" s="12">
        <f t="shared" si="6"/>
        <v>1</v>
      </c>
      <c r="BT225" s="12">
        <f>IF(Y225="","",MAX(0,MIN(1,(((IF(Статистика!$C$4="Параллельный режим (активная мощность)",Z225,AK225)+Статистика!$J$4))-Статистика!$C$10)/MAX(Статистика!$G$10-Статистика!$C$10,0.000001))))</f>
        <v>0.47928985194444401</v>
      </c>
      <c r="BU225" s="12">
        <f>IF(Y225="","",MAX(0,MAX(0,MIN(1,(((IF(Статистика!$C$4="Параллельный режим (активная мощность)",AB225,AM225)+Статистика!$J$4))-Статистика!$C$10)/MAX(Статистика!$G$10-Статистика!$C$10,0.000001)))-MAX(0,MIN(1,(((IF(Статистика!$C$4="Параллельный режим (активная мощность)",Z225,AK225)+Статистика!$J$4))-Статистика!$C$10)/MAX(Статистика!$G$10-Статистика!$C$10,0.000001)))))</f>
        <v>1.6424567500000209E-2</v>
      </c>
      <c r="BV225" s="12">
        <f>IF(Y225="","",MAX(0,MAX(0,MIN(1,(((IF(Статистика!$C$4="Параллельный режим (активная мощность)",AC225,AN225)+Статистика!$J$4))-Статистика!$C$10)/MAX(Статистика!$G$10-Статистика!$C$10,0.000001)))-MAX(0,MIN(1,(((IF(Статистика!$C$4="Параллельный режим (активная мощность)",AB225,AM225)+Статистика!$J$4))-Статистика!$C$10)/MAX(Статистика!$G$10-Статистика!$C$10,0.000001)))))</f>
        <v>3.1770813888888638E-2</v>
      </c>
      <c r="BW225" s="12">
        <f>IF(Y225="","",MAX(0,MAX(0,MIN(1,(((IF(Статистика!$C$4="Параллельный режим (активная мощность)",AD225,AO225)+Статистика!$J$4))-Статистика!$C$10)/MAX(Статистика!$G$10-Статистика!$C$10,0.000001)))-MAX(0,MIN(1,(((IF(Статистика!$C$4="Параллельный режим (активная мощность)",AC225,AN225)+Статистика!$J$4))-Статистика!$C$10)/MAX(Статистика!$G$10-Статистика!$C$10,0.000001)))))</f>
        <v>2.72787555555557E-2</v>
      </c>
      <c r="BX225" s="12">
        <f>IF(Y225="","",MAX(0,MAX(0,MIN(1,(((IF(Статистика!$C$4="Параллельный режим (активная мощность)",AE225,AP225)+Статистика!$J$4))-Статистика!$C$10)/MAX(Статистика!$G$10-Статистика!$C$10,0.000001)))-MAX(0,MIN(1,(((IF(Статистика!$C$4="Параллельный режим (активная мощность)",AD225,AO225)+Статистика!$J$4))-Статистика!$C$10)/MAX(Статистика!$G$10-Статистика!$C$10,0.000001)))))</f>
        <v>4.0686700000000187E-2</v>
      </c>
      <c r="BY225" s="12">
        <f>IF(Y225="","",MAX(0,MAX(0,MIN(1,(((IF(Статистика!$C$4="Параллельный режим (активная мощность)",AF225,AQ225)+Статистика!$J$4))-Статистика!$C$10)/MAX(Статистика!$G$10-Статистика!$C$10,0.000001)))-MAX(0,MIN(1,(((IF(Статистика!$C$4="Параллельный режим (активная мощность)",AE225,AP225)+Статистика!$J$4))-Статистика!$C$10)/MAX(Статистика!$G$10-Статистика!$C$10,0.000001)))))</f>
        <v>0.17571258388888911</v>
      </c>
      <c r="BZ225" s="12">
        <f>IF(Y225="","",MAX(0,MAX(0,MIN(1,(((IF(Статистика!$C$4="Параллельный режим (активная мощность)",AH225,AS225)+Статистика!$J$4))-Статистика!$C$10)/MAX(Статистика!$G$10-Статистика!$C$10,0.000001)))-MAX(0,MIN(1,(((IF(Статистика!$C$4="Параллельный режим (активная мощность)",AF225,AQ225)+Статистика!$J$4))-Статистика!$C$10)/MAX(Статистика!$G$10-Статистика!$C$10,0.000001)))))</f>
        <v>3.9065614500000567E-2</v>
      </c>
      <c r="CA225" s="12">
        <f>IF(Y225="","",MAX(0,1-MAX(0,MIN(1,(((IF(Статистика!$C$4="Параллельный режим (активная мощность)",AH225,AS225)+Статистика!$J$4))-Статистика!$C$10)/MAX(Статистика!$G$10-Статистика!$C$10,0.000001)))))</f>
        <v>0.18977111272222158</v>
      </c>
      <c r="CB225" s="12">
        <f>IF(Y225="",NA(),IF(Статистика!$B$8="Вкл",(((IF(Статистика!$C$4="Параллельный режим (активная мощность)",AD225,AO225)+Статистика!$J$4))-Статистика!$C$10)/MAX(Статистика!$G$10-Статистика!$C$10,0.000001),NA()))</f>
        <v>0.55476398888888856</v>
      </c>
      <c r="CC225" s="12">
        <f>IF(Y225="",NA(),IF(Статистика!$D$8="Вкл",(((IF(Статистика!$C$4="Параллельный режим (активная мощность)",AC225,AN225)+Статистика!$J$4))-Статистика!$C$10)/MAX(Статистика!$G$10-Статистика!$C$10,0.000001),NA()))</f>
        <v>0.52748523333333286</v>
      </c>
      <c r="CD225" s="12">
        <f>IF(Y225="",NA(),IF(Статистика!$D$8="Вкл",(((IF(Статистика!$C$4="Параллельный режим (активная мощность)",AE225,AP225)+Статистика!$J$4))-Статистика!$C$10)/MAX(Статистика!$G$10-Статистика!$C$10,0.000001),NA()))</f>
        <v>0.59545068888888875</v>
      </c>
      <c r="CE225" s="12">
        <f>IF(Y225="",NA(),IF(Статистика!$F$8="Вкл",(((IF(Статистика!$C$4="Параллельный режим (активная мощность)",AB225,AM225)+Статистика!$J$4))-Статистика!$C$10)/MAX(Статистика!$G$10-Статистика!$C$10,0.000001),NA()))</f>
        <v>0.49571441944444422</v>
      </c>
      <c r="CF225" s="12">
        <f>IF(Y225="",NA(),IF(Статистика!$F$8="Вкл",(((IF(Статистика!$C$4="Параллельный режим (активная мощность)",AF225,AQ225)+Статистика!$J$4))-Статистика!$C$10)/MAX(Статистика!$G$10-Статистика!$C$10,0.000001),NA()))</f>
        <v>0.77116327277777785</v>
      </c>
      <c r="CG225" s="12">
        <f>IF(Y225="",NA(),IF(Статистика!$H$8="Вкл",(((IF(Статистика!$C$4="Параллельный режим (активная мощность)",Z225,AK225)+Статистика!$J$4))-Статистика!$C$10)/MAX(Статистика!$G$10-Статистика!$C$10,0.000001),NA()))</f>
        <v>0.47928985194444401</v>
      </c>
      <c r="CH225" s="12">
        <f>IF(Y225="",NA(),IF(Статистика!$H$8="Вкл",(((IF(Статистика!$C$4="Параллельный режим (активная мощность)",AH225,AS225)+Статистика!$J$4))-Статистика!$C$10)/MAX(Статистика!$G$10-Статистика!$C$10,0.000001),NA()))</f>
        <v>0.81022888727777842</v>
      </c>
      <c r="CI225" s="12" t="e">
        <f>IF(Y225="",NA(),IF(Статистика!$J$8="Вкл",(((IF(Статистика!$C$4="Параллельный режим (активная мощность)",AI225,AT225)+Статистика!$J$4))-Статистика!$C$10)/MAX(Статистика!$G$10-Статистика!$C$10,0.000001),NA()))</f>
        <v>#N/A</v>
      </c>
      <c r="CJ225" s="12" t="e">
        <f>IF(AND(Y225&lt;&gt;"",Статистика!$C$6="Вкл",Статистика!$B$6&gt;0),(Статистика!$B$6-Статистика!$C$10)/MAX(Статистика!$G$10-Статистика!$C$10,0.000001),NA())</f>
        <v>#N/A</v>
      </c>
      <c r="CK225" s="12" t="e">
        <f>IF(AND(Y225&lt;&gt;"",Статистика!$F$6="Вкл",Статистика!$E$6&gt;0),(Статистика!$E$6-Статистика!$C$10)/MAX(Статистика!$G$10-Статистика!$C$10,0.000001),NA())</f>
        <v>#N/A</v>
      </c>
      <c r="CL225" s="12" t="e">
        <f>IF(AND(Y225&lt;&gt;"",Статистика!$I$6="Вкл",Статистика!$H$6&gt;0),(Статистика!$H$6-Статистика!$C$10)/MAX(Статистика!$G$10-Статистика!$C$10,0.000001),NA())</f>
        <v>#N/A</v>
      </c>
      <c r="CM225" s="12" t="e">
        <f>IF(AND(Y225&lt;&gt;"",Статистика!$L$6="Вкл",Статистика!$K$6&gt;0),(Статистика!$K$6-Статистика!$C$10)/MAX(Статистика!$G$10-Статистика!$C$10,0.000001),NA())</f>
        <v>#N/A</v>
      </c>
      <c r="CN225" s="12" t="e">
        <f>IF(AND(Y225&lt;&gt;"",Статистика!$M$6="Вкл",Статистика!$O$6&gt;0),(Статистика!$O$6-Статистика!$C$10)/MAX(Статистика!$G$10-Статистика!$C$10,0.000001),NA())</f>
        <v>#N/A</v>
      </c>
      <c r="CO225" s="12">
        <f t="shared" si="7"/>
        <v>1</v>
      </c>
    </row>
    <row r="226" spans="1:93" ht="15" customHeight="1">
      <c r="A226" s="12" t="s">
        <v>948</v>
      </c>
      <c r="B226" s="12">
        <v>1866.2673339999999</v>
      </c>
      <c r="C226" s="12">
        <v>5549.9300033333329</v>
      </c>
      <c r="D226" s="12">
        <v>7333.4358099999999</v>
      </c>
      <c r="E226" s="12">
        <v>7581.9120750000002</v>
      </c>
      <c r="F226" s="12">
        <v>7762.3421166666667</v>
      </c>
      <c r="G226" s="12">
        <v>7965.15</v>
      </c>
      <c r="H226" s="12">
        <v>8189.7338300000001</v>
      </c>
      <c r="I226" s="12">
        <v>8230.5953183333313</v>
      </c>
      <c r="J226" s="12">
        <v>8315.7996769999991</v>
      </c>
      <c r="K226" s="12">
        <v>8474.59</v>
      </c>
      <c r="L226" s="12" t="s">
        <v>949</v>
      </c>
      <c r="M226" s="12">
        <v>2210.5058743333334</v>
      </c>
      <c r="N226" s="12">
        <v>6291.1224383333338</v>
      </c>
      <c r="O226" s="12">
        <v>8247.8485183333323</v>
      </c>
      <c r="P226" s="12">
        <v>8553.1645916666675</v>
      </c>
      <c r="Q226" s="12">
        <v>8800.0895833333343</v>
      </c>
      <c r="R226" s="12">
        <v>9054.3099416666682</v>
      </c>
      <c r="S226" s="12">
        <v>9217.0796949999985</v>
      </c>
      <c r="T226" s="12">
        <v>9260.2993408333332</v>
      </c>
      <c r="U226" s="12">
        <v>9322.701521500001</v>
      </c>
      <c r="V226" s="12">
        <v>9471.93</v>
      </c>
      <c r="W226" s="12" t="s">
        <v>949</v>
      </c>
      <c r="Y226" s="12" t="s">
        <v>948</v>
      </c>
      <c r="Z226" s="12">
        <v>7536.2724581666662</v>
      </c>
      <c r="AA226" s="12">
        <v>7555.4356241666665</v>
      </c>
      <c r="AB226" s="12">
        <v>7579.3895816666663</v>
      </c>
      <c r="AC226" s="12">
        <v>7673.9036250000008</v>
      </c>
      <c r="AD226" s="12">
        <v>7732.4024666666674</v>
      </c>
      <c r="AE226" s="12">
        <v>7856.3769666666667</v>
      </c>
      <c r="AF226" s="12">
        <v>8413.5637899999983</v>
      </c>
      <c r="AG226" s="12">
        <v>8478.2937116666653</v>
      </c>
      <c r="AH226" s="12">
        <v>8530.0776489999989</v>
      </c>
      <c r="AI226" s="12">
        <v>8695.7800000000007</v>
      </c>
      <c r="AJ226" s="12" t="s">
        <v>950</v>
      </c>
      <c r="AK226" s="12">
        <v>8518.3506633333327</v>
      </c>
      <c r="AL226" s="12">
        <v>8552.5986499999981</v>
      </c>
      <c r="AM226" s="12">
        <v>8595.4086333333325</v>
      </c>
      <c r="AN226" s="12">
        <v>8708.8823916666661</v>
      </c>
      <c r="AO226" s="12">
        <v>8756.7889500000001</v>
      </c>
      <c r="AP226" s="12">
        <v>8895.6036333333323</v>
      </c>
      <c r="AQ226" s="12">
        <v>9423.5083200000008</v>
      </c>
      <c r="AR226" s="12">
        <v>9486.8432766666665</v>
      </c>
      <c r="AS226" s="12">
        <v>9537.5112420000005</v>
      </c>
      <c r="AT226" s="12">
        <v>9680.51</v>
      </c>
      <c r="AU226" s="12" t="s">
        <v>950</v>
      </c>
      <c r="AW226" s="12">
        <f>IF(A226="","",MAX(0,MIN(1,(((IF(Статистика!$C$4="Параллельный режим (активная мощность)",B226,M226)+Статистика!$J$4))-Статистика!$C$10)/MAX(Статистика!$G$10-Статистика!$C$10,0.000001))))</f>
        <v>0</v>
      </c>
      <c r="AX226" s="12">
        <f>IF(A226="","",MAX(0,MAX(0,MIN(1,(((IF(Статистика!$C$4="Параллельный режим (активная мощность)",D226,O226)+Статистика!$J$4))-Статистика!$C$10)/MAX(Статистика!$G$10-Статистика!$C$10,0.000001)))-MAX(0,MIN(1,(((IF(Статистика!$C$4="Параллельный режим (активная мощность)",B226,M226)+Статистика!$J$4))-Статистика!$C$10)/MAX(Статистика!$G$10-Статистика!$C$10,0.000001)))))</f>
        <v>0.44447860333333333</v>
      </c>
      <c r="AY226" s="12">
        <f>IF(A226="","",MAX(0,MAX(0,MIN(1,(((IF(Статистика!$C$4="Параллельный режим (активная мощность)",E226,P226)+Статистика!$J$4))-Статистика!$C$10)/MAX(Статистика!$G$10-Статистика!$C$10,0.000001)))-MAX(0,MIN(1,(((IF(Статистика!$C$4="Параллельный режим (активная мощность)",D226,O226)+Статистика!$J$4))-Статистика!$C$10)/MAX(Статистика!$G$10-Статистика!$C$10,0.000001)))))</f>
        <v>8.2825421666666732E-2</v>
      </c>
      <c r="AZ226" s="12">
        <f>IF(A226="","",MAX(0,MAX(0,MIN(1,(((IF(Статистика!$C$4="Параллельный режим (активная мощность)",F226,Q226)+Статистика!$J$4))-Статистика!$C$10)/MAX(Статистика!$G$10-Статистика!$C$10,0.000001)))-MAX(0,MIN(1,(((IF(Статистика!$C$4="Параллельный режим (активная мощность)",E226,P226)+Статистика!$J$4))-Статистика!$C$10)/MAX(Статистика!$G$10-Статистика!$C$10,0.000001)))))</f>
        <v>6.0143347222222143E-2</v>
      </c>
      <c r="BA226" s="12">
        <f>IF(A226="","",MAX(0,MAX(0,MIN(1,(((IF(Статистика!$C$4="Параллельный режим (активная мощность)",G226,R226)+Статистика!$J$4))-Статистика!$C$10)/MAX(Статистика!$G$10-Статистика!$C$10,0.000001)))-MAX(0,MIN(1,(((IF(Статистика!$C$4="Параллельный режим (активная мощность)",F226,Q226)+Статистика!$J$4))-Статистика!$C$10)/MAX(Статистика!$G$10-Статистика!$C$10,0.000001)))))</f>
        <v>6.7602627777777702E-2</v>
      </c>
      <c r="BB226" s="12">
        <f>IF(A226="","",MAX(0,MAX(0,MIN(1,(((IF(Статистика!$C$4="Параллельный режим (активная мощность)",H226,S226)+Статистика!$J$4))-Статистика!$C$10)/MAX(Статистика!$G$10-Статистика!$C$10,0.000001)))-MAX(0,MIN(1,(((IF(Статистика!$C$4="Параллельный режим (активная мощность)",G226,R226)+Статистика!$J$4))-Статистика!$C$10)/MAX(Статистика!$G$10-Статистика!$C$10,0.000001)))))</f>
        <v>7.4861276666666754E-2</v>
      </c>
      <c r="BC226" s="12">
        <f>IF(A226="","",MAX(0,MAX(0,MIN(1,(((IF(Статистика!$C$4="Параллельный режим (активная мощность)",J226,U226)+Статистика!$J$4))-Статистика!$C$10)/MAX(Статистика!$G$10-Статистика!$C$10,0.000001)))-MAX(0,MIN(1,(((IF(Статистика!$C$4="Параллельный режим (активная мощность)",H226,S226)+Статистика!$J$4))-Статистика!$C$10)/MAX(Статистика!$G$10-Статистика!$C$10,0.000001)))))</f>
        <v>4.202194899999967E-2</v>
      </c>
      <c r="BD226" s="12">
        <f>IF(A226="","",MAX(0,1-MAX(0,MIN(1,(((IF(Статистика!$C$4="Параллельный режим (активная мощность)",J226,U226)+Статистика!$J$4))-Статистика!$C$10)/MAX(Статистика!$G$10-Статистика!$C$10,0.000001)))))</f>
        <v>0.22806677433333367</v>
      </c>
      <c r="BE226" s="12">
        <f>IF(A226="",NA(),IF(Статистика!$B$8="Вкл",(((IF(Статистика!$C$4="Параллельный режим (активная мощность)",F226,Q226)+Статистика!$J$4))-Статистика!$C$10)/MAX(Статистика!$G$10-Статистика!$C$10,0.000001),NA()))</f>
        <v>0.58744737222222221</v>
      </c>
      <c r="BF226" s="12">
        <f>IF(A226="",NA(),IF(Статистика!$D$8="Вкл",(((IF(Статистика!$C$4="Параллельный режим (активная мощность)",E226,P226)+Статистика!$J$4))-Статистика!$C$10)/MAX(Статистика!$G$10-Статистика!$C$10,0.000001),NA()))</f>
        <v>0.52730402500000007</v>
      </c>
      <c r="BG226" s="12">
        <f>IF(A226="",NA(),IF(Статистика!$D$8="Вкл",(((IF(Статистика!$C$4="Параллельный режим (активная мощность)",G226,R226)+Статистика!$J$4))-Статистика!$C$10)/MAX(Статистика!$G$10-Статистика!$C$10,0.000001),NA()))</f>
        <v>0.65504999999999991</v>
      </c>
      <c r="BH226" s="12">
        <f>IF(A226="",NA(),IF(Статистика!$F$8="Вкл",(((IF(Статистика!$C$4="Параллельный режим (активная мощность)",D226,O226)+Статистика!$J$4))-Статистика!$C$10)/MAX(Статистика!$G$10-Статистика!$C$10,0.000001),NA()))</f>
        <v>0.44447860333333333</v>
      </c>
      <c r="BI226" s="12">
        <f>IF(A226="",NA(),IF(Статистика!$F$8="Вкл",(((IF(Статистика!$C$4="Параллельный режим (активная мощность)",H226,S226)+Статистика!$J$4))-Статистика!$C$10)/MAX(Статистика!$G$10-Статистика!$C$10,0.000001),NA()))</f>
        <v>0.72991127666666666</v>
      </c>
      <c r="BJ226" s="12">
        <f>IF(A226="",NA(),IF(Статистика!$H$8="Вкл",(((IF(Статистика!$C$4="Параллельный режим (активная мощность)",B226,M226)+Статистика!$J$4))-Статистика!$C$10)/MAX(Статистика!$G$10-Статистика!$C$10,0.000001),NA()))</f>
        <v>-1.3779108886666667</v>
      </c>
      <c r="BK226" s="12">
        <f>IF(A226="",NA(),IF(Статистика!$H$8="Вкл",(((IF(Статистика!$C$4="Параллельный режим (активная мощность)",J226,U226)+Статистика!$J$4))-Статистика!$C$10)/MAX(Статистика!$G$10-Статистика!$C$10,0.000001),NA()))</f>
        <v>0.77193322566666633</v>
      </c>
      <c r="BL226" s="12" t="e">
        <f>IF(A226="",NA(),IF(Статистика!$J$8="Вкл",(((IF(Статистика!$C$4="Параллельный режим (активная мощность)",K226,V226)+Статистика!$J$4))-Статистика!$C$10)/MAX(Статистика!$G$10-Статистика!$C$10,0.000001),NA()))</f>
        <v>#N/A</v>
      </c>
      <c r="BM226" s="12" t="e">
        <f>IF(AND(A226&lt;&gt;"",Статистика!$C$6="Вкл",Статистика!$B$6&gt;0),(Статистика!$B$6-Статистика!$C$10)/MAX(Статистика!$G$10-Статистика!$C$10,0.000001),NA())</f>
        <v>#N/A</v>
      </c>
      <c r="BN226" s="12" t="e">
        <f>IF(AND(A226&lt;&gt;"",Статистика!$F$6="Вкл",Статистика!$E$6&gt;0),(Статистика!$E$6-Статистика!$C$10)/MAX(Статистика!$G$10-Статистика!$C$10,0.000001),NA())</f>
        <v>#N/A</v>
      </c>
      <c r="BO226" s="12" t="e">
        <f>IF(AND(A226&lt;&gt;"",Статистика!$I$6="Вкл",Статистика!$H$6&gt;0),(Статистика!$H$6-Статистика!$C$10)/MAX(Статистика!$G$10-Статистика!$C$10,0.000001),NA())</f>
        <v>#N/A</v>
      </c>
      <c r="BP226" s="12" t="e">
        <f>IF(AND(A226&lt;&gt;"",Статистика!$L$6="Вкл",Статистика!$K$6&gt;0),(Статистика!$K$6-Статистика!$C$10)/MAX(Статистика!$G$10-Статистика!$C$10,0.000001),NA())</f>
        <v>#N/A</v>
      </c>
      <c r="BQ226" s="12" t="e">
        <f>IF(AND(A226&lt;&gt;"",Статистика!$M$6="Вкл",Статистика!$O$6&gt;0),(Статистика!$O$6-Статистика!$C$10)/MAX(Статистика!$G$10-Статистика!$C$10,0.000001),NA())</f>
        <v>#N/A</v>
      </c>
      <c r="BR226" s="12">
        <f t="shared" si="6"/>
        <v>1</v>
      </c>
      <c r="BT226" s="12">
        <f>IF(Y226="","",MAX(0,MIN(1,(((IF(Статистика!$C$4="Параллельный режим (активная мощность)",Z226,AK226)+Статистика!$J$4))-Статистика!$C$10)/MAX(Статистика!$G$10-Статистика!$C$10,0.000001))))</f>
        <v>0.51209081938888867</v>
      </c>
      <c r="BU226" s="12">
        <f>IF(Y226="","",MAX(0,MAX(0,MIN(1,(((IF(Статистика!$C$4="Параллельный режим (активная мощность)",AB226,AM226)+Статистика!$J$4))-Статистика!$C$10)/MAX(Статистика!$G$10-Статистика!$C$10,0.000001)))-MAX(0,MIN(1,(((IF(Статистика!$C$4="Параллельный режим (активная мощность)",Z226,AK226)+Статистика!$J$4))-Статистика!$C$10)/MAX(Статистика!$G$10-Статистика!$C$10,0.000001)))))</f>
        <v>1.4372374500000062E-2</v>
      </c>
      <c r="BV226" s="12">
        <f>IF(Y226="","",MAX(0,MAX(0,MIN(1,(((IF(Статистика!$C$4="Параллельный режим (активная мощность)",AC226,AN226)+Статистика!$J$4))-Статистика!$C$10)/MAX(Статистика!$G$10-Статистика!$C$10,0.000001)))-MAX(0,MIN(1,(((IF(Статистика!$C$4="Параллельный режим (активная мощность)",AB226,AM226)+Статистика!$J$4))-Статистика!$C$10)/MAX(Статистика!$G$10-Статистика!$C$10,0.000001)))))</f>
        <v>3.1504681111111488E-2</v>
      </c>
      <c r="BW226" s="12">
        <f>IF(Y226="","",MAX(0,MAX(0,MIN(1,(((IF(Статистика!$C$4="Параллельный режим (активная мощность)",AD226,AO226)+Статистика!$J$4))-Статистика!$C$10)/MAX(Статистика!$G$10-Статистика!$C$10,0.000001)))-MAX(0,MIN(1,(((IF(Статистика!$C$4="Параллельный режим (активная мощность)",AC226,AN226)+Статистика!$J$4))-Статистика!$C$10)/MAX(Статистика!$G$10-Статистика!$C$10,0.000001)))))</f>
        <v>1.9499613888888878E-2</v>
      </c>
      <c r="BX226" s="12">
        <f>IF(Y226="","",MAX(0,MAX(0,MIN(1,(((IF(Статистика!$C$4="Параллельный режим (активная мощность)",AE226,AP226)+Статистика!$J$4))-Статистика!$C$10)/MAX(Статистика!$G$10-Статистика!$C$10,0.000001)))-MAX(0,MIN(1,(((IF(Статистика!$C$4="Параллельный режим (активная мощность)",AD226,AO226)+Статистика!$J$4))-Статистика!$C$10)/MAX(Статистика!$G$10-Статистика!$C$10,0.000001)))))</f>
        <v>4.1324833333333144E-2</v>
      </c>
      <c r="BY226" s="12">
        <f>IF(Y226="","",MAX(0,MAX(0,MIN(1,(((IF(Статистика!$C$4="Параллельный режим (активная мощность)",AF226,AQ226)+Статистика!$J$4))-Статистика!$C$10)/MAX(Статистика!$G$10-Статистика!$C$10,0.000001)))-MAX(0,MIN(1,(((IF(Статистика!$C$4="Параллельный режим (активная мощность)",AE226,AP226)+Статистика!$J$4))-Статистика!$C$10)/MAX(Статистика!$G$10-Статистика!$C$10,0.000001)))))</f>
        <v>0.18572894111111049</v>
      </c>
      <c r="BZ226" s="12">
        <f>IF(Y226="","",MAX(0,MAX(0,MIN(1,(((IF(Статистика!$C$4="Параллельный режим (активная мощность)",AH226,AS226)+Статистика!$J$4))-Статистика!$C$10)/MAX(Статистика!$G$10-Статистика!$C$10,0.000001)))-MAX(0,MIN(1,(((IF(Статистика!$C$4="Параллельный режим (активная мощность)",AF226,AQ226)+Статистика!$J$4))-Статистика!$C$10)/MAX(Статистика!$G$10-Статистика!$C$10,0.000001)))))</f>
        <v>3.8837953000000258E-2</v>
      </c>
      <c r="CA226" s="12">
        <f>IF(Y226="","",MAX(0,1-MAX(0,MIN(1,(((IF(Статистика!$C$4="Параллельный режим (активная мощность)",AH226,AS226)+Статистика!$J$4))-Статистика!$C$10)/MAX(Статистика!$G$10-Статистика!$C$10,0.000001)))))</f>
        <v>0.15664078366666701</v>
      </c>
      <c r="CB226" s="12">
        <f>IF(Y226="",NA(),IF(Статистика!$B$8="Вкл",(((IF(Статистика!$C$4="Параллельный режим (активная мощность)",AD226,AO226)+Статистика!$J$4))-Статистика!$C$10)/MAX(Статистика!$G$10-Статистика!$C$10,0.000001),NA()))</f>
        <v>0.5774674888888891</v>
      </c>
      <c r="CC226" s="12">
        <f>IF(Y226="",NA(),IF(Статистика!$D$8="Вкл",(((IF(Статистика!$C$4="Параллельный режим (активная мощность)",AC226,AN226)+Статистика!$J$4))-Статистика!$C$10)/MAX(Статистика!$G$10-Статистика!$C$10,0.000001),NA()))</f>
        <v>0.55796787500000022</v>
      </c>
      <c r="CD226" s="12">
        <f>IF(Y226="",NA(),IF(Статистика!$D$8="Вкл",(((IF(Статистика!$C$4="Параллельный режим (активная мощность)",AE226,AP226)+Статистика!$J$4))-Статистика!$C$10)/MAX(Статистика!$G$10-Статистика!$C$10,0.000001),NA()))</f>
        <v>0.61879232222222225</v>
      </c>
      <c r="CE226" s="12">
        <f>IF(Y226="",NA(),IF(Статистика!$F$8="Вкл",(((IF(Статистика!$C$4="Параллельный режим (активная мощность)",AB226,AM226)+Статистика!$J$4))-Статистика!$C$10)/MAX(Статистика!$G$10-Статистика!$C$10,0.000001),NA()))</f>
        <v>0.52646319388888874</v>
      </c>
      <c r="CF226" s="12">
        <f>IF(Y226="",NA(),IF(Статистика!$F$8="Вкл",(((IF(Статистика!$C$4="Параллельный режим (активная мощность)",AF226,AQ226)+Статистика!$J$4))-Статистика!$C$10)/MAX(Статистика!$G$10-Статистика!$C$10,0.000001),NA()))</f>
        <v>0.80452126333333274</v>
      </c>
      <c r="CG226" s="12">
        <f>IF(Y226="",NA(),IF(Статистика!$H$8="Вкл",(((IF(Статистика!$C$4="Параллельный режим (активная мощность)",Z226,AK226)+Статистика!$J$4))-Статистика!$C$10)/MAX(Статистика!$G$10-Статистика!$C$10,0.000001),NA()))</f>
        <v>0.51209081938888867</v>
      </c>
      <c r="CH226" s="12">
        <f>IF(Y226="",NA(),IF(Статистика!$H$8="Вкл",(((IF(Статистика!$C$4="Параллельный режим (активная мощность)",AH226,AS226)+Статистика!$J$4))-Статистика!$C$10)/MAX(Статистика!$G$10-Статистика!$C$10,0.000001),NA()))</f>
        <v>0.84335921633333299</v>
      </c>
      <c r="CI226" s="12" t="e">
        <f>IF(Y226="",NA(),IF(Статистика!$J$8="Вкл",(((IF(Статистика!$C$4="Параллельный режим (активная мощность)",AI226,AT226)+Статистика!$J$4))-Статистика!$C$10)/MAX(Статистика!$G$10-Статистика!$C$10,0.000001),NA()))</f>
        <v>#N/A</v>
      </c>
      <c r="CJ226" s="12" t="e">
        <f>IF(AND(Y226&lt;&gt;"",Статистика!$C$6="Вкл",Статистика!$B$6&gt;0),(Статистика!$B$6-Статистика!$C$10)/MAX(Статистика!$G$10-Статистика!$C$10,0.000001),NA())</f>
        <v>#N/A</v>
      </c>
      <c r="CK226" s="12" t="e">
        <f>IF(AND(Y226&lt;&gt;"",Статистика!$F$6="Вкл",Статистика!$E$6&gt;0),(Статистика!$E$6-Статистика!$C$10)/MAX(Статистика!$G$10-Статистика!$C$10,0.000001),NA())</f>
        <v>#N/A</v>
      </c>
      <c r="CL226" s="12" t="e">
        <f>IF(AND(Y226&lt;&gt;"",Статистика!$I$6="Вкл",Статистика!$H$6&gt;0),(Статистика!$H$6-Статистика!$C$10)/MAX(Статистика!$G$10-Статистика!$C$10,0.000001),NA())</f>
        <v>#N/A</v>
      </c>
      <c r="CM226" s="12" t="e">
        <f>IF(AND(Y226&lt;&gt;"",Статистика!$L$6="Вкл",Статистика!$K$6&gt;0),(Статистика!$K$6-Статистика!$C$10)/MAX(Статистика!$G$10-Статистика!$C$10,0.000001),NA())</f>
        <v>#N/A</v>
      </c>
      <c r="CN226" s="12" t="e">
        <f>IF(AND(Y226&lt;&gt;"",Статистика!$M$6="Вкл",Статистика!$O$6&gt;0),(Статистика!$O$6-Статистика!$C$10)/MAX(Статистика!$G$10-Статистика!$C$10,0.000001),NA())</f>
        <v>#N/A</v>
      </c>
      <c r="CO226" s="12">
        <f t="shared" si="7"/>
        <v>1</v>
      </c>
    </row>
    <row r="227" spans="1:93" ht="15" customHeight="1">
      <c r="A227" s="12" t="s">
        <v>951</v>
      </c>
      <c r="B227" s="12">
        <v>1876.1016356666669</v>
      </c>
      <c r="C227" s="12">
        <v>5570.194445000001</v>
      </c>
      <c r="D227" s="12">
        <v>7324.1369966666671</v>
      </c>
      <c r="E227" s="12">
        <v>7504.9536916666657</v>
      </c>
      <c r="F227" s="12">
        <v>7744.5780500000001</v>
      </c>
      <c r="G227" s="12">
        <v>7966.3464333333332</v>
      </c>
      <c r="H227" s="12">
        <v>8168.1147299999993</v>
      </c>
      <c r="I227" s="12">
        <v>8252.3368124999997</v>
      </c>
      <c r="J227" s="12">
        <v>8294.4874424999998</v>
      </c>
      <c r="K227" s="12">
        <v>8435.33</v>
      </c>
      <c r="L227" s="12" t="s">
        <v>952</v>
      </c>
      <c r="M227" s="12">
        <v>2220.5728518333335</v>
      </c>
      <c r="N227" s="12">
        <v>6305.5255925000019</v>
      </c>
      <c r="O227" s="12">
        <v>8245.6533483333333</v>
      </c>
      <c r="P227" s="12">
        <v>8491.4400666666661</v>
      </c>
      <c r="Q227" s="12">
        <v>8786.9859166666683</v>
      </c>
      <c r="R227" s="12">
        <v>9051.9172749999998</v>
      </c>
      <c r="S227" s="12">
        <v>9185.2213950000005</v>
      </c>
      <c r="T227" s="12">
        <v>9267.7076275000018</v>
      </c>
      <c r="U227" s="12">
        <v>9291.8055254999999</v>
      </c>
      <c r="V227" s="12">
        <v>9417.8799999999992</v>
      </c>
      <c r="W227" s="12" t="s">
        <v>953</v>
      </c>
      <c r="Y227" s="12" t="s">
        <v>951</v>
      </c>
      <c r="Z227" s="12">
        <v>7527.705006166666</v>
      </c>
      <c r="AA227" s="12">
        <v>7539.7607641666664</v>
      </c>
      <c r="AB227" s="12">
        <v>7554.8304616666665</v>
      </c>
      <c r="AC227" s="12">
        <v>7638.9744833333334</v>
      </c>
      <c r="AD227" s="12">
        <v>7712.9825500000006</v>
      </c>
      <c r="AE227" s="12">
        <v>7851.0524333333342</v>
      </c>
      <c r="AF227" s="12">
        <v>8352.5663299999978</v>
      </c>
      <c r="AG227" s="12">
        <v>8454.0684816666653</v>
      </c>
      <c r="AH227" s="12">
        <v>8535.2702029999982</v>
      </c>
      <c r="AI227" s="12">
        <v>8681.35</v>
      </c>
      <c r="AJ227" s="12" t="s">
        <v>954</v>
      </c>
      <c r="AK227" s="12">
        <v>8511.0198895000012</v>
      </c>
      <c r="AL227" s="12">
        <v>8538.5409141666678</v>
      </c>
      <c r="AM227" s="12">
        <v>8572.9421950000014</v>
      </c>
      <c r="AN227" s="12">
        <v>8691.0712499999991</v>
      </c>
      <c r="AO227" s="12">
        <v>8731.2026666666679</v>
      </c>
      <c r="AP227" s="12">
        <v>8887.5252583333331</v>
      </c>
      <c r="AQ227" s="12">
        <v>9325.3598133333326</v>
      </c>
      <c r="AR227" s="12">
        <v>9459.5918233333341</v>
      </c>
      <c r="AS227" s="12">
        <v>9566.9774313333346</v>
      </c>
      <c r="AT227" s="12">
        <v>9716.25</v>
      </c>
      <c r="AU227" s="12" t="s">
        <v>955</v>
      </c>
      <c r="AW227" s="12">
        <f>IF(A227="","",MAX(0,MIN(1,(((IF(Статистика!$C$4="Параллельный режим (активная мощность)",B227,M227)+Статистика!$J$4))-Статистика!$C$10)/MAX(Статистика!$G$10-Статистика!$C$10,0.000001))))</f>
        <v>0</v>
      </c>
      <c r="AX227" s="12">
        <f>IF(A227="","",MAX(0,MAX(0,MIN(1,(((IF(Статистика!$C$4="Параллельный режим (активная мощность)",D227,O227)+Статистика!$J$4))-Статистика!$C$10)/MAX(Статистика!$G$10-Статистика!$C$10,0.000001)))-MAX(0,MIN(1,(((IF(Статистика!$C$4="Параллельный режим (активная мощность)",B227,M227)+Статистика!$J$4))-Статистика!$C$10)/MAX(Статистика!$G$10-Статистика!$C$10,0.000001)))))</f>
        <v>0.44137899888888904</v>
      </c>
      <c r="AY227" s="12">
        <f>IF(A227="","",MAX(0,MAX(0,MIN(1,(((IF(Статистика!$C$4="Параллельный режим (активная мощность)",E227,P227)+Статистика!$J$4))-Статистика!$C$10)/MAX(Статистика!$G$10-Статистика!$C$10,0.000001)))-MAX(0,MIN(1,(((IF(Статистика!$C$4="Параллельный режим (активная мощность)",D227,O227)+Статистика!$J$4))-Статистика!$C$10)/MAX(Статистика!$G$10-Статистика!$C$10,0.000001)))))</f>
        <v>6.0272231666666232E-2</v>
      </c>
      <c r="AZ227" s="12">
        <f>IF(A227="","",MAX(0,MAX(0,MIN(1,(((IF(Статистика!$C$4="Параллельный режим (активная мощность)",F227,Q227)+Статистика!$J$4))-Статистика!$C$10)/MAX(Статистика!$G$10-Статистика!$C$10,0.000001)))-MAX(0,MIN(1,(((IF(Статистика!$C$4="Параллельный режим (активная мощность)",E227,P227)+Статистика!$J$4))-Статистика!$C$10)/MAX(Статистика!$G$10-Статистика!$C$10,0.000001)))))</f>
        <v>7.9874786111111429E-2</v>
      </c>
      <c r="BA227" s="12">
        <f>IF(A227="","",MAX(0,MAX(0,MIN(1,(((IF(Статистика!$C$4="Параллельный режим (активная мощность)",G227,R227)+Статистика!$J$4))-Статистика!$C$10)/MAX(Статистика!$G$10-Статистика!$C$10,0.000001)))-MAX(0,MIN(1,(((IF(Статистика!$C$4="Параллельный режим (активная мощность)",F227,Q227)+Статистика!$J$4))-Статистика!$C$10)/MAX(Статистика!$G$10-Статистика!$C$10,0.000001)))))</f>
        <v>7.3922794444444384E-2</v>
      </c>
      <c r="BB227" s="12">
        <f>IF(A227="","",MAX(0,MAX(0,MIN(1,(((IF(Статистика!$C$4="Параллельный режим (активная мощность)",H227,S227)+Статистика!$J$4))-Статистика!$C$10)/MAX(Статистика!$G$10-Статистика!$C$10,0.000001)))-MAX(0,MIN(1,(((IF(Статистика!$C$4="Параллельный режим (активная мощность)",G227,R227)+Статистика!$J$4))-Статистика!$C$10)/MAX(Статистика!$G$10-Статистика!$C$10,0.000001)))))</f>
        <v>6.7256098888888727E-2</v>
      </c>
      <c r="BC227" s="12">
        <f>IF(A227="","",MAX(0,MAX(0,MIN(1,(((IF(Статистика!$C$4="Параллельный режим (активная мощность)",J227,U227)+Статистика!$J$4))-Статистика!$C$10)/MAX(Статистика!$G$10-Статистика!$C$10,0.000001)))-MAX(0,MIN(1,(((IF(Статистика!$C$4="Параллельный режим (активная мощность)",H227,S227)+Статистика!$J$4))-Статистика!$C$10)/MAX(Статистика!$G$10-Статистика!$C$10,0.000001)))))</f>
        <v>4.2124237500000161E-2</v>
      </c>
      <c r="BD227" s="12">
        <f>IF(A227="","",MAX(0,1-MAX(0,MIN(1,(((IF(Статистика!$C$4="Параллельный режим (активная мощность)",J227,U227)+Статистика!$J$4))-Статистика!$C$10)/MAX(Статистика!$G$10-Статистика!$C$10,0.000001)))))</f>
        <v>0.23517085250000003</v>
      </c>
      <c r="BE227" s="12">
        <f>IF(A227="",NA(),IF(Статистика!$B$8="Вкл",(((IF(Статистика!$C$4="Параллельный режим (активная мощность)",F227,Q227)+Статистика!$J$4))-Статистика!$C$10)/MAX(Статистика!$G$10-Статистика!$C$10,0.000001),NA()))</f>
        <v>0.5815260166666667</v>
      </c>
      <c r="BF227" s="12">
        <f>IF(A227="",NA(),IF(Статистика!$D$8="Вкл",(((IF(Статистика!$C$4="Параллельный режим (активная мощность)",E227,P227)+Статистика!$J$4))-Статистика!$C$10)/MAX(Статистика!$G$10-Статистика!$C$10,0.000001),NA()))</f>
        <v>0.50165123055555527</v>
      </c>
      <c r="BG227" s="12">
        <f>IF(A227="",NA(),IF(Статистика!$D$8="Вкл",(((IF(Статистика!$C$4="Параллельный режим (активная мощность)",G227,R227)+Статистика!$J$4))-Статистика!$C$10)/MAX(Статистика!$G$10-Статистика!$C$10,0.000001),NA()))</f>
        <v>0.65544881111111108</v>
      </c>
      <c r="BH227" s="12">
        <f>IF(A227="",NA(),IF(Статистика!$F$8="Вкл",(((IF(Статистика!$C$4="Параллельный режим (активная мощность)",D227,O227)+Статистика!$J$4))-Статистика!$C$10)/MAX(Статистика!$G$10-Статистика!$C$10,0.000001),NA()))</f>
        <v>0.44137899888888904</v>
      </c>
      <c r="BI227" s="12">
        <f>IF(A227="",NA(),IF(Статистика!$F$8="Вкл",(((IF(Статистика!$C$4="Параллельный режим (активная мощность)",H227,S227)+Статистика!$J$4))-Статистика!$C$10)/MAX(Статистика!$G$10-Статистика!$C$10,0.000001),NA()))</f>
        <v>0.72270490999999981</v>
      </c>
      <c r="BJ227" s="12">
        <f>IF(A227="",NA(),IF(Статистика!$H$8="Вкл",(((IF(Статистика!$C$4="Параллельный режим (активная мощность)",B227,M227)+Статистика!$J$4))-Статистика!$C$10)/MAX(Статистика!$G$10-Статистика!$C$10,0.000001),NA()))</f>
        <v>-1.3746327881111111</v>
      </c>
      <c r="BK227" s="12">
        <f>IF(A227="",NA(),IF(Статистика!$H$8="Вкл",(((IF(Статистика!$C$4="Параллельный режим (активная мощность)",J227,U227)+Статистика!$J$4))-Статистика!$C$10)/MAX(Статистика!$G$10-Статистика!$C$10,0.000001),NA()))</f>
        <v>0.76482914749999997</v>
      </c>
      <c r="BL227" s="12" t="e">
        <f>IF(A227="",NA(),IF(Статистика!$J$8="Вкл",(((IF(Статистика!$C$4="Параллельный режим (активная мощность)",K227,V227)+Статистика!$J$4))-Статистика!$C$10)/MAX(Статистика!$G$10-Статистика!$C$10,0.000001),NA()))</f>
        <v>#N/A</v>
      </c>
      <c r="BM227" s="12" t="e">
        <f>IF(AND(A227&lt;&gt;"",Статистика!$C$6="Вкл",Статистика!$B$6&gt;0),(Статистика!$B$6-Статистика!$C$10)/MAX(Статистика!$G$10-Статистика!$C$10,0.000001),NA())</f>
        <v>#N/A</v>
      </c>
      <c r="BN227" s="12" t="e">
        <f>IF(AND(A227&lt;&gt;"",Статистика!$F$6="Вкл",Статистика!$E$6&gt;0),(Статистика!$E$6-Статистика!$C$10)/MAX(Статистика!$G$10-Статистика!$C$10,0.000001),NA())</f>
        <v>#N/A</v>
      </c>
      <c r="BO227" s="12" t="e">
        <f>IF(AND(A227&lt;&gt;"",Статистика!$I$6="Вкл",Статистика!$H$6&gt;0),(Статистика!$H$6-Статистика!$C$10)/MAX(Статистика!$G$10-Статистика!$C$10,0.000001),NA())</f>
        <v>#N/A</v>
      </c>
      <c r="BP227" s="12" t="e">
        <f>IF(AND(A227&lt;&gt;"",Статистика!$L$6="Вкл",Статистика!$K$6&gt;0),(Статистика!$K$6-Статистика!$C$10)/MAX(Статистика!$G$10-Статистика!$C$10,0.000001),NA())</f>
        <v>#N/A</v>
      </c>
      <c r="BQ227" s="12" t="e">
        <f>IF(AND(A227&lt;&gt;"",Статистика!$M$6="Вкл",Статистика!$O$6&gt;0),(Статистика!$O$6-Статистика!$C$10)/MAX(Статистика!$G$10-Статистика!$C$10,0.000001),NA())</f>
        <v>#N/A</v>
      </c>
      <c r="BR227" s="12">
        <f t="shared" si="6"/>
        <v>1</v>
      </c>
      <c r="BT227" s="12">
        <f>IF(Y227="","",MAX(0,MIN(1,(((IF(Статистика!$C$4="Параллельный режим (активная мощность)",Z227,AK227)+Статистика!$J$4))-Статистика!$C$10)/MAX(Статистика!$G$10-Статистика!$C$10,0.000001))))</f>
        <v>0.50923500205555527</v>
      </c>
      <c r="BU227" s="12">
        <f>IF(Y227="","",MAX(0,MAX(0,MIN(1,(((IF(Статистика!$C$4="Параллельный режим (активная мощность)",AB227,AM227)+Статистика!$J$4))-Статистика!$C$10)/MAX(Статистика!$G$10-Статистика!$C$10,0.000001)))-MAX(0,MIN(1,(((IF(Статистика!$C$4="Параллельный режим (активная мощность)",Z227,AK227)+Статистика!$J$4))-Статистика!$C$10)/MAX(Статистика!$G$10-Статистика!$C$10,0.000001)))))</f>
        <v>9.0418185000001872E-3</v>
      </c>
      <c r="BV227" s="12">
        <f>IF(Y227="","",MAX(0,MAX(0,MIN(1,(((IF(Статистика!$C$4="Параллельный режим (активная мощность)",AC227,AN227)+Статистика!$J$4))-Статистика!$C$10)/MAX(Статистика!$G$10-Статистика!$C$10,0.000001)))-MAX(0,MIN(1,(((IF(Статистика!$C$4="Параллельный режим (активная мощность)",AB227,AM227)+Статистика!$J$4))-Статистика!$C$10)/MAX(Статистика!$G$10-Статистика!$C$10,0.000001)))))</f>
        <v>2.8048007222222338E-2</v>
      </c>
      <c r="BW227" s="12">
        <f>IF(Y227="","",MAX(0,MAX(0,MIN(1,(((IF(Статистика!$C$4="Параллельный режим (активная мощность)",AD227,AO227)+Статистика!$J$4))-Статистика!$C$10)/MAX(Статистика!$G$10-Статистика!$C$10,0.000001)))-MAX(0,MIN(1,(((IF(Статистика!$C$4="Параллельный режим (активная мощность)",AC227,AN227)+Статистика!$J$4))-Статистика!$C$10)/MAX(Статистика!$G$10-Статистика!$C$10,0.000001)))))</f>
        <v>2.4669355555555716E-2</v>
      </c>
      <c r="BX227" s="12">
        <f>IF(Y227="","",MAX(0,MAX(0,MIN(1,(((IF(Статистика!$C$4="Параллельный режим (активная мощность)",AE227,AP227)+Статистика!$J$4))-Статистика!$C$10)/MAX(Статистика!$G$10-Статистика!$C$10,0.000001)))-MAX(0,MIN(1,(((IF(Статистика!$C$4="Параллельный режим (активная мощность)",AD227,AO227)+Статистика!$J$4))-Статистика!$C$10)/MAX(Статистика!$G$10-Статистика!$C$10,0.000001)))))</f>
        <v>4.6023294444444529E-2</v>
      </c>
      <c r="BY227" s="12">
        <f>IF(Y227="","",MAX(0,MAX(0,MIN(1,(((IF(Статистика!$C$4="Параллельный режим (активная мощность)",AF227,AQ227)+Статистика!$J$4))-Статистика!$C$10)/MAX(Статистика!$G$10-Статистика!$C$10,0.000001)))-MAX(0,MIN(1,(((IF(Статистика!$C$4="Параллельный режим (активная мощность)",AE227,AP227)+Статистика!$J$4))-Статистика!$C$10)/MAX(Статистика!$G$10-Статистика!$C$10,0.000001)))))</f>
        <v>0.16717129888888793</v>
      </c>
      <c r="BZ227" s="12">
        <f>IF(Y227="","",MAX(0,MAX(0,MIN(1,(((IF(Статистика!$C$4="Параллельный режим (активная мощность)",AH227,AS227)+Статистика!$J$4))-Статистика!$C$10)/MAX(Статистика!$G$10-Статистика!$C$10,0.000001)))-MAX(0,MIN(1,(((IF(Статистика!$C$4="Параллельный режим (активная мощность)",AF227,AQ227)+Статистика!$J$4))-Статистика!$C$10)/MAX(Статистика!$G$10-Статистика!$C$10,0.000001)))))</f>
        <v>6.090129100000008E-2</v>
      </c>
      <c r="CA227" s="12">
        <f>IF(Y227="","",MAX(0,1-MAX(0,MIN(1,(((IF(Статистика!$C$4="Параллельный режим (активная мощность)",AH227,AS227)+Статистика!$J$4))-Статистика!$C$10)/MAX(Статистика!$G$10-Статистика!$C$10,0.000001)))))</f>
        <v>0.15490993233333394</v>
      </c>
      <c r="CB227" s="12">
        <f>IF(Y227="",NA(),IF(Статистика!$B$8="Вкл",(((IF(Статистика!$C$4="Параллельный режим (активная мощность)",AD227,AO227)+Статистика!$J$4))-Статистика!$C$10)/MAX(Статистика!$G$10-Статистика!$C$10,0.000001),NA()))</f>
        <v>0.57099418333333352</v>
      </c>
      <c r="CC227" s="12">
        <f>IF(Y227="",NA(),IF(Статистика!$D$8="Вкл",(((IF(Статистика!$C$4="Параллельный режим (активная мощность)",AC227,AN227)+Статистика!$J$4))-Статистика!$C$10)/MAX(Статистика!$G$10-Статистика!$C$10,0.000001),NA()))</f>
        <v>0.5463248277777778</v>
      </c>
      <c r="CD227" s="12">
        <f>IF(Y227="",NA(),IF(Статистика!$D$8="Вкл",(((IF(Статистика!$C$4="Параллельный режим (активная мощность)",AE227,AP227)+Статистика!$J$4))-Статистика!$C$10)/MAX(Статистика!$G$10-Статистика!$C$10,0.000001),NA()))</f>
        <v>0.61701747777777805</v>
      </c>
      <c r="CE227" s="12">
        <f>IF(Y227="",NA(),IF(Статистика!$F$8="Вкл",(((IF(Статистика!$C$4="Параллельный режим (активная мощность)",AB227,AM227)+Статистика!$J$4))-Статистика!$C$10)/MAX(Статистика!$G$10-Статистика!$C$10,0.000001),NA()))</f>
        <v>0.51827682055555546</v>
      </c>
      <c r="CF227" s="12">
        <f>IF(Y227="",NA(),IF(Статистика!$F$8="Вкл",(((IF(Статистика!$C$4="Параллельный режим (активная мощность)",AF227,AQ227)+Статистика!$J$4))-Статистика!$C$10)/MAX(Статистика!$G$10-Статистика!$C$10,0.000001),NA()))</f>
        <v>0.78418877666666598</v>
      </c>
      <c r="CG227" s="12">
        <f>IF(Y227="",NA(),IF(Статистика!$H$8="Вкл",(((IF(Статистика!$C$4="Параллельный режим (активная мощность)",Z227,AK227)+Статистика!$J$4))-Статистика!$C$10)/MAX(Статистика!$G$10-Статистика!$C$10,0.000001),NA()))</f>
        <v>0.50923500205555527</v>
      </c>
      <c r="CH227" s="12">
        <f>IF(Y227="",NA(),IF(Статистика!$H$8="Вкл",(((IF(Статистика!$C$4="Параллельный режим (активная мощность)",AH227,AS227)+Статистика!$J$4))-Статистика!$C$10)/MAX(Статистика!$G$10-Статистика!$C$10,0.000001),NA()))</f>
        <v>0.84509006766666606</v>
      </c>
      <c r="CI227" s="12" t="e">
        <f>IF(Y227="",NA(),IF(Статистика!$J$8="Вкл",(((IF(Статистика!$C$4="Параллельный режим (активная мощность)",AI227,AT227)+Статистика!$J$4))-Статистика!$C$10)/MAX(Статистика!$G$10-Статистика!$C$10,0.000001),NA()))</f>
        <v>#N/A</v>
      </c>
      <c r="CJ227" s="12" t="e">
        <f>IF(AND(Y227&lt;&gt;"",Статистика!$C$6="Вкл",Статистика!$B$6&gt;0),(Статистика!$B$6-Статистика!$C$10)/MAX(Статистика!$G$10-Статистика!$C$10,0.000001),NA())</f>
        <v>#N/A</v>
      </c>
      <c r="CK227" s="12" t="e">
        <f>IF(AND(Y227&lt;&gt;"",Статистика!$F$6="Вкл",Статистика!$E$6&gt;0),(Статистика!$E$6-Статистика!$C$10)/MAX(Статистика!$G$10-Статистика!$C$10,0.000001),NA())</f>
        <v>#N/A</v>
      </c>
      <c r="CL227" s="12" t="e">
        <f>IF(AND(Y227&lt;&gt;"",Статистика!$I$6="Вкл",Статистика!$H$6&gt;0),(Статистика!$H$6-Статистика!$C$10)/MAX(Статистика!$G$10-Статистика!$C$10,0.000001),NA())</f>
        <v>#N/A</v>
      </c>
      <c r="CM227" s="12" t="e">
        <f>IF(AND(Y227&lt;&gt;"",Статистика!$L$6="Вкл",Статистика!$K$6&gt;0),(Статистика!$K$6-Статистика!$C$10)/MAX(Статистика!$G$10-Статистика!$C$10,0.000001),NA())</f>
        <v>#N/A</v>
      </c>
      <c r="CN227" s="12" t="e">
        <f>IF(AND(Y227&lt;&gt;"",Статистика!$M$6="Вкл",Статистика!$O$6&gt;0),(Статистика!$O$6-Статистика!$C$10)/MAX(Статистика!$G$10-Статистика!$C$10,0.000001),NA())</f>
        <v>#N/A</v>
      </c>
      <c r="CO227" s="12">
        <f t="shared" si="7"/>
        <v>1</v>
      </c>
    </row>
    <row r="228" spans="1:93" ht="15" customHeight="1">
      <c r="A228" s="12" t="s">
        <v>956</v>
      </c>
      <c r="B228" s="12">
        <v>1858.6993778333331</v>
      </c>
      <c r="C228" s="12">
        <v>5554.2626225000013</v>
      </c>
      <c r="D228" s="12">
        <v>7324.8075233333338</v>
      </c>
      <c r="E228" s="12">
        <v>7518.0089916666675</v>
      </c>
      <c r="F228" s="12">
        <v>7753.4045666666661</v>
      </c>
      <c r="G228" s="12">
        <v>7863.9380499999988</v>
      </c>
      <c r="H228" s="12">
        <v>8107.8235516666673</v>
      </c>
      <c r="I228" s="12">
        <v>8145.2666024999999</v>
      </c>
      <c r="J228" s="12">
        <v>8216.8547071666653</v>
      </c>
      <c r="K228" s="12">
        <v>8397.9699999999993</v>
      </c>
      <c r="L228" s="12" t="s">
        <v>957</v>
      </c>
      <c r="M228" s="12">
        <v>2195.7097743333329</v>
      </c>
      <c r="N228" s="12">
        <v>6282.095405</v>
      </c>
      <c r="O228" s="12">
        <v>8256.200988333334</v>
      </c>
      <c r="P228" s="12">
        <v>8480.0311916666669</v>
      </c>
      <c r="Q228" s="12">
        <v>8722.3820500000002</v>
      </c>
      <c r="R228" s="12">
        <v>8879.3679250000005</v>
      </c>
      <c r="S228" s="12">
        <v>9129.050863333332</v>
      </c>
      <c r="T228" s="12">
        <v>9174.0869133333326</v>
      </c>
      <c r="U228" s="12">
        <v>9226.5230893333337</v>
      </c>
      <c r="V228" s="12">
        <v>9477.89</v>
      </c>
      <c r="W228" s="12" t="s">
        <v>958</v>
      </c>
      <c r="Y228" s="12" t="s">
        <v>956</v>
      </c>
      <c r="Z228" s="12">
        <v>7421.4736651666663</v>
      </c>
      <c r="AA228" s="12">
        <v>7443.2623258333333</v>
      </c>
      <c r="AB228" s="12">
        <v>7470.4981516666667</v>
      </c>
      <c r="AC228" s="12">
        <v>7595.7373750000006</v>
      </c>
      <c r="AD228" s="12">
        <v>7702.8422666666665</v>
      </c>
      <c r="AE228" s="12">
        <v>7878.0223999999998</v>
      </c>
      <c r="AF228" s="12">
        <v>8355.0026633333327</v>
      </c>
      <c r="AG228" s="12">
        <v>8458.0855150000007</v>
      </c>
      <c r="AH228" s="12">
        <v>8540.5517963333332</v>
      </c>
      <c r="AI228" s="12">
        <v>8692.3799999999992</v>
      </c>
      <c r="AJ228" s="12" t="s">
        <v>959</v>
      </c>
      <c r="AK228" s="12">
        <v>8476.5460838333347</v>
      </c>
      <c r="AL228" s="12">
        <v>8487.9800191666673</v>
      </c>
      <c r="AM228" s="12">
        <v>8502.2724383333334</v>
      </c>
      <c r="AN228" s="12">
        <v>8640.668450000001</v>
      </c>
      <c r="AO228" s="12">
        <v>8740.7127833333325</v>
      </c>
      <c r="AP228" s="12">
        <v>8913.2667833333344</v>
      </c>
      <c r="AQ228" s="12">
        <v>9406.4323516666664</v>
      </c>
      <c r="AR228" s="12">
        <v>9499.2338424999998</v>
      </c>
      <c r="AS228" s="12">
        <v>9573.4750351666662</v>
      </c>
      <c r="AT228" s="12">
        <v>9726.75</v>
      </c>
      <c r="AU228" s="12" t="s">
        <v>959</v>
      </c>
      <c r="AW228" s="12">
        <f>IF(A228="","",MAX(0,MIN(1,(((IF(Статистика!$C$4="Параллельный режим (активная мощность)",B228,M228)+Статистика!$J$4))-Статистика!$C$10)/MAX(Статистика!$G$10-Статистика!$C$10,0.000001))))</f>
        <v>0</v>
      </c>
      <c r="AX228" s="12">
        <f>IF(A228="","",MAX(0,MAX(0,MIN(1,(((IF(Статистика!$C$4="Параллельный режим (активная мощность)",D228,O228)+Статистика!$J$4))-Статистика!$C$10)/MAX(Статистика!$G$10-Статистика!$C$10,0.000001)))-MAX(0,MIN(1,(((IF(Статистика!$C$4="Параллельный режим (активная мощность)",B228,M228)+Статистика!$J$4))-Статистика!$C$10)/MAX(Статистика!$G$10-Статистика!$C$10,0.000001)))))</f>
        <v>0.44160250777777793</v>
      </c>
      <c r="AY228" s="12">
        <f>IF(A228="","",MAX(0,MAX(0,MIN(1,(((IF(Статистика!$C$4="Параллельный режим (активная мощность)",E228,P228)+Статистика!$J$4))-Статистика!$C$10)/MAX(Статистика!$G$10-Статистика!$C$10,0.000001)))-MAX(0,MIN(1,(((IF(Статистика!$C$4="Параллельный режим (активная мощность)",D228,O228)+Статистика!$J$4))-Статистика!$C$10)/MAX(Статистика!$G$10-Статистика!$C$10,0.000001)))))</f>
        <v>6.4400489444444597E-2</v>
      </c>
      <c r="AZ228" s="12">
        <f>IF(A228="","",MAX(0,MAX(0,MIN(1,(((IF(Статистика!$C$4="Параллельный режим (активная мощность)",F228,Q228)+Статистика!$J$4))-Статистика!$C$10)/MAX(Статистика!$G$10-Статистика!$C$10,0.000001)))-MAX(0,MIN(1,(((IF(Статистика!$C$4="Параллельный режим (активная мощность)",E228,P228)+Статистика!$J$4))-Статистика!$C$10)/MAX(Статистика!$G$10-Статистика!$C$10,0.000001)))))</f>
        <v>7.8465191666666212E-2</v>
      </c>
      <c r="BA228" s="12">
        <f>IF(A228="","",MAX(0,MAX(0,MIN(1,(((IF(Статистика!$C$4="Параллельный режим (активная мощность)",G228,R228)+Статистика!$J$4))-Статистика!$C$10)/MAX(Статистика!$G$10-Статистика!$C$10,0.000001)))-MAX(0,MIN(1,(((IF(Статистика!$C$4="Параллельный режим (активная мощность)",F228,Q228)+Статистика!$J$4))-Статистика!$C$10)/MAX(Статистика!$G$10-Статистика!$C$10,0.000001)))))</f>
        <v>3.6844494444444154E-2</v>
      </c>
      <c r="BB228" s="12">
        <f>IF(A228="","",MAX(0,MAX(0,MIN(1,(((IF(Статистика!$C$4="Параллельный режим (активная мощность)",H228,S228)+Статистика!$J$4))-Статистика!$C$10)/MAX(Статистика!$G$10-Статистика!$C$10,0.000001)))-MAX(0,MIN(1,(((IF(Статистика!$C$4="Параллельный режим (активная мощность)",G228,R228)+Статистика!$J$4))-Статистика!$C$10)/MAX(Статистика!$G$10-Статистика!$C$10,0.000001)))))</f>
        <v>8.1295167222222853E-2</v>
      </c>
      <c r="BC228" s="12">
        <f>IF(A228="","",MAX(0,MAX(0,MIN(1,(((IF(Статистика!$C$4="Параллельный режим (активная мощность)",J228,U228)+Статистика!$J$4))-Статистика!$C$10)/MAX(Статистика!$G$10-Статистика!$C$10,0.000001)))-MAX(0,MIN(1,(((IF(Статистика!$C$4="Параллельный режим (активная мощность)",H228,S228)+Статистика!$J$4))-Статистика!$C$10)/MAX(Статистика!$G$10-Статистика!$C$10,0.000001)))))</f>
        <v>3.63437184999994E-2</v>
      </c>
      <c r="BD228" s="12">
        <f>IF(A228="","",MAX(0,1-MAX(0,MIN(1,(((IF(Статистика!$C$4="Параллельный режим (активная мощность)",J228,U228)+Статистика!$J$4))-Статистика!$C$10)/MAX(Статистика!$G$10-Статистика!$C$10,0.000001)))))</f>
        <v>0.26104843094444485</v>
      </c>
      <c r="BE228" s="12">
        <f>IF(A228="",NA(),IF(Статистика!$B$8="Вкл",(((IF(Статистика!$C$4="Параллельный режим (активная мощность)",F228,Q228)+Статистика!$J$4))-Статистика!$C$10)/MAX(Статистика!$G$10-Статистика!$C$10,0.000001),NA()))</f>
        <v>0.58446818888888874</v>
      </c>
      <c r="BF228" s="12">
        <f>IF(A228="",NA(),IF(Статистика!$D$8="Вкл",(((IF(Статистика!$C$4="Параллельный режим (активная мощность)",E228,P228)+Статистика!$J$4))-Статистика!$C$10)/MAX(Статистика!$G$10-Статистика!$C$10,0.000001),NA()))</f>
        <v>0.50600299722222253</v>
      </c>
      <c r="BG228" s="12">
        <f>IF(A228="",NA(),IF(Статистика!$D$8="Вкл",(((IF(Статистика!$C$4="Параллельный режим (активная мощность)",G228,R228)+Статистика!$J$4))-Статистика!$C$10)/MAX(Статистика!$G$10-Статистика!$C$10,0.000001),NA()))</f>
        <v>0.62131268333333289</v>
      </c>
      <c r="BH228" s="12">
        <f>IF(A228="",NA(),IF(Статистика!$F$8="Вкл",(((IF(Статистика!$C$4="Параллельный режим (активная мощность)",D228,O228)+Статистика!$J$4))-Статистика!$C$10)/MAX(Статистика!$G$10-Статистика!$C$10,0.000001),NA()))</f>
        <v>0.44160250777777793</v>
      </c>
      <c r="BI228" s="12">
        <f>IF(A228="",NA(),IF(Статистика!$F$8="Вкл",(((IF(Статистика!$C$4="Параллельный режим (активная мощность)",H228,S228)+Статистика!$J$4))-Статистика!$C$10)/MAX(Статистика!$G$10-Статистика!$C$10,0.000001),NA()))</f>
        <v>0.70260785055555575</v>
      </c>
      <c r="BJ228" s="12">
        <f>IF(A228="",NA(),IF(Статистика!$H$8="Вкл",(((IF(Статистика!$C$4="Параллельный режим (активная мощность)",B228,M228)+Статистика!$J$4))-Статистика!$C$10)/MAX(Статистика!$G$10-Статистика!$C$10,0.000001),NA()))</f>
        <v>-1.3804335407222224</v>
      </c>
      <c r="BK228" s="12">
        <f>IF(A228="",NA(),IF(Статистика!$H$8="Вкл",(((IF(Статистика!$C$4="Параллельный режим (активная мощность)",J228,U228)+Статистика!$J$4))-Статистика!$C$10)/MAX(Статистика!$G$10-Статистика!$C$10,0.000001),NA()))</f>
        <v>0.73895156905555515</v>
      </c>
      <c r="BL228" s="12" t="e">
        <f>IF(A228="",NA(),IF(Статистика!$J$8="Вкл",(((IF(Статистика!$C$4="Параллельный режим (активная мощность)",K228,V228)+Статистика!$J$4))-Статистика!$C$10)/MAX(Статистика!$G$10-Статистика!$C$10,0.000001),NA()))</f>
        <v>#N/A</v>
      </c>
      <c r="BM228" s="12" t="e">
        <f>IF(AND(A228&lt;&gt;"",Статистика!$C$6="Вкл",Статистика!$B$6&gt;0),(Статистика!$B$6-Статистика!$C$10)/MAX(Статистика!$G$10-Статистика!$C$10,0.000001),NA())</f>
        <v>#N/A</v>
      </c>
      <c r="BN228" s="12" t="e">
        <f>IF(AND(A228&lt;&gt;"",Статистика!$F$6="Вкл",Статистика!$E$6&gt;0),(Статистика!$E$6-Статистика!$C$10)/MAX(Статистика!$G$10-Статистика!$C$10,0.000001),NA())</f>
        <v>#N/A</v>
      </c>
      <c r="BO228" s="12" t="e">
        <f>IF(AND(A228&lt;&gt;"",Статистика!$I$6="Вкл",Статистика!$H$6&gt;0),(Статистика!$H$6-Статистика!$C$10)/MAX(Статистика!$G$10-Статистика!$C$10,0.000001),NA())</f>
        <v>#N/A</v>
      </c>
      <c r="BP228" s="12" t="e">
        <f>IF(AND(A228&lt;&gt;"",Статистика!$L$6="Вкл",Статистика!$K$6&gt;0),(Статистика!$K$6-Статистика!$C$10)/MAX(Статистика!$G$10-Статистика!$C$10,0.000001),NA())</f>
        <v>#N/A</v>
      </c>
      <c r="BQ228" s="12" t="e">
        <f>IF(AND(A228&lt;&gt;"",Статистика!$M$6="Вкл",Статистика!$O$6&gt;0),(Статистика!$O$6-Статистика!$C$10)/MAX(Статистика!$G$10-Статистика!$C$10,0.000001),NA())</f>
        <v>#N/A</v>
      </c>
      <c r="BR228" s="12">
        <f t="shared" si="6"/>
        <v>1</v>
      </c>
      <c r="BT228" s="12">
        <f>IF(Y228="","",MAX(0,MIN(1,(((IF(Статистика!$C$4="Параллельный режим (активная мощность)",Z228,AK228)+Статистика!$J$4))-Статистика!$C$10)/MAX(Статистика!$G$10-Статистика!$C$10,0.000001))))</f>
        <v>0.47382455505555543</v>
      </c>
      <c r="BU228" s="12">
        <f>IF(Y228="","",MAX(0,MAX(0,MIN(1,(((IF(Статистика!$C$4="Параллельный режим (активная мощность)",AB228,AM228)+Статистика!$J$4))-Статистика!$C$10)/MAX(Статистика!$G$10-Статистика!$C$10,0.000001)))-MAX(0,MIN(1,(((IF(Статистика!$C$4="Параллельный режим (активная мощность)",Z228,AK228)+Статистика!$J$4))-Статистика!$C$10)/MAX(Статистика!$G$10-Статистика!$C$10,0.000001)))))</f>
        <v>1.6341495500000136E-2</v>
      </c>
      <c r="BV228" s="12">
        <f>IF(Y228="","",MAX(0,MAX(0,MIN(1,(((IF(Статистика!$C$4="Параллельный режим (активная мощность)",AC228,AN228)+Статистика!$J$4))-Статистика!$C$10)/MAX(Статистика!$G$10-Статистика!$C$10,0.000001)))-MAX(0,MIN(1,(((IF(Статистика!$C$4="Параллельный режим (активная мощность)",AB228,AM228)+Статистика!$J$4))-Статистика!$C$10)/MAX(Статистика!$G$10-Статистика!$C$10,0.000001)))))</f>
        <v>4.1746407777777994E-2</v>
      </c>
      <c r="BW228" s="12">
        <f>IF(Y228="","",MAX(0,MAX(0,MIN(1,(((IF(Статистика!$C$4="Параллельный режим (активная мощность)",AD228,AO228)+Статистика!$J$4))-Статистика!$C$10)/MAX(Статистика!$G$10-Статистика!$C$10,0.000001)))-MAX(0,MIN(1,(((IF(Статистика!$C$4="Параллельный режим (активная мощность)",AC228,AN228)+Статистика!$J$4))-Статистика!$C$10)/MAX(Статистика!$G$10-Статистика!$C$10,0.000001)))))</f>
        <v>3.5701630555555308E-2</v>
      </c>
      <c r="BX228" s="12">
        <f>IF(Y228="","",MAX(0,MAX(0,MIN(1,(((IF(Статистика!$C$4="Параллельный режим (активная мощность)",AE228,AP228)+Статистика!$J$4))-Статистика!$C$10)/MAX(Статистика!$G$10-Статистика!$C$10,0.000001)))-MAX(0,MIN(1,(((IF(Статистика!$C$4="Параллельный режим (активная мощность)",AD228,AO228)+Статистика!$J$4))-Статистика!$C$10)/MAX(Статистика!$G$10-Статистика!$C$10,0.000001)))))</f>
        <v>5.8393377777777755E-2</v>
      </c>
      <c r="BY228" s="12">
        <f>IF(Y228="","",MAX(0,MAX(0,MIN(1,(((IF(Статистика!$C$4="Параллельный режим (активная мощность)",AF228,AQ228)+Статистика!$J$4))-Статистика!$C$10)/MAX(Статистика!$G$10-Статистика!$C$10,0.000001)))-MAX(0,MIN(1,(((IF(Статистика!$C$4="Параллельный режим (активная мощность)",AE228,AP228)+Статистика!$J$4))-Статистика!$C$10)/MAX(Статистика!$G$10-Статистика!$C$10,0.000001)))))</f>
        <v>0.15899342111111092</v>
      </c>
      <c r="BZ228" s="12">
        <f>IF(Y228="","",MAX(0,MAX(0,MIN(1,(((IF(Статистика!$C$4="Параллельный режим (активная мощность)",AH228,AS228)+Статистика!$J$4))-Статистика!$C$10)/MAX(Статистика!$G$10-Статистика!$C$10,0.000001)))-MAX(0,MIN(1,(((IF(Статистика!$C$4="Параллельный режим (активная мощность)",AF228,AQ228)+Статистика!$J$4))-Статистика!$C$10)/MAX(Статистика!$G$10-Статистика!$C$10,0.000001)))))</f>
        <v>6.184971100000014E-2</v>
      </c>
      <c r="CA228" s="12">
        <f>IF(Y228="","",MAX(0,1-MAX(0,MIN(1,(((IF(Статистика!$C$4="Параллельный режим (активная мощность)",AH228,AS228)+Статистика!$J$4))-Статистика!$C$10)/MAX(Статистика!$G$10-Статистика!$C$10,0.000001)))))</f>
        <v>0.15314940122222231</v>
      </c>
      <c r="CB228" s="12">
        <f>IF(Y228="",NA(),IF(Статистика!$B$8="Вкл",(((IF(Статистика!$C$4="Параллельный режим (активная мощность)",AD228,AO228)+Статистика!$J$4))-Статистика!$C$10)/MAX(Статистика!$G$10-Статистика!$C$10,0.000001),NA()))</f>
        <v>0.56761408888888887</v>
      </c>
      <c r="CC228" s="12">
        <f>IF(Y228="",NA(),IF(Статистика!$D$8="Вкл",(((IF(Статистика!$C$4="Параллельный режим (активная мощность)",AC228,AN228)+Статистика!$J$4))-Статистика!$C$10)/MAX(Статистика!$G$10-Статистика!$C$10,0.000001),NA()))</f>
        <v>0.53191245833333356</v>
      </c>
      <c r="CD228" s="12">
        <f>IF(Y228="",NA(),IF(Статистика!$D$8="Вкл",(((IF(Статистика!$C$4="Параллельный режим (активная мощность)",AE228,AP228)+Статистика!$J$4))-Статистика!$C$10)/MAX(Статистика!$G$10-Статистика!$C$10,0.000001),NA()))</f>
        <v>0.62600746666666662</v>
      </c>
      <c r="CE228" s="12">
        <f>IF(Y228="",NA(),IF(Статистика!$F$8="Вкл",(((IF(Статистика!$C$4="Параллельный режим (активная мощность)",AB228,AM228)+Статистика!$J$4))-Статистика!$C$10)/MAX(Статистика!$G$10-Статистика!$C$10,0.000001),NA()))</f>
        <v>0.49016605055555557</v>
      </c>
      <c r="CF228" s="12">
        <f>IF(Y228="",NA(),IF(Статистика!$F$8="Вкл",(((IF(Статистика!$C$4="Параллельный режим (активная мощность)",AF228,AQ228)+Статистика!$J$4))-Статистика!$C$10)/MAX(Статистика!$G$10-Статистика!$C$10,0.000001),NA()))</f>
        <v>0.78500088777777755</v>
      </c>
      <c r="CG228" s="12">
        <f>IF(Y228="",NA(),IF(Статистика!$H$8="Вкл",(((IF(Статистика!$C$4="Параллельный режим (активная мощность)",Z228,AK228)+Статистика!$J$4))-Статистика!$C$10)/MAX(Статистика!$G$10-Статистика!$C$10,0.000001),NA()))</f>
        <v>0.47382455505555543</v>
      </c>
      <c r="CH228" s="12">
        <f>IF(Y228="",NA(),IF(Статистика!$H$8="Вкл",(((IF(Статистика!$C$4="Параллельный режим (активная мощность)",AH228,AS228)+Статистика!$J$4))-Статистика!$C$10)/MAX(Статистика!$G$10-Статистика!$C$10,0.000001),NA()))</f>
        <v>0.84685059877777769</v>
      </c>
      <c r="CI228" s="12" t="e">
        <f>IF(Y228="",NA(),IF(Статистика!$J$8="Вкл",(((IF(Статистика!$C$4="Параллельный режим (активная мощность)",AI228,AT228)+Статистика!$J$4))-Статистика!$C$10)/MAX(Статистика!$G$10-Статистика!$C$10,0.000001),NA()))</f>
        <v>#N/A</v>
      </c>
      <c r="CJ228" s="12" t="e">
        <f>IF(AND(Y228&lt;&gt;"",Статистика!$C$6="Вкл",Статистика!$B$6&gt;0),(Статистика!$B$6-Статистика!$C$10)/MAX(Статистика!$G$10-Статистика!$C$10,0.000001),NA())</f>
        <v>#N/A</v>
      </c>
      <c r="CK228" s="12" t="e">
        <f>IF(AND(Y228&lt;&gt;"",Статистика!$F$6="Вкл",Статистика!$E$6&gt;0),(Статистика!$E$6-Статистика!$C$10)/MAX(Статистика!$G$10-Статистика!$C$10,0.000001),NA())</f>
        <v>#N/A</v>
      </c>
      <c r="CL228" s="12" t="e">
        <f>IF(AND(Y228&lt;&gt;"",Статистика!$I$6="Вкл",Статистика!$H$6&gt;0),(Статистика!$H$6-Статистика!$C$10)/MAX(Статистика!$G$10-Статистика!$C$10,0.000001),NA())</f>
        <v>#N/A</v>
      </c>
      <c r="CM228" s="12" t="e">
        <f>IF(AND(Y228&lt;&gt;"",Статистика!$L$6="Вкл",Статистика!$K$6&gt;0),(Статистика!$K$6-Статистика!$C$10)/MAX(Статистика!$G$10-Статистика!$C$10,0.000001),NA())</f>
        <v>#N/A</v>
      </c>
      <c r="CN228" s="12" t="e">
        <f>IF(AND(Y228&lt;&gt;"",Статистика!$M$6="Вкл",Статистика!$O$6&gt;0),(Статистика!$O$6-Статистика!$C$10)/MAX(Статистика!$G$10-Статистика!$C$10,0.000001),NA())</f>
        <v>#N/A</v>
      </c>
      <c r="CO228" s="12">
        <f t="shared" si="7"/>
        <v>1</v>
      </c>
    </row>
    <row r="229" spans="1:93" ht="15" customHeight="1">
      <c r="A229" s="12" t="s">
        <v>960</v>
      </c>
      <c r="B229" s="12">
        <v>1850.1917118333331</v>
      </c>
      <c r="C229" s="12">
        <v>5550.8062924999995</v>
      </c>
      <c r="D229" s="12">
        <v>7329.5865033333321</v>
      </c>
      <c r="E229" s="12">
        <v>7515.9105833333333</v>
      </c>
      <c r="F229" s="12">
        <v>7716.7336833333338</v>
      </c>
      <c r="G229" s="12">
        <v>7834.726275</v>
      </c>
      <c r="H229" s="12">
        <v>8137.6961483333334</v>
      </c>
      <c r="I229" s="12">
        <v>8149.4443625000004</v>
      </c>
      <c r="J229" s="12">
        <v>8168.6614058333334</v>
      </c>
      <c r="K229" s="12">
        <v>8393.11</v>
      </c>
      <c r="L229" s="12" t="s">
        <v>961</v>
      </c>
      <c r="M229" s="12">
        <v>2195.0250513333335</v>
      </c>
      <c r="N229" s="12">
        <v>6279.9892566666667</v>
      </c>
      <c r="O229" s="12">
        <v>8262.9470433333336</v>
      </c>
      <c r="P229" s="12">
        <v>8527.3072333333348</v>
      </c>
      <c r="Q229" s="12">
        <v>8692.3727333333336</v>
      </c>
      <c r="R229" s="12">
        <v>8859.2810083333334</v>
      </c>
      <c r="S229" s="12">
        <v>9114.7957133333348</v>
      </c>
      <c r="T229" s="12">
        <v>9161.6186033333342</v>
      </c>
      <c r="U229" s="12">
        <v>9213.0035873333327</v>
      </c>
      <c r="V229" s="12">
        <v>9439.2900000000009</v>
      </c>
      <c r="W229" s="12" t="s">
        <v>961</v>
      </c>
      <c r="Y229" s="12" t="s">
        <v>960</v>
      </c>
      <c r="Z229" s="12">
        <v>7350.7826539999996</v>
      </c>
      <c r="AA229" s="12">
        <v>7370.3940699999994</v>
      </c>
      <c r="AB229" s="12">
        <v>7394.90834</v>
      </c>
      <c r="AC229" s="12">
        <v>7582.0388083333337</v>
      </c>
      <c r="AD229" s="12">
        <v>7686.2083166666671</v>
      </c>
      <c r="AE229" s="12">
        <v>7855.3497833333331</v>
      </c>
      <c r="AF229" s="12">
        <v>8292.2221049999989</v>
      </c>
      <c r="AG229" s="12">
        <v>8401.5432858333334</v>
      </c>
      <c r="AH229" s="12">
        <v>8489.0002304999998</v>
      </c>
      <c r="AI229" s="12">
        <v>8670.2800000000007</v>
      </c>
      <c r="AJ229" s="12" t="s">
        <v>962</v>
      </c>
      <c r="AK229" s="12">
        <v>8406.5408293333348</v>
      </c>
      <c r="AL229" s="12">
        <v>8428.9486800000013</v>
      </c>
      <c r="AM229" s="12">
        <v>8456.9584933333335</v>
      </c>
      <c r="AN229" s="12">
        <v>8608.5634499999996</v>
      </c>
      <c r="AO229" s="12">
        <v>8712.2160166666672</v>
      </c>
      <c r="AP229" s="12">
        <v>8894.4221916666665</v>
      </c>
      <c r="AQ229" s="12">
        <v>9340.9238416666649</v>
      </c>
      <c r="AR229" s="12">
        <v>9439.6989374999994</v>
      </c>
      <c r="AS229" s="12">
        <v>9518.719014166667</v>
      </c>
      <c r="AT229" s="12">
        <v>9681.73</v>
      </c>
      <c r="AU229" s="12" t="s">
        <v>962</v>
      </c>
      <c r="AW229" s="12">
        <f>IF(A229="","",MAX(0,MIN(1,(((IF(Статистика!$C$4="Параллельный режим (активная мощность)",B229,M229)+Статистика!$J$4))-Статистика!$C$10)/MAX(Статистика!$G$10-Статистика!$C$10,0.000001))))</f>
        <v>0</v>
      </c>
      <c r="AX229" s="12">
        <f>IF(A229="","",MAX(0,MAX(0,MIN(1,(((IF(Статистика!$C$4="Параллельный режим (активная мощность)",D229,O229)+Статистика!$J$4))-Статистика!$C$10)/MAX(Статистика!$G$10-Статистика!$C$10,0.000001)))-MAX(0,MIN(1,(((IF(Статистика!$C$4="Параллельный режим (активная мощность)",B229,M229)+Статистика!$J$4))-Статистика!$C$10)/MAX(Статистика!$G$10-Статистика!$C$10,0.000001)))))</f>
        <v>0.44319550111111067</v>
      </c>
      <c r="AY229" s="12">
        <f>IF(A229="","",MAX(0,MAX(0,MIN(1,(((IF(Статистика!$C$4="Параллельный режим (активная мощность)",E229,P229)+Статистика!$J$4))-Статистика!$C$10)/MAX(Статистика!$G$10-Статистика!$C$10,0.000001)))-MAX(0,MIN(1,(((IF(Статистика!$C$4="Параллельный режим (активная мощность)",D229,O229)+Статистика!$J$4))-Статистика!$C$10)/MAX(Статистика!$G$10-Статистика!$C$10,0.000001)))))</f>
        <v>6.2108026666667093E-2</v>
      </c>
      <c r="AZ229" s="12">
        <f>IF(A229="","",MAX(0,MAX(0,MIN(1,(((IF(Статистика!$C$4="Параллельный режим (активная мощность)",F229,Q229)+Статистика!$J$4))-Статистика!$C$10)/MAX(Статистика!$G$10-Статистика!$C$10,0.000001)))-MAX(0,MIN(1,(((IF(Статистика!$C$4="Параллельный режим (активная мощность)",E229,P229)+Статистика!$J$4))-Статистика!$C$10)/MAX(Статистика!$G$10-Статистика!$C$10,0.000001)))))</f>
        <v>6.6941033333333566E-2</v>
      </c>
      <c r="BA229" s="12">
        <f>IF(A229="","",MAX(0,MAX(0,MIN(1,(((IF(Статистика!$C$4="Параллельный режим (активная мощность)",G229,R229)+Статистика!$J$4))-Статистика!$C$10)/MAX(Статистика!$G$10-Статистика!$C$10,0.000001)))-MAX(0,MIN(1,(((IF(Статистика!$C$4="Параллельный режим (активная мощность)",F229,Q229)+Статистика!$J$4))-Статистика!$C$10)/MAX(Статистика!$G$10-Статистика!$C$10,0.000001)))))</f>
        <v>3.9330863888888623E-2</v>
      </c>
      <c r="BB229" s="12">
        <f>IF(A229="","",MAX(0,MAX(0,MIN(1,(((IF(Статистика!$C$4="Параллельный режим (активная мощность)",H229,S229)+Статистика!$J$4))-Статистика!$C$10)/MAX(Статистика!$G$10-Статистика!$C$10,0.000001)))-MAX(0,MIN(1,(((IF(Статистика!$C$4="Параллельный режим (активная мощность)",G229,R229)+Статистика!$J$4))-Статистика!$C$10)/MAX(Статистика!$G$10-Статистика!$C$10,0.000001)))))</f>
        <v>0.10098995777777786</v>
      </c>
      <c r="BC229" s="12">
        <f>IF(A229="","",MAX(0,MAX(0,MIN(1,(((IF(Статистика!$C$4="Параллельный режим (активная мощность)",J229,U229)+Статистика!$J$4))-Статистика!$C$10)/MAX(Статистика!$G$10-Статистика!$C$10,0.000001)))-MAX(0,MIN(1,(((IF(Статистика!$C$4="Параллельный режим (активная мощность)",H229,S229)+Статистика!$J$4))-Статистика!$C$10)/MAX(Статистика!$G$10-Статистика!$C$10,0.000001)))))</f>
        <v>1.0321752500000003E-2</v>
      </c>
      <c r="BD229" s="12">
        <f>IF(A229="","",MAX(0,1-MAX(0,MIN(1,(((IF(Статистика!$C$4="Параллельный режим (активная мощность)",J229,U229)+Статистика!$J$4))-Статистика!$C$10)/MAX(Статистика!$G$10-Статистика!$C$10,0.000001)))))</f>
        <v>0.27711286472222219</v>
      </c>
      <c r="BE229" s="12">
        <f>IF(A229="",NA(),IF(Статистика!$B$8="Вкл",(((IF(Статистика!$C$4="Параллельный режим (активная мощность)",F229,Q229)+Статистика!$J$4))-Статистика!$C$10)/MAX(Статистика!$G$10-Статистика!$C$10,0.000001),NA()))</f>
        <v>0.57224456111111133</v>
      </c>
      <c r="BF229" s="12">
        <f>IF(A229="",NA(),IF(Статистика!$D$8="Вкл",(((IF(Статистика!$C$4="Параллельный режим (активная мощность)",E229,P229)+Статистика!$J$4))-Статистика!$C$10)/MAX(Статистика!$G$10-Статистика!$C$10,0.000001),NA()))</f>
        <v>0.50530352777777776</v>
      </c>
      <c r="BG229" s="12">
        <f>IF(A229="",NA(),IF(Статистика!$D$8="Вкл",(((IF(Статистика!$C$4="Параллельный режим (активная мощность)",G229,R229)+Статистика!$J$4))-Статистика!$C$10)/MAX(Статистика!$G$10-Статистика!$C$10,0.000001),NA()))</f>
        <v>0.61157542499999995</v>
      </c>
      <c r="BH229" s="12">
        <f>IF(A229="",NA(),IF(Статистика!$F$8="Вкл",(((IF(Статистика!$C$4="Параллельный режим (активная мощность)",D229,O229)+Статистика!$J$4))-Статистика!$C$10)/MAX(Статистика!$G$10-Статистика!$C$10,0.000001),NA()))</f>
        <v>0.44319550111111067</v>
      </c>
      <c r="BI229" s="12">
        <f>IF(A229="",NA(),IF(Статистика!$F$8="Вкл",(((IF(Статистика!$C$4="Параллельный режим (активная мощность)",H229,S229)+Статистика!$J$4))-Статистика!$C$10)/MAX(Статистика!$G$10-Статистика!$C$10,0.000001),NA()))</f>
        <v>0.71256538277777781</v>
      </c>
      <c r="BJ229" s="12">
        <f>IF(A229="",NA(),IF(Статистика!$H$8="Вкл",(((IF(Статистика!$C$4="Параллельный режим (активная мощность)",B229,M229)+Статистика!$J$4))-Статистика!$C$10)/MAX(Статистика!$G$10-Статистика!$C$10,0.000001),NA()))</f>
        <v>-1.383269429388889</v>
      </c>
      <c r="BK229" s="12">
        <f>IF(A229="",NA(),IF(Статистика!$H$8="Вкл",(((IF(Статистика!$C$4="Параллельный режим (активная мощность)",J229,U229)+Статистика!$J$4))-Статистика!$C$10)/MAX(Статистика!$G$10-Статистика!$C$10,0.000001),NA()))</f>
        <v>0.72288713527777781</v>
      </c>
      <c r="BL229" s="12" t="e">
        <f>IF(A229="",NA(),IF(Статистика!$J$8="Вкл",(((IF(Статистика!$C$4="Параллельный режим (активная мощность)",K229,V229)+Статистика!$J$4))-Статистика!$C$10)/MAX(Статистика!$G$10-Статистика!$C$10,0.000001),NA()))</f>
        <v>#N/A</v>
      </c>
      <c r="BM229" s="12" t="e">
        <f>IF(AND(A229&lt;&gt;"",Статистика!$C$6="Вкл",Статистика!$B$6&gt;0),(Статистика!$B$6-Статистика!$C$10)/MAX(Статистика!$G$10-Статистика!$C$10,0.000001),NA())</f>
        <v>#N/A</v>
      </c>
      <c r="BN229" s="12" t="e">
        <f>IF(AND(A229&lt;&gt;"",Статистика!$F$6="Вкл",Статистика!$E$6&gt;0),(Статистика!$E$6-Статистика!$C$10)/MAX(Статистика!$G$10-Статистика!$C$10,0.000001),NA())</f>
        <v>#N/A</v>
      </c>
      <c r="BO229" s="12" t="e">
        <f>IF(AND(A229&lt;&gt;"",Статистика!$I$6="Вкл",Статистика!$H$6&gt;0),(Статистика!$H$6-Статистика!$C$10)/MAX(Статистика!$G$10-Статистика!$C$10,0.000001),NA())</f>
        <v>#N/A</v>
      </c>
      <c r="BP229" s="12" t="e">
        <f>IF(AND(A229&lt;&gt;"",Статистика!$L$6="Вкл",Статистика!$K$6&gt;0),(Статистика!$K$6-Статистика!$C$10)/MAX(Статистика!$G$10-Статистика!$C$10,0.000001),NA())</f>
        <v>#N/A</v>
      </c>
      <c r="BQ229" s="12" t="e">
        <f>IF(AND(A229&lt;&gt;"",Статистика!$M$6="Вкл",Статистика!$O$6&gt;0),(Статистика!$O$6-Статистика!$C$10)/MAX(Статистика!$G$10-Статистика!$C$10,0.000001),NA())</f>
        <v>#N/A</v>
      </c>
      <c r="BR229" s="12">
        <f t="shared" si="6"/>
        <v>1</v>
      </c>
      <c r="BT229" s="12">
        <f>IF(Y229="","",MAX(0,MIN(1,(((IF(Статистика!$C$4="Параллельный режим (активная мощность)",Z229,AK229)+Статистика!$J$4))-Статистика!$C$10)/MAX(Статистика!$G$10-Статистика!$C$10,0.000001))))</f>
        <v>0.45026088466666653</v>
      </c>
      <c r="BU229" s="12">
        <f>IF(Y229="","",MAX(0,MAX(0,MIN(1,(((IF(Статистика!$C$4="Параллельный режим (активная мощность)",AB229,AM229)+Статистика!$J$4))-Статистика!$C$10)/MAX(Статистика!$G$10-Статистика!$C$10,0.000001)))-MAX(0,MIN(1,(((IF(Статистика!$C$4="Параллельный режим (активная мощность)",Z229,AK229)+Статистика!$J$4))-Статистика!$C$10)/MAX(Статистика!$G$10-Статистика!$C$10,0.000001)))))</f>
        <v>1.4708562000000147E-2</v>
      </c>
      <c r="BV229" s="12">
        <f>IF(Y229="","",MAX(0,MAX(0,MIN(1,(((IF(Статистика!$C$4="Параллельный режим (активная мощность)",AC229,AN229)+Статистика!$J$4))-Статистика!$C$10)/MAX(Статистика!$G$10-Статистика!$C$10,0.000001)))-MAX(0,MIN(1,(((IF(Статистика!$C$4="Параллельный режим (активная мощность)",AB229,AM229)+Статистика!$J$4))-Статистика!$C$10)/MAX(Статистика!$G$10-Статистика!$C$10,0.000001)))))</f>
        <v>6.2376822777777841E-2</v>
      </c>
      <c r="BW229" s="12">
        <f>IF(Y229="","",MAX(0,MAX(0,MIN(1,(((IF(Статистика!$C$4="Параллельный режим (активная мощность)",AD229,AO229)+Статистика!$J$4))-Статистика!$C$10)/MAX(Статистика!$G$10-Статистика!$C$10,0.000001)))-MAX(0,MIN(1,(((IF(Статистика!$C$4="Параллельный режим (активная мощность)",AC229,AN229)+Статистика!$J$4))-Статистика!$C$10)/MAX(Статистика!$G$10-Статистика!$C$10,0.000001)))))</f>
        <v>3.4723169444444535E-2</v>
      </c>
      <c r="BX229" s="12">
        <f>IF(Y229="","",MAX(0,MAX(0,MIN(1,(((IF(Статистика!$C$4="Параллельный режим (активная мощность)",AE229,AP229)+Статистика!$J$4))-Статистика!$C$10)/MAX(Статистика!$G$10-Статистика!$C$10,0.000001)))-MAX(0,MIN(1,(((IF(Статистика!$C$4="Параллельный режим (активная мощность)",AD229,AO229)+Статистика!$J$4))-Статистика!$C$10)/MAX(Статистика!$G$10-Статистика!$C$10,0.000001)))))</f>
        <v>5.6380488888888691E-2</v>
      </c>
      <c r="BY229" s="12">
        <f>IF(Y229="","",MAX(0,MAX(0,MIN(1,(((IF(Статистика!$C$4="Параллельный режим (активная мощность)",AF229,AQ229)+Статистика!$J$4))-Статистика!$C$10)/MAX(Статистика!$G$10-Статистика!$C$10,0.000001)))-MAX(0,MIN(1,(((IF(Статистика!$C$4="Параллельный режим (активная мощность)",AE229,AP229)+Статистика!$J$4))-Статистика!$C$10)/MAX(Статистика!$G$10-Статистика!$C$10,0.000001)))))</f>
        <v>0.14562410722222185</v>
      </c>
      <c r="BZ229" s="12">
        <f>IF(Y229="","",MAX(0,MAX(0,MIN(1,(((IF(Статистика!$C$4="Параллельный режим (активная мощность)",AH229,AS229)+Статистика!$J$4))-Статистика!$C$10)/MAX(Статистика!$G$10-Статистика!$C$10,0.000001)))-MAX(0,MIN(1,(((IF(Статистика!$C$4="Параллельный режим (активная мощность)",AF229,AQ229)+Статистика!$J$4))-Статистика!$C$10)/MAX(Статистика!$G$10-Статистика!$C$10,0.000001)))))</f>
        <v>6.5592708500000318E-2</v>
      </c>
      <c r="CA229" s="12">
        <f>IF(Y229="","",MAX(0,1-MAX(0,MIN(1,(((IF(Статистика!$C$4="Параллельный режим (активная мощность)",AH229,AS229)+Статистика!$J$4))-Статистика!$C$10)/MAX(Статистика!$G$10-Статистика!$C$10,0.000001)))))</f>
        <v>0.17033325650000009</v>
      </c>
      <c r="CB229" s="12">
        <f>IF(Y229="",NA(),IF(Статистика!$B$8="Вкл",(((IF(Статистика!$C$4="Параллельный режим (активная мощность)",AD229,AO229)+Статистика!$J$4))-Статистика!$C$10)/MAX(Статистика!$G$10-Статистика!$C$10,0.000001),NA()))</f>
        <v>0.56206943888888905</v>
      </c>
      <c r="CC229" s="12">
        <f>IF(Y229="",NA(),IF(Статистика!$D$8="Вкл",(((IF(Статистика!$C$4="Параллельный режим (активная мощность)",AC229,AN229)+Статистика!$J$4))-Статистика!$C$10)/MAX(Статистика!$G$10-Статистика!$C$10,0.000001),NA()))</f>
        <v>0.52734626944444452</v>
      </c>
      <c r="CD229" s="12">
        <f>IF(Y229="",NA(),IF(Статистика!$D$8="Вкл",(((IF(Статистика!$C$4="Параллельный режим (активная мощность)",AE229,AP229)+Статистика!$J$4))-Статистика!$C$10)/MAX(Статистика!$G$10-Статистика!$C$10,0.000001),NA()))</f>
        <v>0.61844992777777774</v>
      </c>
      <c r="CE229" s="12">
        <f>IF(Y229="",NA(),IF(Статистика!$F$8="Вкл",(((IF(Статистика!$C$4="Параллельный режим (активная мощность)",AB229,AM229)+Статистика!$J$4))-Статистика!$C$10)/MAX(Статистика!$G$10-Статистика!$C$10,0.000001),NA()))</f>
        <v>0.46496944666666667</v>
      </c>
      <c r="CF229" s="12">
        <f>IF(Y229="",NA(),IF(Статистика!$F$8="Вкл",(((IF(Статистика!$C$4="Параллельный режим (активная мощность)",AF229,AQ229)+Статистика!$J$4))-Статистика!$C$10)/MAX(Статистика!$G$10-Статистика!$C$10,0.000001),NA()))</f>
        <v>0.7640740349999996</v>
      </c>
      <c r="CG229" s="12">
        <f>IF(Y229="",NA(),IF(Статистика!$H$8="Вкл",(((IF(Статистика!$C$4="Параллельный режим (активная мощность)",Z229,AK229)+Статистика!$J$4))-Статистика!$C$10)/MAX(Статистика!$G$10-Статистика!$C$10,0.000001),NA()))</f>
        <v>0.45026088466666653</v>
      </c>
      <c r="CH229" s="12">
        <f>IF(Y229="",NA(),IF(Статистика!$H$8="Вкл",(((IF(Статистика!$C$4="Параллельный режим (активная мощность)",AH229,AS229)+Статистика!$J$4))-Статистика!$C$10)/MAX(Статистика!$G$10-Статистика!$C$10,0.000001),NA()))</f>
        <v>0.82966674349999991</v>
      </c>
      <c r="CI229" s="12" t="e">
        <f>IF(Y229="",NA(),IF(Статистика!$J$8="Вкл",(((IF(Статистика!$C$4="Параллельный режим (активная мощность)",AI229,AT229)+Статистика!$J$4))-Статистика!$C$10)/MAX(Статистика!$G$10-Статистика!$C$10,0.000001),NA()))</f>
        <v>#N/A</v>
      </c>
      <c r="CJ229" s="12" t="e">
        <f>IF(AND(Y229&lt;&gt;"",Статистика!$C$6="Вкл",Статистика!$B$6&gt;0),(Статистика!$B$6-Статистика!$C$10)/MAX(Статистика!$G$10-Статистика!$C$10,0.000001),NA())</f>
        <v>#N/A</v>
      </c>
      <c r="CK229" s="12" t="e">
        <f>IF(AND(Y229&lt;&gt;"",Статистика!$F$6="Вкл",Статистика!$E$6&gt;0),(Статистика!$E$6-Статистика!$C$10)/MAX(Статистика!$G$10-Статистика!$C$10,0.000001),NA())</f>
        <v>#N/A</v>
      </c>
      <c r="CL229" s="12" t="e">
        <f>IF(AND(Y229&lt;&gt;"",Статистика!$I$6="Вкл",Статистика!$H$6&gt;0),(Статистика!$H$6-Статистика!$C$10)/MAX(Статистика!$G$10-Статистика!$C$10,0.000001),NA())</f>
        <v>#N/A</v>
      </c>
      <c r="CM229" s="12" t="e">
        <f>IF(AND(Y229&lt;&gt;"",Статистика!$L$6="Вкл",Статистика!$K$6&gt;0),(Статистика!$K$6-Статистика!$C$10)/MAX(Статистика!$G$10-Статистика!$C$10,0.000001),NA())</f>
        <v>#N/A</v>
      </c>
      <c r="CN229" s="12" t="e">
        <f>IF(AND(Y229&lt;&gt;"",Статистика!$M$6="Вкл",Статистика!$O$6&gt;0),(Статистика!$O$6-Статистика!$C$10)/MAX(Статистика!$G$10-Статистика!$C$10,0.000001),NA())</f>
        <v>#N/A</v>
      </c>
      <c r="CO229" s="12">
        <f t="shared" si="7"/>
        <v>1</v>
      </c>
    </row>
    <row r="230" spans="1:93" ht="15" customHeight="1">
      <c r="A230" s="12" t="s">
        <v>963</v>
      </c>
      <c r="B230" s="12">
        <v>1824.0156808333331</v>
      </c>
      <c r="C230" s="12">
        <v>5527.5992041666668</v>
      </c>
      <c r="D230" s="12">
        <v>7297.1157283333332</v>
      </c>
      <c r="E230" s="12">
        <v>7516.4131083333323</v>
      </c>
      <c r="F230" s="12">
        <v>7698.709633333332</v>
      </c>
      <c r="G230" s="12">
        <v>7828.2326833333336</v>
      </c>
      <c r="H230" s="12">
        <v>8102.9317733333337</v>
      </c>
      <c r="I230" s="12">
        <v>8120.1133291666674</v>
      </c>
      <c r="J230" s="12">
        <v>8136.7930658333344</v>
      </c>
      <c r="K230" s="12">
        <v>8330.17</v>
      </c>
      <c r="L230" s="12" t="s">
        <v>964</v>
      </c>
      <c r="M230" s="12">
        <v>2166.6493638333332</v>
      </c>
      <c r="N230" s="12">
        <v>6254.8572191666672</v>
      </c>
      <c r="O230" s="12">
        <v>8221.3682433333324</v>
      </c>
      <c r="P230" s="12">
        <v>8529.0721750000012</v>
      </c>
      <c r="Q230" s="12">
        <v>8699.0405833333334</v>
      </c>
      <c r="R230" s="12">
        <v>8846.2910499999998</v>
      </c>
      <c r="S230" s="12">
        <v>9106.9738649999999</v>
      </c>
      <c r="T230" s="12">
        <v>9151.6689525000002</v>
      </c>
      <c r="U230" s="12">
        <v>9154.2993104999987</v>
      </c>
      <c r="V230" s="12">
        <v>9315.15</v>
      </c>
      <c r="W230" s="12" t="s">
        <v>964</v>
      </c>
      <c r="Y230" s="12" t="s">
        <v>963</v>
      </c>
      <c r="Z230" s="12">
        <v>7374.8604404999996</v>
      </c>
      <c r="AA230" s="12">
        <v>7382.3339358333333</v>
      </c>
      <c r="AB230" s="12">
        <v>7391.6758049999999</v>
      </c>
      <c r="AC230" s="12">
        <v>7550.4645999999993</v>
      </c>
      <c r="AD230" s="12">
        <v>7637.6787000000004</v>
      </c>
      <c r="AE230" s="12">
        <v>7807.6955999999991</v>
      </c>
      <c r="AF230" s="12">
        <v>8264.1288233333344</v>
      </c>
      <c r="AG230" s="12">
        <v>8376.5490616666666</v>
      </c>
      <c r="AH230" s="12">
        <v>8466.4852523333338</v>
      </c>
      <c r="AI230" s="12">
        <v>8619.1299999999992</v>
      </c>
      <c r="AJ230" s="12" t="s">
        <v>965</v>
      </c>
      <c r="AK230" s="12">
        <v>8425.3634653333338</v>
      </c>
      <c r="AL230" s="12">
        <v>8438.9966600000007</v>
      </c>
      <c r="AM230" s="12">
        <v>8456.038153333333</v>
      </c>
      <c r="AN230" s="12">
        <v>8530.7380833333336</v>
      </c>
      <c r="AO230" s="12">
        <v>8673.8326666666653</v>
      </c>
      <c r="AP230" s="12">
        <v>8813.5762166666664</v>
      </c>
      <c r="AQ230" s="12">
        <v>9204.8924433333323</v>
      </c>
      <c r="AR230" s="12">
        <v>9328.7340550000008</v>
      </c>
      <c r="AS230" s="12">
        <v>9427.8073443333342</v>
      </c>
      <c r="AT230" s="12">
        <v>9614.84</v>
      </c>
      <c r="AU230" s="12" t="s">
        <v>966</v>
      </c>
      <c r="AW230" s="12">
        <f>IF(A230="","",MAX(0,MIN(1,(((IF(Статистика!$C$4="Параллельный режим (активная мощность)",B230,M230)+Статистика!$J$4))-Статистика!$C$10)/MAX(Статистика!$G$10-Статистика!$C$10,0.000001))))</f>
        <v>0</v>
      </c>
      <c r="AX230" s="12">
        <f>IF(A230="","",MAX(0,MAX(0,MIN(1,(((IF(Статистика!$C$4="Параллельный режим (активная мощность)",D230,O230)+Статистика!$J$4))-Статистика!$C$10)/MAX(Статистика!$G$10-Статистика!$C$10,0.000001)))-MAX(0,MIN(1,(((IF(Статистика!$C$4="Параллельный режим (активная мощность)",B230,M230)+Статистика!$J$4))-Статистика!$C$10)/MAX(Статистика!$G$10-Статистика!$C$10,0.000001)))))</f>
        <v>0.43237190944444442</v>
      </c>
      <c r="AY230" s="12">
        <f>IF(A230="","",MAX(0,MAX(0,MIN(1,(((IF(Статистика!$C$4="Параллельный режим (активная мощность)",E230,P230)+Статистика!$J$4))-Статистика!$C$10)/MAX(Статистика!$G$10-Статистика!$C$10,0.000001)))-MAX(0,MIN(1,(((IF(Статистика!$C$4="Параллельный режим (активная мощность)",D230,O230)+Статистика!$J$4))-Статистика!$C$10)/MAX(Статистика!$G$10-Статистика!$C$10,0.000001)))))</f>
        <v>7.3099126666666348E-2</v>
      </c>
      <c r="AZ230" s="12">
        <f>IF(A230="","",MAX(0,MAX(0,MIN(1,(((IF(Статистика!$C$4="Параллельный режим (активная мощность)",F230,Q230)+Статистика!$J$4))-Статистика!$C$10)/MAX(Статистика!$G$10-Статистика!$C$10,0.000001)))-MAX(0,MIN(1,(((IF(Статистика!$C$4="Параллельный режим (активная мощность)",E230,P230)+Статистика!$J$4))-Статистика!$C$10)/MAX(Статистика!$G$10-Статистика!$C$10,0.000001)))))</f>
        <v>6.0765508333333274E-2</v>
      </c>
      <c r="BA230" s="12">
        <f>IF(A230="","",MAX(0,MAX(0,MIN(1,(((IF(Статистика!$C$4="Параллельный режим (активная мощность)",G230,R230)+Статистика!$J$4))-Статистика!$C$10)/MAX(Статистика!$G$10-Статистика!$C$10,0.000001)))-MAX(0,MIN(1,(((IF(Статистика!$C$4="Параллельный режим (активная мощность)",F230,Q230)+Статистика!$J$4))-Статистика!$C$10)/MAX(Статистика!$G$10-Статистика!$C$10,0.000001)))))</f>
        <v>4.3174350000000472E-2</v>
      </c>
      <c r="BB230" s="12">
        <f>IF(A230="","",MAX(0,MAX(0,MIN(1,(((IF(Статистика!$C$4="Параллельный режим (активная мощность)",H230,S230)+Статистика!$J$4))-Статистика!$C$10)/MAX(Статистика!$G$10-Статистика!$C$10,0.000001)))-MAX(0,MIN(1,(((IF(Статистика!$C$4="Параллельный режим (активная мощность)",G230,R230)+Статистика!$J$4))-Статистика!$C$10)/MAX(Статистика!$G$10-Статистика!$C$10,0.000001)))))</f>
        <v>9.1566363333333345E-2</v>
      </c>
      <c r="BC230" s="12">
        <f>IF(A230="","",MAX(0,MAX(0,MIN(1,(((IF(Статистика!$C$4="Параллельный режим (активная мощность)",J230,U230)+Статистика!$J$4))-Статистика!$C$10)/MAX(Статистика!$G$10-Статистика!$C$10,0.000001)))-MAX(0,MIN(1,(((IF(Статистика!$C$4="Параллельный режим (активная мощность)",H230,S230)+Статистика!$J$4))-Статистика!$C$10)/MAX(Статистика!$G$10-Статистика!$C$10,0.000001)))))</f>
        <v>1.1287097500000232E-2</v>
      </c>
      <c r="BD230" s="12">
        <f>IF(A230="","",MAX(0,1-MAX(0,MIN(1,(((IF(Статистика!$C$4="Параллельный режим (активная мощность)",J230,U230)+Статистика!$J$4))-Статистика!$C$10)/MAX(Статистика!$G$10-Статистика!$C$10,0.000001)))))</f>
        <v>0.28773564472222191</v>
      </c>
      <c r="BE230" s="12">
        <f>IF(A230="",NA(),IF(Статистика!$B$8="Вкл",(((IF(Статистика!$C$4="Параллельный режим (активная мощность)",F230,Q230)+Статистика!$J$4))-Статистика!$C$10)/MAX(Статистика!$G$10-Статистика!$C$10,0.000001),NA()))</f>
        <v>0.56623654444444405</v>
      </c>
      <c r="BF230" s="12">
        <f>IF(A230="",NA(),IF(Статистика!$D$8="Вкл",(((IF(Статистика!$C$4="Параллельный режим (активная мощность)",E230,P230)+Статистика!$J$4))-Статистика!$C$10)/MAX(Статистика!$G$10-Статистика!$C$10,0.000001),NA()))</f>
        <v>0.50547103611111077</v>
      </c>
      <c r="BG230" s="12">
        <f>IF(A230="",NA(),IF(Статистика!$D$8="Вкл",(((IF(Статистика!$C$4="Параллельный режим (активная мощность)",G230,R230)+Статистика!$J$4))-Статистика!$C$10)/MAX(Статистика!$G$10-Статистика!$C$10,0.000001),NA()))</f>
        <v>0.60941089444444452</v>
      </c>
      <c r="BH230" s="12">
        <f>IF(A230="",NA(),IF(Статистика!$F$8="Вкл",(((IF(Статистика!$C$4="Параллельный режим (активная мощность)",D230,O230)+Статистика!$J$4))-Статистика!$C$10)/MAX(Статистика!$G$10-Статистика!$C$10,0.000001),NA()))</f>
        <v>0.43237190944444442</v>
      </c>
      <c r="BI230" s="12">
        <f>IF(A230="",NA(),IF(Статистика!$F$8="Вкл",(((IF(Статистика!$C$4="Параллельный режим (активная мощность)",H230,S230)+Статистика!$J$4))-Статистика!$C$10)/MAX(Статистика!$G$10-Статистика!$C$10,0.000001),NA()))</f>
        <v>0.70097725777777786</v>
      </c>
      <c r="BJ230" s="12">
        <f>IF(A230="",NA(),IF(Статистика!$H$8="Вкл",(((IF(Статистика!$C$4="Параллельный режим (активная мощность)",B230,M230)+Статистика!$J$4))-Статистика!$C$10)/MAX(Статистика!$G$10-Статистика!$C$10,0.000001),NA()))</f>
        <v>-1.3919947730555555</v>
      </c>
      <c r="BK230" s="12">
        <f>IF(A230="",NA(),IF(Статистика!$H$8="Вкл",(((IF(Статистика!$C$4="Параллельный режим (активная мощность)",J230,U230)+Статистика!$J$4))-Статистика!$C$10)/MAX(Статистика!$G$10-Статистика!$C$10,0.000001),NA()))</f>
        <v>0.71226435527777809</v>
      </c>
      <c r="BL230" s="12" t="e">
        <f>IF(A230="",NA(),IF(Статистика!$J$8="Вкл",(((IF(Статистика!$C$4="Параллельный режим (активная мощность)",K230,V230)+Статистика!$J$4))-Статистика!$C$10)/MAX(Статистика!$G$10-Статистика!$C$10,0.000001),NA()))</f>
        <v>#N/A</v>
      </c>
      <c r="BM230" s="12" t="e">
        <f>IF(AND(A230&lt;&gt;"",Статистика!$C$6="Вкл",Статистика!$B$6&gt;0),(Статистика!$B$6-Статистика!$C$10)/MAX(Статистика!$G$10-Статистика!$C$10,0.000001),NA())</f>
        <v>#N/A</v>
      </c>
      <c r="BN230" s="12" t="e">
        <f>IF(AND(A230&lt;&gt;"",Статистика!$F$6="Вкл",Статистика!$E$6&gt;0),(Статистика!$E$6-Статистика!$C$10)/MAX(Статистика!$G$10-Статистика!$C$10,0.000001),NA())</f>
        <v>#N/A</v>
      </c>
      <c r="BO230" s="12" t="e">
        <f>IF(AND(A230&lt;&gt;"",Статистика!$I$6="Вкл",Статистика!$H$6&gt;0),(Статистика!$H$6-Статистика!$C$10)/MAX(Статистика!$G$10-Статистика!$C$10,0.000001),NA())</f>
        <v>#N/A</v>
      </c>
      <c r="BP230" s="12" t="e">
        <f>IF(AND(A230&lt;&gt;"",Статистика!$L$6="Вкл",Статистика!$K$6&gt;0),(Статистика!$K$6-Статистика!$C$10)/MAX(Статистика!$G$10-Статистика!$C$10,0.000001),NA())</f>
        <v>#N/A</v>
      </c>
      <c r="BQ230" s="12" t="e">
        <f>IF(AND(A230&lt;&gt;"",Статистика!$M$6="Вкл",Статистика!$O$6&gt;0),(Статистика!$O$6-Статистика!$C$10)/MAX(Статистика!$G$10-Статистика!$C$10,0.000001),NA())</f>
        <v>#N/A</v>
      </c>
      <c r="BR230" s="12">
        <f t="shared" si="6"/>
        <v>1</v>
      </c>
      <c r="BT230" s="12">
        <f>IF(Y230="","",MAX(0,MIN(1,(((IF(Статистика!$C$4="Параллельный режим (активная мощность)",Z230,AK230)+Статистика!$J$4))-Статистика!$C$10)/MAX(Статистика!$G$10-Статистика!$C$10,0.000001))))</f>
        <v>0.45828681349999989</v>
      </c>
      <c r="BU230" s="12">
        <f>IF(Y230="","",MAX(0,MAX(0,MIN(1,(((IF(Статистика!$C$4="Параллельный режим (активная мощность)",AB230,AM230)+Статистика!$J$4))-Статистика!$C$10)/MAX(Статистика!$G$10-Статистика!$C$10,0.000001)))-MAX(0,MIN(1,(((IF(Статистика!$C$4="Параллельный режим (активная мощность)",Z230,AK230)+Статистика!$J$4))-Статистика!$C$10)/MAX(Статистика!$G$10-Статистика!$C$10,0.000001)))))</f>
        <v>5.6051215000000876E-3</v>
      </c>
      <c r="BV230" s="12">
        <f>IF(Y230="","",MAX(0,MAX(0,MIN(1,(((IF(Статистика!$C$4="Параллельный режим (активная мощность)",AC230,AN230)+Статистика!$J$4))-Статистика!$C$10)/MAX(Статистика!$G$10-Статистика!$C$10,0.000001)))-MAX(0,MIN(1,(((IF(Статистика!$C$4="Параллельный режим (активная мощность)",AB230,AM230)+Статистика!$J$4))-Статистика!$C$10)/MAX(Статистика!$G$10-Статистика!$C$10,0.000001)))))</f>
        <v>5.2929598333333161E-2</v>
      </c>
      <c r="BW230" s="12">
        <f>IF(Y230="","",MAX(0,MAX(0,MIN(1,(((IF(Статистика!$C$4="Параллельный режим (активная мощность)",AD230,AO230)+Статистика!$J$4))-Статистика!$C$10)/MAX(Статистика!$G$10-Статистика!$C$10,0.000001)))-MAX(0,MIN(1,(((IF(Статистика!$C$4="Параллельный режим (активная мощность)",AC230,AN230)+Статистика!$J$4))-Статистика!$C$10)/MAX(Статистика!$G$10-Статистика!$C$10,0.000001)))))</f>
        <v>2.9071366666666987E-2</v>
      </c>
      <c r="BX230" s="12">
        <f>IF(Y230="","",MAX(0,MAX(0,MIN(1,(((IF(Статистика!$C$4="Параллельный режим (активная мощность)",AE230,AP230)+Статистика!$J$4))-Статистика!$C$10)/MAX(Статистика!$G$10-Статистика!$C$10,0.000001)))-MAX(0,MIN(1,(((IF(Статистика!$C$4="Параллельный режим (активная мощность)",AD230,AO230)+Статистика!$J$4))-Статистика!$C$10)/MAX(Статистика!$G$10-Статистика!$C$10,0.000001)))))</f>
        <v>5.6672299999999565E-2</v>
      </c>
      <c r="BY230" s="12">
        <f>IF(Y230="","",MAX(0,MAX(0,MIN(1,(((IF(Статистика!$C$4="Параллельный режим (активная мощность)",AF230,AQ230)+Статистика!$J$4))-Статистика!$C$10)/MAX(Статистика!$G$10-Статистика!$C$10,0.000001)))-MAX(0,MIN(1,(((IF(Статистика!$C$4="Параллельный режим (активная мощность)",AE230,AP230)+Статистика!$J$4))-Статистика!$C$10)/MAX(Статистика!$G$10-Статистика!$C$10,0.000001)))))</f>
        <v>0.15214440777777838</v>
      </c>
      <c r="BZ230" s="12">
        <f>IF(Y230="","",MAX(0,MAX(0,MIN(1,(((IF(Статистика!$C$4="Параллельный режим (активная мощность)",AH230,AS230)+Статистика!$J$4))-Статистика!$C$10)/MAX(Статистика!$G$10-Статистика!$C$10,0.000001)))-MAX(0,MIN(1,(((IF(Статистика!$C$4="Параллельный режим (активная мощность)",AF230,AQ230)+Статистика!$J$4))-Статистика!$C$10)/MAX(Статистика!$G$10-Статистика!$C$10,0.000001)))))</f>
        <v>6.7452142999999909E-2</v>
      </c>
      <c r="CA230" s="12">
        <f>IF(Y230="","",MAX(0,1-MAX(0,MIN(1,(((IF(Статистика!$C$4="Параллельный режим (активная мощность)",AH230,AS230)+Статистика!$J$4))-Статистика!$C$10)/MAX(Статистика!$G$10-Статистика!$C$10,0.000001)))))</f>
        <v>0.17783824922222202</v>
      </c>
      <c r="CB230" s="12">
        <f>IF(Y230="",NA(),IF(Статистика!$B$8="Вкл",(((IF(Статистика!$C$4="Параллельный режим (активная мощность)",AD230,AO230)+Статистика!$J$4))-Статистика!$C$10)/MAX(Статистика!$G$10-Статистика!$C$10,0.000001),NA()))</f>
        <v>0.54589290000000013</v>
      </c>
      <c r="CC230" s="12">
        <f>IF(Y230="",NA(),IF(Статистика!$D$8="Вкл",(((IF(Статистика!$C$4="Параллельный режим (активная мощность)",AC230,AN230)+Статистика!$J$4))-Статистика!$C$10)/MAX(Статистика!$G$10-Статистика!$C$10,0.000001),NA()))</f>
        <v>0.51682153333333314</v>
      </c>
      <c r="CD230" s="12">
        <f>IF(Y230="",NA(),IF(Статистика!$D$8="Вкл",(((IF(Статистика!$C$4="Параллельный режим (активная мощность)",AE230,AP230)+Статистика!$J$4))-Статистика!$C$10)/MAX(Статистика!$G$10-Статистика!$C$10,0.000001),NA()))</f>
        <v>0.60256519999999969</v>
      </c>
      <c r="CE230" s="12">
        <f>IF(Y230="",NA(),IF(Статистика!$F$8="Вкл",(((IF(Статистика!$C$4="Параллельный режим (активная мощность)",AB230,AM230)+Статистика!$J$4))-Статистика!$C$10)/MAX(Статистика!$G$10-Статистика!$C$10,0.000001),NA()))</f>
        <v>0.46389193499999998</v>
      </c>
      <c r="CF230" s="12">
        <f>IF(Y230="",NA(),IF(Статистика!$F$8="Вкл",(((IF(Статистика!$C$4="Параллельный режим (активная мощность)",AF230,AQ230)+Статистика!$J$4))-Статистика!$C$10)/MAX(Статистика!$G$10-Статистика!$C$10,0.000001),NA()))</f>
        <v>0.75470960777777807</v>
      </c>
      <c r="CG230" s="12">
        <f>IF(Y230="",NA(),IF(Статистика!$H$8="Вкл",(((IF(Статистика!$C$4="Параллельный режим (активная мощность)",Z230,AK230)+Статистика!$J$4))-Статистика!$C$10)/MAX(Статистика!$G$10-Статистика!$C$10,0.000001),NA()))</f>
        <v>0.45828681349999989</v>
      </c>
      <c r="CH230" s="12">
        <f>IF(Y230="",NA(),IF(Статистика!$H$8="Вкл",(((IF(Статистика!$C$4="Параллельный режим (активная мощность)",AH230,AS230)+Статистика!$J$4))-Статистика!$C$10)/MAX(Статистика!$G$10-Статистика!$C$10,0.000001),NA()))</f>
        <v>0.82216175077777798</v>
      </c>
      <c r="CI230" s="12" t="e">
        <f>IF(Y230="",NA(),IF(Статистика!$J$8="Вкл",(((IF(Статистика!$C$4="Параллельный режим (активная мощность)",AI230,AT230)+Статистика!$J$4))-Статистика!$C$10)/MAX(Статистика!$G$10-Статистика!$C$10,0.000001),NA()))</f>
        <v>#N/A</v>
      </c>
      <c r="CJ230" s="12" t="e">
        <f>IF(AND(Y230&lt;&gt;"",Статистика!$C$6="Вкл",Статистика!$B$6&gt;0),(Статистика!$B$6-Статистика!$C$10)/MAX(Статистика!$G$10-Статистика!$C$10,0.000001),NA())</f>
        <v>#N/A</v>
      </c>
      <c r="CK230" s="12" t="e">
        <f>IF(AND(Y230&lt;&gt;"",Статистика!$F$6="Вкл",Статистика!$E$6&gt;0),(Статистика!$E$6-Статистика!$C$10)/MAX(Статистика!$G$10-Статистика!$C$10,0.000001),NA())</f>
        <v>#N/A</v>
      </c>
      <c r="CL230" s="12" t="e">
        <f>IF(AND(Y230&lt;&gt;"",Статистика!$I$6="Вкл",Статистика!$H$6&gt;0),(Статистика!$H$6-Статистика!$C$10)/MAX(Статистика!$G$10-Статистика!$C$10,0.000001),NA())</f>
        <v>#N/A</v>
      </c>
      <c r="CM230" s="12" t="e">
        <f>IF(AND(Y230&lt;&gt;"",Статистика!$L$6="Вкл",Статистика!$K$6&gt;0),(Статистика!$K$6-Статистика!$C$10)/MAX(Статистика!$G$10-Статистика!$C$10,0.000001),NA())</f>
        <v>#N/A</v>
      </c>
      <c r="CN230" s="12" t="e">
        <f>IF(AND(Y230&lt;&gt;"",Статистика!$M$6="Вкл",Статистика!$O$6&gt;0),(Статистика!$O$6-Статистика!$C$10)/MAX(Статистика!$G$10-Статистика!$C$10,0.000001),NA())</f>
        <v>#N/A</v>
      </c>
      <c r="CO230" s="12">
        <f t="shared" si="7"/>
        <v>1</v>
      </c>
    </row>
    <row r="231" spans="1:93" ht="15" customHeight="1">
      <c r="A231" s="12" t="s">
        <v>967</v>
      </c>
      <c r="B231" s="12">
        <v>1851.8058908333337</v>
      </c>
      <c r="C231" s="12">
        <v>5549.7042541666688</v>
      </c>
      <c r="D231" s="12">
        <v>7312.2345383333341</v>
      </c>
      <c r="E231" s="12">
        <v>7519.9450333333334</v>
      </c>
      <c r="F231" s="12">
        <v>7687.3794500000004</v>
      </c>
      <c r="G231" s="12">
        <v>7831.5376249999999</v>
      </c>
      <c r="H231" s="12">
        <v>8127.8112033333337</v>
      </c>
      <c r="I231" s="12">
        <v>8138.7339350000002</v>
      </c>
      <c r="J231" s="12">
        <v>8147.6199603333316</v>
      </c>
      <c r="K231" s="12">
        <v>8322</v>
      </c>
      <c r="L231" s="12" t="s">
        <v>968</v>
      </c>
      <c r="M231" s="12">
        <v>2188.9226933333334</v>
      </c>
      <c r="N231" s="12">
        <v>6276.4270666666689</v>
      </c>
      <c r="O231" s="12">
        <v>8237.0948183333348</v>
      </c>
      <c r="P231" s="12">
        <v>8493.0674500000005</v>
      </c>
      <c r="Q231" s="12">
        <v>8713.7340000000004</v>
      </c>
      <c r="R231" s="12">
        <v>8835.3379999999997</v>
      </c>
      <c r="S231" s="12">
        <v>9118.4147066666665</v>
      </c>
      <c r="T231" s="12">
        <v>9173.0952600000001</v>
      </c>
      <c r="U231" s="12">
        <v>9184.1251586666658</v>
      </c>
      <c r="V231" s="12">
        <v>9498.74</v>
      </c>
      <c r="W231" s="12" t="s">
        <v>969</v>
      </c>
      <c r="Y231" s="12" t="s">
        <v>967</v>
      </c>
      <c r="Z231" s="12">
        <v>7389.0504344999999</v>
      </c>
      <c r="AA231" s="12">
        <v>7395.0977725000002</v>
      </c>
      <c r="AB231" s="12">
        <v>7402.6569450000006</v>
      </c>
      <c r="AC231" s="12">
        <v>7539.7953750000015</v>
      </c>
      <c r="AD231" s="12">
        <v>7676.4422166666664</v>
      </c>
      <c r="AE231" s="12">
        <v>7808.5314916666666</v>
      </c>
      <c r="AF231" s="12">
        <v>8313.0782033333326</v>
      </c>
      <c r="AG231" s="12">
        <v>8414.2846016666663</v>
      </c>
      <c r="AH231" s="12">
        <v>8495.2497203333332</v>
      </c>
      <c r="AI231" s="12">
        <v>8638.6</v>
      </c>
      <c r="AJ231" s="12" t="s">
        <v>970</v>
      </c>
      <c r="AK231" s="12">
        <v>8449.3329869999998</v>
      </c>
      <c r="AL231" s="12">
        <v>8454.5712016666675</v>
      </c>
      <c r="AM231" s="12">
        <v>8461.1189699999995</v>
      </c>
      <c r="AN231" s="12">
        <v>8500.4070083333336</v>
      </c>
      <c r="AO231" s="12">
        <v>8720.378349999999</v>
      </c>
      <c r="AP231" s="12">
        <v>8805.1185833333329</v>
      </c>
      <c r="AQ231" s="12">
        <v>9265.822180000001</v>
      </c>
      <c r="AR231" s="12">
        <v>9369.3674900000005</v>
      </c>
      <c r="AS231" s="12">
        <v>9452.2037380000002</v>
      </c>
      <c r="AT231" s="12">
        <v>9585.84</v>
      </c>
      <c r="AU231" s="12" t="s">
        <v>970</v>
      </c>
      <c r="AW231" s="12">
        <f>IF(A231="","",MAX(0,MIN(1,(((IF(Статистика!$C$4="Параллельный режим (активная мощность)",B231,M231)+Статистика!$J$4))-Статистика!$C$10)/MAX(Статистика!$G$10-Статистика!$C$10,0.000001))))</f>
        <v>0</v>
      </c>
      <c r="AX231" s="12">
        <f>IF(A231="","",MAX(0,MAX(0,MIN(1,(((IF(Статистика!$C$4="Параллельный режим (активная мощность)",D231,O231)+Статистика!$J$4))-Статистика!$C$10)/MAX(Статистика!$G$10-Статистика!$C$10,0.000001)))-MAX(0,MIN(1,(((IF(Статистика!$C$4="Параллельный режим (активная мощность)",B231,M231)+Статистика!$J$4))-Статистика!$C$10)/MAX(Статистика!$G$10-Статистика!$C$10,0.000001)))))</f>
        <v>0.43741151277777801</v>
      </c>
      <c r="AY231" s="12">
        <f>IF(A231="","",MAX(0,MAX(0,MIN(1,(((IF(Статистика!$C$4="Параллельный режим (активная мощность)",E231,P231)+Статистика!$J$4))-Статистика!$C$10)/MAX(Статистика!$G$10-Статистика!$C$10,0.000001)))-MAX(0,MIN(1,(((IF(Статистика!$C$4="Параллельный режим (активная мощность)",D231,O231)+Статистика!$J$4))-Статистика!$C$10)/MAX(Статистика!$G$10-Статистика!$C$10,0.000001)))))</f>
        <v>6.9236831666666498E-2</v>
      </c>
      <c r="AZ231" s="12">
        <f>IF(A231="","",MAX(0,MAX(0,MIN(1,(((IF(Статистика!$C$4="Параллельный режим (активная мощность)",F231,Q231)+Статистика!$J$4))-Статистика!$C$10)/MAX(Статистика!$G$10-Статистика!$C$10,0.000001)))-MAX(0,MIN(1,(((IF(Статистика!$C$4="Параллельный режим (активная мощность)",E231,P231)+Статистика!$J$4))-Статистика!$C$10)/MAX(Статистика!$G$10-Статистика!$C$10,0.000001)))))</f>
        <v>5.5811472222222269E-2</v>
      </c>
      <c r="BA231" s="12">
        <f>IF(A231="","",MAX(0,MAX(0,MIN(1,(((IF(Статистика!$C$4="Параллельный режим (активная мощность)",G231,R231)+Статистика!$J$4))-Статистика!$C$10)/MAX(Статистика!$G$10-Статистика!$C$10,0.000001)))-MAX(0,MIN(1,(((IF(Статистика!$C$4="Параллельный режим (активная мощность)",F231,Q231)+Статистика!$J$4))-Статистика!$C$10)/MAX(Статистика!$G$10-Статистика!$C$10,0.000001)))))</f>
        <v>4.8052724999999907E-2</v>
      </c>
      <c r="BB231" s="12">
        <f>IF(A231="","",MAX(0,MAX(0,MIN(1,(((IF(Статистика!$C$4="Параллельный режим (активная мощность)",H231,S231)+Статистика!$J$4))-Статистика!$C$10)/MAX(Статистика!$G$10-Статистика!$C$10,0.000001)))-MAX(0,MIN(1,(((IF(Статистика!$C$4="Параллельный режим (активная мощность)",G231,R231)+Статистика!$J$4))-Статистика!$C$10)/MAX(Статистика!$G$10-Статистика!$C$10,0.000001)))))</f>
        <v>9.8757859444444485E-2</v>
      </c>
      <c r="BC231" s="12">
        <f>IF(A231="","",MAX(0,MAX(0,MIN(1,(((IF(Статистика!$C$4="Параллельный режим (активная мощность)",J231,U231)+Статистика!$J$4))-Статистика!$C$10)/MAX(Статистика!$G$10-Статистика!$C$10,0.000001)))-MAX(0,MIN(1,(((IF(Статистика!$C$4="Параллельный режим (активная мощность)",H231,S231)+Статистика!$J$4))-Статистика!$C$10)/MAX(Статистика!$G$10-Статистика!$C$10,0.000001)))))</f>
        <v>6.6029189999993187E-3</v>
      </c>
      <c r="BD231" s="12">
        <f>IF(A231="","",MAX(0,1-MAX(0,MIN(1,(((IF(Статистика!$C$4="Параллельный режим (активная мощность)",J231,U231)+Статистика!$J$4))-Статистика!$C$10)/MAX(Статистика!$G$10-Статистика!$C$10,0.000001)))))</f>
        <v>0.28412667988888951</v>
      </c>
      <c r="BE231" s="12">
        <f>IF(A231="",NA(),IF(Статистика!$B$8="Вкл",(((IF(Статистика!$C$4="Параллельный режим (активная мощность)",F231,Q231)+Статистика!$J$4))-Статистика!$C$10)/MAX(Статистика!$G$10-Статистика!$C$10,0.000001),NA()))</f>
        <v>0.56245981666666678</v>
      </c>
      <c r="BF231" s="12">
        <f>IF(A231="",NA(),IF(Статистика!$D$8="Вкл",(((IF(Статистика!$C$4="Параллельный режим (активная мощность)",E231,P231)+Статистика!$J$4))-Статистика!$C$10)/MAX(Статистика!$G$10-Статистика!$C$10,0.000001),NA()))</f>
        <v>0.50664834444444451</v>
      </c>
      <c r="BG231" s="12">
        <f>IF(A231="",NA(),IF(Статистика!$D$8="Вкл",(((IF(Статистика!$C$4="Параллельный режим (активная мощность)",G231,R231)+Статистика!$J$4))-Статистика!$C$10)/MAX(Статистика!$G$10-Статистика!$C$10,0.000001),NA()))</f>
        <v>0.61051254166666669</v>
      </c>
      <c r="BH231" s="12">
        <f>IF(A231="",NA(),IF(Статистика!$F$8="Вкл",(((IF(Статистика!$C$4="Параллельный режим (активная мощность)",D231,O231)+Статистика!$J$4))-Статистика!$C$10)/MAX(Статистика!$G$10-Статистика!$C$10,0.000001),NA()))</f>
        <v>0.43741151277777801</v>
      </c>
      <c r="BI231" s="12">
        <f>IF(A231="",NA(),IF(Статистика!$F$8="Вкл",(((IF(Статистика!$C$4="Параллельный режим (активная мощность)",H231,S231)+Статистика!$J$4))-Статистика!$C$10)/MAX(Статистика!$G$10-Статистика!$C$10,0.000001),NA()))</f>
        <v>0.70927040111111117</v>
      </c>
      <c r="BJ231" s="12">
        <f>IF(A231="",NA(),IF(Статистика!$H$8="Вкл",(((IF(Статистика!$C$4="Параллельный режим (активная мощность)",B231,M231)+Статистика!$J$4))-Статистика!$C$10)/MAX(Статистика!$G$10-Статистика!$C$10,0.000001),NA()))</f>
        <v>-1.3827313697222223</v>
      </c>
      <c r="BK231" s="12">
        <f>IF(A231="",NA(),IF(Статистика!$H$8="Вкл",(((IF(Статистика!$C$4="Параллельный режим (активная мощность)",J231,U231)+Статистика!$J$4))-Статистика!$C$10)/MAX(Статистика!$G$10-Статистика!$C$10,0.000001),NA()))</f>
        <v>0.71587332011111049</v>
      </c>
      <c r="BL231" s="12" t="e">
        <f>IF(A231="",NA(),IF(Статистика!$J$8="Вкл",(((IF(Статистика!$C$4="Параллельный режим (активная мощность)",K231,V231)+Статистика!$J$4))-Статистика!$C$10)/MAX(Статистика!$G$10-Статистика!$C$10,0.000001),NA()))</f>
        <v>#N/A</v>
      </c>
      <c r="BM231" s="12" t="e">
        <f>IF(AND(A231&lt;&gt;"",Статистика!$C$6="Вкл",Статистика!$B$6&gt;0),(Статистика!$B$6-Статистика!$C$10)/MAX(Статистика!$G$10-Статистика!$C$10,0.000001),NA())</f>
        <v>#N/A</v>
      </c>
      <c r="BN231" s="12" t="e">
        <f>IF(AND(A231&lt;&gt;"",Статистика!$F$6="Вкл",Статистика!$E$6&gt;0),(Статистика!$E$6-Статистика!$C$10)/MAX(Статистика!$G$10-Статистика!$C$10,0.000001),NA())</f>
        <v>#N/A</v>
      </c>
      <c r="BO231" s="12" t="e">
        <f>IF(AND(A231&lt;&gt;"",Статистика!$I$6="Вкл",Статистика!$H$6&gt;0),(Статистика!$H$6-Статистика!$C$10)/MAX(Статистика!$G$10-Статистика!$C$10,0.000001),NA())</f>
        <v>#N/A</v>
      </c>
      <c r="BP231" s="12" t="e">
        <f>IF(AND(A231&lt;&gt;"",Статистика!$L$6="Вкл",Статистика!$K$6&gt;0),(Статистика!$K$6-Статистика!$C$10)/MAX(Статистика!$G$10-Статистика!$C$10,0.000001),NA())</f>
        <v>#N/A</v>
      </c>
      <c r="BQ231" s="12" t="e">
        <f>IF(AND(A231&lt;&gt;"",Статистика!$M$6="Вкл",Статистика!$O$6&gt;0),(Статистика!$O$6-Статистика!$C$10)/MAX(Статистика!$G$10-Статистика!$C$10,0.000001),NA())</f>
        <v>#N/A</v>
      </c>
      <c r="BR231" s="12">
        <f t="shared" si="6"/>
        <v>1</v>
      </c>
      <c r="BT231" s="12">
        <f>IF(Y231="","",MAX(0,MIN(1,(((IF(Статистика!$C$4="Параллельный режим (активная мощность)",Z231,AK231)+Статистика!$J$4))-Статистика!$C$10)/MAX(Статистика!$G$10-Статистика!$C$10,0.000001))))</f>
        <v>0.46301681149999996</v>
      </c>
      <c r="BU231" s="12">
        <f>IF(Y231="","",MAX(0,MAX(0,MIN(1,(((IF(Статистика!$C$4="Параллельный режим (активная мощность)",AB231,AM231)+Статистика!$J$4))-Статистика!$C$10)/MAX(Статистика!$G$10-Статистика!$C$10,0.000001)))-MAX(0,MIN(1,(((IF(Статистика!$C$4="Параллельный режим (активная мощность)",Z231,AK231)+Статистика!$J$4))-Статистика!$C$10)/MAX(Статистика!$G$10-Статистика!$C$10,0.000001)))))</f>
        <v>4.5355035000002597E-3</v>
      </c>
      <c r="BV231" s="12">
        <f>IF(Y231="","",MAX(0,MAX(0,MIN(1,(((IF(Статистика!$C$4="Параллельный режим (активная мощность)",AC231,AN231)+Статистика!$J$4))-Статистика!$C$10)/MAX(Статистика!$G$10-Статистика!$C$10,0.000001)))-MAX(0,MIN(1,(((IF(Статистика!$C$4="Параллельный режим (активная мощность)",AB231,AM231)+Статистика!$J$4))-Статистика!$C$10)/MAX(Статистика!$G$10-Статистика!$C$10,0.000001)))))</f>
        <v>4.5712810000000326E-2</v>
      </c>
      <c r="BW231" s="12">
        <f>IF(Y231="","",MAX(0,MAX(0,MIN(1,(((IF(Статистика!$C$4="Параллельный режим (активная мощность)",AD231,AO231)+Статистика!$J$4))-Статистика!$C$10)/MAX(Статистика!$G$10-Статистика!$C$10,0.000001)))-MAX(0,MIN(1,(((IF(Статистика!$C$4="Параллельный режим (активная мощность)",AC231,AN231)+Статистика!$J$4))-Статистика!$C$10)/MAX(Статистика!$G$10-Статистика!$C$10,0.000001)))))</f>
        <v>4.5548947222221581E-2</v>
      </c>
      <c r="BX231" s="12">
        <f>IF(Y231="","",MAX(0,MAX(0,MIN(1,(((IF(Статистика!$C$4="Параллельный режим (активная мощность)",AE231,AP231)+Статистика!$J$4))-Статистика!$C$10)/MAX(Статистика!$G$10-Статистика!$C$10,0.000001)))-MAX(0,MIN(1,(((IF(Статистика!$C$4="Параллельный режим (активная мощность)",AD231,AO231)+Статистика!$J$4))-Статистика!$C$10)/MAX(Статистика!$G$10-Статистика!$C$10,0.000001)))))</f>
        <v>4.4029758333333446E-2</v>
      </c>
      <c r="BY231" s="12">
        <f>IF(Y231="","",MAX(0,MAX(0,MIN(1,(((IF(Статистика!$C$4="Параллельный режим (активная мощность)",AF231,AQ231)+Статистика!$J$4))-Статистика!$C$10)/MAX(Статистика!$G$10-Статистика!$C$10,0.000001)))-MAX(0,MIN(1,(((IF(Статистика!$C$4="Параллельный режим (активная мощность)",AE231,AP231)+Статистика!$J$4))-Статистика!$C$10)/MAX(Статистика!$G$10-Статистика!$C$10,0.000001)))))</f>
        <v>0.16818223722222192</v>
      </c>
      <c r="BZ231" s="12">
        <f>IF(Y231="","",MAX(0,MAX(0,MIN(1,(((IF(Статистика!$C$4="Параллельный режим (активная мощность)",AH231,AS231)+Статистика!$J$4))-Статистика!$C$10)/MAX(Статистика!$G$10-Статистика!$C$10,0.000001)))-MAX(0,MIN(1,(((IF(Статистика!$C$4="Параллельный режим (активная мощность)",AF231,AQ231)+Статистика!$J$4))-Статистика!$C$10)/MAX(Статистика!$G$10-Статистика!$C$10,0.000001)))))</f>
        <v>6.0723839000000224E-2</v>
      </c>
      <c r="CA231" s="12">
        <f>IF(Y231="","",MAX(0,1-MAX(0,MIN(1,(((IF(Статистика!$C$4="Параллельный режим (активная мощность)",AH231,AS231)+Статистика!$J$4))-Статистика!$C$10)/MAX(Статистика!$G$10-Статистика!$C$10,0.000001)))))</f>
        <v>0.16825009322222229</v>
      </c>
      <c r="CB231" s="12">
        <f>IF(Y231="",NA(),IF(Статистика!$B$8="Вкл",(((IF(Статистика!$C$4="Параллельный режим (активная мощность)",AD231,AO231)+Статистика!$J$4))-Статистика!$C$10)/MAX(Статистика!$G$10-Статистика!$C$10,0.000001),NA()))</f>
        <v>0.55881407222222212</v>
      </c>
      <c r="CC231" s="12">
        <f>IF(Y231="",NA(),IF(Статистика!$D$8="Вкл",(((IF(Статистика!$C$4="Параллельный режим (активная мощность)",AC231,AN231)+Статистика!$J$4))-Статистика!$C$10)/MAX(Статистика!$G$10-Статистика!$C$10,0.000001),NA()))</f>
        <v>0.51326512500000054</v>
      </c>
      <c r="CD231" s="12">
        <f>IF(Y231="",NA(),IF(Статистика!$D$8="Вкл",(((IF(Статистика!$C$4="Параллельный режим (активная мощность)",AE231,AP231)+Статистика!$J$4))-Статистика!$C$10)/MAX(Статистика!$G$10-Статистика!$C$10,0.000001),NA()))</f>
        <v>0.60284383055555557</v>
      </c>
      <c r="CE231" s="12">
        <f>IF(Y231="",NA(),IF(Статистика!$F$8="Вкл",(((IF(Статистика!$C$4="Параллельный режим (активная мощность)",AB231,AM231)+Статистика!$J$4))-Статистика!$C$10)/MAX(Статистика!$G$10-Статистика!$C$10,0.000001),NA()))</f>
        <v>0.46755231500000022</v>
      </c>
      <c r="CF231" s="12">
        <f>IF(Y231="",NA(),IF(Статистика!$F$8="Вкл",(((IF(Статистика!$C$4="Параллельный режим (активная мощность)",AF231,AQ231)+Статистика!$J$4))-Статистика!$C$10)/MAX(Статистика!$G$10-Статистика!$C$10,0.000001),NA()))</f>
        <v>0.77102606777777749</v>
      </c>
      <c r="CG231" s="12">
        <f>IF(Y231="",NA(),IF(Статистика!$H$8="Вкл",(((IF(Статистика!$C$4="Параллельный режим (активная мощность)",Z231,AK231)+Статистика!$J$4))-Статистика!$C$10)/MAX(Статистика!$G$10-Статистика!$C$10,0.000001),NA()))</f>
        <v>0.46301681149999996</v>
      </c>
      <c r="CH231" s="12">
        <f>IF(Y231="",NA(),IF(Статистика!$H$8="Вкл",(((IF(Статистика!$C$4="Параллельный режим (активная мощность)",AH231,AS231)+Статистика!$J$4))-Статистика!$C$10)/MAX(Статистика!$G$10-Статистика!$C$10,0.000001),NA()))</f>
        <v>0.83174990677777771</v>
      </c>
      <c r="CI231" s="12" t="e">
        <f>IF(Y231="",NA(),IF(Статистика!$J$8="Вкл",(((IF(Статистика!$C$4="Параллельный режим (активная мощность)",AI231,AT231)+Статистика!$J$4))-Статистика!$C$10)/MAX(Статистика!$G$10-Статистика!$C$10,0.000001),NA()))</f>
        <v>#N/A</v>
      </c>
      <c r="CJ231" s="12" t="e">
        <f>IF(AND(Y231&lt;&gt;"",Статистика!$C$6="Вкл",Статистика!$B$6&gt;0),(Статистика!$B$6-Статистика!$C$10)/MAX(Статистика!$G$10-Статистика!$C$10,0.000001),NA())</f>
        <v>#N/A</v>
      </c>
      <c r="CK231" s="12" t="e">
        <f>IF(AND(Y231&lt;&gt;"",Статистика!$F$6="Вкл",Статистика!$E$6&gt;0),(Статистика!$E$6-Статистика!$C$10)/MAX(Статистика!$G$10-Статистика!$C$10,0.000001),NA())</f>
        <v>#N/A</v>
      </c>
      <c r="CL231" s="12" t="e">
        <f>IF(AND(Y231&lt;&gt;"",Статистика!$I$6="Вкл",Статистика!$H$6&gt;0),(Статистика!$H$6-Статистика!$C$10)/MAX(Статистика!$G$10-Статистика!$C$10,0.000001),NA())</f>
        <v>#N/A</v>
      </c>
      <c r="CM231" s="12" t="e">
        <f>IF(AND(Y231&lt;&gt;"",Статистика!$L$6="Вкл",Статистика!$K$6&gt;0),(Статистика!$K$6-Статистика!$C$10)/MAX(Статистика!$G$10-Статистика!$C$10,0.000001),NA())</f>
        <v>#N/A</v>
      </c>
      <c r="CN231" s="12" t="e">
        <f>IF(AND(Y231&lt;&gt;"",Статистика!$M$6="Вкл",Статистика!$O$6&gt;0),(Статистика!$O$6-Статистика!$C$10)/MAX(Статистика!$G$10-Статистика!$C$10,0.000001),NA())</f>
        <v>#N/A</v>
      </c>
      <c r="CO231" s="12">
        <f t="shared" si="7"/>
        <v>1</v>
      </c>
    </row>
    <row r="232" spans="1:93" ht="15" customHeight="1">
      <c r="A232" s="12" t="s">
        <v>971</v>
      </c>
      <c r="B232" s="12">
        <v>1814.9741598333333</v>
      </c>
      <c r="C232" s="12">
        <v>5523.5825325000005</v>
      </c>
      <c r="D232" s="12">
        <v>7303.5207033333336</v>
      </c>
      <c r="E232" s="12">
        <v>7534.0132166666672</v>
      </c>
      <c r="F232" s="12">
        <v>7707.1131333333324</v>
      </c>
      <c r="G232" s="12">
        <v>7819.6127416666668</v>
      </c>
      <c r="H232" s="12">
        <v>8134.8756666666668</v>
      </c>
      <c r="I232" s="12">
        <v>8148.2444325000006</v>
      </c>
      <c r="J232" s="12">
        <v>8158.4367531666676</v>
      </c>
      <c r="K232" s="12">
        <v>8305.11</v>
      </c>
      <c r="L232" s="12" t="s">
        <v>972</v>
      </c>
      <c r="M232" s="12">
        <v>2139.6228474999998</v>
      </c>
      <c r="N232" s="12">
        <v>6241.0322375000005</v>
      </c>
      <c r="O232" s="12">
        <v>8222.6511549999996</v>
      </c>
      <c r="P232" s="12">
        <v>8530.2884750000012</v>
      </c>
      <c r="Q232" s="12">
        <v>8681.3149999999987</v>
      </c>
      <c r="R232" s="12">
        <v>8810.3664749999989</v>
      </c>
      <c r="S232" s="12">
        <v>9154.2357849999989</v>
      </c>
      <c r="T232" s="12">
        <v>9185.7655008333331</v>
      </c>
      <c r="U232" s="12">
        <v>9186.8816334999992</v>
      </c>
      <c r="V232" s="12">
        <v>9343.18</v>
      </c>
      <c r="W232" s="12" t="s">
        <v>973</v>
      </c>
      <c r="Y232" s="12" t="s">
        <v>971</v>
      </c>
      <c r="Z232" s="12">
        <v>7411.6734413333334</v>
      </c>
      <c r="AA232" s="12">
        <v>7414.0096066666665</v>
      </c>
      <c r="AB232" s="12">
        <v>7416.9298133333332</v>
      </c>
      <c r="AC232" s="12">
        <v>7570.860008333334</v>
      </c>
      <c r="AD232" s="12">
        <v>7678.0774500000007</v>
      </c>
      <c r="AE232" s="12">
        <v>7798.6736333333329</v>
      </c>
      <c r="AF232" s="12">
        <v>8284.4899283333325</v>
      </c>
      <c r="AG232" s="12">
        <v>8360.1751808333338</v>
      </c>
      <c r="AH232" s="12">
        <v>8420.7233828333337</v>
      </c>
      <c r="AI232" s="12">
        <v>8610.1</v>
      </c>
      <c r="AJ232" s="12" t="s">
        <v>974</v>
      </c>
      <c r="AK232" s="12">
        <v>8345.6577078333321</v>
      </c>
      <c r="AL232" s="12">
        <v>8377.0654724999986</v>
      </c>
      <c r="AM232" s="12">
        <v>8416.3251783333326</v>
      </c>
      <c r="AN232" s="12">
        <v>8517.1419416666668</v>
      </c>
      <c r="AO232" s="12">
        <v>8747.1527333333343</v>
      </c>
      <c r="AP232" s="12">
        <v>8788.9042499999996</v>
      </c>
      <c r="AQ232" s="12">
        <v>9227.2693283333338</v>
      </c>
      <c r="AR232" s="12">
        <v>9308.5412975000017</v>
      </c>
      <c r="AS232" s="12">
        <v>9373.558872833335</v>
      </c>
      <c r="AT232" s="12">
        <v>9548.42</v>
      </c>
      <c r="AU232" s="12" t="s">
        <v>974</v>
      </c>
      <c r="AW232" s="12">
        <f>IF(A232="","",MAX(0,MIN(1,(((IF(Статистика!$C$4="Параллельный режим (активная мощность)",B232,M232)+Статистика!$J$4))-Статистика!$C$10)/MAX(Статистика!$G$10-Статистика!$C$10,0.000001))))</f>
        <v>0</v>
      </c>
      <c r="AX232" s="12">
        <f>IF(A232="","",MAX(0,MAX(0,MIN(1,(((IF(Статистика!$C$4="Параллельный режим (активная мощность)",D232,O232)+Статистика!$J$4))-Статистика!$C$10)/MAX(Статистика!$G$10-Статистика!$C$10,0.000001)))-MAX(0,MIN(1,(((IF(Статистика!$C$4="Параллельный режим (активная мощность)",B232,M232)+Статистика!$J$4))-Статистика!$C$10)/MAX(Статистика!$G$10-Статистика!$C$10,0.000001)))))</f>
        <v>0.43450690111111118</v>
      </c>
      <c r="AY232" s="12">
        <f>IF(A232="","",MAX(0,MAX(0,MIN(1,(((IF(Статистика!$C$4="Параллельный режим (активная мощность)",E232,P232)+Статистика!$J$4))-Статистика!$C$10)/MAX(Статистика!$G$10-Статистика!$C$10,0.000001)))-MAX(0,MIN(1,(((IF(Статистика!$C$4="Параллельный режим (активная мощность)",D232,O232)+Статистика!$J$4))-Статистика!$C$10)/MAX(Статистика!$G$10-Статистика!$C$10,0.000001)))))</f>
        <v>7.6830837777777827E-2</v>
      </c>
      <c r="AZ232" s="12">
        <f>IF(A232="","",MAX(0,MAX(0,MIN(1,(((IF(Статистика!$C$4="Параллельный режим (активная мощность)",F232,Q232)+Статистика!$J$4))-Статистика!$C$10)/MAX(Статистика!$G$10-Статистика!$C$10,0.000001)))-MAX(0,MIN(1,(((IF(Статистика!$C$4="Параллельный режим (активная мощность)",E232,P232)+Статистика!$J$4))-Статистика!$C$10)/MAX(Статистика!$G$10-Статистика!$C$10,0.000001)))))</f>
        <v>5.7699972222221785E-2</v>
      </c>
      <c r="BA232" s="12">
        <f>IF(A232="","",MAX(0,MAX(0,MIN(1,(((IF(Статистика!$C$4="Параллельный режим (активная мощность)",G232,R232)+Статистика!$J$4))-Статистика!$C$10)/MAX(Статистика!$G$10-Статистика!$C$10,0.000001)))-MAX(0,MIN(1,(((IF(Статистика!$C$4="Параллельный режим (активная мощность)",F232,Q232)+Статистика!$J$4))-Статистика!$C$10)/MAX(Статистика!$G$10-Статистика!$C$10,0.000001)))))</f>
        <v>3.7499869444444833E-2</v>
      </c>
      <c r="BB232" s="12">
        <f>IF(A232="","",MAX(0,MAX(0,MIN(1,(((IF(Статистика!$C$4="Параллельный режим (активная мощность)",H232,S232)+Статистика!$J$4))-Статистика!$C$10)/MAX(Статистика!$G$10-Статистика!$C$10,0.000001)))-MAX(0,MIN(1,(((IF(Статистика!$C$4="Параллельный режим (активная мощность)",G232,R232)+Статистика!$J$4))-Статистика!$C$10)/MAX(Статистика!$G$10-Статистика!$C$10,0.000001)))))</f>
        <v>0.10508764166666662</v>
      </c>
      <c r="BC232" s="12">
        <f>IF(A232="","",MAX(0,MAX(0,MIN(1,(((IF(Статистика!$C$4="Параллельный режим (активная мощность)",J232,U232)+Статистика!$J$4))-Статистика!$C$10)/MAX(Статистика!$G$10-Статистика!$C$10,0.000001)))-MAX(0,MIN(1,(((IF(Статистика!$C$4="Параллельный режим (активная мощность)",H232,S232)+Статистика!$J$4))-Статистика!$C$10)/MAX(Статистика!$G$10-Статистика!$C$10,0.000001)))))</f>
        <v>7.8536955000002573E-3</v>
      </c>
      <c r="BD232" s="12">
        <f>IF(A232="","",MAX(0,1-MAX(0,MIN(1,(((IF(Статистика!$C$4="Параллельный режим (активная мощность)",J232,U232)+Статистика!$J$4))-Статистика!$C$10)/MAX(Статистика!$G$10-Статистика!$C$10,0.000001)))))</f>
        <v>0.2805210822777775</v>
      </c>
      <c r="BE232" s="12">
        <f>IF(A232="",NA(),IF(Статистика!$B$8="Вкл",(((IF(Статистика!$C$4="Параллельный режим (активная мощность)",F232,Q232)+Статистика!$J$4))-Статистика!$C$10)/MAX(Статистика!$G$10-Статистика!$C$10,0.000001),NA()))</f>
        <v>0.56903771111111079</v>
      </c>
      <c r="BF232" s="12">
        <f>IF(A232="",NA(),IF(Статистика!$D$8="Вкл",(((IF(Статистика!$C$4="Параллельный режим (активная мощность)",E232,P232)+Статистика!$J$4))-Статистика!$C$10)/MAX(Статистика!$G$10-Статистика!$C$10,0.000001),NA()))</f>
        <v>0.511337738888889</v>
      </c>
      <c r="BG232" s="12">
        <f>IF(A232="",NA(),IF(Статистика!$D$8="Вкл",(((IF(Статистика!$C$4="Параллельный режим (активная мощность)",G232,R232)+Статистика!$J$4))-Статистика!$C$10)/MAX(Статистика!$G$10-Статистика!$C$10,0.000001),NA()))</f>
        <v>0.60653758055555562</v>
      </c>
      <c r="BH232" s="12">
        <f>IF(A232="",NA(),IF(Статистика!$F$8="Вкл",(((IF(Статистика!$C$4="Параллельный режим (активная мощность)",D232,O232)+Статистика!$J$4))-Статистика!$C$10)/MAX(Статистика!$G$10-Статистика!$C$10,0.000001),NA()))</f>
        <v>0.43450690111111118</v>
      </c>
      <c r="BI232" s="12">
        <f>IF(A232="",NA(),IF(Статистика!$F$8="Вкл",(((IF(Статистика!$C$4="Параллельный режим (активная мощность)",H232,S232)+Статистика!$J$4))-Статистика!$C$10)/MAX(Статистика!$G$10-Статистика!$C$10,0.000001),NA()))</f>
        <v>0.71162522222222224</v>
      </c>
      <c r="BJ232" s="12">
        <f>IF(A232="",NA(),IF(Статистика!$H$8="Вкл",(((IF(Статистика!$C$4="Параллельный режим (активная мощность)",B232,M232)+Статистика!$J$4))-Статистика!$C$10)/MAX(Статистика!$G$10-Статистика!$C$10,0.000001),NA()))</f>
        <v>-1.395008613388889</v>
      </c>
      <c r="BK232" s="12">
        <f>IF(A232="",NA(),IF(Статистика!$H$8="Вкл",(((IF(Статистика!$C$4="Параллельный режим (активная мощность)",J232,U232)+Статистика!$J$4))-Статистика!$C$10)/MAX(Статистика!$G$10-Статистика!$C$10,0.000001),NA()))</f>
        <v>0.7194789177222225</v>
      </c>
      <c r="BL232" s="12" t="e">
        <f>IF(A232="",NA(),IF(Статистика!$J$8="Вкл",(((IF(Статистика!$C$4="Параллельный режим (активная мощность)",K232,V232)+Статистика!$J$4))-Статистика!$C$10)/MAX(Статистика!$G$10-Статистика!$C$10,0.000001),NA()))</f>
        <v>#N/A</v>
      </c>
      <c r="BM232" s="12" t="e">
        <f>IF(AND(A232&lt;&gt;"",Статистика!$C$6="Вкл",Статистика!$B$6&gt;0),(Статистика!$B$6-Статистика!$C$10)/MAX(Статистика!$G$10-Статистика!$C$10,0.000001),NA())</f>
        <v>#N/A</v>
      </c>
      <c r="BN232" s="12" t="e">
        <f>IF(AND(A232&lt;&gt;"",Статистика!$F$6="Вкл",Статистика!$E$6&gt;0),(Статистика!$E$6-Статистика!$C$10)/MAX(Статистика!$G$10-Статистика!$C$10,0.000001),NA())</f>
        <v>#N/A</v>
      </c>
      <c r="BO232" s="12" t="e">
        <f>IF(AND(A232&lt;&gt;"",Статистика!$I$6="Вкл",Статистика!$H$6&gt;0),(Статистика!$H$6-Статистика!$C$10)/MAX(Статистика!$G$10-Статистика!$C$10,0.000001),NA())</f>
        <v>#N/A</v>
      </c>
      <c r="BP232" s="12" t="e">
        <f>IF(AND(A232&lt;&gt;"",Статистика!$L$6="Вкл",Статистика!$K$6&gt;0),(Статистика!$K$6-Статистика!$C$10)/MAX(Статистика!$G$10-Статистика!$C$10,0.000001),NA())</f>
        <v>#N/A</v>
      </c>
      <c r="BQ232" s="12" t="e">
        <f>IF(AND(A232&lt;&gt;"",Статистика!$M$6="Вкл",Статистика!$O$6&gt;0),(Статистика!$O$6-Статистика!$C$10)/MAX(Статистика!$G$10-Статистика!$C$10,0.000001),NA())</f>
        <v>#N/A</v>
      </c>
      <c r="BR232" s="12">
        <f t="shared" si="6"/>
        <v>1</v>
      </c>
      <c r="BT232" s="12">
        <f>IF(Y232="","",MAX(0,MIN(1,(((IF(Статистика!$C$4="Параллельный режим (активная мощность)",Z232,AK232)+Статистика!$J$4))-Статистика!$C$10)/MAX(Статистика!$G$10-Статистика!$C$10,0.000001))))</f>
        <v>0.47055781377777778</v>
      </c>
      <c r="BU232" s="12">
        <f>IF(Y232="","",MAX(0,MAX(0,MIN(1,(((IF(Статистика!$C$4="Параллельный режим (активная мощность)",AB232,AM232)+Статистика!$J$4))-Статистика!$C$10)/MAX(Статистика!$G$10-Статистика!$C$10,0.000001)))-MAX(0,MIN(1,(((IF(Статистика!$C$4="Параллельный режим (активная мощность)",Z232,AK232)+Статистика!$J$4))-Статистика!$C$10)/MAX(Статистика!$G$10-Статистика!$C$10,0.000001)))))</f>
        <v>1.752123999999966E-3</v>
      </c>
      <c r="BV232" s="12">
        <f>IF(Y232="","",MAX(0,MAX(0,MIN(1,(((IF(Статистика!$C$4="Параллельный режим (активная мощность)",AC232,AN232)+Статистика!$J$4))-Статистика!$C$10)/MAX(Статистика!$G$10-Статистика!$C$10,0.000001)))-MAX(0,MIN(1,(((IF(Статистика!$C$4="Параллельный режим (активная мощность)",AB232,AM232)+Статистика!$J$4))-Статистика!$C$10)/MAX(Статистика!$G$10-Статистика!$C$10,0.000001)))))</f>
        <v>5.1310065000000238E-2</v>
      </c>
      <c r="BW232" s="12">
        <f>IF(Y232="","",MAX(0,MAX(0,MIN(1,(((IF(Статистика!$C$4="Параллельный режим (активная мощность)",AD232,AO232)+Статистика!$J$4))-Статистика!$C$10)/MAX(Статистика!$G$10-Статистика!$C$10,0.000001)))-MAX(0,MIN(1,(((IF(Статистика!$C$4="Параллельный режим (активная мощность)",AC232,AN232)+Статистика!$J$4))-Статистика!$C$10)/MAX(Статистика!$G$10-Статистика!$C$10,0.000001)))))</f>
        <v>3.5739147222222267E-2</v>
      </c>
      <c r="BX232" s="12">
        <f>IF(Y232="","",MAX(0,MAX(0,MIN(1,(((IF(Статистика!$C$4="Параллельный режим (активная мощность)",AE232,AP232)+Статистика!$J$4))-Статистика!$C$10)/MAX(Статистика!$G$10-Статистика!$C$10,0.000001)))-MAX(0,MIN(1,(((IF(Статистика!$C$4="Параллельный режим (активная мощность)",AD232,AO232)+Статистика!$J$4))-Статистика!$C$10)/MAX(Статистика!$G$10-Статистика!$C$10,0.000001)))))</f>
        <v>4.0198727777777332E-2</v>
      </c>
      <c r="BY232" s="12">
        <f>IF(Y232="","",MAX(0,MAX(0,MIN(1,(((IF(Статистика!$C$4="Параллельный режим (активная мощность)",AF232,AQ232)+Статистика!$J$4))-Статистика!$C$10)/MAX(Статистика!$G$10-Статистика!$C$10,0.000001)))-MAX(0,MIN(1,(((IF(Статистика!$C$4="Параллельный режим (активная мощность)",AE232,AP232)+Статистика!$J$4))-Статистика!$C$10)/MAX(Статистика!$G$10-Статистика!$C$10,0.000001)))))</f>
        <v>0.16193876499999993</v>
      </c>
      <c r="BZ232" s="12">
        <f>IF(Y232="","",MAX(0,MAX(0,MIN(1,(((IF(Статистика!$C$4="Параллельный режим (активная мощность)",AH232,AS232)+Статистика!$J$4))-Статистика!$C$10)/MAX(Статистика!$G$10-Статистика!$C$10,0.000001)))-MAX(0,MIN(1,(((IF(Статистика!$C$4="Параллельный режим (активная мощность)",AF232,AQ232)+Статистика!$J$4))-Статистика!$C$10)/MAX(Статистика!$G$10-Статистика!$C$10,0.000001)))))</f>
        <v>4.5411151500000413E-2</v>
      </c>
      <c r="CA232" s="12">
        <f>IF(Y232="","",MAX(0,1-MAX(0,MIN(1,(((IF(Статистика!$C$4="Параллельный режим (активная мощность)",AH232,AS232)+Статистика!$J$4))-Статистика!$C$10)/MAX(Статистика!$G$10-Статистика!$C$10,0.000001)))))</f>
        <v>0.19309220572222208</v>
      </c>
      <c r="CB232" s="12">
        <f>IF(Y232="",NA(),IF(Статистика!$B$8="Вкл",(((IF(Статистика!$C$4="Параллельный режим (активная мощность)",AD232,AO232)+Статистика!$J$4))-Статистика!$C$10)/MAX(Статистика!$G$10-Статистика!$C$10,0.000001),NA()))</f>
        <v>0.55935915000000025</v>
      </c>
      <c r="CC232" s="12">
        <f>IF(Y232="",NA(),IF(Статистика!$D$8="Вкл",(((IF(Статистика!$C$4="Параллельный режим (активная мощность)",AC232,AN232)+Статистика!$J$4))-Статистика!$C$10)/MAX(Статистика!$G$10-Статистика!$C$10,0.000001),NA()))</f>
        <v>0.52362000277777798</v>
      </c>
      <c r="CD232" s="12">
        <f>IF(Y232="",NA(),IF(Статистика!$D$8="Вкл",(((IF(Статистика!$C$4="Параллельный режим (активная мощность)",AE232,AP232)+Статистика!$J$4))-Статистика!$C$10)/MAX(Статистика!$G$10-Статистика!$C$10,0.000001),NA()))</f>
        <v>0.59955787777777758</v>
      </c>
      <c r="CE232" s="12">
        <f>IF(Y232="",NA(),IF(Статистика!$F$8="Вкл",(((IF(Статистика!$C$4="Параллельный режим (активная мощность)",AB232,AM232)+Статистика!$J$4))-Статистика!$C$10)/MAX(Статистика!$G$10-Статистика!$C$10,0.000001),NA()))</f>
        <v>0.47230993777777774</v>
      </c>
      <c r="CF232" s="12">
        <f>IF(Y232="",NA(),IF(Статистика!$F$8="Вкл",(((IF(Статистика!$C$4="Параллельный режим (активная мощность)",AF232,AQ232)+Статистика!$J$4))-Статистика!$C$10)/MAX(Статистика!$G$10-Статистика!$C$10,0.000001),NA()))</f>
        <v>0.76149664277777751</v>
      </c>
      <c r="CG232" s="12">
        <f>IF(Y232="",NA(),IF(Статистика!$H$8="Вкл",(((IF(Статистика!$C$4="Параллельный режим (активная мощность)",Z232,AK232)+Статистика!$J$4))-Статистика!$C$10)/MAX(Статистика!$G$10-Статистика!$C$10,0.000001),NA()))</f>
        <v>0.47055781377777778</v>
      </c>
      <c r="CH232" s="12">
        <f>IF(Y232="",NA(),IF(Статистика!$H$8="Вкл",(((IF(Статистика!$C$4="Параллельный режим (активная мощность)",AH232,AS232)+Статистика!$J$4))-Статистика!$C$10)/MAX(Статистика!$G$10-Статистика!$C$10,0.000001),NA()))</f>
        <v>0.80690779427777792</v>
      </c>
      <c r="CI232" s="12" t="e">
        <f>IF(Y232="",NA(),IF(Статистика!$J$8="Вкл",(((IF(Статистика!$C$4="Параллельный режим (активная мощность)",AI232,AT232)+Статистика!$J$4))-Статистика!$C$10)/MAX(Статистика!$G$10-Статистика!$C$10,0.000001),NA()))</f>
        <v>#N/A</v>
      </c>
      <c r="CJ232" s="12" t="e">
        <f>IF(AND(Y232&lt;&gt;"",Статистика!$C$6="Вкл",Статистика!$B$6&gt;0),(Статистика!$B$6-Статистика!$C$10)/MAX(Статистика!$G$10-Статистика!$C$10,0.000001),NA())</f>
        <v>#N/A</v>
      </c>
      <c r="CK232" s="12" t="e">
        <f>IF(AND(Y232&lt;&gt;"",Статистика!$F$6="Вкл",Статистика!$E$6&gt;0),(Статистика!$E$6-Статистика!$C$10)/MAX(Статистика!$G$10-Статистика!$C$10,0.000001),NA())</f>
        <v>#N/A</v>
      </c>
      <c r="CL232" s="12" t="e">
        <f>IF(AND(Y232&lt;&gt;"",Статистика!$I$6="Вкл",Статистика!$H$6&gt;0),(Статистика!$H$6-Статистика!$C$10)/MAX(Статистика!$G$10-Статистика!$C$10,0.000001),NA())</f>
        <v>#N/A</v>
      </c>
      <c r="CM232" s="12" t="e">
        <f>IF(AND(Y232&lt;&gt;"",Статистика!$L$6="Вкл",Статистика!$K$6&gt;0),(Статистика!$K$6-Статистика!$C$10)/MAX(Статистика!$G$10-Статистика!$C$10,0.000001),NA())</f>
        <v>#N/A</v>
      </c>
      <c r="CN232" s="12" t="e">
        <f>IF(AND(Y232&lt;&gt;"",Статистика!$M$6="Вкл",Статистика!$O$6&gt;0),(Статистика!$O$6-Статистика!$C$10)/MAX(Статистика!$G$10-Статистика!$C$10,0.000001),NA())</f>
        <v>#N/A</v>
      </c>
      <c r="CO232" s="12">
        <f t="shared" si="7"/>
        <v>1</v>
      </c>
    </row>
    <row r="233" spans="1:93" ht="15" customHeight="1">
      <c r="A233" s="12" t="s">
        <v>975</v>
      </c>
      <c r="B233" s="12">
        <v>1813.2573411666667</v>
      </c>
      <c r="C233" s="12">
        <v>5521.8516391666672</v>
      </c>
      <c r="D233" s="12">
        <v>7300.5833616666669</v>
      </c>
      <c r="E233" s="12">
        <v>7489.7636500000008</v>
      </c>
      <c r="F233" s="12">
        <v>7686.4591833333325</v>
      </c>
      <c r="G233" s="12">
        <v>7787.6708333333336</v>
      </c>
      <c r="H233" s="12">
        <v>8131.5244199999997</v>
      </c>
      <c r="I233" s="12">
        <v>8147.21486</v>
      </c>
      <c r="J233" s="12">
        <v>8148.1720919999998</v>
      </c>
      <c r="K233" s="12">
        <v>8876.84</v>
      </c>
      <c r="L233" s="12" t="s">
        <v>976</v>
      </c>
      <c r="M233" s="12">
        <v>2133.3572531666669</v>
      </c>
      <c r="N233" s="12">
        <v>6235.2295991666679</v>
      </c>
      <c r="O233" s="12">
        <v>8217.602471666667</v>
      </c>
      <c r="P233" s="12">
        <v>8504.7475416666657</v>
      </c>
      <c r="Q233" s="12">
        <v>8700.583216666666</v>
      </c>
      <c r="R233" s="12">
        <v>8786.6465666666663</v>
      </c>
      <c r="S233" s="12">
        <v>9133.8423416666665</v>
      </c>
      <c r="T233" s="12">
        <v>9174.3977924999999</v>
      </c>
      <c r="U233" s="12">
        <v>9200.2004651666666</v>
      </c>
      <c r="V233" s="12">
        <v>9678.2000000000007</v>
      </c>
      <c r="W233" s="12" t="s">
        <v>976</v>
      </c>
      <c r="Y233" s="12" t="s">
        <v>975</v>
      </c>
      <c r="Z233" s="12">
        <v>7381.7500650000011</v>
      </c>
      <c r="AA233" s="12">
        <v>7383.1337916666671</v>
      </c>
      <c r="AB233" s="12">
        <v>7384.8634500000007</v>
      </c>
      <c r="AC233" s="12">
        <v>7518.9762250000003</v>
      </c>
      <c r="AD233" s="12">
        <v>7657.1528500000004</v>
      </c>
      <c r="AE233" s="12">
        <v>7724.0433249999996</v>
      </c>
      <c r="AF233" s="12">
        <v>8243.126776666666</v>
      </c>
      <c r="AG233" s="12">
        <v>8316.9873216666674</v>
      </c>
      <c r="AH233" s="12">
        <v>8376.0757576666674</v>
      </c>
      <c r="AI233" s="12">
        <v>8534.59</v>
      </c>
      <c r="AJ233" s="12" t="s">
        <v>977</v>
      </c>
      <c r="AK233" s="12">
        <v>8311.3422123333348</v>
      </c>
      <c r="AL233" s="12">
        <v>8346.8907950000012</v>
      </c>
      <c r="AM233" s="12">
        <v>8391.3265233333332</v>
      </c>
      <c r="AN233" s="12">
        <v>8503.0509999999995</v>
      </c>
      <c r="AO233" s="12">
        <v>8716.5408166666675</v>
      </c>
      <c r="AP233" s="12">
        <v>8762.5600166666663</v>
      </c>
      <c r="AQ233" s="12">
        <v>9195.5650949999999</v>
      </c>
      <c r="AR233" s="12">
        <v>9273.7378141666668</v>
      </c>
      <c r="AS233" s="12">
        <v>9336.2759894999999</v>
      </c>
      <c r="AT233" s="12">
        <v>9466.98</v>
      </c>
      <c r="AU233" s="12" t="s">
        <v>977</v>
      </c>
      <c r="AW233" s="12">
        <f>IF(A233="","",MAX(0,MIN(1,(((IF(Статистика!$C$4="Параллельный режим (активная мощность)",B233,M233)+Статистика!$J$4))-Статистика!$C$10)/MAX(Статистика!$G$10-Статистика!$C$10,0.000001))))</f>
        <v>0</v>
      </c>
      <c r="AX233" s="12">
        <f>IF(A233="","",MAX(0,MAX(0,MIN(1,(((IF(Статистика!$C$4="Параллельный режим (активная мощность)",D233,O233)+Статистика!$J$4))-Статистика!$C$10)/MAX(Статистика!$G$10-Статистика!$C$10,0.000001)))-MAX(0,MIN(1,(((IF(Статистика!$C$4="Параллельный режим (активная мощность)",B233,M233)+Статистика!$J$4))-Статистика!$C$10)/MAX(Статистика!$G$10-Статистика!$C$10,0.000001)))))</f>
        <v>0.43352778722222229</v>
      </c>
      <c r="AY233" s="12">
        <f>IF(A233="","",MAX(0,MAX(0,MIN(1,(((IF(Статистика!$C$4="Параллельный режим (активная мощность)",E233,P233)+Статистика!$J$4))-Статистика!$C$10)/MAX(Статистика!$G$10-Статистика!$C$10,0.000001)))-MAX(0,MIN(1,(((IF(Статистика!$C$4="Параллельный режим (активная мощность)",D233,O233)+Статистика!$J$4))-Статистика!$C$10)/MAX(Статистика!$G$10-Статистика!$C$10,0.000001)))))</f>
        <v>6.3060096111111297E-2</v>
      </c>
      <c r="AZ233" s="12">
        <f>IF(A233="","",MAX(0,MAX(0,MIN(1,(((IF(Статистика!$C$4="Параллельный режим (активная мощность)",F233,Q233)+Статистика!$J$4))-Статистика!$C$10)/MAX(Статистика!$G$10-Статистика!$C$10,0.000001)))-MAX(0,MIN(1,(((IF(Статистика!$C$4="Параллельный режим (активная мощность)",E233,P233)+Статистика!$J$4))-Статистика!$C$10)/MAX(Статистика!$G$10-Статистика!$C$10,0.000001)))))</f>
        <v>6.5565177777777262E-2</v>
      </c>
      <c r="BA233" s="12">
        <f>IF(A233="","",MAX(0,MAX(0,MIN(1,(((IF(Статистика!$C$4="Параллельный режим (активная мощность)",G233,R233)+Статистика!$J$4))-Статистика!$C$10)/MAX(Статистика!$G$10-Статистика!$C$10,0.000001)))-MAX(0,MIN(1,(((IF(Статистика!$C$4="Параллельный режим (активная мощность)",F233,Q233)+Статистика!$J$4))-Статистика!$C$10)/MAX(Статистика!$G$10-Статистика!$C$10,0.000001)))))</f>
        <v>3.3737216666666958E-2</v>
      </c>
      <c r="BB233" s="12">
        <f>IF(A233="","",MAX(0,MAX(0,MIN(1,(((IF(Статистика!$C$4="Параллельный режим (активная мощность)",H233,S233)+Статистика!$J$4))-Статистика!$C$10)/MAX(Статистика!$G$10-Статистика!$C$10,0.000001)))-MAX(0,MIN(1,(((IF(Статистика!$C$4="Параллельный режим (активная мощность)",G233,R233)+Статистика!$J$4))-Статистика!$C$10)/MAX(Статистика!$G$10-Статистика!$C$10,0.000001)))))</f>
        <v>0.11461786222222214</v>
      </c>
      <c r="BC233" s="12">
        <f>IF(A233="","",MAX(0,MAX(0,MIN(1,(((IF(Статистика!$C$4="Параллельный режим (активная мощность)",J233,U233)+Статистика!$J$4))-Статистика!$C$10)/MAX(Статистика!$G$10-Статистика!$C$10,0.000001)))-MAX(0,MIN(1,(((IF(Статистика!$C$4="Параллельный режим (активная мощность)",H233,S233)+Статистика!$J$4))-Статистика!$C$10)/MAX(Статистика!$G$10-Статистика!$C$10,0.000001)))))</f>
        <v>5.5492240000000193E-3</v>
      </c>
      <c r="BD233" s="12">
        <f>IF(A233="","",MAX(0,1-MAX(0,MIN(1,(((IF(Статистика!$C$4="Параллельный режим (активная мощность)",J233,U233)+Статистика!$J$4))-Статистика!$C$10)/MAX(Статистика!$G$10-Статистика!$C$10,0.000001)))))</f>
        <v>0.28394263600000003</v>
      </c>
      <c r="BE233" s="12">
        <f>IF(A233="",NA(),IF(Статистика!$B$8="Вкл",(((IF(Статистика!$C$4="Параллельный режим (активная мощность)",F233,Q233)+Статистика!$J$4))-Статистика!$C$10)/MAX(Статистика!$G$10-Статистика!$C$10,0.000001),NA()))</f>
        <v>0.56215306111111085</v>
      </c>
      <c r="BF233" s="12">
        <f>IF(A233="",NA(),IF(Статистика!$D$8="Вкл",(((IF(Статистика!$C$4="Параллельный режим (активная мощность)",E233,P233)+Статистика!$J$4))-Статистика!$C$10)/MAX(Статистика!$G$10-Статистика!$C$10,0.000001),NA()))</f>
        <v>0.49658788333333359</v>
      </c>
      <c r="BG233" s="12">
        <f>IF(A233="",NA(),IF(Статистика!$D$8="Вкл",(((IF(Статистика!$C$4="Параллельный режим (активная мощность)",G233,R233)+Статистика!$J$4))-Статистика!$C$10)/MAX(Статистика!$G$10-Статистика!$C$10,0.000001),NA()))</f>
        <v>0.59589027777777781</v>
      </c>
      <c r="BH233" s="12">
        <f>IF(A233="",NA(),IF(Статистика!$F$8="Вкл",(((IF(Статистика!$C$4="Параллельный режим (активная мощность)",D233,O233)+Статистика!$J$4))-Статистика!$C$10)/MAX(Статистика!$G$10-Статистика!$C$10,0.000001),NA()))</f>
        <v>0.43352778722222229</v>
      </c>
      <c r="BI233" s="12">
        <f>IF(A233="",NA(),IF(Статистика!$F$8="Вкл",(((IF(Статистика!$C$4="Параллельный режим (активная мощность)",H233,S233)+Статистика!$J$4))-Статистика!$C$10)/MAX(Статистика!$G$10-Статистика!$C$10,0.000001),NA()))</f>
        <v>0.71050813999999995</v>
      </c>
      <c r="BJ233" s="12">
        <f>IF(A233="",NA(),IF(Статистика!$H$8="Вкл",(((IF(Статистика!$C$4="Параллельный режим (активная мощность)",B233,M233)+Статистика!$J$4))-Статистика!$C$10)/MAX(Статистика!$G$10-Статистика!$C$10,0.000001),NA()))</f>
        <v>-1.3955808862777777</v>
      </c>
      <c r="BK233" s="12">
        <f>IF(A233="",NA(),IF(Статистика!$H$8="Вкл",(((IF(Статистика!$C$4="Параллельный режим (активная мощность)",J233,U233)+Статистика!$J$4))-Статистика!$C$10)/MAX(Статистика!$G$10-Статистика!$C$10,0.000001),NA()))</f>
        <v>0.71605736399999997</v>
      </c>
      <c r="BL233" s="12" t="e">
        <f>IF(A233="",NA(),IF(Статистика!$J$8="Вкл",(((IF(Статистика!$C$4="Параллельный режим (активная мощность)",K233,V233)+Статистика!$J$4))-Статистика!$C$10)/MAX(Статистика!$G$10-Статистика!$C$10,0.000001),NA()))</f>
        <v>#N/A</v>
      </c>
      <c r="BM233" s="12" t="e">
        <f>IF(AND(A233&lt;&gt;"",Статистика!$C$6="Вкл",Статистика!$B$6&gt;0),(Статистика!$B$6-Статистика!$C$10)/MAX(Статистика!$G$10-Статистика!$C$10,0.000001),NA())</f>
        <v>#N/A</v>
      </c>
      <c r="BN233" s="12" t="e">
        <f>IF(AND(A233&lt;&gt;"",Статистика!$F$6="Вкл",Статистика!$E$6&gt;0),(Статистика!$E$6-Статистика!$C$10)/MAX(Статистика!$G$10-Статистика!$C$10,0.000001),NA())</f>
        <v>#N/A</v>
      </c>
      <c r="BO233" s="12" t="e">
        <f>IF(AND(A233&lt;&gt;"",Статистика!$I$6="Вкл",Статистика!$H$6&gt;0),(Статистика!$H$6-Статистика!$C$10)/MAX(Статистика!$G$10-Статистика!$C$10,0.000001),NA())</f>
        <v>#N/A</v>
      </c>
      <c r="BP233" s="12" t="e">
        <f>IF(AND(A233&lt;&gt;"",Статистика!$L$6="Вкл",Статистика!$K$6&gt;0),(Статистика!$K$6-Статистика!$C$10)/MAX(Статистика!$G$10-Статистика!$C$10,0.000001),NA())</f>
        <v>#N/A</v>
      </c>
      <c r="BQ233" s="12" t="e">
        <f>IF(AND(A233&lt;&gt;"",Статистика!$M$6="Вкл",Статистика!$O$6&gt;0),(Статистика!$O$6-Статистика!$C$10)/MAX(Статистика!$G$10-Статистика!$C$10,0.000001),NA())</f>
        <v>#N/A</v>
      </c>
      <c r="BR233" s="12">
        <f t="shared" si="6"/>
        <v>1</v>
      </c>
      <c r="BT233" s="12">
        <f>IF(Y233="","",MAX(0,MIN(1,(((IF(Статистика!$C$4="Параллельный режим (активная мощность)",Z233,AK233)+Статистика!$J$4))-Статистика!$C$10)/MAX(Статистика!$G$10-Статистика!$C$10,0.000001))))</f>
        <v>0.46058335500000036</v>
      </c>
      <c r="BU233" s="12">
        <f>IF(Y233="","",MAX(0,MAX(0,MIN(1,(((IF(Статистика!$C$4="Параллельный режим (активная мощность)",AB233,AM233)+Статистика!$J$4))-Статистика!$C$10)/MAX(Статистика!$G$10-Статистика!$C$10,0.000001)))-MAX(0,MIN(1,(((IF(Статистика!$C$4="Параллельный режим (активная мощность)",Z233,AK233)+Статистика!$J$4))-Статистика!$C$10)/MAX(Статистика!$G$10-Статистика!$C$10,0.000001)))))</f>
        <v>1.037794999999897E-3</v>
      </c>
      <c r="BV233" s="12">
        <f>IF(Y233="","",MAX(0,MAX(0,MIN(1,(((IF(Статистика!$C$4="Параллельный режим (активная мощность)",AC233,AN233)+Статистика!$J$4))-Статистика!$C$10)/MAX(Статистика!$G$10-Статистика!$C$10,0.000001)))-MAX(0,MIN(1,(((IF(Статистика!$C$4="Параллельный режим (активная мощность)",AB233,AM233)+Статистика!$J$4))-Статистика!$C$10)/MAX(Статистика!$G$10-Статистика!$C$10,0.000001)))))</f>
        <v>4.4704258333333136E-2</v>
      </c>
      <c r="BW233" s="12">
        <f>IF(Y233="","",MAX(0,MAX(0,MIN(1,(((IF(Статистика!$C$4="Параллельный режим (активная мощность)",AD233,AO233)+Статистика!$J$4))-Статистика!$C$10)/MAX(Статистика!$G$10-Статистика!$C$10,0.000001)))-MAX(0,MIN(1,(((IF(Статистика!$C$4="Параллельный режим (активная мощность)",AC233,AN233)+Статистика!$J$4))-Статистика!$C$10)/MAX(Статистика!$G$10-Статистика!$C$10,0.000001)))))</f>
        <v>4.6058875000000055E-2</v>
      </c>
      <c r="BX233" s="12">
        <f>IF(Y233="","",MAX(0,MAX(0,MIN(1,(((IF(Статистика!$C$4="Параллельный режим (активная мощность)",AE233,AP233)+Статистика!$J$4))-Статистика!$C$10)/MAX(Статистика!$G$10-Статистика!$C$10,0.000001)))-MAX(0,MIN(1,(((IF(Статистика!$C$4="Параллельный режим (активная мощность)",AD233,AO233)+Статистика!$J$4))-Статистика!$C$10)/MAX(Статистика!$G$10-Статистика!$C$10,0.000001)))))</f>
        <v>2.2296824999999743E-2</v>
      </c>
      <c r="BY233" s="12">
        <f>IF(Y233="","",MAX(0,MAX(0,MIN(1,(((IF(Статистика!$C$4="Параллельный режим (активная мощность)",AF233,AQ233)+Статистика!$J$4))-Статистика!$C$10)/MAX(Статистика!$G$10-Статистика!$C$10,0.000001)))-MAX(0,MIN(1,(((IF(Статистика!$C$4="Параллельный режим (активная мощность)",AE233,AP233)+Статистика!$J$4))-Статистика!$C$10)/MAX(Статистика!$G$10-Статистика!$C$10,0.000001)))))</f>
        <v>0.17302781722222216</v>
      </c>
      <c r="BZ233" s="12">
        <f>IF(Y233="","",MAX(0,MAX(0,MIN(1,(((IF(Статистика!$C$4="Параллельный режим (активная мощность)",AH233,AS233)+Статистика!$J$4))-Статистика!$C$10)/MAX(Статистика!$G$10-Статистика!$C$10,0.000001)))-MAX(0,MIN(1,(((IF(Статистика!$C$4="Параллельный режим (активная мощность)",AF233,AQ233)+Статистика!$J$4))-Статистика!$C$10)/MAX(Статистика!$G$10-Статистика!$C$10,0.000001)))))</f>
        <v>4.4316327000000433E-2</v>
      </c>
      <c r="CA233" s="12">
        <f>IF(Y233="","",MAX(0,1-MAX(0,MIN(1,(((IF(Статистика!$C$4="Параллельный режим (активная мощность)",AH233,AS233)+Статистика!$J$4))-Статистика!$C$10)/MAX(Статистика!$G$10-Статистика!$C$10,0.000001)))))</f>
        <v>0.20797474744444422</v>
      </c>
      <c r="CB233" s="12">
        <f>IF(Y233="",NA(),IF(Статистика!$B$8="Вкл",(((IF(Статистика!$C$4="Параллельный режим (активная мощность)",AD233,AO233)+Статистика!$J$4))-Статистика!$C$10)/MAX(Статистика!$G$10-Статистика!$C$10,0.000001),NA()))</f>
        <v>0.55238428333333345</v>
      </c>
      <c r="CC233" s="12">
        <f>IF(Y233="",NA(),IF(Статистика!$D$8="Вкл",(((IF(Статистика!$C$4="Параллельный режим (активная мощность)",AC233,AN233)+Статистика!$J$4))-Статистика!$C$10)/MAX(Статистика!$G$10-Статистика!$C$10,0.000001),NA()))</f>
        <v>0.50632540833333339</v>
      </c>
      <c r="CD233" s="12">
        <f>IF(Y233="",NA(),IF(Статистика!$D$8="Вкл",(((IF(Статистика!$C$4="Параллельный режим (активная мощность)",AE233,AP233)+Статистика!$J$4))-Статистика!$C$10)/MAX(Статистика!$G$10-Статистика!$C$10,0.000001),NA()))</f>
        <v>0.57468110833333319</v>
      </c>
      <c r="CE233" s="12">
        <f>IF(Y233="",NA(),IF(Статистика!$F$8="Вкл",(((IF(Статистика!$C$4="Параллельный режим (активная мощность)",AB233,AM233)+Статистика!$J$4))-Статистика!$C$10)/MAX(Статистика!$G$10-Статистика!$C$10,0.000001),NA()))</f>
        <v>0.46162115000000026</v>
      </c>
      <c r="CF233" s="12">
        <f>IF(Y233="",NA(),IF(Статистика!$F$8="Вкл",(((IF(Статистика!$C$4="Параллельный режим (активная мощность)",AF233,AQ233)+Статистика!$J$4))-Статистика!$C$10)/MAX(Статистика!$G$10-Статистика!$C$10,0.000001),NA()))</f>
        <v>0.74770892555555535</v>
      </c>
      <c r="CG233" s="12">
        <f>IF(Y233="",NA(),IF(Статистика!$H$8="Вкл",(((IF(Статистика!$C$4="Параллельный режим (активная мощность)",Z233,AK233)+Статистика!$J$4))-Статистика!$C$10)/MAX(Статистика!$G$10-Статистика!$C$10,0.000001),NA()))</f>
        <v>0.46058335500000036</v>
      </c>
      <c r="CH233" s="12">
        <f>IF(Y233="",NA(),IF(Статистика!$H$8="Вкл",(((IF(Статистика!$C$4="Параллельный режим (активная мощность)",AH233,AS233)+Статистика!$J$4))-Статистика!$C$10)/MAX(Статистика!$G$10-Статистика!$C$10,0.000001),NA()))</f>
        <v>0.79202525255555578</v>
      </c>
      <c r="CI233" s="12" t="e">
        <f>IF(Y233="",NA(),IF(Статистика!$J$8="Вкл",(((IF(Статистика!$C$4="Параллельный режим (активная мощность)",AI233,AT233)+Статистика!$J$4))-Статистика!$C$10)/MAX(Статистика!$G$10-Статистика!$C$10,0.000001),NA()))</f>
        <v>#N/A</v>
      </c>
      <c r="CJ233" s="12" t="e">
        <f>IF(AND(Y233&lt;&gt;"",Статистика!$C$6="Вкл",Статистика!$B$6&gt;0),(Статистика!$B$6-Статистика!$C$10)/MAX(Статистика!$G$10-Статистика!$C$10,0.000001),NA())</f>
        <v>#N/A</v>
      </c>
      <c r="CK233" s="12" t="e">
        <f>IF(AND(Y233&lt;&gt;"",Статистика!$F$6="Вкл",Статистика!$E$6&gt;0),(Статистика!$E$6-Статистика!$C$10)/MAX(Статистика!$G$10-Статистика!$C$10,0.000001),NA())</f>
        <v>#N/A</v>
      </c>
      <c r="CL233" s="12" t="e">
        <f>IF(AND(Y233&lt;&gt;"",Статистика!$I$6="Вкл",Статистика!$H$6&gt;0),(Статистика!$H$6-Статистика!$C$10)/MAX(Статистика!$G$10-Статистика!$C$10,0.000001),NA())</f>
        <v>#N/A</v>
      </c>
      <c r="CM233" s="12" t="e">
        <f>IF(AND(Y233&lt;&gt;"",Статистика!$L$6="Вкл",Статистика!$K$6&gt;0),(Статистика!$K$6-Статистика!$C$10)/MAX(Статистика!$G$10-Статистика!$C$10,0.000001),NA())</f>
        <v>#N/A</v>
      </c>
      <c r="CN233" s="12" t="e">
        <f>IF(AND(Y233&lt;&gt;"",Статистика!$M$6="Вкл",Статистика!$O$6&gt;0),(Статистика!$O$6-Статистика!$C$10)/MAX(Статистика!$G$10-Статистика!$C$10,0.000001),NA())</f>
        <v>#N/A</v>
      </c>
      <c r="CO233" s="12">
        <f t="shared" si="7"/>
        <v>1</v>
      </c>
    </row>
    <row r="234" spans="1:93" ht="15" customHeight="1">
      <c r="A234" s="12" t="s">
        <v>978</v>
      </c>
      <c r="B234" s="12">
        <v>1776.9249434999999</v>
      </c>
      <c r="C234" s="12">
        <v>5475.9292508333338</v>
      </c>
      <c r="D234" s="12">
        <v>7263.700965</v>
      </c>
      <c r="E234" s="12">
        <v>7480.1056916666657</v>
      </c>
      <c r="F234" s="12">
        <v>7707.8414166666662</v>
      </c>
      <c r="G234" s="12">
        <v>7772.0702250000004</v>
      </c>
      <c r="H234" s="12">
        <v>8101.8771699999998</v>
      </c>
      <c r="I234" s="12">
        <v>8119.2684483333333</v>
      </c>
      <c r="J234" s="12">
        <v>8125.9322230000007</v>
      </c>
      <c r="K234" s="12">
        <v>8275.57</v>
      </c>
      <c r="L234" s="12" t="s">
        <v>979</v>
      </c>
      <c r="M234" s="12">
        <v>2098.1962681666664</v>
      </c>
      <c r="N234" s="12">
        <v>6189.2073408333335</v>
      </c>
      <c r="O234" s="12">
        <v>8183.2047766666665</v>
      </c>
      <c r="P234" s="12">
        <v>8504.8149000000012</v>
      </c>
      <c r="Q234" s="12">
        <v>8690.2170166666656</v>
      </c>
      <c r="R234" s="12">
        <v>8806.0046416666664</v>
      </c>
      <c r="S234" s="12">
        <v>9131.7996650000005</v>
      </c>
      <c r="T234" s="12">
        <v>9156.0928783333329</v>
      </c>
      <c r="U234" s="12">
        <v>9164.2119890000013</v>
      </c>
      <c r="V234" s="12">
        <v>9366.0499999999993</v>
      </c>
      <c r="W234" s="12" t="s">
        <v>980</v>
      </c>
      <c r="Y234" s="12" t="s">
        <v>978</v>
      </c>
      <c r="Z234" s="12">
        <v>7379.0040543333344</v>
      </c>
      <c r="AA234" s="12">
        <v>7379.6014716666668</v>
      </c>
      <c r="AB234" s="12">
        <v>7380.3482433333338</v>
      </c>
      <c r="AC234" s="12">
        <v>7468.8304416666679</v>
      </c>
      <c r="AD234" s="12">
        <v>7647.7965000000004</v>
      </c>
      <c r="AE234" s="12">
        <v>7735.8158666666659</v>
      </c>
      <c r="AF234" s="12">
        <v>8245.6597666666676</v>
      </c>
      <c r="AG234" s="12">
        <v>8303.5212333333329</v>
      </c>
      <c r="AH234" s="12">
        <v>8349.8104066666674</v>
      </c>
      <c r="AI234" s="12">
        <v>8488.6200000000008</v>
      </c>
      <c r="AJ234" s="12" t="s">
        <v>981</v>
      </c>
      <c r="AK234" s="12">
        <v>8299.4614206666665</v>
      </c>
      <c r="AL234" s="12">
        <v>8320.9765700000007</v>
      </c>
      <c r="AM234" s="12">
        <v>8347.8705066666662</v>
      </c>
      <c r="AN234" s="12">
        <v>8484.0398583333335</v>
      </c>
      <c r="AO234" s="12">
        <v>8700.6589166666654</v>
      </c>
      <c r="AP234" s="12">
        <v>8744.0038083333347</v>
      </c>
      <c r="AQ234" s="12">
        <v>9208.5671249999996</v>
      </c>
      <c r="AR234" s="12">
        <v>9268.2798458333327</v>
      </c>
      <c r="AS234" s="12">
        <v>9316.0500224999996</v>
      </c>
      <c r="AT234" s="12">
        <v>9445.1299999999992</v>
      </c>
      <c r="AU234" s="12" t="s">
        <v>981</v>
      </c>
      <c r="AW234" s="12">
        <f>IF(A234="","",MAX(0,MIN(1,(((IF(Статистика!$C$4="Параллельный режим (активная мощность)",B234,M234)+Статистика!$J$4))-Статистика!$C$10)/MAX(Статистика!$G$10-Статистика!$C$10,0.000001))))</f>
        <v>0</v>
      </c>
      <c r="AX234" s="12">
        <f>IF(A234="","",MAX(0,MAX(0,MIN(1,(((IF(Статистика!$C$4="Параллельный режим (активная мощность)",D234,O234)+Статистика!$J$4))-Статистика!$C$10)/MAX(Статистика!$G$10-Статистика!$C$10,0.000001)))-MAX(0,MIN(1,(((IF(Статистика!$C$4="Параллельный режим (активная мощность)",B234,M234)+Статистика!$J$4))-Статистика!$C$10)/MAX(Статистика!$G$10-Статистика!$C$10,0.000001)))))</f>
        <v>0.42123365499999998</v>
      </c>
      <c r="AY234" s="12">
        <f>IF(A234="","",MAX(0,MAX(0,MIN(1,(((IF(Статистика!$C$4="Параллельный режим (активная мощность)",E234,P234)+Статистика!$J$4))-Статистика!$C$10)/MAX(Статистика!$G$10-Статистика!$C$10,0.000001)))-MAX(0,MIN(1,(((IF(Статистика!$C$4="Параллельный режим (активная мощность)",D234,O234)+Статистика!$J$4))-Статистика!$C$10)/MAX(Статистика!$G$10-Статистика!$C$10,0.000001)))))</f>
        <v>7.2134908888888571E-2</v>
      </c>
      <c r="AZ234" s="12">
        <f>IF(A234="","",MAX(0,MAX(0,MIN(1,(((IF(Статистика!$C$4="Параллельный режим (активная мощность)",F234,Q234)+Статистика!$J$4))-Статистика!$C$10)/MAX(Статистика!$G$10-Статистика!$C$10,0.000001)))-MAX(0,MIN(1,(((IF(Статистика!$C$4="Параллельный режим (активная мощность)",E234,P234)+Статистика!$J$4))-Статистика!$C$10)/MAX(Статистика!$G$10-Статистика!$C$10,0.000001)))))</f>
        <v>7.5911908333333555E-2</v>
      </c>
      <c r="BA234" s="12">
        <f>IF(A234="","",MAX(0,MAX(0,MIN(1,(((IF(Статистика!$C$4="Параллельный режим (активная мощность)",G234,R234)+Статистика!$J$4))-Статистика!$C$10)/MAX(Статистика!$G$10-Статистика!$C$10,0.000001)))-MAX(0,MIN(1,(((IF(Статистика!$C$4="Параллельный режим (активная мощность)",F234,Q234)+Статистика!$J$4))-Статистика!$C$10)/MAX(Статистика!$G$10-Статистика!$C$10,0.000001)))))</f>
        <v>2.1409602777778036E-2</v>
      </c>
      <c r="BB234" s="12">
        <f>IF(A234="","",MAX(0,MAX(0,MIN(1,(((IF(Статистика!$C$4="Параллельный режим (активная мощность)",H234,S234)+Статистика!$J$4))-Статистика!$C$10)/MAX(Статистика!$G$10-Статистика!$C$10,0.000001)))-MAX(0,MIN(1,(((IF(Статистика!$C$4="Параллельный режим (активная мощность)",G234,R234)+Статистика!$J$4))-Статистика!$C$10)/MAX(Статистика!$G$10-Статистика!$C$10,0.000001)))))</f>
        <v>0.10993564833333314</v>
      </c>
      <c r="BC234" s="12">
        <f>IF(A234="","",MAX(0,MAX(0,MIN(1,(((IF(Статистика!$C$4="Параллельный режим (активная мощность)",J234,U234)+Статистика!$J$4))-Статистика!$C$10)/MAX(Статистика!$G$10-Статистика!$C$10,0.000001)))-MAX(0,MIN(1,(((IF(Статистика!$C$4="Параллельный режим (активная мощность)",H234,S234)+Статистика!$J$4))-Статистика!$C$10)/MAX(Статистика!$G$10-Статистика!$C$10,0.000001)))))</f>
        <v>8.0183510000002567E-3</v>
      </c>
      <c r="BD234" s="12">
        <f>IF(A234="","",MAX(0,1-MAX(0,MIN(1,(((IF(Статистика!$C$4="Параллельный режим (активная мощность)",J234,U234)+Статистика!$J$4))-Статистика!$C$10)/MAX(Статистика!$G$10-Статистика!$C$10,0.000001)))))</f>
        <v>0.29135592566666646</v>
      </c>
      <c r="BE234" s="12">
        <f>IF(A234="",NA(),IF(Статистика!$B$8="Вкл",(((IF(Статистика!$C$4="Параллельный режим (активная мощность)",F234,Q234)+Статистика!$J$4))-Статистика!$C$10)/MAX(Статистика!$G$10-Статистика!$C$10,0.000001),NA()))</f>
        <v>0.56928047222222211</v>
      </c>
      <c r="BF234" s="12">
        <f>IF(A234="",NA(),IF(Статистика!$D$8="Вкл",(((IF(Статистика!$C$4="Параллельный режим (активная мощность)",E234,P234)+Статистика!$J$4))-Статистика!$C$10)/MAX(Статистика!$G$10-Статистика!$C$10,0.000001),NA()))</f>
        <v>0.49336856388888856</v>
      </c>
      <c r="BG234" s="12">
        <f>IF(A234="",NA(),IF(Статистика!$D$8="Вкл",(((IF(Статистика!$C$4="Параллельный режим (активная мощность)",G234,R234)+Статистика!$J$4))-Статистика!$C$10)/MAX(Статистика!$G$10-Статистика!$C$10,0.000001),NA()))</f>
        <v>0.59069007500000015</v>
      </c>
      <c r="BH234" s="12">
        <f>IF(A234="",NA(),IF(Статистика!$F$8="Вкл",(((IF(Статистика!$C$4="Параллельный режим (активная мощность)",D234,O234)+Статистика!$J$4))-Статистика!$C$10)/MAX(Статистика!$G$10-Статистика!$C$10,0.000001),NA()))</f>
        <v>0.42123365499999998</v>
      </c>
      <c r="BI234" s="12">
        <f>IF(A234="",NA(),IF(Статистика!$F$8="Вкл",(((IF(Статистика!$C$4="Параллельный режим (активная мощность)",H234,S234)+Статистика!$J$4))-Статистика!$C$10)/MAX(Статистика!$G$10-Статистика!$C$10,0.000001),NA()))</f>
        <v>0.70062572333333328</v>
      </c>
      <c r="BJ234" s="12">
        <f>IF(A234="",NA(),IF(Статистика!$H$8="Вкл",(((IF(Статистика!$C$4="Параллельный режим (активная мощность)",B234,M234)+Статистика!$J$4))-Статистика!$C$10)/MAX(Статистика!$G$10-Статистика!$C$10,0.000001),NA()))</f>
        <v>-1.4076916854999999</v>
      </c>
      <c r="BK234" s="12">
        <f>IF(A234="",NA(),IF(Статистика!$H$8="Вкл",(((IF(Статистика!$C$4="Параллельный режим (активная мощность)",J234,U234)+Статистика!$J$4))-Статистика!$C$10)/MAX(Статистика!$G$10-Статистика!$C$10,0.000001),NA()))</f>
        <v>0.70864407433333354</v>
      </c>
      <c r="BL234" s="12" t="e">
        <f>IF(A234="",NA(),IF(Статистика!$J$8="Вкл",(((IF(Статистика!$C$4="Параллельный режим (активная мощность)",K234,V234)+Статистика!$J$4))-Статистика!$C$10)/MAX(Статистика!$G$10-Статистика!$C$10,0.000001),NA()))</f>
        <v>#N/A</v>
      </c>
      <c r="BM234" s="12" t="e">
        <f>IF(AND(A234&lt;&gt;"",Статистика!$C$6="Вкл",Статистика!$B$6&gt;0),(Статистика!$B$6-Статистика!$C$10)/MAX(Статистика!$G$10-Статистика!$C$10,0.000001),NA())</f>
        <v>#N/A</v>
      </c>
      <c r="BN234" s="12" t="e">
        <f>IF(AND(A234&lt;&gt;"",Статистика!$F$6="Вкл",Статистика!$E$6&gt;0),(Статистика!$E$6-Статистика!$C$10)/MAX(Статистика!$G$10-Статистика!$C$10,0.000001),NA())</f>
        <v>#N/A</v>
      </c>
      <c r="BO234" s="12" t="e">
        <f>IF(AND(A234&lt;&gt;"",Статистика!$I$6="Вкл",Статистика!$H$6&gt;0),(Статистика!$H$6-Статистика!$C$10)/MAX(Статистика!$G$10-Статистика!$C$10,0.000001),NA())</f>
        <v>#N/A</v>
      </c>
      <c r="BP234" s="12" t="e">
        <f>IF(AND(A234&lt;&gt;"",Статистика!$L$6="Вкл",Статистика!$K$6&gt;0),(Статистика!$K$6-Статистика!$C$10)/MAX(Статистика!$G$10-Статистика!$C$10,0.000001),NA())</f>
        <v>#N/A</v>
      </c>
      <c r="BQ234" s="12" t="e">
        <f>IF(AND(A234&lt;&gt;"",Статистика!$M$6="Вкл",Статистика!$O$6&gt;0),(Статистика!$O$6-Статистика!$C$10)/MAX(Статистика!$G$10-Статистика!$C$10,0.000001),NA())</f>
        <v>#N/A</v>
      </c>
      <c r="BR234" s="12">
        <f t="shared" si="6"/>
        <v>1</v>
      </c>
      <c r="BT234" s="12">
        <f>IF(Y234="","",MAX(0,MIN(1,(((IF(Статистика!$C$4="Параллельный режим (активная мощность)",Z234,AK234)+Статистика!$J$4))-Статистика!$C$10)/MAX(Статистика!$G$10-Статистика!$C$10,0.000001))))</f>
        <v>0.45966801811111146</v>
      </c>
      <c r="BU234" s="12">
        <f>IF(Y234="","",MAX(0,MAX(0,MIN(1,(((IF(Статистика!$C$4="Параллельный режим (активная мощность)",AB234,AM234)+Статистика!$J$4))-Статистика!$C$10)/MAX(Статистика!$G$10-Статистика!$C$10,0.000001)))-MAX(0,MIN(1,(((IF(Статистика!$C$4="Параллельный режим (активная мощность)",Z234,AK234)+Статистика!$J$4))-Статистика!$C$10)/MAX(Статистика!$G$10-Статистика!$C$10,0.000001)))))</f>
        <v>4.4806299999983201E-4</v>
      </c>
      <c r="BV234" s="12">
        <f>IF(Y234="","",MAX(0,MAX(0,MIN(1,(((IF(Статистика!$C$4="Параллельный режим (активная мощность)",AC234,AN234)+Статистика!$J$4))-Статистика!$C$10)/MAX(Статистика!$G$10-Статистика!$C$10,0.000001)))-MAX(0,MIN(1,(((IF(Статистика!$C$4="Параллельный режим (активная мощность)",AB234,AM234)+Статистика!$J$4))-Статистика!$C$10)/MAX(Статистика!$G$10-Статистика!$C$10,0.000001)))))</f>
        <v>2.9494066111111328E-2</v>
      </c>
      <c r="BW234" s="12">
        <f>IF(Y234="","",MAX(0,MAX(0,MIN(1,(((IF(Статистика!$C$4="Параллельный режим (активная мощность)",AD234,AO234)+Статистика!$J$4))-Статистика!$C$10)/MAX(Статистика!$G$10-Статистика!$C$10,0.000001)))-MAX(0,MIN(1,(((IF(Статистика!$C$4="Параллельный режим (активная мощность)",AC234,AN234)+Статистика!$J$4))-Статистика!$C$10)/MAX(Статистика!$G$10-Статистика!$C$10,0.000001)))))</f>
        <v>5.9655352777777448E-2</v>
      </c>
      <c r="BX234" s="12">
        <f>IF(Y234="","",MAX(0,MAX(0,MIN(1,(((IF(Статистика!$C$4="Параллельный режим (активная мощность)",AE234,AP234)+Статистика!$J$4))-Статистика!$C$10)/MAX(Статистика!$G$10-Статистика!$C$10,0.000001)))-MAX(0,MIN(1,(((IF(Статистика!$C$4="Параллельный режим (активная мощность)",AD234,AO234)+Статистика!$J$4))-Статистика!$C$10)/MAX(Статистика!$G$10-Статистика!$C$10,0.000001)))))</f>
        <v>2.9339788888888552E-2</v>
      </c>
      <c r="BY234" s="12">
        <f>IF(Y234="","",MAX(0,MAX(0,MIN(1,(((IF(Статистика!$C$4="Параллельный режим (активная мощность)",AF234,AQ234)+Статистика!$J$4))-Статистика!$C$10)/MAX(Статистика!$G$10-Статистика!$C$10,0.000001)))-MAX(0,MIN(1,(((IF(Статистика!$C$4="Параллельный режим (активная мощность)",AE234,AP234)+Статистика!$J$4))-Статистика!$C$10)/MAX(Статистика!$G$10-Статистика!$C$10,0.000001)))))</f>
        <v>0.16994796666666723</v>
      </c>
      <c r="BZ234" s="12">
        <f>IF(Y234="","",MAX(0,MAX(0,MIN(1,(((IF(Статистика!$C$4="Параллельный режим (активная мощность)",AH234,AS234)+Статистика!$J$4))-Статистика!$C$10)/MAX(Статистика!$G$10-Статистика!$C$10,0.000001)))-MAX(0,MIN(1,(((IF(Статистика!$C$4="Параллельный режим (активная мощность)",AF234,AQ234)+Статистика!$J$4))-Статистика!$C$10)/MAX(Статистика!$G$10-Статистика!$C$10,0.000001)))))</f>
        <v>3.471687999999995E-2</v>
      </c>
      <c r="CA234" s="12">
        <f>IF(Y234="","",MAX(0,1-MAX(0,MIN(1,(((IF(Статистика!$C$4="Параллельный режим (активная мощность)",AH234,AS234)+Статистика!$J$4))-Статистика!$C$10)/MAX(Статистика!$G$10-Статистика!$C$10,0.000001)))))</f>
        <v>0.2167298644444442</v>
      </c>
      <c r="CB234" s="12">
        <f>IF(Y234="",NA(),IF(Статистика!$B$8="Вкл",(((IF(Статистика!$C$4="Параллельный режим (активная мощность)",AD234,AO234)+Статистика!$J$4))-Статистика!$C$10)/MAX(Статистика!$G$10-Статистика!$C$10,0.000001),NA()))</f>
        <v>0.54926550000000007</v>
      </c>
      <c r="CC234" s="12">
        <f>IF(Y234="",NA(),IF(Статистика!$D$8="Вкл",(((IF(Статистика!$C$4="Параллельный режим (активная мощность)",AC234,AN234)+Статистика!$J$4))-Статистика!$C$10)/MAX(Статистика!$G$10-Статистика!$C$10,0.000001),NA()))</f>
        <v>0.48961014722222262</v>
      </c>
      <c r="CD234" s="12">
        <f>IF(Y234="",NA(),IF(Статистика!$D$8="Вкл",(((IF(Статистика!$C$4="Параллельный режим (активная мощность)",AE234,AP234)+Статистика!$J$4))-Статистика!$C$10)/MAX(Статистика!$G$10-Статистика!$C$10,0.000001),NA()))</f>
        <v>0.57860528888888862</v>
      </c>
      <c r="CE234" s="12">
        <f>IF(Y234="",NA(),IF(Статистика!$F$8="Вкл",(((IF(Статистика!$C$4="Параллельный режим (активная мощность)",AB234,AM234)+Статистика!$J$4))-Статистика!$C$10)/MAX(Статистика!$G$10-Статистика!$C$10,0.000001),NA()))</f>
        <v>0.4601160811111113</v>
      </c>
      <c r="CF234" s="12">
        <f>IF(Y234="",NA(),IF(Статистика!$F$8="Вкл",(((IF(Статистика!$C$4="Параллельный режим (активная мощность)",AF234,AQ234)+Статистика!$J$4))-Статистика!$C$10)/MAX(Статистика!$G$10-Статистика!$C$10,0.000001),NA()))</f>
        <v>0.74855325555555585</v>
      </c>
      <c r="CG234" s="12">
        <f>IF(Y234="",NA(),IF(Статистика!$H$8="Вкл",(((IF(Статистика!$C$4="Параллельный режим (активная мощность)",Z234,AK234)+Статистика!$J$4))-Статистика!$C$10)/MAX(Статистика!$G$10-Статистика!$C$10,0.000001),NA()))</f>
        <v>0.45966801811111146</v>
      </c>
      <c r="CH234" s="12">
        <f>IF(Y234="",NA(),IF(Статистика!$H$8="Вкл",(((IF(Статистика!$C$4="Параллельный режим (активная мощность)",AH234,AS234)+Статистика!$J$4))-Статистика!$C$10)/MAX(Статистика!$G$10-Статистика!$C$10,0.000001),NA()))</f>
        <v>0.7832701355555558</v>
      </c>
      <c r="CI234" s="12" t="e">
        <f>IF(Y234="",NA(),IF(Статистика!$J$8="Вкл",(((IF(Статистика!$C$4="Параллельный режим (активная мощность)",AI234,AT234)+Статистика!$J$4))-Статистика!$C$10)/MAX(Статистика!$G$10-Статистика!$C$10,0.000001),NA()))</f>
        <v>#N/A</v>
      </c>
      <c r="CJ234" s="12" t="e">
        <f>IF(AND(Y234&lt;&gt;"",Статистика!$C$6="Вкл",Статистика!$B$6&gt;0),(Статистика!$B$6-Статистика!$C$10)/MAX(Статистика!$G$10-Статистика!$C$10,0.000001),NA())</f>
        <v>#N/A</v>
      </c>
      <c r="CK234" s="12" t="e">
        <f>IF(AND(Y234&lt;&gt;"",Статистика!$F$6="Вкл",Статистика!$E$6&gt;0),(Статистика!$E$6-Статистика!$C$10)/MAX(Статистика!$G$10-Статистика!$C$10,0.000001),NA())</f>
        <v>#N/A</v>
      </c>
      <c r="CL234" s="12" t="e">
        <f>IF(AND(Y234&lt;&gt;"",Статистика!$I$6="Вкл",Статистика!$H$6&gt;0),(Статистика!$H$6-Статистика!$C$10)/MAX(Статистика!$G$10-Статистика!$C$10,0.000001),NA())</f>
        <v>#N/A</v>
      </c>
      <c r="CM234" s="12" t="e">
        <f>IF(AND(Y234&lt;&gt;"",Статистика!$L$6="Вкл",Статистика!$K$6&gt;0),(Статистика!$K$6-Статистика!$C$10)/MAX(Статистика!$G$10-Статистика!$C$10,0.000001),NA())</f>
        <v>#N/A</v>
      </c>
      <c r="CN234" s="12" t="e">
        <f>IF(AND(Y234&lt;&gt;"",Статистика!$M$6="Вкл",Статистика!$O$6&gt;0),(Статистика!$O$6-Статистика!$C$10)/MAX(Статистика!$G$10-Статистика!$C$10,0.000001),NA())</f>
        <v>#N/A</v>
      </c>
      <c r="CO234" s="12">
        <f t="shared" si="7"/>
        <v>1</v>
      </c>
    </row>
    <row r="235" spans="1:93" ht="15" customHeight="1">
      <c r="A235" s="12" t="s">
        <v>982</v>
      </c>
      <c r="B235" s="12">
        <v>1780.2802959999999</v>
      </c>
      <c r="C235" s="12">
        <v>5496.9772133333336</v>
      </c>
      <c r="D235" s="12">
        <v>7294.9652949999991</v>
      </c>
      <c r="E235" s="12">
        <v>7529.2084166666664</v>
      </c>
      <c r="F235" s="12">
        <v>7685.2571833333332</v>
      </c>
      <c r="G235" s="12">
        <v>7797.0064666666667</v>
      </c>
      <c r="H235" s="12">
        <v>8097.1266233333345</v>
      </c>
      <c r="I235" s="12">
        <v>8122.3631383333332</v>
      </c>
      <c r="J235" s="12">
        <v>8129.3035343333331</v>
      </c>
      <c r="K235" s="12">
        <v>8297.17</v>
      </c>
      <c r="L235" s="12" t="s">
        <v>983</v>
      </c>
      <c r="M235" s="12">
        <v>2104.8939163333334</v>
      </c>
      <c r="N235" s="12">
        <v>6221.8839816666678</v>
      </c>
      <c r="O235" s="12">
        <v>8214.4257433333332</v>
      </c>
      <c r="P235" s="12">
        <v>8540.7329166666659</v>
      </c>
      <c r="Q235" s="12">
        <v>8667.8020833333321</v>
      </c>
      <c r="R235" s="12">
        <v>8792.4890250000008</v>
      </c>
      <c r="S235" s="12">
        <v>9118.4492399999999</v>
      </c>
      <c r="T235" s="12">
        <v>9144.8054608333332</v>
      </c>
      <c r="U235" s="12">
        <v>9166.4921054999995</v>
      </c>
      <c r="V235" s="12">
        <v>9385.59</v>
      </c>
      <c r="W235" s="12" t="s">
        <v>984</v>
      </c>
      <c r="Y235" s="12" t="s">
        <v>982</v>
      </c>
      <c r="Z235" s="12">
        <v>7360.0027704999993</v>
      </c>
      <c r="AA235" s="12">
        <v>7364.2303858333325</v>
      </c>
      <c r="AB235" s="12">
        <v>7369.514905</v>
      </c>
      <c r="AC235" s="12">
        <v>7491.8605583333338</v>
      </c>
      <c r="AD235" s="12">
        <v>7660.2790499999992</v>
      </c>
      <c r="AE235" s="12">
        <v>7756.5063583333331</v>
      </c>
      <c r="AF235" s="12">
        <v>8207.1417883333343</v>
      </c>
      <c r="AG235" s="12">
        <v>8256.4956441666673</v>
      </c>
      <c r="AH235" s="12">
        <v>8295.9787288333337</v>
      </c>
      <c r="AI235" s="12">
        <v>8434.8700000000008</v>
      </c>
      <c r="AJ235" s="12" t="s">
        <v>985</v>
      </c>
      <c r="AK235" s="12">
        <v>8317.5718908333329</v>
      </c>
      <c r="AL235" s="12">
        <v>8343.3954541666662</v>
      </c>
      <c r="AM235" s="12">
        <v>8375.6749083333325</v>
      </c>
      <c r="AN235" s="12">
        <v>8472.9211083333321</v>
      </c>
      <c r="AO235" s="12">
        <v>8714.2673166666664</v>
      </c>
      <c r="AP235" s="12">
        <v>8801.455591666665</v>
      </c>
      <c r="AQ235" s="12">
        <v>9158.2932583333331</v>
      </c>
      <c r="AR235" s="12">
        <v>9207.7932125000007</v>
      </c>
      <c r="AS235" s="12">
        <v>9247.3931758333347</v>
      </c>
      <c r="AT235" s="12">
        <v>9387.93</v>
      </c>
      <c r="AU235" s="12" t="s">
        <v>986</v>
      </c>
      <c r="AW235" s="12">
        <f>IF(A235="","",MAX(0,MIN(1,(((IF(Статистика!$C$4="Параллельный режим (активная мощность)",B235,M235)+Статистика!$J$4))-Статистика!$C$10)/MAX(Статистика!$G$10-Статистика!$C$10,0.000001))))</f>
        <v>0</v>
      </c>
      <c r="AX235" s="12">
        <f>IF(A235="","",MAX(0,MAX(0,MIN(1,(((IF(Статистика!$C$4="Параллельный режим (активная мощность)",D235,O235)+Статистика!$J$4))-Статистика!$C$10)/MAX(Статистика!$G$10-Статистика!$C$10,0.000001)))-MAX(0,MIN(1,(((IF(Статистика!$C$4="Параллельный режим (активная мощность)",B235,M235)+Статистика!$J$4))-Статистика!$C$10)/MAX(Статистика!$G$10-Статистика!$C$10,0.000001)))))</f>
        <v>0.43165509833333304</v>
      </c>
      <c r="AY235" s="12">
        <f>IF(A235="","",MAX(0,MAX(0,MIN(1,(((IF(Статистика!$C$4="Параллельный режим (активная мощность)",E235,P235)+Статистика!$J$4))-Статистика!$C$10)/MAX(Статистика!$G$10-Статистика!$C$10,0.000001)))-MAX(0,MIN(1,(((IF(Статистика!$C$4="Параллельный режим (активная мощность)",D235,O235)+Статистика!$J$4))-Статистика!$C$10)/MAX(Статистика!$G$10-Статистика!$C$10,0.000001)))))</f>
        <v>7.8081040555555759E-2</v>
      </c>
      <c r="AZ235" s="12">
        <f>IF(A235="","",MAX(0,MAX(0,MIN(1,(((IF(Статистика!$C$4="Параллельный режим (активная мощность)",F235,Q235)+Статистика!$J$4))-Статистика!$C$10)/MAX(Статистика!$G$10-Статистика!$C$10,0.000001)))-MAX(0,MIN(1,(((IF(Статистика!$C$4="Параллельный режим (активная мощность)",E235,P235)+Статистика!$J$4))-Статистика!$C$10)/MAX(Статистика!$G$10-Статистика!$C$10,0.000001)))))</f>
        <v>5.2016255555555557E-2</v>
      </c>
      <c r="BA235" s="12">
        <f>IF(A235="","",MAX(0,MAX(0,MIN(1,(((IF(Статистика!$C$4="Параллельный режим (активная мощность)",G235,R235)+Статистика!$J$4))-Статистика!$C$10)/MAX(Статистика!$G$10-Статистика!$C$10,0.000001)))-MAX(0,MIN(1,(((IF(Статистика!$C$4="Параллельный режим (активная мощность)",F235,Q235)+Статистика!$J$4))-Статистика!$C$10)/MAX(Статистика!$G$10-Статистика!$C$10,0.000001)))))</f>
        <v>3.7249761111111224E-2</v>
      </c>
      <c r="BB235" s="12">
        <f>IF(A235="","",MAX(0,MAX(0,MIN(1,(((IF(Статистика!$C$4="Параллельный режим (активная мощность)",H235,S235)+Статистика!$J$4))-Статистика!$C$10)/MAX(Статистика!$G$10-Статистика!$C$10,0.000001)))-MAX(0,MIN(1,(((IF(Статистика!$C$4="Параллельный режим (активная мощность)",G235,R235)+Статистика!$J$4))-Статистика!$C$10)/MAX(Статистика!$G$10-Статистика!$C$10,0.000001)))))</f>
        <v>0.10004005222222256</v>
      </c>
      <c r="BC235" s="12">
        <f>IF(A235="","",MAX(0,MAX(0,MIN(1,(((IF(Статистика!$C$4="Параллельный режим (активная мощность)",J235,U235)+Статистика!$J$4))-Статистика!$C$10)/MAX(Статистика!$G$10-Статистика!$C$10,0.000001)))-MAX(0,MIN(1,(((IF(Статистика!$C$4="Параллельный режим (активная мощность)",H235,S235)+Статистика!$J$4))-Статистика!$C$10)/MAX(Статистика!$G$10-Статистика!$C$10,0.000001)))))</f>
        <v>1.072563699999951E-2</v>
      </c>
      <c r="BD235" s="12">
        <f>IF(A235="","",MAX(0,1-MAX(0,MIN(1,(((IF(Статистика!$C$4="Параллельный режим (активная мощность)",J235,U235)+Статистика!$J$4))-Статистика!$C$10)/MAX(Статистика!$G$10-Статистика!$C$10,0.000001)))))</f>
        <v>0.29023215522222234</v>
      </c>
      <c r="BE235" s="12">
        <f>IF(A235="",NA(),IF(Статистика!$B$8="Вкл",(((IF(Статистика!$C$4="Параллельный режим (активная мощность)",F235,Q235)+Статистика!$J$4))-Статистика!$C$10)/MAX(Статистика!$G$10-Статистика!$C$10,0.000001),NA()))</f>
        <v>0.56175239444444436</v>
      </c>
      <c r="BF235" s="12">
        <f>IF(A235="",NA(),IF(Статистика!$D$8="Вкл",(((IF(Статистика!$C$4="Параллельный режим (активная мощность)",E235,P235)+Статистика!$J$4))-Статистика!$C$10)/MAX(Статистика!$G$10-Статистика!$C$10,0.000001),NA()))</f>
        <v>0.5097361388888888</v>
      </c>
      <c r="BG235" s="12">
        <f>IF(A235="",NA(),IF(Статистика!$D$8="Вкл",(((IF(Статистика!$C$4="Параллельный режим (активная мощность)",G235,R235)+Статистика!$J$4))-Статистика!$C$10)/MAX(Статистика!$G$10-Статистика!$C$10,0.000001),NA()))</f>
        <v>0.59900215555555558</v>
      </c>
      <c r="BH235" s="12">
        <f>IF(A235="",NA(),IF(Статистика!$F$8="Вкл",(((IF(Статистика!$C$4="Параллельный режим (активная мощность)",D235,O235)+Статистика!$J$4))-Статистика!$C$10)/MAX(Статистика!$G$10-Статистика!$C$10,0.000001),NA()))</f>
        <v>0.43165509833333304</v>
      </c>
      <c r="BI235" s="12">
        <f>IF(A235="",NA(),IF(Статистика!$F$8="Вкл",(((IF(Статистика!$C$4="Параллельный режим (активная мощность)",H235,S235)+Статистика!$J$4))-Статистика!$C$10)/MAX(Статистика!$G$10-Статистика!$C$10,0.000001),NA()))</f>
        <v>0.69904220777777815</v>
      </c>
      <c r="BJ235" s="12">
        <f>IF(A235="",NA(),IF(Статистика!$H$8="Вкл",(((IF(Статистика!$C$4="Параллельный режим (активная мощность)",B235,M235)+Статистика!$J$4))-Статистика!$C$10)/MAX(Статистика!$G$10-Статистика!$C$10,0.000001),NA()))</f>
        <v>-1.4065732346666666</v>
      </c>
      <c r="BK235" s="12">
        <f>IF(A235="",NA(),IF(Статистика!$H$8="Вкл",(((IF(Статистика!$C$4="Параллельный режим (активная мощность)",J235,U235)+Статистика!$J$4))-Статистика!$C$10)/MAX(Статистика!$G$10-Статистика!$C$10,0.000001),NA()))</f>
        <v>0.70976784477777766</v>
      </c>
      <c r="BL235" s="12" t="e">
        <f>IF(A235="",NA(),IF(Статистика!$J$8="Вкл",(((IF(Статистика!$C$4="Параллельный режим (активная мощность)",K235,V235)+Статистика!$J$4))-Статистика!$C$10)/MAX(Статистика!$G$10-Статистика!$C$10,0.000001),NA()))</f>
        <v>#N/A</v>
      </c>
      <c r="BM235" s="12" t="e">
        <f>IF(AND(A235&lt;&gt;"",Статистика!$C$6="Вкл",Статистика!$B$6&gt;0),(Статистика!$B$6-Статистика!$C$10)/MAX(Статистика!$G$10-Статистика!$C$10,0.000001),NA())</f>
        <v>#N/A</v>
      </c>
      <c r="BN235" s="12" t="e">
        <f>IF(AND(A235&lt;&gt;"",Статистика!$F$6="Вкл",Статистика!$E$6&gt;0),(Статистика!$E$6-Статистика!$C$10)/MAX(Статистика!$G$10-Статистика!$C$10,0.000001),NA())</f>
        <v>#N/A</v>
      </c>
      <c r="BO235" s="12" t="e">
        <f>IF(AND(A235&lt;&gt;"",Статистика!$I$6="Вкл",Статистика!$H$6&gt;0),(Статистика!$H$6-Статистика!$C$10)/MAX(Статистика!$G$10-Статистика!$C$10,0.000001),NA())</f>
        <v>#N/A</v>
      </c>
      <c r="BP235" s="12" t="e">
        <f>IF(AND(A235&lt;&gt;"",Статистика!$L$6="Вкл",Статистика!$K$6&gt;0),(Статистика!$K$6-Статистика!$C$10)/MAX(Статистика!$G$10-Статистика!$C$10,0.000001),NA())</f>
        <v>#N/A</v>
      </c>
      <c r="BQ235" s="12" t="e">
        <f>IF(AND(A235&lt;&gt;"",Статистика!$M$6="Вкл",Статистика!$O$6&gt;0),(Статистика!$O$6-Статистика!$C$10)/MAX(Статистика!$G$10-Статистика!$C$10,0.000001),NA())</f>
        <v>#N/A</v>
      </c>
      <c r="BR235" s="12">
        <f t="shared" si="6"/>
        <v>1</v>
      </c>
      <c r="BT235" s="12">
        <f>IF(Y235="","",MAX(0,MIN(1,(((IF(Статистика!$C$4="Параллельный режим (активная мощность)",Z235,AK235)+Статистика!$J$4))-Статистика!$C$10)/MAX(Статистика!$G$10-Статистика!$C$10,0.000001))))</f>
        <v>0.45333425683333312</v>
      </c>
      <c r="BU235" s="12">
        <f>IF(Y235="","",MAX(0,MAX(0,MIN(1,(((IF(Статистика!$C$4="Параллельный режим (активная мощность)",AB235,AM235)+Статистика!$J$4))-Статистика!$C$10)/MAX(Статистика!$G$10-Статистика!$C$10,0.000001)))-MAX(0,MIN(1,(((IF(Статистика!$C$4="Параллельный режим (активная мощность)",Z235,AK235)+Статистика!$J$4))-Статистика!$C$10)/MAX(Статистика!$G$10-Статистика!$C$10,0.000001)))))</f>
        <v>3.1707115000002006E-3</v>
      </c>
      <c r="BV235" s="12">
        <f>IF(Y235="","",MAX(0,MAX(0,MIN(1,(((IF(Статистика!$C$4="Параллельный режим (активная мощность)",AC235,AN235)+Статистика!$J$4))-Статистика!$C$10)/MAX(Статистика!$G$10-Статистика!$C$10,0.000001)))-MAX(0,MIN(1,(((IF(Статистика!$C$4="Параллельный режим (активная мощность)",AB235,AM235)+Статистика!$J$4))-Статистика!$C$10)/MAX(Статистика!$G$10-Статистика!$C$10,0.000001)))))</f>
        <v>4.0781884444444583E-2</v>
      </c>
      <c r="BW235" s="12">
        <f>IF(Y235="","",MAX(0,MAX(0,MIN(1,(((IF(Статистика!$C$4="Параллельный режим (активная мощность)",AD235,AO235)+Статистика!$J$4))-Статистика!$C$10)/MAX(Статистика!$G$10-Статистика!$C$10,0.000001)))-MAX(0,MIN(1,(((IF(Статистика!$C$4="Параллельный режим (активная мощность)",AC235,AN235)+Статистика!$J$4))-Статистика!$C$10)/MAX(Статистика!$G$10-Статистика!$C$10,0.000001)))))</f>
        <v>5.6139497222221835E-2</v>
      </c>
      <c r="BX235" s="12">
        <f>IF(Y235="","",MAX(0,MAX(0,MIN(1,(((IF(Статистика!$C$4="Параллельный режим (активная мощность)",AE235,AP235)+Статистика!$J$4))-Статистика!$C$10)/MAX(Статистика!$G$10-Статистика!$C$10,0.000001)))-MAX(0,MIN(1,(((IF(Статистика!$C$4="Параллельный режим (активная мощность)",AD235,AO235)+Статистика!$J$4))-Статистика!$C$10)/MAX(Статистика!$G$10-Статистика!$C$10,0.000001)))))</f>
        <v>3.2075769444444679E-2</v>
      </c>
      <c r="BY235" s="12">
        <f>IF(Y235="","",MAX(0,MAX(0,MIN(1,(((IF(Статистика!$C$4="Параллельный режим (активная мощность)",AF235,AQ235)+Статистика!$J$4))-Статистика!$C$10)/MAX(Статистика!$G$10-Статистика!$C$10,0.000001)))-MAX(0,MIN(1,(((IF(Статистика!$C$4="Параллельный режим (активная мощность)",AE235,AP235)+Статистика!$J$4))-Статистика!$C$10)/MAX(Статистика!$G$10-Статистика!$C$10,0.000001)))))</f>
        <v>0.15021181000000039</v>
      </c>
      <c r="BZ235" s="12">
        <f>IF(Y235="","",MAX(0,MAX(0,MIN(1,(((IF(Статистика!$C$4="Параллельный режим (активная мощность)",AH235,AS235)+Статистика!$J$4))-Статистика!$C$10)/MAX(Статистика!$G$10-Статистика!$C$10,0.000001)))-MAX(0,MIN(1,(((IF(Статистика!$C$4="Параллельный режим (активная мощность)",AF235,AQ235)+Статистика!$J$4))-Статистика!$C$10)/MAX(Статистика!$G$10-Статистика!$C$10,0.000001)))))</f>
        <v>2.961231349999971E-2</v>
      </c>
      <c r="CA235" s="12">
        <f>IF(Y235="","",MAX(0,1-MAX(0,MIN(1,(((IF(Статистика!$C$4="Параллельный режим (активная мощность)",AH235,AS235)+Статистика!$J$4))-Статистика!$C$10)/MAX(Статистика!$G$10-Статистика!$C$10,0.000001)))))</f>
        <v>0.23467375705555549</v>
      </c>
      <c r="CB235" s="12">
        <f>IF(Y235="",NA(),IF(Статистика!$B$8="Вкл",(((IF(Статистика!$C$4="Параллельный режим (активная мощность)",AD235,AO235)+Статистика!$J$4))-Статистика!$C$10)/MAX(Статистика!$G$10-Статистика!$C$10,0.000001),NA()))</f>
        <v>0.55342634999999973</v>
      </c>
      <c r="CC235" s="12">
        <f>IF(Y235="",NA(),IF(Статистика!$D$8="Вкл",(((IF(Статистика!$C$4="Параллельный режим (активная мощность)",AC235,AN235)+Статистика!$J$4))-Статистика!$C$10)/MAX(Статистика!$G$10-Статистика!$C$10,0.000001),NA()))</f>
        <v>0.4972868527777779</v>
      </c>
      <c r="CD235" s="12">
        <f>IF(Y235="",NA(),IF(Статистика!$D$8="Вкл",(((IF(Статистика!$C$4="Параллельный режим (активная мощность)",AE235,AP235)+Статистика!$J$4))-Статистика!$C$10)/MAX(Статистика!$G$10-Статистика!$C$10,0.000001),NA()))</f>
        <v>0.58550211944444441</v>
      </c>
      <c r="CE235" s="12">
        <f>IF(Y235="",NA(),IF(Статистика!$F$8="Вкл",(((IF(Статистика!$C$4="Параллельный режим (активная мощность)",AB235,AM235)+Статистика!$J$4))-Статистика!$C$10)/MAX(Статистика!$G$10-Статистика!$C$10,0.000001),NA()))</f>
        <v>0.45650496833333332</v>
      </c>
      <c r="CF235" s="12">
        <f>IF(Y235="",NA(),IF(Статистика!$F$8="Вкл",(((IF(Статистика!$C$4="Параллельный режим (активная мощность)",AF235,AQ235)+Статистика!$J$4))-Статистика!$C$10)/MAX(Статистика!$G$10-Статистика!$C$10,0.000001),NA()))</f>
        <v>0.7357139294444448</v>
      </c>
      <c r="CG235" s="12">
        <f>IF(Y235="",NA(),IF(Статистика!$H$8="Вкл",(((IF(Статистика!$C$4="Параллельный режим (активная мощность)",Z235,AK235)+Статистика!$J$4))-Статистика!$C$10)/MAX(Статистика!$G$10-Статистика!$C$10,0.000001),NA()))</f>
        <v>0.45333425683333312</v>
      </c>
      <c r="CH235" s="12">
        <f>IF(Y235="",NA(),IF(Статистика!$H$8="Вкл",(((IF(Статистика!$C$4="Параллельный режим (активная мощность)",AH235,AS235)+Статистика!$J$4))-Статистика!$C$10)/MAX(Статистика!$G$10-Статистика!$C$10,0.000001),NA()))</f>
        <v>0.76532624294444451</v>
      </c>
      <c r="CI235" s="12" t="e">
        <f>IF(Y235="",NA(),IF(Статистика!$J$8="Вкл",(((IF(Статистика!$C$4="Параллельный режим (активная мощность)",AI235,AT235)+Статистика!$J$4))-Статистика!$C$10)/MAX(Статистика!$G$10-Статистика!$C$10,0.000001),NA()))</f>
        <v>#N/A</v>
      </c>
      <c r="CJ235" s="12" t="e">
        <f>IF(AND(Y235&lt;&gt;"",Статистика!$C$6="Вкл",Статистика!$B$6&gt;0),(Статистика!$B$6-Статистика!$C$10)/MAX(Статистика!$G$10-Статистика!$C$10,0.000001),NA())</f>
        <v>#N/A</v>
      </c>
      <c r="CK235" s="12" t="e">
        <f>IF(AND(Y235&lt;&gt;"",Статистика!$F$6="Вкл",Статистика!$E$6&gt;0),(Статистика!$E$6-Статистика!$C$10)/MAX(Статистика!$G$10-Статистика!$C$10,0.000001),NA())</f>
        <v>#N/A</v>
      </c>
      <c r="CL235" s="12" t="e">
        <f>IF(AND(Y235&lt;&gt;"",Статистика!$I$6="Вкл",Статистика!$H$6&gt;0),(Статистика!$H$6-Статистика!$C$10)/MAX(Статистика!$G$10-Статистика!$C$10,0.000001),NA())</f>
        <v>#N/A</v>
      </c>
      <c r="CM235" s="12" t="e">
        <f>IF(AND(Y235&lt;&gt;"",Статистика!$L$6="Вкл",Статистика!$K$6&gt;0),(Статистика!$K$6-Статистика!$C$10)/MAX(Статистика!$G$10-Статистика!$C$10,0.000001),NA())</f>
        <v>#N/A</v>
      </c>
      <c r="CN235" s="12" t="e">
        <f>IF(AND(Y235&lt;&gt;"",Статистика!$M$6="Вкл",Статистика!$O$6&gt;0),(Статистика!$O$6-Статистика!$C$10)/MAX(Статистика!$G$10-Статистика!$C$10,0.000001),NA())</f>
        <v>#N/A</v>
      </c>
      <c r="CO235" s="12">
        <f t="shared" si="7"/>
        <v>1</v>
      </c>
    </row>
    <row r="236" spans="1:93" ht="15" customHeight="1">
      <c r="A236" s="12" t="s">
        <v>987</v>
      </c>
      <c r="B236" s="12">
        <v>1705.7954203333334</v>
      </c>
      <c r="C236" s="12">
        <v>5482.2453683333342</v>
      </c>
      <c r="D236" s="12">
        <v>7292.3532733333341</v>
      </c>
      <c r="E236" s="12">
        <v>7506.7326083333328</v>
      </c>
      <c r="F236" s="12">
        <v>7686.5006833333337</v>
      </c>
      <c r="G236" s="12">
        <v>7756.8107333333328</v>
      </c>
      <c r="H236" s="12">
        <v>8063.9896399999998</v>
      </c>
      <c r="I236" s="12">
        <v>8084.2187799999992</v>
      </c>
      <c r="J236" s="12">
        <v>8118.3919159999996</v>
      </c>
      <c r="K236" s="12">
        <v>8253.18</v>
      </c>
      <c r="L236" s="12" t="s">
        <v>988</v>
      </c>
      <c r="M236" s="12">
        <v>2039.9061136666664</v>
      </c>
      <c r="N236" s="12">
        <v>6211.804701666666</v>
      </c>
      <c r="O236" s="12">
        <v>8217.0055366666656</v>
      </c>
      <c r="P236" s="12">
        <v>8518.2325000000001</v>
      </c>
      <c r="Q236" s="12">
        <v>8655.1200499999995</v>
      </c>
      <c r="R236" s="12">
        <v>8767.8187999999991</v>
      </c>
      <c r="S236" s="12">
        <v>9078.8989299999994</v>
      </c>
      <c r="T236" s="12">
        <v>9110.0401474999999</v>
      </c>
      <c r="U236" s="12">
        <v>9137.1266695000013</v>
      </c>
      <c r="V236" s="12">
        <v>9369.35</v>
      </c>
      <c r="W236" s="12" t="s">
        <v>989</v>
      </c>
      <c r="Y236" s="12" t="s">
        <v>987</v>
      </c>
      <c r="Z236" s="12">
        <v>7341.3535323333335</v>
      </c>
      <c r="AA236" s="12">
        <v>7352.0781950000001</v>
      </c>
      <c r="AB236" s="12">
        <v>7365.4840233333334</v>
      </c>
      <c r="AC236" s="12">
        <v>7514.3945750000003</v>
      </c>
      <c r="AD236" s="12">
        <v>7634.7837833333333</v>
      </c>
      <c r="AE236" s="12">
        <v>7745.2855166666668</v>
      </c>
      <c r="AF236" s="12">
        <v>8213.8085833333334</v>
      </c>
      <c r="AG236" s="12">
        <v>8265.2560416666674</v>
      </c>
      <c r="AH236" s="12">
        <v>8306.4140083333332</v>
      </c>
      <c r="AI236" s="12">
        <v>8474.15</v>
      </c>
      <c r="AJ236" s="12" t="s">
        <v>990</v>
      </c>
      <c r="AK236" s="12">
        <v>8271.1291440000005</v>
      </c>
      <c r="AL236" s="12">
        <v>8292.5954533333334</v>
      </c>
      <c r="AM236" s="12">
        <v>8319.4283400000004</v>
      </c>
      <c r="AN236" s="12">
        <v>8509.5886083333335</v>
      </c>
      <c r="AO236" s="12">
        <v>8708.6541499999985</v>
      </c>
      <c r="AP236" s="12">
        <v>8744.1360416666666</v>
      </c>
      <c r="AQ236" s="12">
        <v>9152.4589799999994</v>
      </c>
      <c r="AR236" s="12">
        <v>9204.4971566666663</v>
      </c>
      <c r="AS236" s="12">
        <v>9246.1276980000002</v>
      </c>
      <c r="AT236" s="12">
        <v>9402.18</v>
      </c>
      <c r="AU236" s="12" t="s">
        <v>990</v>
      </c>
      <c r="AW236" s="12">
        <f>IF(A236="","",MAX(0,MIN(1,(((IF(Статистика!$C$4="Параллельный режим (активная мощность)",B236,M236)+Статистика!$J$4))-Статистика!$C$10)/MAX(Статистика!$G$10-Статистика!$C$10,0.000001))))</f>
        <v>0</v>
      </c>
      <c r="AX236" s="12">
        <f>IF(A236="","",MAX(0,MAX(0,MIN(1,(((IF(Статистика!$C$4="Параллельный режим (активная мощность)",D236,O236)+Статистика!$J$4))-Статистика!$C$10)/MAX(Статистика!$G$10-Статистика!$C$10,0.000001)))-MAX(0,MIN(1,(((IF(Статистика!$C$4="Параллельный режим (активная мощность)",B236,M236)+Статистика!$J$4))-Статистика!$C$10)/MAX(Статистика!$G$10-Статистика!$C$10,0.000001)))))</f>
        <v>0.4307844244444447</v>
      </c>
      <c r="AY236" s="12">
        <f>IF(A236="","",MAX(0,MAX(0,MIN(1,(((IF(Статистика!$C$4="Параллельный режим (активная мощность)",E236,P236)+Статистика!$J$4))-Статистика!$C$10)/MAX(Статистика!$G$10-Статистика!$C$10,0.000001)))-MAX(0,MIN(1,(((IF(Статистика!$C$4="Параллельный режим (активная мощность)",D236,O236)+Статистика!$J$4))-Статистика!$C$10)/MAX(Статистика!$G$10-Статистика!$C$10,0.000001)))))</f>
        <v>7.1459778333332891E-2</v>
      </c>
      <c r="AZ236" s="12">
        <f>IF(A236="","",MAX(0,MAX(0,MIN(1,(((IF(Статистика!$C$4="Параллельный режим (активная мощность)",F236,Q236)+Статистика!$J$4))-Статистика!$C$10)/MAX(Статистика!$G$10-Статистика!$C$10,0.000001)))-MAX(0,MIN(1,(((IF(Статистика!$C$4="Параллельный режим (активная мощность)",E236,P236)+Статистика!$J$4))-Статистика!$C$10)/MAX(Статистика!$G$10-Статистика!$C$10,0.000001)))))</f>
        <v>5.9922691666666972E-2</v>
      </c>
      <c r="BA236" s="12">
        <f>IF(A236="","",MAX(0,MAX(0,MIN(1,(((IF(Статистика!$C$4="Параллельный режим (активная мощность)",G236,R236)+Статистика!$J$4))-Статистика!$C$10)/MAX(Статистика!$G$10-Статистика!$C$10,0.000001)))-MAX(0,MIN(1,(((IF(Статистика!$C$4="Параллельный режим (активная мощность)",F236,Q236)+Статистика!$J$4))-Статистика!$C$10)/MAX(Статистика!$G$10-Статистика!$C$10,0.000001)))))</f>
        <v>2.3436683333333042E-2</v>
      </c>
      <c r="BB236" s="12">
        <f>IF(A236="","",MAX(0,MAX(0,MIN(1,(((IF(Статистика!$C$4="Параллельный режим (активная мощность)",H236,S236)+Статистика!$J$4))-Статистика!$C$10)/MAX(Статистика!$G$10-Статистика!$C$10,0.000001)))-MAX(0,MIN(1,(((IF(Статистика!$C$4="Параллельный режим (активная мощность)",G236,R236)+Статистика!$J$4))-Статистика!$C$10)/MAX(Статистика!$G$10-Статистика!$C$10,0.000001)))))</f>
        <v>0.10239296888888894</v>
      </c>
      <c r="BC236" s="12">
        <f>IF(A236="","",MAX(0,MAX(0,MIN(1,(((IF(Статистика!$C$4="Параллельный режим (активная мощность)",J236,U236)+Статистика!$J$4))-Статистика!$C$10)/MAX(Статистика!$G$10-Статистика!$C$10,0.000001)))-MAX(0,MIN(1,(((IF(Статистика!$C$4="Параллельный режим (активная мощность)",H236,S236)+Статистика!$J$4))-Статистика!$C$10)/MAX(Статистика!$G$10-Статистика!$C$10,0.000001)))))</f>
        <v>1.8134091999999935E-2</v>
      </c>
      <c r="BD236" s="12">
        <f>IF(A236="","",MAX(0,1-MAX(0,MIN(1,(((IF(Статистика!$C$4="Параллельный режим (активная мощность)",J236,U236)+Статистика!$J$4))-Статистика!$C$10)/MAX(Статистика!$G$10-Статистика!$C$10,0.000001)))))</f>
        <v>0.29386936133333352</v>
      </c>
      <c r="BE236" s="12">
        <f>IF(A236="",NA(),IF(Статистика!$B$8="Вкл",(((IF(Статистика!$C$4="Параллельный режим (активная мощность)",F236,Q236)+Статистика!$J$4))-Статистика!$C$10)/MAX(Статистика!$G$10-Статистика!$C$10,0.000001),NA()))</f>
        <v>0.56216689444444456</v>
      </c>
      <c r="BF236" s="12">
        <f>IF(A236="",NA(),IF(Статистика!$D$8="Вкл",(((IF(Статистика!$C$4="Параллельный режим (активная мощность)",E236,P236)+Статистика!$J$4))-Статистика!$C$10)/MAX(Статистика!$G$10-Статистика!$C$10,0.000001),NA()))</f>
        <v>0.50224420277777759</v>
      </c>
      <c r="BG236" s="12">
        <f>IF(A236="",NA(),IF(Статистика!$D$8="Вкл",(((IF(Статистика!$C$4="Параллельный режим (активная мощность)",G236,R236)+Статистика!$J$4))-Статистика!$C$10)/MAX(Статистика!$G$10-Статистика!$C$10,0.000001),NA()))</f>
        <v>0.58560357777777761</v>
      </c>
      <c r="BH236" s="12">
        <f>IF(A236="",NA(),IF(Статистика!$F$8="Вкл",(((IF(Статистика!$C$4="Параллельный режим (активная мощность)",D236,O236)+Статистика!$J$4))-Статистика!$C$10)/MAX(Статистика!$G$10-Статистика!$C$10,0.000001),NA()))</f>
        <v>0.4307844244444447</v>
      </c>
      <c r="BI236" s="12">
        <f>IF(A236="",NA(),IF(Статистика!$F$8="Вкл",(((IF(Статистика!$C$4="Параллельный режим (активная мощность)",H236,S236)+Статистика!$J$4))-Статистика!$C$10)/MAX(Статистика!$G$10-Статистика!$C$10,0.000001),NA()))</f>
        <v>0.68799654666666654</v>
      </c>
      <c r="BJ236" s="12">
        <f>IF(A236="",NA(),IF(Статистика!$H$8="Вкл",(((IF(Статистика!$C$4="Параллельный режим (активная мощность)",B236,M236)+Статистика!$J$4))-Статистика!$C$10)/MAX(Статистика!$G$10-Статистика!$C$10,0.000001),NA()))</f>
        <v>-1.4314015265555553</v>
      </c>
      <c r="BK236" s="12">
        <f>IF(A236="",NA(),IF(Статистика!$H$8="Вкл",(((IF(Статистика!$C$4="Параллельный режим (активная мощность)",J236,U236)+Статистика!$J$4))-Статистика!$C$10)/MAX(Статистика!$G$10-Статистика!$C$10,0.000001),NA()))</f>
        <v>0.70613063866666648</v>
      </c>
      <c r="BL236" s="12" t="e">
        <f>IF(A236="",NA(),IF(Статистика!$J$8="Вкл",(((IF(Статистика!$C$4="Параллельный режим (активная мощность)",K236,V236)+Статистика!$J$4))-Статистика!$C$10)/MAX(Статистика!$G$10-Статистика!$C$10,0.000001),NA()))</f>
        <v>#N/A</v>
      </c>
      <c r="BM236" s="12" t="e">
        <f>IF(AND(A236&lt;&gt;"",Статистика!$C$6="Вкл",Статистика!$B$6&gt;0),(Статистика!$B$6-Статистика!$C$10)/MAX(Статистика!$G$10-Статистика!$C$10,0.000001),NA())</f>
        <v>#N/A</v>
      </c>
      <c r="BN236" s="12" t="e">
        <f>IF(AND(A236&lt;&gt;"",Статистика!$F$6="Вкл",Статистика!$E$6&gt;0),(Статистика!$E$6-Статистика!$C$10)/MAX(Статистика!$G$10-Статистика!$C$10,0.000001),NA())</f>
        <v>#N/A</v>
      </c>
      <c r="BO236" s="12" t="e">
        <f>IF(AND(A236&lt;&gt;"",Статистика!$I$6="Вкл",Статистика!$H$6&gt;0),(Статистика!$H$6-Статистика!$C$10)/MAX(Статистика!$G$10-Статистика!$C$10,0.000001),NA())</f>
        <v>#N/A</v>
      </c>
      <c r="BP236" s="12" t="e">
        <f>IF(AND(A236&lt;&gt;"",Статистика!$L$6="Вкл",Статистика!$K$6&gt;0),(Статистика!$K$6-Статистика!$C$10)/MAX(Статистика!$G$10-Статистика!$C$10,0.000001),NA())</f>
        <v>#N/A</v>
      </c>
      <c r="BQ236" s="12" t="e">
        <f>IF(AND(A236&lt;&gt;"",Статистика!$M$6="Вкл",Статистика!$O$6&gt;0),(Статистика!$O$6-Статистика!$C$10)/MAX(Статистика!$G$10-Статистика!$C$10,0.000001),NA())</f>
        <v>#N/A</v>
      </c>
      <c r="BR236" s="12">
        <f t="shared" si="6"/>
        <v>1</v>
      </c>
      <c r="BT236" s="12">
        <f>IF(Y236="","",MAX(0,MIN(1,(((IF(Статистика!$C$4="Параллельный режим (активная мощность)",Z236,AK236)+Статистика!$J$4))-Статистика!$C$10)/MAX(Статистика!$G$10-Статистика!$C$10,0.000001))))</f>
        <v>0.44711784411111116</v>
      </c>
      <c r="BU236" s="12">
        <f>IF(Y236="","",MAX(0,MAX(0,MIN(1,(((IF(Статистика!$C$4="Параллельный режим (активная мощность)",AB236,AM236)+Статистика!$J$4))-Статистика!$C$10)/MAX(Статистика!$G$10-Статистика!$C$10,0.000001)))-MAX(0,MIN(1,(((IF(Статистика!$C$4="Параллельный режим (активная мощность)",Z236,AK236)+Статистика!$J$4))-Статистика!$C$10)/MAX(Статистика!$G$10-Статистика!$C$10,0.000001)))))</f>
        <v>8.043496999999955E-3</v>
      </c>
      <c r="BV236" s="12">
        <f>IF(Y236="","",MAX(0,MAX(0,MIN(1,(((IF(Статистика!$C$4="Параллельный режим (активная мощность)",AC236,AN236)+Статистика!$J$4))-Статистика!$C$10)/MAX(Статистика!$G$10-Статистика!$C$10,0.000001)))-MAX(0,MIN(1,(((IF(Статистика!$C$4="Параллельный режим (активная мощность)",AB236,AM236)+Статистика!$J$4))-Статистика!$C$10)/MAX(Статистика!$G$10-Статистика!$C$10,0.000001)))))</f>
        <v>4.9636850555555612E-2</v>
      </c>
      <c r="BW236" s="12">
        <f>IF(Y236="","",MAX(0,MAX(0,MIN(1,(((IF(Статистика!$C$4="Параллельный режим (активная мощность)",AD236,AO236)+Статистика!$J$4))-Статистика!$C$10)/MAX(Статистика!$G$10-Статистика!$C$10,0.000001)))-MAX(0,MIN(1,(((IF(Статистика!$C$4="Параллельный режим (активная мощность)",AC236,AN236)+Статистика!$J$4))-Статистика!$C$10)/MAX(Статистика!$G$10-Статистика!$C$10,0.000001)))))</f>
        <v>4.0129736111111036E-2</v>
      </c>
      <c r="BX236" s="12">
        <f>IF(Y236="","",MAX(0,MAX(0,MIN(1,(((IF(Статистика!$C$4="Параллельный режим (активная мощность)",AE236,AP236)+Статистика!$J$4))-Статистика!$C$10)/MAX(Статистика!$G$10-Статистика!$C$10,0.000001)))-MAX(0,MIN(1,(((IF(Статистика!$C$4="Параллельный режим (активная мощность)",AD236,AO236)+Статистика!$J$4))-Статистика!$C$10)/MAX(Статистика!$G$10-Статистика!$C$10,0.000001)))))</f>
        <v>3.6833911111111117E-2</v>
      </c>
      <c r="BY236" s="12">
        <f>IF(Y236="","",MAX(0,MAX(0,MIN(1,(((IF(Статистика!$C$4="Параллельный режим (активная мощность)",AF236,AQ236)+Статистика!$J$4))-Статистика!$C$10)/MAX(Статистика!$G$10-Статистика!$C$10,0.000001)))-MAX(0,MIN(1,(((IF(Статистика!$C$4="Параллельный режим (активная мощность)",AE236,AP236)+Статистика!$J$4))-Статистика!$C$10)/MAX(Статистика!$G$10-Статистика!$C$10,0.000001)))))</f>
        <v>0.15617435555555559</v>
      </c>
      <c r="BZ236" s="12">
        <f>IF(Y236="","",MAX(0,MAX(0,MIN(1,(((IF(Статистика!$C$4="Параллельный режим (активная мощность)",AH236,AS236)+Статистика!$J$4))-Статистика!$C$10)/MAX(Статистика!$G$10-Статистика!$C$10,0.000001)))-MAX(0,MIN(1,(((IF(Статистика!$C$4="Параллельный режим (активная мощность)",AF236,AQ236)+Статистика!$J$4))-Статистика!$C$10)/MAX(Статистика!$G$10-Статистика!$C$10,0.000001)))))</f>
        <v>3.0868474999999895E-2</v>
      </c>
      <c r="CA236" s="12">
        <f>IF(Y236="","",MAX(0,1-MAX(0,MIN(1,(((IF(Статистика!$C$4="Параллельный режим (активная мощность)",AH236,AS236)+Статистика!$J$4))-Статистика!$C$10)/MAX(Статистика!$G$10-Статистика!$C$10,0.000001)))))</f>
        <v>0.23119533055555563</v>
      </c>
      <c r="CB236" s="12">
        <f>IF(Y236="",NA(),IF(Статистика!$B$8="Вкл",(((IF(Статистика!$C$4="Параллельный режим (активная мощность)",AD236,AO236)+Статистика!$J$4))-Статистика!$C$10)/MAX(Статистика!$G$10-Статистика!$C$10,0.000001),NA()))</f>
        <v>0.54492792777777777</v>
      </c>
      <c r="CC236" s="12">
        <f>IF(Y236="",NA(),IF(Статистика!$D$8="Вкл",(((IF(Статистика!$C$4="Параллельный режим (активная мощность)",AC236,AN236)+Статистика!$J$4))-Статистика!$C$10)/MAX(Статистика!$G$10-Статистика!$C$10,0.000001),NA()))</f>
        <v>0.50479819166666673</v>
      </c>
      <c r="CD236" s="12">
        <f>IF(Y236="",NA(),IF(Статистика!$D$8="Вкл",(((IF(Статистика!$C$4="Параллельный режим (активная мощность)",AE236,AP236)+Статистика!$J$4))-Статистика!$C$10)/MAX(Статистика!$G$10-Статистика!$C$10,0.000001),NA()))</f>
        <v>0.58176183888888888</v>
      </c>
      <c r="CE236" s="12">
        <f>IF(Y236="",NA(),IF(Статистика!$F$8="Вкл",(((IF(Статистика!$C$4="Параллельный режим (активная мощность)",AB236,AM236)+Статистика!$J$4))-Статистика!$C$10)/MAX(Статистика!$G$10-Статистика!$C$10,0.000001),NA()))</f>
        <v>0.45516134111111112</v>
      </c>
      <c r="CF236" s="12">
        <f>IF(Y236="",NA(),IF(Статистика!$F$8="Вкл",(((IF(Статистика!$C$4="Параллельный режим (активная мощность)",AF236,AQ236)+Статистика!$J$4))-Статистика!$C$10)/MAX(Статистика!$G$10-Статистика!$C$10,0.000001),NA()))</f>
        <v>0.73793619444444447</v>
      </c>
      <c r="CG236" s="12">
        <f>IF(Y236="",NA(),IF(Статистика!$H$8="Вкл",(((IF(Статистика!$C$4="Параллельный режим (активная мощность)",Z236,AK236)+Статистика!$J$4))-Статистика!$C$10)/MAX(Статистика!$G$10-Статистика!$C$10,0.000001),NA()))</f>
        <v>0.44711784411111116</v>
      </c>
      <c r="CH236" s="12">
        <f>IF(Y236="",NA(),IF(Статистика!$H$8="Вкл",(((IF(Статистика!$C$4="Параллельный режим (активная мощность)",AH236,AS236)+Статистика!$J$4))-Статистика!$C$10)/MAX(Статистика!$G$10-Статистика!$C$10,0.000001),NA()))</f>
        <v>0.76880466944444437</v>
      </c>
      <c r="CI236" s="12" t="e">
        <f>IF(Y236="",NA(),IF(Статистика!$J$8="Вкл",(((IF(Статистика!$C$4="Параллельный режим (активная мощность)",AI236,AT236)+Статистика!$J$4))-Статистика!$C$10)/MAX(Статистика!$G$10-Статистика!$C$10,0.000001),NA()))</f>
        <v>#N/A</v>
      </c>
      <c r="CJ236" s="12" t="e">
        <f>IF(AND(Y236&lt;&gt;"",Статистика!$C$6="Вкл",Статистика!$B$6&gt;0),(Статистика!$B$6-Статистика!$C$10)/MAX(Статистика!$G$10-Статистика!$C$10,0.000001),NA())</f>
        <v>#N/A</v>
      </c>
      <c r="CK236" s="12" t="e">
        <f>IF(AND(Y236&lt;&gt;"",Статистика!$F$6="Вкл",Статистика!$E$6&gt;0),(Статистика!$E$6-Статистика!$C$10)/MAX(Статистика!$G$10-Статистика!$C$10,0.000001),NA())</f>
        <v>#N/A</v>
      </c>
      <c r="CL236" s="12" t="e">
        <f>IF(AND(Y236&lt;&gt;"",Статистика!$I$6="Вкл",Статистика!$H$6&gt;0),(Статистика!$H$6-Статистика!$C$10)/MAX(Статистика!$G$10-Статистика!$C$10,0.000001),NA())</f>
        <v>#N/A</v>
      </c>
      <c r="CM236" s="12" t="e">
        <f>IF(AND(Y236&lt;&gt;"",Статистика!$L$6="Вкл",Статистика!$K$6&gt;0),(Статистика!$K$6-Статистика!$C$10)/MAX(Статистика!$G$10-Статистика!$C$10,0.000001),NA())</f>
        <v>#N/A</v>
      </c>
      <c r="CN236" s="12" t="e">
        <f>IF(AND(Y236&lt;&gt;"",Статистика!$M$6="Вкл",Статистика!$O$6&gt;0),(Статистика!$O$6-Статистика!$C$10)/MAX(Статистика!$G$10-Статистика!$C$10,0.000001),NA())</f>
        <v>#N/A</v>
      </c>
      <c r="CO236" s="12">
        <f t="shared" si="7"/>
        <v>1</v>
      </c>
    </row>
    <row r="237" spans="1:93" ht="15" customHeight="1">
      <c r="A237" s="12" t="s">
        <v>991</v>
      </c>
      <c r="B237" s="12">
        <v>1825.6982079999998</v>
      </c>
      <c r="C237" s="12">
        <v>5519.3027733333347</v>
      </c>
      <c r="D237" s="12">
        <v>7299.5044000000007</v>
      </c>
      <c r="E237" s="12">
        <v>7494.3474416666668</v>
      </c>
      <c r="F237" s="12">
        <v>7680.6853666666666</v>
      </c>
      <c r="G237" s="12">
        <v>7750.3699083333331</v>
      </c>
      <c r="H237" s="12">
        <v>8092.5096883333326</v>
      </c>
      <c r="I237" s="12">
        <v>8106.223299166666</v>
      </c>
      <c r="J237" s="12">
        <v>8113.517939833333</v>
      </c>
      <c r="K237" s="12">
        <v>8253.16</v>
      </c>
      <c r="L237" s="12" t="s">
        <v>992</v>
      </c>
      <c r="M237" s="12">
        <v>2203.6344688333338</v>
      </c>
      <c r="N237" s="12">
        <v>6274.5016775000013</v>
      </c>
      <c r="O237" s="12">
        <v>8237.6999983333335</v>
      </c>
      <c r="P237" s="12">
        <v>8492.3414916666679</v>
      </c>
      <c r="Q237" s="12">
        <v>8643.8934833333333</v>
      </c>
      <c r="R237" s="12">
        <v>8756.9824583333339</v>
      </c>
      <c r="S237" s="12">
        <v>9115.9108233333318</v>
      </c>
      <c r="T237" s="12">
        <v>9138.2455475000006</v>
      </c>
      <c r="U237" s="12">
        <v>9152.2619628333323</v>
      </c>
      <c r="V237" s="12">
        <v>9281.94</v>
      </c>
      <c r="W237" s="12" t="s">
        <v>993</v>
      </c>
      <c r="Y237" s="12" t="s">
        <v>991</v>
      </c>
      <c r="Z237" s="12">
        <v>7339.3027216666678</v>
      </c>
      <c r="AA237" s="12">
        <v>7351.2181416666672</v>
      </c>
      <c r="AB237" s="12">
        <v>7366.1124166666668</v>
      </c>
      <c r="AC237" s="12">
        <v>7494.3404333333337</v>
      </c>
      <c r="AD237" s="12">
        <v>7630.7167833333333</v>
      </c>
      <c r="AE237" s="12">
        <v>7744.3590083333338</v>
      </c>
      <c r="AF237" s="12">
        <v>8194.8183016666662</v>
      </c>
      <c r="AG237" s="12">
        <v>8268.1161508333334</v>
      </c>
      <c r="AH237" s="12">
        <v>8326.7544301666676</v>
      </c>
      <c r="AI237" s="12">
        <v>8487.31</v>
      </c>
      <c r="AJ237" s="12" t="s">
        <v>994</v>
      </c>
      <c r="AK237" s="12">
        <v>8264.0786471666652</v>
      </c>
      <c r="AL237" s="12">
        <v>8290.4563024999989</v>
      </c>
      <c r="AM237" s="12">
        <v>8323.4283716666669</v>
      </c>
      <c r="AN237" s="12">
        <v>8535.4624499999991</v>
      </c>
      <c r="AO237" s="12">
        <v>8684.1669499999989</v>
      </c>
      <c r="AP237" s="12">
        <v>8772.1612416666667</v>
      </c>
      <c r="AQ237" s="12">
        <v>9143.6375150000003</v>
      </c>
      <c r="AR237" s="12">
        <v>9219.4594241666673</v>
      </c>
      <c r="AS237" s="12">
        <v>9280.1169515000001</v>
      </c>
      <c r="AT237" s="12">
        <v>9429.91</v>
      </c>
      <c r="AU237" s="12" t="s">
        <v>994</v>
      </c>
      <c r="AW237" s="12">
        <f>IF(A237="","",MAX(0,MIN(1,(((IF(Статистика!$C$4="Параллельный режим (активная мощность)",B237,M237)+Статистика!$J$4))-Статистика!$C$10)/MAX(Статистика!$G$10-Статистика!$C$10,0.000001))))</f>
        <v>0</v>
      </c>
      <c r="AX237" s="12">
        <f>IF(A237="","",MAX(0,MAX(0,MIN(1,(((IF(Статистика!$C$4="Параллельный режим (активная мощность)",D237,O237)+Статистика!$J$4))-Статистика!$C$10)/MAX(Статистика!$G$10-Статистика!$C$10,0.000001)))-MAX(0,MIN(1,(((IF(Статистика!$C$4="Параллельный режим (активная мощность)",B237,M237)+Статистика!$J$4))-Статистика!$C$10)/MAX(Статистика!$G$10-Статистика!$C$10,0.000001)))))</f>
        <v>0.43316813333333359</v>
      </c>
      <c r="AY237" s="12">
        <f>IF(A237="","",MAX(0,MAX(0,MIN(1,(((IF(Статистика!$C$4="Параллельный режим (активная мощность)",E237,P237)+Статистика!$J$4))-Статистика!$C$10)/MAX(Статистика!$G$10-Статистика!$C$10,0.000001)))-MAX(0,MIN(1,(((IF(Статистика!$C$4="Параллельный режим (активная мощность)",D237,O237)+Статистика!$J$4))-Статистика!$C$10)/MAX(Статистика!$G$10-Статистика!$C$10,0.000001)))))</f>
        <v>6.4947680555555332E-2</v>
      </c>
      <c r="AZ237" s="12">
        <f>IF(A237="","",MAX(0,MAX(0,MIN(1,(((IF(Статистика!$C$4="Параллельный режим (активная мощность)",F237,Q237)+Статистика!$J$4))-Статистика!$C$10)/MAX(Статистика!$G$10-Статистика!$C$10,0.000001)))-MAX(0,MIN(1,(((IF(Статистика!$C$4="Параллельный режим (активная мощность)",E237,P237)+Статистика!$J$4))-Статистика!$C$10)/MAX(Статистика!$G$10-Статистика!$C$10,0.000001)))))</f>
        <v>6.2112641666666635E-2</v>
      </c>
      <c r="BA237" s="12">
        <f>IF(A237="","",MAX(0,MAX(0,MIN(1,(((IF(Статистика!$C$4="Параллельный режим (активная мощность)",G237,R237)+Статистика!$J$4))-Статистика!$C$10)/MAX(Статистика!$G$10-Статистика!$C$10,0.000001)))-MAX(0,MIN(1,(((IF(Статистика!$C$4="Параллельный режим (активная мощность)",F237,Q237)+Статистика!$J$4))-Статистика!$C$10)/MAX(Статистика!$G$10-Статистика!$C$10,0.000001)))))</f>
        <v>2.3228180555555533E-2</v>
      </c>
      <c r="BB237" s="12">
        <f>IF(A237="","",MAX(0,MAX(0,MIN(1,(((IF(Статистика!$C$4="Параллельный режим (активная мощность)",H237,S237)+Статистика!$J$4))-Статистика!$C$10)/MAX(Статистика!$G$10-Статистика!$C$10,0.000001)))-MAX(0,MIN(1,(((IF(Статистика!$C$4="Параллельный режим (активная мощность)",G237,R237)+Статистика!$J$4))-Статистика!$C$10)/MAX(Статистика!$G$10-Статистика!$C$10,0.000001)))))</f>
        <v>0.11404659333333311</v>
      </c>
      <c r="BC237" s="12">
        <f>IF(A237="","",MAX(0,MAX(0,MIN(1,(((IF(Статистика!$C$4="Параллельный режим (активная мощность)",J237,U237)+Статистика!$J$4))-Статистика!$C$10)/MAX(Статистика!$G$10-Статистика!$C$10,0.000001)))-MAX(0,MIN(1,(((IF(Статистика!$C$4="Параллельный режим (активная мощность)",H237,S237)+Статистика!$J$4))-Статистика!$C$10)/MAX(Статистика!$G$10-Статистика!$C$10,0.000001)))))</f>
        <v>7.0027505000000989E-3</v>
      </c>
      <c r="BD237" s="12">
        <f>IF(A237="","",MAX(0,1-MAX(0,MIN(1,(((IF(Статистика!$C$4="Параллельный режим (активная мощность)",J237,U237)+Статистика!$J$4))-Статистика!$C$10)/MAX(Статистика!$G$10-Статистика!$C$10,0.000001)))))</f>
        <v>0.2954940200555557</v>
      </c>
      <c r="BE237" s="12">
        <f>IF(A237="",NA(),IF(Статистика!$B$8="Вкл",(((IF(Статистика!$C$4="Параллельный режим (активная мощность)",F237,Q237)+Статистика!$J$4))-Статистика!$C$10)/MAX(Статистика!$G$10-Статистика!$C$10,0.000001),NA()))</f>
        <v>0.56022845555555556</v>
      </c>
      <c r="BF237" s="12">
        <f>IF(A237="",NA(),IF(Статистика!$D$8="Вкл",(((IF(Статистика!$C$4="Параллельный режим (активная мощность)",E237,P237)+Статистика!$J$4))-Статистика!$C$10)/MAX(Статистика!$G$10-Статистика!$C$10,0.000001),NA()))</f>
        <v>0.49811581388888893</v>
      </c>
      <c r="BG237" s="12">
        <f>IF(A237="",NA(),IF(Статистика!$D$8="Вкл",(((IF(Статистика!$C$4="Параллельный режим (активная мощность)",G237,R237)+Статистика!$J$4))-Статистика!$C$10)/MAX(Статистика!$G$10-Статистика!$C$10,0.000001),NA()))</f>
        <v>0.58345663611111109</v>
      </c>
      <c r="BH237" s="12">
        <f>IF(A237="",NA(),IF(Статистика!$F$8="Вкл",(((IF(Статистика!$C$4="Параллельный режим (активная мощность)",D237,O237)+Статистика!$J$4))-Статистика!$C$10)/MAX(Статистика!$G$10-Статистика!$C$10,0.000001),NA()))</f>
        <v>0.43316813333333359</v>
      </c>
      <c r="BI237" s="12">
        <f>IF(A237="",NA(),IF(Статистика!$F$8="Вкл",(((IF(Статистика!$C$4="Параллельный режим (активная мощность)",H237,S237)+Статистика!$J$4))-Статистика!$C$10)/MAX(Статистика!$G$10-Статистика!$C$10,0.000001),NA()))</f>
        <v>0.69750322944444421</v>
      </c>
      <c r="BJ237" s="12">
        <f>IF(A237="",NA(),IF(Статистика!$H$8="Вкл",(((IF(Статистика!$C$4="Параллельный режим (активная мощность)",B237,M237)+Статистика!$J$4))-Статистика!$C$10)/MAX(Статистика!$G$10-Статистика!$C$10,0.000001),NA()))</f>
        <v>-1.3914339306666668</v>
      </c>
      <c r="BK237" s="12">
        <f>IF(A237="",NA(),IF(Статистика!$H$8="Вкл",(((IF(Статистика!$C$4="Параллельный режим (активная мощность)",J237,U237)+Статистика!$J$4))-Статистика!$C$10)/MAX(Статистика!$G$10-Статистика!$C$10,0.000001),NA()))</f>
        <v>0.7045059799444443</v>
      </c>
      <c r="BL237" s="12" t="e">
        <f>IF(A237="",NA(),IF(Статистика!$J$8="Вкл",(((IF(Статистика!$C$4="Параллельный режим (активная мощность)",K237,V237)+Статистика!$J$4))-Статистика!$C$10)/MAX(Статистика!$G$10-Статистика!$C$10,0.000001),NA()))</f>
        <v>#N/A</v>
      </c>
      <c r="BM237" s="12" t="e">
        <f>IF(AND(A237&lt;&gt;"",Статистика!$C$6="Вкл",Статистика!$B$6&gt;0),(Статистика!$B$6-Статистика!$C$10)/MAX(Статистика!$G$10-Статистика!$C$10,0.000001),NA())</f>
        <v>#N/A</v>
      </c>
      <c r="BN237" s="12" t="e">
        <f>IF(AND(A237&lt;&gt;"",Статистика!$F$6="Вкл",Статистика!$E$6&gt;0),(Статистика!$E$6-Статистика!$C$10)/MAX(Статистика!$G$10-Статистика!$C$10,0.000001),NA())</f>
        <v>#N/A</v>
      </c>
      <c r="BO237" s="12" t="e">
        <f>IF(AND(A237&lt;&gt;"",Статистика!$I$6="Вкл",Статистика!$H$6&gt;0),(Статистика!$H$6-Статистика!$C$10)/MAX(Статистика!$G$10-Статистика!$C$10,0.000001),NA())</f>
        <v>#N/A</v>
      </c>
      <c r="BP237" s="12" t="e">
        <f>IF(AND(A237&lt;&gt;"",Статистика!$L$6="Вкл",Статистика!$K$6&gt;0),(Статистика!$K$6-Статистика!$C$10)/MAX(Статистика!$G$10-Статистика!$C$10,0.000001),NA())</f>
        <v>#N/A</v>
      </c>
      <c r="BQ237" s="12" t="e">
        <f>IF(AND(A237&lt;&gt;"",Статистика!$M$6="Вкл",Статистика!$O$6&gt;0),(Статистика!$O$6-Статистика!$C$10)/MAX(Статистика!$G$10-Статистика!$C$10,0.000001),NA())</f>
        <v>#N/A</v>
      </c>
      <c r="BR237" s="12">
        <f t="shared" si="6"/>
        <v>1</v>
      </c>
      <c r="BT237" s="12">
        <f>IF(Y237="","",MAX(0,MIN(1,(((IF(Статистика!$C$4="Параллельный режим (активная мощность)",Z237,AK237)+Статистика!$J$4))-Статистика!$C$10)/MAX(Статистика!$G$10-Статистика!$C$10,0.000001))))</f>
        <v>0.44643424055555592</v>
      </c>
      <c r="BU237" s="12">
        <f>IF(Y237="","",MAX(0,MAX(0,MIN(1,(((IF(Статистика!$C$4="Параллельный режим (активная мощность)",AB237,AM237)+Статистика!$J$4))-Статистика!$C$10)/MAX(Статистика!$G$10-Статистика!$C$10,0.000001)))-MAX(0,MIN(1,(((IF(Статистика!$C$4="Параллельный режим (активная мощность)",Z237,AK237)+Статистика!$J$4))-Статистика!$C$10)/MAX(Статистика!$G$10-Статистика!$C$10,0.000001)))))</f>
        <v>8.9365649999996744E-3</v>
      </c>
      <c r="BV237" s="12">
        <f>IF(Y237="","",MAX(0,MAX(0,MIN(1,(((IF(Статистика!$C$4="Параллельный режим (активная мощность)",AC237,AN237)+Статистика!$J$4))-Статистика!$C$10)/MAX(Статистика!$G$10-Статистика!$C$10,0.000001)))-MAX(0,MIN(1,(((IF(Статистика!$C$4="Параллельный режим (активная мощность)",AB237,AM237)+Статистика!$J$4))-Статистика!$C$10)/MAX(Статистика!$G$10-Статистика!$C$10,0.000001)))))</f>
        <v>4.2742672222222333E-2</v>
      </c>
      <c r="BW237" s="12">
        <f>IF(Y237="","",MAX(0,MAX(0,MIN(1,(((IF(Статистика!$C$4="Параллельный режим (активная мощность)",AD237,AO237)+Статистика!$J$4))-Статистика!$C$10)/MAX(Статистика!$G$10-Статистика!$C$10,0.000001)))-MAX(0,MIN(1,(((IF(Статистика!$C$4="Параллельный режим (активная мощность)",AC237,AN237)+Статистика!$J$4))-Статистика!$C$10)/MAX(Статистика!$G$10-Статистика!$C$10,0.000001)))))</f>
        <v>4.5458783333333197E-2</v>
      </c>
      <c r="BX237" s="12">
        <f>IF(Y237="","",MAX(0,MAX(0,MIN(1,(((IF(Статистика!$C$4="Параллельный режим (активная мощность)",AE237,AP237)+Статистика!$J$4))-Статистика!$C$10)/MAX(Статистика!$G$10-Статистика!$C$10,0.000001)))-MAX(0,MIN(1,(((IF(Статистика!$C$4="Параллельный режим (активная мощность)",AD237,AO237)+Статистика!$J$4))-Статистика!$C$10)/MAX(Статистика!$G$10-Статистика!$C$10,0.000001)))))</f>
        <v>3.7880741666666773E-2</v>
      </c>
      <c r="BY237" s="12">
        <f>IF(Y237="","",MAX(0,MAX(0,MIN(1,(((IF(Статистика!$C$4="Параллельный режим (активная мощность)",AF237,AQ237)+Статистика!$J$4))-Статистика!$C$10)/MAX(Статистика!$G$10-Статистика!$C$10,0.000001)))-MAX(0,MIN(1,(((IF(Статистика!$C$4="Параллельный режим (активная мощность)",AE237,AP237)+Статистика!$J$4))-Статистика!$C$10)/MAX(Статистика!$G$10-Статистика!$C$10,0.000001)))))</f>
        <v>0.15015309777777752</v>
      </c>
      <c r="BZ237" s="12">
        <f>IF(Y237="","",MAX(0,MAX(0,MIN(1,(((IF(Статистика!$C$4="Параллельный режим (активная мощность)",AH237,AS237)+Статистика!$J$4))-Статистика!$C$10)/MAX(Статистика!$G$10-Статистика!$C$10,0.000001)))-MAX(0,MIN(1,(((IF(Статистика!$C$4="Параллельный режим (активная мощность)",AF237,AQ237)+Статистика!$J$4))-Статистика!$C$10)/MAX(Статистика!$G$10-Статистика!$C$10,0.000001)))))</f>
        <v>4.397870950000049E-2</v>
      </c>
      <c r="CA237" s="12">
        <f>IF(Y237="","",MAX(0,1-MAX(0,MIN(1,(((IF(Статистика!$C$4="Параллельный режим (активная мощность)",AH237,AS237)+Статистика!$J$4))-Статистика!$C$10)/MAX(Статистика!$G$10-Статистика!$C$10,0.000001)))))</f>
        <v>0.22441518994444409</v>
      </c>
      <c r="CB237" s="12">
        <f>IF(Y237="",NA(),IF(Статистика!$B$8="Вкл",(((IF(Статистика!$C$4="Параллельный режим (активная мощность)",AD237,AO237)+Статистика!$J$4))-Статистика!$C$10)/MAX(Статистика!$G$10-Статистика!$C$10,0.000001),NA()))</f>
        <v>0.54357226111111112</v>
      </c>
      <c r="CC237" s="12">
        <f>IF(Y237="",NA(),IF(Статистика!$D$8="Вкл",(((IF(Статистика!$C$4="Параллельный режим (активная мощность)",AC237,AN237)+Статистика!$J$4))-Статистика!$C$10)/MAX(Статистика!$G$10-Статистика!$C$10,0.000001),NA()))</f>
        <v>0.49811347777777792</v>
      </c>
      <c r="CD237" s="12">
        <f>IF(Y237="",NA(),IF(Статистика!$D$8="Вкл",(((IF(Статистика!$C$4="Параллельный режим (активная мощность)",AE237,AP237)+Статистика!$J$4))-Статистика!$C$10)/MAX(Статистика!$G$10-Статистика!$C$10,0.000001),NA()))</f>
        <v>0.58145300277777789</v>
      </c>
      <c r="CE237" s="12">
        <f>IF(Y237="",NA(),IF(Статистика!$F$8="Вкл",(((IF(Статистика!$C$4="Параллельный режим (активная мощность)",AB237,AM237)+Статистика!$J$4))-Статистика!$C$10)/MAX(Статистика!$G$10-Статистика!$C$10,0.000001),NA()))</f>
        <v>0.45537080555555559</v>
      </c>
      <c r="CF237" s="12">
        <f>IF(Y237="",NA(),IF(Статистика!$F$8="Вкл",(((IF(Статистика!$C$4="Параллельный режим (активная мощность)",AF237,AQ237)+Статистика!$J$4))-Статистика!$C$10)/MAX(Статистика!$G$10-Статистика!$C$10,0.000001),NA()))</f>
        <v>0.73160610055555542</v>
      </c>
      <c r="CG237" s="12">
        <f>IF(Y237="",NA(),IF(Статистика!$H$8="Вкл",(((IF(Статистика!$C$4="Параллельный режим (активная мощность)",Z237,AK237)+Статистика!$J$4))-Статистика!$C$10)/MAX(Статистика!$G$10-Статистика!$C$10,0.000001),NA()))</f>
        <v>0.44643424055555592</v>
      </c>
      <c r="CH237" s="12">
        <f>IF(Y237="",NA(),IF(Статистика!$H$8="Вкл",(((IF(Статистика!$C$4="Параллельный режим (активная мощность)",AH237,AS237)+Статистика!$J$4))-Статистика!$C$10)/MAX(Статистика!$G$10-Статистика!$C$10,0.000001),NA()))</f>
        <v>0.77558481005555591</v>
      </c>
      <c r="CI237" s="12" t="e">
        <f>IF(Y237="",NA(),IF(Статистика!$J$8="Вкл",(((IF(Статистика!$C$4="Параллельный режим (активная мощность)",AI237,AT237)+Статистика!$J$4))-Статистика!$C$10)/MAX(Статистика!$G$10-Статистика!$C$10,0.000001),NA()))</f>
        <v>#N/A</v>
      </c>
      <c r="CJ237" s="12" t="e">
        <f>IF(AND(Y237&lt;&gt;"",Статистика!$C$6="Вкл",Статистика!$B$6&gt;0),(Статистика!$B$6-Статистика!$C$10)/MAX(Статистика!$G$10-Статистика!$C$10,0.000001),NA())</f>
        <v>#N/A</v>
      </c>
      <c r="CK237" s="12" t="e">
        <f>IF(AND(Y237&lt;&gt;"",Статистика!$F$6="Вкл",Статистика!$E$6&gt;0),(Статистика!$E$6-Статистика!$C$10)/MAX(Статистика!$G$10-Статистика!$C$10,0.000001),NA())</f>
        <v>#N/A</v>
      </c>
      <c r="CL237" s="12" t="e">
        <f>IF(AND(Y237&lt;&gt;"",Статистика!$I$6="Вкл",Статистика!$H$6&gt;0),(Статистика!$H$6-Статистика!$C$10)/MAX(Статистика!$G$10-Статистика!$C$10,0.000001),NA())</f>
        <v>#N/A</v>
      </c>
      <c r="CM237" s="12" t="e">
        <f>IF(AND(Y237&lt;&gt;"",Статистика!$L$6="Вкл",Статистика!$K$6&gt;0),(Статистика!$K$6-Статистика!$C$10)/MAX(Статистика!$G$10-Статистика!$C$10,0.000001),NA())</f>
        <v>#N/A</v>
      </c>
      <c r="CN237" s="12" t="e">
        <f>IF(AND(Y237&lt;&gt;"",Статистика!$M$6="Вкл",Статистика!$O$6&gt;0),(Статистика!$O$6-Статистика!$C$10)/MAX(Статистика!$G$10-Статистика!$C$10,0.000001),NA())</f>
        <v>#N/A</v>
      </c>
      <c r="CO237" s="12">
        <f t="shared" si="7"/>
        <v>1</v>
      </c>
    </row>
    <row r="238" spans="1:93" ht="15" customHeight="1">
      <c r="A238" s="12" t="s">
        <v>995</v>
      </c>
      <c r="B238" s="12">
        <v>1801.7309069999997</v>
      </c>
      <c r="C238" s="12">
        <v>5503.2000016666661</v>
      </c>
      <c r="D238" s="12">
        <v>7291.8463649999994</v>
      </c>
      <c r="E238" s="12">
        <v>7516.4164083333335</v>
      </c>
      <c r="F238" s="12">
        <v>7684.9580499999993</v>
      </c>
      <c r="G238" s="12">
        <v>7758.5095166666651</v>
      </c>
      <c r="H238" s="12">
        <v>8106.3182866666666</v>
      </c>
      <c r="I238" s="12">
        <v>8122.5709274999999</v>
      </c>
      <c r="J238" s="12">
        <v>8137.1235721666681</v>
      </c>
      <c r="K238" s="12">
        <v>8278.44</v>
      </c>
      <c r="L238" s="12" t="s">
        <v>996</v>
      </c>
      <c r="M238" s="12">
        <v>2178.821089</v>
      </c>
      <c r="N238" s="12">
        <v>6266.4377116666674</v>
      </c>
      <c r="O238" s="12">
        <v>8232.2042950000014</v>
      </c>
      <c r="P238" s="12">
        <v>8520.5387499999997</v>
      </c>
      <c r="Q238" s="12">
        <v>8656.5607</v>
      </c>
      <c r="R238" s="12">
        <v>8778.0898416666678</v>
      </c>
      <c r="S238" s="12">
        <v>9139.7480350000005</v>
      </c>
      <c r="T238" s="12">
        <v>9165.5069625000015</v>
      </c>
      <c r="U238" s="12">
        <v>9169.6339525000021</v>
      </c>
      <c r="V238" s="12">
        <v>9325.58</v>
      </c>
      <c r="W238" s="12" t="s">
        <v>997</v>
      </c>
      <c r="Y238" s="12" t="s">
        <v>995</v>
      </c>
      <c r="Z238" s="12">
        <v>7366.6344296666666</v>
      </c>
      <c r="AA238" s="12">
        <v>7371.0549483333334</v>
      </c>
      <c r="AB238" s="12">
        <v>7376.5805966666667</v>
      </c>
      <c r="AC238" s="12">
        <v>7511.3478666666661</v>
      </c>
      <c r="AD238" s="12">
        <v>7618.196750000001</v>
      </c>
      <c r="AE238" s="12">
        <v>7757.9139500000001</v>
      </c>
      <c r="AF238" s="12">
        <v>8235.4383333333335</v>
      </c>
      <c r="AG238" s="12">
        <v>8293.0202166666677</v>
      </c>
      <c r="AH238" s="12">
        <v>8339.0857233333336</v>
      </c>
      <c r="AI238" s="12">
        <v>8458.4500000000007</v>
      </c>
      <c r="AJ238" s="12" t="s">
        <v>998</v>
      </c>
      <c r="AK238" s="12">
        <v>8302.417195</v>
      </c>
      <c r="AL238" s="12">
        <v>8322.7427750000006</v>
      </c>
      <c r="AM238" s="12">
        <v>8348.1497500000005</v>
      </c>
      <c r="AN238" s="12">
        <v>8474.5432416666663</v>
      </c>
      <c r="AO238" s="12">
        <v>8677.0769499999988</v>
      </c>
      <c r="AP238" s="12">
        <v>8790.3449666666675</v>
      </c>
      <c r="AQ238" s="12">
        <v>9181.9685616666666</v>
      </c>
      <c r="AR238" s="12">
        <v>9235.536664166666</v>
      </c>
      <c r="AS238" s="12">
        <v>9278.3911461666648</v>
      </c>
      <c r="AT238" s="12">
        <v>9403.16</v>
      </c>
      <c r="AU238" s="12" t="s">
        <v>998</v>
      </c>
      <c r="AW238" s="12">
        <f>IF(A238="","",MAX(0,MIN(1,(((IF(Статистика!$C$4="Параллельный режим (активная мощность)",B238,M238)+Статистика!$J$4))-Статистика!$C$10)/MAX(Статистика!$G$10-Статистика!$C$10,0.000001))))</f>
        <v>0</v>
      </c>
      <c r="AX238" s="12">
        <f>IF(A238="","",MAX(0,MAX(0,MIN(1,(((IF(Статистика!$C$4="Параллельный режим (активная мощность)",D238,O238)+Статистика!$J$4))-Статистика!$C$10)/MAX(Статистика!$G$10-Статистика!$C$10,0.000001)))-MAX(0,MIN(1,(((IF(Статистика!$C$4="Параллельный режим (активная мощность)",B238,M238)+Статистика!$J$4))-Статистика!$C$10)/MAX(Статистика!$G$10-Статистика!$C$10,0.000001)))))</f>
        <v>0.43061545499999981</v>
      </c>
      <c r="AY238" s="12">
        <f>IF(A238="","",MAX(0,MAX(0,MIN(1,(((IF(Статистика!$C$4="Параллельный режим (активная мощность)",E238,P238)+Статистика!$J$4))-Статистика!$C$10)/MAX(Статистика!$G$10-Статистика!$C$10,0.000001)))-MAX(0,MIN(1,(((IF(Статистика!$C$4="Параллельный режим (активная мощность)",D238,O238)+Статистика!$J$4))-Статистика!$C$10)/MAX(Статистика!$G$10-Статистика!$C$10,0.000001)))))</f>
        <v>7.4856681111111378E-2</v>
      </c>
      <c r="AZ238" s="12">
        <f>IF(A238="","",MAX(0,MAX(0,MIN(1,(((IF(Статистика!$C$4="Параллельный режим (активная мощность)",F238,Q238)+Статистика!$J$4))-Статистика!$C$10)/MAX(Статистика!$G$10-Статистика!$C$10,0.000001)))-MAX(0,MIN(1,(((IF(Статистика!$C$4="Параллельный режим (активная мощность)",E238,P238)+Статистика!$J$4))-Статистика!$C$10)/MAX(Статистика!$G$10-Статистика!$C$10,0.000001)))))</f>
        <v>5.6180547222221877E-2</v>
      </c>
      <c r="BA238" s="12">
        <f>IF(A238="","",MAX(0,MAX(0,MIN(1,(((IF(Статистика!$C$4="Параллельный режим (активная мощность)",G238,R238)+Статистика!$J$4))-Статистика!$C$10)/MAX(Статистика!$G$10-Статистика!$C$10,0.000001)))-MAX(0,MIN(1,(((IF(Статистика!$C$4="Параллельный режим (активная мощность)",F238,Q238)+Статистика!$J$4))-Статистика!$C$10)/MAX(Статистика!$G$10-Статистика!$C$10,0.000001)))))</f>
        <v>2.4517155555555337E-2</v>
      </c>
      <c r="BB238" s="12">
        <f>IF(A238="","",MAX(0,MAX(0,MIN(1,(((IF(Статистика!$C$4="Параллельный режим (активная мощность)",H238,S238)+Статистика!$J$4))-Статистика!$C$10)/MAX(Статистика!$G$10-Статистика!$C$10,0.000001)))-MAX(0,MIN(1,(((IF(Статистика!$C$4="Параллельный режим (активная мощность)",G238,R238)+Статистика!$J$4))-Статистика!$C$10)/MAX(Статистика!$G$10-Статистика!$C$10,0.000001)))))</f>
        <v>0.11593625666666718</v>
      </c>
      <c r="BC238" s="12">
        <f>IF(A238="","",MAX(0,MAX(0,MIN(1,(((IF(Статистика!$C$4="Параллельный режим (активная мощность)",J238,U238)+Статистика!$J$4))-Статистика!$C$10)/MAX(Статистика!$G$10-Статистика!$C$10,0.000001)))-MAX(0,MIN(1,(((IF(Статистика!$C$4="Параллельный режим (активная мощность)",H238,S238)+Статистика!$J$4))-Статистика!$C$10)/MAX(Статистика!$G$10-Статистика!$C$10,0.000001)))))</f>
        <v>1.0268428500000426E-2</v>
      </c>
      <c r="BD238" s="12">
        <f>IF(A238="","",MAX(0,1-MAX(0,MIN(1,(((IF(Статистика!$C$4="Параллельный режим (активная мощность)",J238,U238)+Статистика!$J$4))-Статистика!$C$10)/MAX(Статистика!$G$10-Статистика!$C$10,0.000001)))))</f>
        <v>0.28762547594444399</v>
      </c>
      <c r="BE238" s="12">
        <f>IF(A238="",NA(),IF(Статистика!$B$8="Вкл",(((IF(Статистика!$C$4="Параллельный режим (активная мощность)",F238,Q238)+Статистика!$J$4))-Статистика!$C$10)/MAX(Статистика!$G$10-Статистика!$C$10,0.000001),NA()))</f>
        <v>0.56165268333333307</v>
      </c>
      <c r="BF238" s="12">
        <f>IF(A238="",NA(),IF(Статистика!$D$8="Вкл",(((IF(Статистика!$C$4="Параллельный режим (активная мощность)",E238,P238)+Статистика!$J$4))-Статистика!$C$10)/MAX(Статистика!$G$10-Статистика!$C$10,0.000001),NA()))</f>
        <v>0.50547213611111119</v>
      </c>
      <c r="BG238" s="12">
        <f>IF(A238="",NA(),IF(Статистика!$D$8="Вкл",(((IF(Статистика!$C$4="Параллельный режим (активная мощность)",G238,R238)+Статистика!$J$4))-Статистика!$C$10)/MAX(Статистика!$G$10-Статистика!$C$10,0.000001),NA()))</f>
        <v>0.58616983888888841</v>
      </c>
      <c r="BH238" s="12">
        <f>IF(A238="",NA(),IF(Статистика!$F$8="Вкл",(((IF(Статистика!$C$4="Параллельный режим (активная мощность)",D238,O238)+Статистика!$J$4))-Статистика!$C$10)/MAX(Статистика!$G$10-Статистика!$C$10,0.000001),NA()))</f>
        <v>0.43061545499999981</v>
      </c>
      <c r="BI238" s="12">
        <f>IF(A238="",NA(),IF(Статистика!$F$8="Вкл",(((IF(Статистика!$C$4="Параллельный режим (активная мощность)",H238,S238)+Статистика!$J$4))-Статистика!$C$10)/MAX(Статистика!$G$10-Статистика!$C$10,0.000001),NA()))</f>
        <v>0.70210609555555559</v>
      </c>
      <c r="BJ238" s="12">
        <f>IF(A238="",NA(),IF(Статистика!$H$8="Вкл",(((IF(Статистика!$C$4="Параллельный режим (активная мощность)",B238,M238)+Статистика!$J$4))-Статистика!$C$10)/MAX(Статистика!$G$10-Статистика!$C$10,0.000001),NA()))</f>
        <v>-1.3994230310000002</v>
      </c>
      <c r="BK238" s="12">
        <f>IF(A238="",NA(),IF(Статистика!$H$8="Вкл",(((IF(Статистика!$C$4="Параллельный режим (активная мощность)",J238,U238)+Статистика!$J$4))-Статистика!$C$10)/MAX(Статистика!$G$10-Статистика!$C$10,0.000001),NA()))</f>
        <v>0.71237452405555601</v>
      </c>
      <c r="BL238" s="12" t="e">
        <f>IF(A238="",NA(),IF(Статистика!$J$8="Вкл",(((IF(Статистика!$C$4="Параллельный режим (активная мощность)",K238,V238)+Статистика!$J$4))-Статистика!$C$10)/MAX(Статистика!$G$10-Статистика!$C$10,0.000001),NA()))</f>
        <v>#N/A</v>
      </c>
      <c r="BM238" s="12" t="e">
        <f>IF(AND(A238&lt;&gt;"",Статистика!$C$6="Вкл",Статистика!$B$6&gt;0),(Статистика!$B$6-Статистика!$C$10)/MAX(Статистика!$G$10-Статистика!$C$10,0.000001),NA())</f>
        <v>#N/A</v>
      </c>
      <c r="BN238" s="12" t="e">
        <f>IF(AND(A238&lt;&gt;"",Статистика!$F$6="Вкл",Статистика!$E$6&gt;0),(Статистика!$E$6-Статистика!$C$10)/MAX(Статистика!$G$10-Статистика!$C$10,0.000001),NA())</f>
        <v>#N/A</v>
      </c>
      <c r="BO238" s="12" t="e">
        <f>IF(AND(A238&lt;&gt;"",Статистика!$I$6="Вкл",Статистика!$H$6&gt;0),(Статистика!$H$6-Статистика!$C$10)/MAX(Статистика!$G$10-Статистика!$C$10,0.000001),NA())</f>
        <v>#N/A</v>
      </c>
      <c r="BP238" s="12" t="e">
        <f>IF(AND(A238&lt;&gt;"",Статистика!$L$6="Вкл",Статистика!$K$6&gt;0),(Статистика!$K$6-Статистика!$C$10)/MAX(Статистика!$G$10-Статистика!$C$10,0.000001),NA())</f>
        <v>#N/A</v>
      </c>
      <c r="BQ238" s="12" t="e">
        <f>IF(AND(A238&lt;&gt;"",Статистика!$M$6="Вкл",Статистика!$O$6&gt;0),(Статистика!$O$6-Статистика!$C$10)/MAX(Статистика!$G$10-Статистика!$C$10,0.000001),NA())</f>
        <v>#N/A</v>
      </c>
      <c r="BR238" s="12">
        <f t="shared" si="6"/>
        <v>1</v>
      </c>
      <c r="BT238" s="12">
        <f>IF(Y238="","",MAX(0,MIN(1,(((IF(Статистика!$C$4="Параллельный режим (активная мощность)",Z238,AK238)+Статистика!$J$4))-Статистика!$C$10)/MAX(Статистика!$G$10-Статистика!$C$10,0.000001))))</f>
        <v>0.45554480988888885</v>
      </c>
      <c r="BU238" s="12">
        <f>IF(Y238="","",MAX(0,MAX(0,MIN(1,(((IF(Статистика!$C$4="Параллельный режим (активная мощность)",AB238,AM238)+Статистика!$J$4))-Статистика!$C$10)/MAX(Статистика!$G$10-Статистика!$C$10,0.000001)))-MAX(0,MIN(1,(((IF(Статистика!$C$4="Параллельный режим (активная мощность)",Z238,AK238)+Статистика!$J$4))-Статистика!$C$10)/MAX(Статистика!$G$10-Статистика!$C$10,0.000001)))))</f>
        <v>3.3153890000000574E-3</v>
      </c>
      <c r="BV238" s="12">
        <f>IF(Y238="","",MAX(0,MAX(0,MIN(1,(((IF(Статистика!$C$4="Параллельный режим (активная мощность)",AC238,AN238)+Статистика!$J$4))-Статистика!$C$10)/MAX(Статистика!$G$10-Статистика!$C$10,0.000001)))-MAX(0,MIN(1,(((IF(Статистика!$C$4="Параллельный режим (активная мощность)",AB238,AM238)+Статистика!$J$4))-Статистика!$C$10)/MAX(Статистика!$G$10-Статистика!$C$10,0.000001)))))</f>
        <v>4.4922423333333128E-2</v>
      </c>
      <c r="BW238" s="12">
        <f>IF(Y238="","",MAX(0,MAX(0,MIN(1,(((IF(Статистика!$C$4="Параллельный режим (активная мощность)",AD238,AO238)+Статистика!$J$4))-Статистика!$C$10)/MAX(Статистика!$G$10-Статистика!$C$10,0.000001)))-MAX(0,MIN(1,(((IF(Статистика!$C$4="Параллельный режим (активная мощность)",AC238,AN238)+Статистика!$J$4))-Статистика!$C$10)/MAX(Статистика!$G$10-Статистика!$C$10,0.000001)))))</f>
        <v>3.5616294444444918E-2</v>
      </c>
      <c r="BX238" s="12">
        <f>IF(Y238="","",MAX(0,MAX(0,MIN(1,(((IF(Статистика!$C$4="Параллельный режим (активная мощность)",AE238,AP238)+Статистика!$J$4))-Статистика!$C$10)/MAX(Статистика!$G$10-Статистика!$C$10,0.000001)))-MAX(0,MIN(1,(((IF(Статистика!$C$4="Параллельный режим (активная мощность)",AD238,AO238)+Статистика!$J$4))-Статистика!$C$10)/MAX(Статистика!$G$10-Статистика!$C$10,0.000001)))))</f>
        <v>4.6572399999999736E-2</v>
      </c>
      <c r="BY238" s="12">
        <f>IF(Y238="","",MAX(0,MAX(0,MIN(1,(((IF(Статистика!$C$4="Параллельный режим (активная мощность)",AF238,AQ238)+Статистика!$J$4))-Статистика!$C$10)/MAX(Статистика!$G$10-Статистика!$C$10,0.000001)))-MAX(0,MIN(1,(((IF(Статистика!$C$4="Параллельный режим (активная мощность)",AE238,AP238)+Статистика!$J$4))-Статистика!$C$10)/MAX(Статистика!$G$10-Статистика!$C$10,0.000001)))))</f>
        <v>0.15917479444444449</v>
      </c>
      <c r="BZ238" s="12">
        <f>IF(Y238="","",MAX(0,MAX(0,MIN(1,(((IF(Статистика!$C$4="Параллельный режим (активная мощность)",AH238,AS238)+Статистика!$J$4))-Статистика!$C$10)/MAX(Статистика!$G$10-Статистика!$C$10,0.000001)))-MAX(0,MIN(1,(((IF(Статистика!$C$4="Параллельный режим (активная мощность)",AF238,AQ238)+Статистика!$J$4))-Статистика!$C$10)/MAX(Статистика!$G$10-Статистика!$C$10,0.000001)))))</f>
        <v>3.4549130000000039E-2</v>
      </c>
      <c r="CA238" s="12">
        <f>IF(Y238="","",MAX(0,1-MAX(0,MIN(1,(((IF(Статистика!$C$4="Параллельный режим (активная мощность)",AH238,AS238)+Статистика!$J$4))-Статистика!$C$10)/MAX(Статистика!$G$10-Статистика!$C$10,0.000001)))))</f>
        <v>0.22030475888888879</v>
      </c>
      <c r="CB238" s="12">
        <f>IF(Y238="",NA(),IF(Статистика!$B$8="Вкл",(((IF(Статистика!$C$4="Параллельный режим (активная мощность)",AD238,AO238)+Статистика!$J$4))-Статистика!$C$10)/MAX(Статистика!$G$10-Статистика!$C$10,0.000001),NA()))</f>
        <v>0.53939891666666695</v>
      </c>
      <c r="CC238" s="12">
        <f>IF(Y238="",NA(),IF(Статистика!$D$8="Вкл",(((IF(Статистика!$C$4="Параллельный режим (активная мощность)",AC238,AN238)+Статистика!$J$4))-Статистика!$C$10)/MAX(Статистика!$G$10-Статистика!$C$10,0.000001),NA()))</f>
        <v>0.50378262222222203</v>
      </c>
      <c r="CD238" s="12">
        <f>IF(Y238="",NA(),IF(Статистика!$D$8="Вкл",(((IF(Статистика!$C$4="Параллельный режим (активная мощность)",AE238,AP238)+Статистика!$J$4))-Статистика!$C$10)/MAX(Статистика!$G$10-Статистика!$C$10,0.000001),NA()))</f>
        <v>0.58597131666666669</v>
      </c>
      <c r="CE238" s="12">
        <f>IF(Y238="",NA(),IF(Статистика!$F$8="Вкл",(((IF(Статистика!$C$4="Параллельный режим (активная мощность)",AB238,AM238)+Статистика!$J$4))-Статистика!$C$10)/MAX(Статистика!$G$10-Статистика!$C$10,0.000001),NA()))</f>
        <v>0.4588601988888889</v>
      </c>
      <c r="CF238" s="12">
        <f>IF(Y238="",NA(),IF(Статистика!$F$8="Вкл",(((IF(Статистика!$C$4="Параллельный режим (активная мощность)",AF238,AQ238)+Статистика!$J$4))-Статистика!$C$10)/MAX(Статистика!$G$10-Статистика!$C$10,0.000001),NA()))</f>
        <v>0.74514611111111118</v>
      </c>
      <c r="CG238" s="12">
        <f>IF(Y238="",NA(),IF(Статистика!$H$8="Вкл",(((IF(Статистика!$C$4="Параллельный режим (активная мощность)",Z238,AK238)+Статистика!$J$4))-Статистика!$C$10)/MAX(Статистика!$G$10-Статистика!$C$10,0.000001),NA()))</f>
        <v>0.45554480988888885</v>
      </c>
      <c r="CH238" s="12">
        <f>IF(Y238="",NA(),IF(Статистика!$H$8="Вкл",(((IF(Статистика!$C$4="Параллельный режим (активная мощность)",AH238,AS238)+Статистика!$J$4))-Статистика!$C$10)/MAX(Статистика!$G$10-Статистика!$C$10,0.000001),NA()))</f>
        <v>0.77969524111111121</v>
      </c>
      <c r="CI238" s="12" t="e">
        <f>IF(Y238="",NA(),IF(Статистика!$J$8="Вкл",(((IF(Статистика!$C$4="Параллельный режим (активная мощность)",AI238,AT238)+Статистика!$J$4))-Статистика!$C$10)/MAX(Статистика!$G$10-Статистика!$C$10,0.000001),NA()))</f>
        <v>#N/A</v>
      </c>
      <c r="CJ238" s="12" t="e">
        <f>IF(AND(Y238&lt;&gt;"",Статистика!$C$6="Вкл",Статистика!$B$6&gt;0),(Статистика!$B$6-Статистика!$C$10)/MAX(Статистика!$G$10-Статистика!$C$10,0.000001),NA())</f>
        <v>#N/A</v>
      </c>
      <c r="CK238" s="12" t="e">
        <f>IF(AND(Y238&lt;&gt;"",Статистика!$F$6="Вкл",Статистика!$E$6&gt;0),(Статистика!$E$6-Статистика!$C$10)/MAX(Статистика!$G$10-Статистика!$C$10,0.000001),NA())</f>
        <v>#N/A</v>
      </c>
      <c r="CL238" s="12" t="e">
        <f>IF(AND(Y238&lt;&gt;"",Статистика!$I$6="Вкл",Статистика!$H$6&gt;0),(Статистика!$H$6-Статистика!$C$10)/MAX(Статистика!$G$10-Статистика!$C$10,0.000001),NA())</f>
        <v>#N/A</v>
      </c>
      <c r="CM238" s="12" t="e">
        <f>IF(AND(Y238&lt;&gt;"",Статистика!$L$6="Вкл",Статистика!$K$6&gt;0),(Статистика!$K$6-Статистика!$C$10)/MAX(Статистика!$G$10-Статистика!$C$10,0.000001),NA())</f>
        <v>#N/A</v>
      </c>
      <c r="CN238" s="12" t="e">
        <f>IF(AND(Y238&lt;&gt;"",Статистика!$M$6="Вкл",Статистика!$O$6&gt;0),(Статистика!$O$6-Статистика!$C$10)/MAX(Статистика!$G$10-Статистика!$C$10,0.000001),NA())</f>
        <v>#N/A</v>
      </c>
      <c r="CO238" s="12">
        <f t="shared" si="7"/>
        <v>1</v>
      </c>
    </row>
    <row r="239" spans="1:93" ht="15" customHeight="1">
      <c r="A239" s="12" t="s">
        <v>999</v>
      </c>
      <c r="B239" s="12">
        <v>1850.1948196666663</v>
      </c>
      <c r="C239" s="12">
        <v>5522.6067650000005</v>
      </c>
      <c r="D239" s="12">
        <v>7303.8651316666655</v>
      </c>
      <c r="E239" s="12">
        <v>7489.1349083333334</v>
      </c>
      <c r="F239" s="12">
        <v>7695.0055666666667</v>
      </c>
      <c r="G239" s="12">
        <v>7765.5545249999996</v>
      </c>
      <c r="H239" s="12">
        <v>8131.7732449999994</v>
      </c>
      <c r="I239" s="12">
        <v>8144.6822566666651</v>
      </c>
      <c r="J239" s="12">
        <v>8159.8184779999992</v>
      </c>
      <c r="K239" s="12">
        <v>8313.2000000000007</v>
      </c>
      <c r="L239" s="12" t="s">
        <v>1000</v>
      </c>
      <c r="M239" s="12">
        <v>2228.2542731666667</v>
      </c>
      <c r="N239" s="12">
        <v>6282.463765833334</v>
      </c>
      <c r="O239" s="12">
        <v>8240.809736666668</v>
      </c>
      <c r="P239" s="12">
        <v>8500.1672083333342</v>
      </c>
      <c r="Q239" s="12">
        <v>8670.608933333333</v>
      </c>
      <c r="R239" s="12">
        <v>8782.7107166666683</v>
      </c>
      <c r="S239" s="12">
        <v>9137.1876766666664</v>
      </c>
      <c r="T239" s="12">
        <v>9184.4497391666646</v>
      </c>
      <c r="U239" s="12">
        <v>9206.1161611666666</v>
      </c>
      <c r="V239" s="12">
        <v>9366.7900000000009</v>
      </c>
      <c r="W239" s="12" t="s">
        <v>1000</v>
      </c>
      <c r="Y239" s="12" t="s">
        <v>999</v>
      </c>
      <c r="Z239" s="12">
        <v>7390.4243671666663</v>
      </c>
      <c r="AA239" s="12">
        <v>7391.9062358333331</v>
      </c>
      <c r="AB239" s="12">
        <v>7393.7585716666672</v>
      </c>
      <c r="AC239" s="12">
        <v>7504.7739249999995</v>
      </c>
      <c r="AD239" s="12">
        <v>7592.8187499999995</v>
      </c>
      <c r="AE239" s="12">
        <v>7783.6844083333317</v>
      </c>
      <c r="AF239" s="12">
        <v>8211.7688199999993</v>
      </c>
      <c r="AG239" s="12">
        <v>8258.2099766666652</v>
      </c>
      <c r="AH239" s="12">
        <v>8295.3629019999989</v>
      </c>
      <c r="AI239" s="12">
        <v>8571.42</v>
      </c>
      <c r="AJ239" s="12" t="s">
        <v>1001</v>
      </c>
      <c r="AK239" s="12">
        <v>8321.0915426666688</v>
      </c>
      <c r="AL239" s="12">
        <v>8343.4413133333346</v>
      </c>
      <c r="AM239" s="12">
        <v>8371.3785266666673</v>
      </c>
      <c r="AN239" s="12">
        <v>8488.0051583333334</v>
      </c>
      <c r="AO239" s="12">
        <v>8648.104150000001</v>
      </c>
      <c r="AP239" s="12">
        <v>8803.9767583333323</v>
      </c>
      <c r="AQ239" s="12">
        <v>9157.4963016666661</v>
      </c>
      <c r="AR239" s="12">
        <v>9205.2660841666657</v>
      </c>
      <c r="AS239" s="12">
        <v>9243.4819101666653</v>
      </c>
      <c r="AT239" s="12">
        <v>9466.2199999999993</v>
      </c>
      <c r="AU239" s="12" t="s">
        <v>1001</v>
      </c>
      <c r="AW239" s="12">
        <f>IF(A239="","",MAX(0,MIN(1,(((IF(Статистика!$C$4="Параллельный режим (активная мощность)",B239,M239)+Статистика!$J$4))-Статистика!$C$10)/MAX(Статистика!$G$10-Статистика!$C$10,0.000001))))</f>
        <v>0</v>
      </c>
      <c r="AX239" s="12">
        <f>IF(A239="","",MAX(0,MAX(0,MIN(1,(((IF(Статистика!$C$4="Параллельный режим (активная мощность)",D239,O239)+Статистика!$J$4))-Статистика!$C$10)/MAX(Статистика!$G$10-Статистика!$C$10,0.000001)))-MAX(0,MIN(1,(((IF(Статистика!$C$4="Параллельный режим (активная мощность)",B239,M239)+Статистика!$J$4))-Статистика!$C$10)/MAX(Статистика!$G$10-Статистика!$C$10,0.000001)))))</f>
        <v>0.43462171055555521</v>
      </c>
      <c r="AY239" s="12">
        <f>IF(A239="","",MAX(0,MAX(0,MIN(1,(((IF(Статистика!$C$4="Параллельный режим (активная мощность)",E239,P239)+Статистика!$J$4))-Статистика!$C$10)/MAX(Статистика!$G$10-Статистика!$C$10,0.000001)))-MAX(0,MIN(1,(((IF(Статистика!$C$4="Параллельный режим (активная мощность)",D239,O239)+Статистика!$J$4))-Статистика!$C$10)/MAX(Статистика!$G$10-Статистика!$C$10,0.000001)))))</f>
        <v>6.1756592222222628E-2</v>
      </c>
      <c r="AZ239" s="12">
        <f>IF(A239="","",MAX(0,MAX(0,MIN(1,(((IF(Статистика!$C$4="Параллельный режим (активная мощность)",F239,Q239)+Статистика!$J$4))-Статистика!$C$10)/MAX(Статистика!$G$10-Статистика!$C$10,0.000001)))-MAX(0,MIN(1,(((IF(Статистика!$C$4="Параллельный режим (активная мощность)",E239,P239)+Статистика!$J$4))-Статистика!$C$10)/MAX(Статистика!$G$10-Статистика!$C$10,0.000001)))))</f>
        <v>6.8623552777777763E-2</v>
      </c>
      <c r="BA239" s="12">
        <f>IF(A239="","",MAX(0,MAX(0,MIN(1,(((IF(Статистика!$C$4="Параллельный режим (активная мощность)",G239,R239)+Статистика!$J$4))-Статистика!$C$10)/MAX(Статистика!$G$10-Статистика!$C$10,0.000001)))-MAX(0,MIN(1,(((IF(Статистика!$C$4="Параллельный режим (активная мощность)",F239,Q239)+Статистика!$J$4))-Статистика!$C$10)/MAX(Статистика!$G$10-Статистика!$C$10,0.000001)))))</f>
        <v>2.3516319444444211E-2</v>
      </c>
      <c r="BB239" s="12">
        <f>IF(A239="","",MAX(0,MAX(0,MIN(1,(((IF(Статистика!$C$4="Параллельный режим (активная мощность)",H239,S239)+Статистика!$J$4))-Статистика!$C$10)/MAX(Статистика!$G$10-Статистика!$C$10,0.000001)))-MAX(0,MIN(1,(((IF(Статистика!$C$4="Параллельный режим (активная мощность)",G239,R239)+Статистика!$J$4))-Статистика!$C$10)/MAX(Статистика!$G$10-Статистика!$C$10,0.000001)))))</f>
        <v>0.1220729066666667</v>
      </c>
      <c r="BC239" s="12">
        <f>IF(A239="","",MAX(0,MAX(0,MIN(1,(((IF(Статистика!$C$4="Параллельный режим (активная мощность)",J239,U239)+Статистика!$J$4))-Статистика!$C$10)/MAX(Статистика!$G$10-Статистика!$C$10,0.000001)))-MAX(0,MIN(1,(((IF(Статистика!$C$4="Параллельный режим (активная мощность)",H239,S239)+Статистика!$J$4))-Статистика!$C$10)/MAX(Статистика!$G$10-Статистика!$C$10,0.000001)))))</f>
        <v>9.3484109999999454E-3</v>
      </c>
      <c r="BD239" s="12">
        <f>IF(A239="","",MAX(0,1-MAX(0,MIN(1,(((IF(Статистика!$C$4="Параллельный режим (активная мощность)",J239,U239)+Статистика!$J$4))-Статистика!$C$10)/MAX(Статистика!$G$10-Статистика!$C$10,0.000001)))))</f>
        <v>0.28006050733333354</v>
      </c>
      <c r="BE239" s="12">
        <f>IF(A239="",NA(),IF(Статистика!$B$8="Вкл",(((IF(Статистика!$C$4="Параллельный режим (активная мощность)",F239,Q239)+Статистика!$J$4))-Статистика!$C$10)/MAX(Статистика!$G$10-Статистика!$C$10,0.000001),NA()))</f>
        <v>0.5650018555555556</v>
      </c>
      <c r="BF239" s="12">
        <f>IF(A239="",NA(),IF(Статистика!$D$8="Вкл",(((IF(Статистика!$C$4="Параллельный режим (активная мощность)",E239,P239)+Статистика!$J$4))-Статистика!$C$10)/MAX(Статистика!$G$10-Статистика!$C$10,0.000001),NA()))</f>
        <v>0.49637830277777784</v>
      </c>
      <c r="BG239" s="12">
        <f>IF(A239="",NA(),IF(Статистика!$D$8="Вкл",(((IF(Статистика!$C$4="Параллельный режим (активная мощность)",G239,R239)+Статистика!$J$4))-Статистика!$C$10)/MAX(Статистика!$G$10-Статистика!$C$10,0.000001),NA()))</f>
        <v>0.58851817499999981</v>
      </c>
      <c r="BH239" s="12">
        <f>IF(A239="",NA(),IF(Статистика!$F$8="Вкл",(((IF(Статистика!$C$4="Параллельный режим (активная мощность)",D239,O239)+Статистика!$J$4))-Статистика!$C$10)/MAX(Статистика!$G$10-Статистика!$C$10,0.000001),NA()))</f>
        <v>0.43462171055555521</v>
      </c>
      <c r="BI239" s="12">
        <f>IF(A239="",NA(),IF(Статистика!$F$8="Вкл",(((IF(Статистика!$C$4="Параллельный режим (активная мощность)",H239,S239)+Статистика!$J$4))-Статистика!$C$10)/MAX(Статистика!$G$10-Статистика!$C$10,0.000001),NA()))</f>
        <v>0.71059108166666651</v>
      </c>
      <c r="BJ239" s="12">
        <f>IF(A239="",NA(),IF(Статистика!$H$8="Вкл",(((IF(Статистика!$C$4="Параллельный режим (активная мощность)",B239,M239)+Статистика!$J$4))-Статистика!$C$10)/MAX(Статистика!$G$10-Статистика!$C$10,0.000001),NA()))</f>
        <v>-1.3832683934444445</v>
      </c>
      <c r="BK239" s="12">
        <f>IF(A239="",NA(),IF(Статистика!$H$8="Вкл",(((IF(Статистика!$C$4="Параллельный режим (активная мощность)",J239,U239)+Статистика!$J$4))-Статистика!$C$10)/MAX(Статистика!$G$10-Статистика!$C$10,0.000001),NA()))</f>
        <v>0.71993949266666646</v>
      </c>
      <c r="BL239" s="12" t="e">
        <f>IF(A239="",NA(),IF(Статистика!$J$8="Вкл",(((IF(Статистика!$C$4="Параллельный режим (активная мощность)",K239,V239)+Статистика!$J$4))-Статистика!$C$10)/MAX(Статистика!$G$10-Статистика!$C$10,0.000001),NA()))</f>
        <v>#N/A</v>
      </c>
      <c r="BM239" s="12" t="e">
        <f>IF(AND(A239&lt;&gt;"",Статистика!$C$6="Вкл",Статистика!$B$6&gt;0),(Статистика!$B$6-Статистика!$C$10)/MAX(Статистика!$G$10-Статистика!$C$10,0.000001),NA())</f>
        <v>#N/A</v>
      </c>
      <c r="BN239" s="12" t="e">
        <f>IF(AND(A239&lt;&gt;"",Статистика!$F$6="Вкл",Статистика!$E$6&gt;0),(Статистика!$E$6-Статистика!$C$10)/MAX(Статистика!$G$10-Статистика!$C$10,0.000001),NA())</f>
        <v>#N/A</v>
      </c>
      <c r="BO239" s="12" t="e">
        <f>IF(AND(A239&lt;&gt;"",Статистика!$I$6="Вкл",Статистика!$H$6&gt;0),(Статистика!$H$6-Статистика!$C$10)/MAX(Статистика!$G$10-Статистика!$C$10,0.000001),NA())</f>
        <v>#N/A</v>
      </c>
      <c r="BP239" s="12" t="e">
        <f>IF(AND(A239&lt;&gt;"",Статистика!$L$6="Вкл",Статистика!$K$6&gt;0),(Статистика!$K$6-Статистика!$C$10)/MAX(Статистика!$G$10-Статистика!$C$10,0.000001),NA())</f>
        <v>#N/A</v>
      </c>
      <c r="BQ239" s="12" t="e">
        <f>IF(AND(A239&lt;&gt;"",Статистика!$M$6="Вкл",Статистика!$O$6&gt;0),(Статистика!$O$6-Статистика!$C$10)/MAX(Статистика!$G$10-Статистика!$C$10,0.000001),NA())</f>
        <v>#N/A</v>
      </c>
      <c r="BR239" s="12">
        <f t="shared" si="6"/>
        <v>1</v>
      </c>
      <c r="BT239" s="12">
        <f>IF(Y239="","",MAX(0,MIN(1,(((IF(Статистика!$C$4="Параллельный режим (активная мощность)",Z239,AK239)+Статистика!$J$4))-Статистика!$C$10)/MAX(Статистика!$G$10-Статистика!$C$10,0.000001))))</f>
        <v>0.46347478905555545</v>
      </c>
      <c r="BU239" s="12">
        <f>IF(Y239="","",MAX(0,MAX(0,MIN(1,(((IF(Статистика!$C$4="Параллельный режим (активная мощность)",AB239,AM239)+Статистика!$J$4))-Статистика!$C$10)/MAX(Статистика!$G$10-Статистика!$C$10,0.000001)))-MAX(0,MIN(1,(((IF(Статистика!$C$4="Параллельный режим (активная мощность)",Z239,AK239)+Статистика!$J$4))-Статистика!$C$10)/MAX(Статистика!$G$10-Статистика!$C$10,0.000001)))))</f>
        <v>1.1114015000002753E-3</v>
      </c>
      <c r="BV239" s="12">
        <f>IF(Y239="","",MAX(0,MAX(0,MIN(1,(((IF(Статистика!$C$4="Параллельный режим (активная мощность)",AC239,AN239)+Статистика!$J$4))-Статистика!$C$10)/MAX(Статистика!$G$10-Статистика!$C$10,0.000001)))-MAX(0,MIN(1,(((IF(Статистика!$C$4="Параллельный режим (активная мощность)",AB239,AM239)+Статистика!$J$4))-Статистика!$C$10)/MAX(Статистика!$G$10-Статистика!$C$10,0.000001)))))</f>
        <v>3.7005117777777485E-2</v>
      </c>
      <c r="BW239" s="12">
        <f>IF(Y239="","",MAX(0,MAX(0,MIN(1,(((IF(Статистика!$C$4="Параллельный режим (активная мощность)",AD239,AO239)+Статистика!$J$4))-Статистика!$C$10)/MAX(Статистика!$G$10-Статистика!$C$10,0.000001)))-MAX(0,MIN(1,(((IF(Статистика!$C$4="Параллельный режим (активная мощность)",AC239,AN239)+Статистика!$J$4))-Статистика!$C$10)/MAX(Статистика!$G$10-Статистика!$C$10,0.000001)))))</f>
        <v>2.9348274999999924E-2</v>
      </c>
      <c r="BX239" s="12">
        <f>IF(Y239="","",MAX(0,MAX(0,MIN(1,(((IF(Статистика!$C$4="Параллельный режим (активная мощность)",AE239,AP239)+Статистика!$J$4))-Статистика!$C$10)/MAX(Статистика!$G$10-Статистика!$C$10,0.000001)))-MAX(0,MIN(1,(((IF(Статистика!$C$4="Параллельный режим (активная мощность)",AD239,AO239)+Статистика!$J$4))-Статистика!$C$10)/MAX(Статистика!$G$10-Статистика!$C$10,0.000001)))))</f>
        <v>6.3621886111110748E-2</v>
      </c>
      <c r="BY239" s="12">
        <f>IF(Y239="","",MAX(0,MAX(0,MIN(1,(((IF(Статистика!$C$4="Параллельный режим (активная мощность)",AF239,AQ239)+Статистика!$J$4))-Статистика!$C$10)/MAX(Статистика!$G$10-Статистика!$C$10,0.000001)))-MAX(0,MIN(1,(((IF(Статистика!$C$4="Параллельный режим (активная мощность)",AE239,AP239)+Статистика!$J$4))-Статистика!$C$10)/MAX(Статистика!$G$10-Статистика!$C$10,0.000001)))))</f>
        <v>0.14269480388888922</v>
      </c>
      <c r="BZ239" s="12">
        <f>IF(Y239="","",MAX(0,MAX(0,MIN(1,(((IF(Статистика!$C$4="Параллельный режим (активная мощность)",AH239,AS239)+Статистика!$J$4))-Статистика!$C$10)/MAX(Статистика!$G$10-Статистика!$C$10,0.000001)))-MAX(0,MIN(1,(((IF(Статистика!$C$4="Параллельный режим (активная мощность)",AF239,AQ239)+Статистика!$J$4))-Статистика!$C$10)/MAX(Статистика!$G$10-Статистика!$C$10,0.000001)))))</f>
        <v>2.7864693999999912E-2</v>
      </c>
      <c r="CA239" s="12">
        <f>IF(Y239="","",MAX(0,1-MAX(0,MIN(1,(((IF(Статистика!$C$4="Параллельный режим (активная мощность)",AH239,AS239)+Статистика!$J$4))-Статистика!$C$10)/MAX(Статистика!$G$10-Статистика!$C$10,0.000001)))))</f>
        <v>0.23487903266666699</v>
      </c>
      <c r="CB239" s="12">
        <f>IF(Y239="",NA(),IF(Статистика!$B$8="Вкл",(((IF(Статистика!$C$4="Параллельный режим (активная мощность)",AD239,AO239)+Статистика!$J$4))-Статистика!$C$10)/MAX(Статистика!$G$10-Статистика!$C$10,0.000001),NA()))</f>
        <v>0.53093958333333313</v>
      </c>
      <c r="CC239" s="12">
        <f>IF(Y239="",NA(),IF(Статистика!$D$8="Вкл",(((IF(Статистика!$C$4="Параллельный режим (активная мощность)",AC239,AN239)+Статистика!$J$4))-Статистика!$C$10)/MAX(Статистика!$G$10-Статистика!$C$10,0.000001),NA()))</f>
        <v>0.50159130833333321</v>
      </c>
      <c r="CD239" s="12">
        <f>IF(Y239="",NA(),IF(Статистика!$D$8="Вкл",(((IF(Статистика!$C$4="Параллельный режим (активная мощность)",AE239,AP239)+Статистика!$J$4))-Статистика!$C$10)/MAX(Статистика!$G$10-Статистика!$C$10,0.000001),NA()))</f>
        <v>0.59456146944444388</v>
      </c>
      <c r="CE239" s="12">
        <f>IF(Y239="",NA(),IF(Статистика!$F$8="Вкл",(((IF(Статистика!$C$4="Параллельный режим (активная мощность)",AB239,AM239)+Статистика!$J$4))-Статистика!$C$10)/MAX(Статистика!$G$10-Статистика!$C$10,0.000001),NA()))</f>
        <v>0.46458619055555572</v>
      </c>
      <c r="CF239" s="12">
        <f>IF(Y239="",NA(),IF(Статистика!$F$8="Вкл",(((IF(Статистика!$C$4="Параллельный режим (активная мощность)",AF239,AQ239)+Статистика!$J$4))-Статистика!$C$10)/MAX(Статистика!$G$10-Статистика!$C$10,0.000001),NA()))</f>
        <v>0.7372562733333331</v>
      </c>
      <c r="CG239" s="12">
        <f>IF(Y239="",NA(),IF(Статистика!$H$8="Вкл",(((IF(Статистика!$C$4="Параллельный режим (активная мощность)",Z239,AK239)+Статистика!$J$4))-Статистика!$C$10)/MAX(Статистика!$G$10-Статистика!$C$10,0.000001),NA()))</f>
        <v>0.46347478905555545</v>
      </c>
      <c r="CH239" s="12">
        <f>IF(Y239="",NA(),IF(Статистика!$H$8="Вкл",(((IF(Статистика!$C$4="Параллельный режим (активная мощность)",AH239,AS239)+Статистика!$J$4))-Статистика!$C$10)/MAX(Статистика!$G$10-Статистика!$C$10,0.000001),NA()))</f>
        <v>0.76512096733333301</v>
      </c>
      <c r="CI239" s="12" t="e">
        <f>IF(Y239="",NA(),IF(Статистика!$J$8="Вкл",(((IF(Статистика!$C$4="Параллельный режим (активная мощность)",AI239,AT239)+Статистика!$J$4))-Статистика!$C$10)/MAX(Статистика!$G$10-Статистика!$C$10,0.000001),NA()))</f>
        <v>#N/A</v>
      </c>
      <c r="CJ239" s="12" t="e">
        <f>IF(AND(Y239&lt;&gt;"",Статистика!$C$6="Вкл",Статистика!$B$6&gt;0),(Статистика!$B$6-Статистика!$C$10)/MAX(Статистика!$G$10-Статистика!$C$10,0.000001),NA())</f>
        <v>#N/A</v>
      </c>
      <c r="CK239" s="12" t="e">
        <f>IF(AND(Y239&lt;&gt;"",Статистика!$F$6="Вкл",Статистика!$E$6&gt;0),(Статистика!$E$6-Статистика!$C$10)/MAX(Статистика!$G$10-Статистика!$C$10,0.000001),NA())</f>
        <v>#N/A</v>
      </c>
      <c r="CL239" s="12" t="e">
        <f>IF(AND(Y239&lt;&gt;"",Статистика!$I$6="Вкл",Статистика!$H$6&gt;0),(Статистика!$H$6-Статистика!$C$10)/MAX(Статистика!$G$10-Статистика!$C$10,0.000001),NA())</f>
        <v>#N/A</v>
      </c>
      <c r="CM239" s="12" t="e">
        <f>IF(AND(Y239&lt;&gt;"",Статистика!$L$6="Вкл",Статистика!$K$6&gt;0),(Статистика!$K$6-Статистика!$C$10)/MAX(Статистика!$G$10-Статистика!$C$10,0.000001),NA())</f>
        <v>#N/A</v>
      </c>
      <c r="CN239" s="12" t="e">
        <f>IF(AND(Y239&lt;&gt;"",Статистика!$M$6="Вкл",Статистика!$O$6&gt;0),(Статистика!$O$6-Статистика!$C$10)/MAX(Статистика!$G$10-Статистика!$C$10,0.000001),NA())</f>
        <v>#N/A</v>
      </c>
      <c r="CO239" s="12">
        <f t="shared" si="7"/>
        <v>1</v>
      </c>
    </row>
    <row r="240" spans="1:93" ht="15" customHeight="1">
      <c r="A240" s="12" t="s">
        <v>1002</v>
      </c>
      <c r="B240" s="12">
        <v>1979.5372891666666</v>
      </c>
      <c r="C240" s="12">
        <v>5580.4192458333346</v>
      </c>
      <c r="D240" s="12">
        <v>7302.9385216666669</v>
      </c>
      <c r="E240" s="12">
        <v>7486.7668750000003</v>
      </c>
      <c r="F240" s="12">
        <v>7699.7655333333332</v>
      </c>
      <c r="G240" s="12">
        <v>7768.1355166666672</v>
      </c>
      <c r="H240" s="12">
        <v>8109.3106283333336</v>
      </c>
      <c r="I240" s="12">
        <v>8132.3413700000001</v>
      </c>
      <c r="J240" s="12">
        <v>8137.2644873333338</v>
      </c>
      <c r="K240" s="12">
        <v>8321.02</v>
      </c>
      <c r="L240" s="12" t="s">
        <v>1003</v>
      </c>
      <c r="M240" s="12">
        <v>2378.6650439999999</v>
      </c>
      <c r="N240" s="12">
        <v>6344.5081533333332</v>
      </c>
      <c r="O240" s="12">
        <v>8250.3868349999993</v>
      </c>
      <c r="P240" s="12">
        <v>8493.0991250000006</v>
      </c>
      <c r="Q240" s="12">
        <v>8674.9618999999984</v>
      </c>
      <c r="R240" s="12">
        <v>8767.542833333333</v>
      </c>
      <c r="S240" s="12">
        <v>9146.5304633333344</v>
      </c>
      <c r="T240" s="12">
        <v>9186.9487850000005</v>
      </c>
      <c r="U240" s="12">
        <v>9195.1608503333337</v>
      </c>
      <c r="V240" s="12">
        <v>9366.23</v>
      </c>
      <c r="W240" s="12" t="s">
        <v>1004</v>
      </c>
      <c r="Y240" s="12" t="s">
        <v>1002</v>
      </c>
      <c r="Z240" s="12">
        <v>7388.153467000001</v>
      </c>
      <c r="AA240" s="12">
        <v>7395.5981350000002</v>
      </c>
      <c r="AB240" s="12">
        <v>7404.9039700000003</v>
      </c>
      <c r="AC240" s="12">
        <v>7525.1070250000002</v>
      </c>
      <c r="AD240" s="12">
        <v>7602.7776666666668</v>
      </c>
      <c r="AE240" s="12">
        <v>7758.547391666667</v>
      </c>
      <c r="AF240" s="12">
        <v>8223.0496199999998</v>
      </c>
      <c r="AG240" s="12">
        <v>8270.5904099999989</v>
      </c>
      <c r="AH240" s="12">
        <v>8308.6230419999993</v>
      </c>
      <c r="AI240" s="12">
        <v>8441.3799999999992</v>
      </c>
      <c r="AJ240" s="12" t="s">
        <v>1005</v>
      </c>
      <c r="AK240" s="12">
        <v>8344.0466636666661</v>
      </c>
      <c r="AL240" s="12">
        <v>8359.4991849999988</v>
      </c>
      <c r="AM240" s="12">
        <v>8378.8148366666665</v>
      </c>
      <c r="AN240" s="12">
        <v>8485.2479916666671</v>
      </c>
      <c r="AO240" s="12">
        <v>8688.4692999999988</v>
      </c>
      <c r="AP240" s="12">
        <v>8822.0916500000003</v>
      </c>
      <c r="AQ240" s="12">
        <v>9182.1487216666665</v>
      </c>
      <c r="AR240" s="12">
        <v>9226.2643774999997</v>
      </c>
      <c r="AS240" s="12">
        <v>9261.556902166667</v>
      </c>
      <c r="AT240" s="12">
        <v>9387.25</v>
      </c>
      <c r="AU240" s="12" t="s">
        <v>1006</v>
      </c>
      <c r="AW240" s="12">
        <f>IF(A240="","",MAX(0,MIN(1,(((IF(Статистика!$C$4="Параллельный режим (активная мощность)",B240,M240)+Статистика!$J$4))-Статистика!$C$10)/MAX(Статистика!$G$10-Статистика!$C$10,0.000001))))</f>
        <v>0</v>
      </c>
      <c r="AX240" s="12">
        <f>IF(A240="","",MAX(0,MAX(0,MIN(1,(((IF(Статистика!$C$4="Параллельный режим (активная мощность)",D240,O240)+Статистика!$J$4))-Статистика!$C$10)/MAX(Статистика!$G$10-Статистика!$C$10,0.000001)))-MAX(0,MIN(1,(((IF(Статистика!$C$4="Параллельный режим (активная мощность)",B240,M240)+Статистика!$J$4))-Статистика!$C$10)/MAX(Статистика!$G$10-Статистика!$C$10,0.000001)))))</f>
        <v>0.43431284055555563</v>
      </c>
      <c r="AY240" s="12">
        <f>IF(A240="","",MAX(0,MAX(0,MIN(1,(((IF(Статистика!$C$4="Параллельный режим (активная мощность)",E240,P240)+Статистика!$J$4))-Статистика!$C$10)/MAX(Статистика!$G$10-Статистика!$C$10,0.000001)))-MAX(0,MIN(1,(((IF(Статистика!$C$4="Параллельный режим (активная мощность)",D240,O240)+Статистика!$J$4))-Статистика!$C$10)/MAX(Статистика!$G$10-Статистика!$C$10,0.000001)))))</f>
        <v>6.1276117777777805E-2</v>
      </c>
      <c r="AZ240" s="12">
        <f>IF(A240="","",MAX(0,MAX(0,MIN(1,(((IF(Статистика!$C$4="Параллельный режим (активная мощность)",F240,Q240)+Статистика!$J$4))-Статистика!$C$10)/MAX(Статистика!$G$10-Статистика!$C$10,0.000001)))-MAX(0,MIN(1,(((IF(Статистика!$C$4="Параллельный режим (активная мощность)",E240,P240)+Статистика!$J$4))-Статистика!$C$10)/MAX(Статистика!$G$10-Статистика!$C$10,0.000001)))))</f>
        <v>7.0999552777777641E-2</v>
      </c>
      <c r="BA240" s="12">
        <f>IF(A240="","",MAX(0,MAX(0,MIN(1,(((IF(Статистика!$C$4="Параллельный режим (активная мощность)",G240,R240)+Статистика!$J$4))-Статистика!$C$10)/MAX(Статистика!$G$10-Статистика!$C$10,0.000001)))-MAX(0,MIN(1,(((IF(Статистика!$C$4="Параллельный режим (активная мощность)",F240,Q240)+Статистика!$J$4))-Статистика!$C$10)/MAX(Статистика!$G$10-Статистика!$C$10,0.000001)))))</f>
        <v>2.2789994444444628E-2</v>
      </c>
      <c r="BB240" s="12">
        <f>IF(A240="","",MAX(0,MAX(0,MIN(1,(((IF(Статистика!$C$4="Параллельный режим (активная мощность)",H240,S240)+Статистика!$J$4))-Статистика!$C$10)/MAX(Статистика!$G$10-Статистика!$C$10,0.000001)))-MAX(0,MIN(1,(((IF(Статистика!$C$4="Параллельный режим (активная мощность)",G240,R240)+Статистика!$J$4))-Статистика!$C$10)/MAX(Статистика!$G$10-Статистика!$C$10,0.000001)))))</f>
        <v>0.11372503722222216</v>
      </c>
      <c r="BC240" s="12">
        <f>IF(A240="","",MAX(0,MAX(0,MIN(1,(((IF(Статистика!$C$4="Параллельный режим (активная мощность)",J240,U240)+Статистика!$J$4))-Статистика!$C$10)/MAX(Статистика!$G$10-Статистика!$C$10,0.000001)))-MAX(0,MIN(1,(((IF(Статистика!$C$4="Параллельный режим (активная мощность)",H240,S240)+Статистика!$J$4))-Статистика!$C$10)/MAX(Статистика!$G$10-Статистика!$C$10,0.000001)))))</f>
        <v>9.3179530000000454E-3</v>
      </c>
      <c r="BD240" s="12">
        <f>IF(A240="","",MAX(0,1-MAX(0,MIN(1,(((IF(Статистика!$C$4="Параллельный режим (активная мощность)",J240,U240)+Статистика!$J$4))-Статистика!$C$10)/MAX(Статистика!$G$10-Статистика!$C$10,0.000001)))))</f>
        <v>0.28757850422222209</v>
      </c>
      <c r="BE240" s="12">
        <f>IF(A240="",NA(),IF(Статистика!$B$8="Вкл",(((IF(Статистика!$C$4="Параллельный режим (активная мощность)",F240,Q240)+Статистика!$J$4))-Статистика!$C$10)/MAX(Статистика!$G$10-Статистика!$C$10,0.000001),NA()))</f>
        <v>0.56658851111111108</v>
      </c>
      <c r="BF240" s="12">
        <f>IF(A240="",NA(),IF(Статистика!$D$8="Вкл",(((IF(Статистика!$C$4="Параллельный режим (активная мощность)",E240,P240)+Статистика!$J$4))-Статистика!$C$10)/MAX(Статистика!$G$10-Статистика!$C$10,0.000001),NA()))</f>
        <v>0.49558895833333344</v>
      </c>
      <c r="BG240" s="12">
        <f>IF(A240="",NA(),IF(Статистика!$D$8="Вкл",(((IF(Статистика!$C$4="Параллельный режим (активная мощность)",G240,R240)+Статистика!$J$4))-Статистика!$C$10)/MAX(Статистика!$G$10-Статистика!$C$10,0.000001),NA()))</f>
        <v>0.58937850555555571</v>
      </c>
      <c r="BH240" s="12">
        <f>IF(A240="",NA(),IF(Статистика!$F$8="Вкл",(((IF(Статистика!$C$4="Параллельный режим (активная мощность)",D240,O240)+Статистика!$J$4))-Статистика!$C$10)/MAX(Статистика!$G$10-Статистика!$C$10,0.000001),NA()))</f>
        <v>0.43431284055555563</v>
      </c>
      <c r="BI240" s="12">
        <f>IF(A240="",NA(),IF(Статистика!$F$8="Вкл",(((IF(Статистика!$C$4="Параллельный режим (активная мощность)",H240,S240)+Статистика!$J$4))-Статистика!$C$10)/MAX(Статистика!$G$10-Статистика!$C$10,0.000001),NA()))</f>
        <v>0.70310354277777787</v>
      </c>
      <c r="BJ240" s="12">
        <f>IF(A240="",NA(),IF(Статистика!$H$8="Вкл",(((IF(Статистика!$C$4="Параллельный режим (активная мощность)",B240,M240)+Статистика!$J$4))-Статистика!$C$10)/MAX(Статистика!$G$10-Статистика!$C$10,0.000001),NA()))</f>
        <v>-1.3401542369444446</v>
      </c>
      <c r="BK240" s="12">
        <f>IF(A240="",NA(),IF(Статистика!$H$8="Вкл",(((IF(Статистика!$C$4="Параллельный режим (активная мощность)",J240,U240)+Статистика!$J$4))-Статистика!$C$10)/MAX(Статистика!$G$10-Статистика!$C$10,0.000001),NA()))</f>
        <v>0.71242149577777791</v>
      </c>
      <c r="BL240" s="12" t="e">
        <f>IF(A240="",NA(),IF(Статистика!$J$8="Вкл",(((IF(Статистика!$C$4="Параллельный режим (активная мощность)",K240,V240)+Статистика!$J$4))-Статистика!$C$10)/MAX(Статистика!$G$10-Статистика!$C$10,0.000001),NA()))</f>
        <v>#N/A</v>
      </c>
      <c r="BM240" s="12" t="e">
        <f>IF(AND(A240&lt;&gt;"",Статистика!$C$6="Вкл",Статистика!$B$6&gt;0),(Статистика!$B$6-Статистика!$C$10)/MAX(Статистика!$G$10-Статистика!$C$10,0.000001),NA())</f>
        <v>#N/A</v>
      </c>
      <c r="BN240" s="12" t="e">
        <f>IF(AND(A240&lt;&gt;"",Статистика!$F$6="Вкл",Статистика!$E$6&gt;0),(Статистика!$E$6-Статистика!$C$10)/MAX(Статистика!$G$10-Статистика!$C$10,0.000001),NA())</f>
        <v>#N/A</v>
      </c>
      <c r="BO240" s="12" t="e">
        <f>IF(AND(A240&lt;&gt;"",Статистика!$I$6="Вкл",Статистика!$H$6&gt;0),(Статистика!$H$6-Статистика!$C$10)/MAX(Статистика!$G$10-Статистика!$C$10,0.000001),NA())</f>
        <v>#N/A</v>
      </c>
      <c r="BP240" s="12" t="e">
        <f>IF(AND(A240&lt;&gt;"",Статистика!$L$6="Вкл",Статистика!$K$6&gt;0),(Статистика!$K$6-Статистика!$C$10)/MAX(Статистика!$G$10-Статистика!$C$10,0.000001),NA())</f>
        <v>#N/A</v>
      </c>
      <c r="BQ240" s="12" t="e">
        <f>IF(AND(A240&lt;&gt;"",Статистика!$M$6="Вкл",Статистика!$O$6&gt;0),(Статистика!$O$6-Статистика!$C$10)/MAX(Статистика!$G$10-Статистика!$C$10,0.000001),NA())</f>
        <v>#N/A</v>
      </c>
      <c r="BR240" s="12">
        <f t="shared" si="6"/>
        <v>1</v>
      </c>
      <c r="BT240" s="12">
        <f>IF(Y240="","",MAX(0,MIN(1,(((IF(Статистика!$C$4="Параллельный режим (активная мощность)",Z240,AK240)+Статистика!$J$4))-Статистика!$C$10)/MAX(Статистика!$G$10-Статистика!$C$10,0.000001))))</f>
        <v>0.46271782233333364</v>
      </c>
      <c r="BU240" s="12">
        <f>IF(Y240="","",MAX(0,MAX(0,MIN(1,(((IF(Статистика!$C$4="Параллельный режим (активная мощность)",AB240,AM240)+Статистика!$J$4))-Статистика!$C$10)/MAX(Статистика!$G$10-Статистика!$C$10,0.000001)))-MAX(0,MIN(1,(((IF(Статистика!$C$4="Параллельный режим (активная мощность)",Z240,AK240)+Статистика!$J$4))-Статистика!$C$10)/MAX(Статистика!$G$10-Статистика!$C$10,0.000001)))))</f>
        <v>5.5835009999997687E-3</v>
      </c>
      <c r="BV240" s="12">
        <f>IF(Y240="","",MAX(0,MAX(0,MIN(1,(((IF(Статистика!$C$4="Параллельный режим (активная мощность)",AC240,AN240)+Статистика!$J$4))-Статистика!$C$10)/MAX(Статистика!$G$10-Статистика!$C$10,0.000001)))-MAX(0,MIN(1,(((IF(Статистика!$C$4="Параллельный режим (активная мощность)",AB240,AM240)+Статистика!$J$4))-Статистика!$C$10)/MAX(Статистика!$G$10-Статистика!$C$10,0.000001)))))</f>
        <v>4.006768500000002E-2</v>
      </c>
      <c r="BW240" s="12">
        <f>IF(Y240="","",MAX(0,MAX(0,MIN(1,(((IF(Статистика!$C$4="Параллельный режим (активная мощность)",AD240,AO240)+Статистика!$J$4))-Статистика!$C$10)/MAX(Статистика!$G$10-Статистика!$C$10,0.000001)))-MAX(0,MIN(1,(((IF(Статистика!$C$4="Параллельный режим (активная мощность)",AC240,AN240)+Статистика!$J$4))-Статистика!$C$10)/MAX(Статистика!$G$10-Статистика!$C$10,0.000001)))))</f>
        <v>2.5890213888888902E-2</v>
      </c>
      <c r="BX240" s="12">
        <f>IF(Y240="","",MAX(0,MAX(0,MIN(1,(((IF(Статистика!$C$4="Параллельный режим (активная мощность)",AE240,AP240)+Статистика!$J$4))-Статистика!$C$10)/MAX(Статистика!$G$10-Статистика!$C$10,0.000001)))-MAX(0,MIN(1,(((IF(Статистика!$C$4="Параллельный режим (активная мощность)",AD240,AO240)+Статистика!$J$4))-Статистика!$C$10)/MAX(Статистика!$G$10-Статистика!$C$10,0.000001)))))</f>
        <v>5.192324166666662E-2</v>
      </c>
      <c r="BY240" s="12">
        <f>IF(Y240="","",MAX(0,MAX(0,MIN(1,(((IF(Статистика!$C$4="Параллельный режим (активная мощность)",AF240,AQ240)+Статистика!$J$4))-Статистика!$C$10)/MAX(Статистика!$G$10-Статистика!$C$10,0.000001)))-MAX(0,MIN(1,(((IF(Статистика!$C$4="Параллельный режим (активная мощность)",AE240,AP240)+Статистика!$J$4))-Статистика!$C$10)/MAX(Статистика!$G$10-Статистика!$C$10,0.000001)))))</f>
        <v>0.154834076111111</v>
      </c>
      <c r="BZ240" s="12">
        <f>IF(Y240="","",MAX(0,MAX(0,MIN(1,(((IF(Статистика!$C$4="Параллельный режим (активная мощность)",AH240,AS240)+Статистика!$J$4))-Статистика!$C$10)/MAX(Статистика!$G$10-Статистика!$C$10,0.000001)))-MAX(0,MIN(1,(((IF(Статистика!$C$4="Параллельный режим (активная мощность)",AF240,AQ240)+Статистика!$J$4))-Статистика!$C$10)/MAX(Статистика!$G$10-Статистика!$C$10,0.000001)))))</f>
        <v>2.85244739999998E-2</v>
      </c>
      <c r="CA240" s="12">
        <f>IF(Y240="","",MAX(0,1-MAX(0,MIN(1,(((IF(Статистика!$C$4="Параллельный режим (активная мощность)",AH240,AS240)+Статистика!$J$4))-Статистика!$C$10)/MAX(Статистика!$G$10-Статистика!$C$10,0.000001)))))</f>
        <v>0.23045898600000025</v>
      </c>
      <c r="CB240" s="12">
        <f>IF(Y240="",NA(),IF(Статистика!$B$8="Вкл",(((IF(Статистика!$C$4="Параллельный режим (активная мощность)",AD240,AO240)+Статистика!$J$4))-Статистика!$C$10)/MAX(Статистика!$G$10-Статистика!$C$10,0.000001),NA()))</f>
        <v>0.53425922222222233</v>
      </c>
      <c r="CC240" s="12">
        <f>IF(Y240="",NA(),IF(Статистика!$D$8="Вкл",(((IF(Статистика!$C$4="Параллельный режим (активная мощность)",AC240,AN240)+Статистика!$J$4))-Статистика!$C$10)/MAX(Статистика!$G$10-Статистика!$C$10,0.000001),NA()))</f>
        <v>0.50836900833333343</v>
      </c>
      <c r="CD240" s="12">
        <f>IF(Y240="",NA(),IF(Статистика!$D$8="Вкл",(((IF(Статистика!$C$4="Параллельный режим (активная мощность)",AE240,AP240)+Статистика!$J$4))-Статистика!$C$10)/MAX(Статистика!$G$10-Статистика!$C$10,0.000001),NA()))</f>
        <v>0.58618246388888895</v>
      </c>
      <c r="CE240" s="12">
        <f>IF(Y240="",NA(),IF(Статистика!$F$8="Вкл",(((IF(Статистика!$C$4="Параллельный режим (активная мощность)",AB240,AM240)+Статистика!$J$4))-Статистика!$C$10)/MAX(Статистика!$G$10-Статистика!$C$10,0.000001),NA()))</f>
        <v>0.46830132333333341</v>
      </c>
      <c r="CF240" s="12">
        <f>IF(Y240="",NA(),IF(Статистика!$F$8="Вкл",(((IF(Статистика!$C$4="Параллельный режим (активная мощность)",AF240,AQ240)+Статистика!$J$4))-Статистика!$C$10)/MAX(Статистика!$G$10-Статистика!$C$10,0.000001),NA()))</f>
        <v>0.74101653999999995</v>
      </c>
      <c r="CG240" s="12">
        <f>IF(Y240="",NA(),IF(Статистика!$H$8="Вкл",(((IF(Статистика!$C$4="Параллельный режим (активная мощность)",Z240,AK240)+Статистика!$J$4))-Статистика!$C$10)/MAX(Статистика!$G$10-Статистика!$C$10,0.000001),NA()))</f>
        <v>0.46271782233333364</v>
      </c>
      <c r="CH240" s="12">
        <f>IF(Y240="",NA(),IF(Статистика!$H$8="Вкл",(((IF(Статистика!$C$4="Параллельный режим (активная мощность)",AH240,AS240)+Статистика!$J$4))-Статистика!$C$10)/MAX(Статистика!$G$10-Статистика!$C$10,0.000001),NA()))</f>
        <v>0.76954101399999975</v>
      </c>
      <c r="CI240" s="12" t="e">
        <f>IF(Y240="",NA(),IF(Статистика!$J$8="Вкл",(((IF(Статистика!$C$4="Параллельный режим (активная мощность)",AI240,AT240)+Статистика!$J$4))-Статистика!$C$10)/MAX(Статистика!$G$10-Статистика!$C$10,0.000001),NA()))</f>
        <v>#N/A</v>
      </c>
      <c r="CJ240" s="12" t="e">
        <f>IF(AND(Y240&lt;&gt;"",Статистика!$C$6="Вкл",Статистика!$B$6&gt;0),(Статистика!$B$6-Статистика!$C$10)/MAX(Статистика!$G$10-Статистика!$C$10,0.000001),NA())</f>
        <v>#N/A</v>
      </c>
      <c r="CK240" s="12" t="e">
        <f>IF(AND(Y240&lt;&gt;"",Статистика!$F$6="Вкл",Статистика!$E$6&gt;0),(Статистика!$E$6-Статистика!$C$10)/MAX(Статистика!$G$10-Статистика!$C$10,0.000001),NA())</f>
        <v>#N/A</v>
      </c>
      <c r="CL240" s="12" t="e">
        <f>IF(AND(Y240&lt;&gt;"",Статистика!$I$6="Вкл",Статистика!$H$6&gt;0),(Статистика!$H$6-Статистика!$C$10)/MAX(Статистика!$G$10-Статистика!$C$10,0.000001),NA())</f>
        <v>#N/A</v>
      </c>
      <c r="CM240" s="12" t="e">
        <f>IF(AND(Y240&lt;&gt;"",Статистика!$L$6="Вкл",Статистика!$K$6&gt;0),(Статистика!$K$6-Статистика!$C$10)/MAX(Статистика!$G$10-Статистика!$C$10,0.000001),NA())</f>
        <v>#N/A</v>
      </c>
      <c r="CN240" s="12" t="e">
        <f>IF(AND(Y240&lt;&gt;"",Статистика!$M$6="Вкл",Статистика!$O$6&gt;0),(Статистика!$O$6-Статистика!$C$10)/MAX(Статистика!$G$10-Статистика!$C$10,0.000001),NA())</f>
        <v>#N/A</v>
      </c>
      <c r="CO240" s="12">
        <f t="shared" si="7"/>
        <v>1</v>
      </c>
    </row>
    <row r="241" spans="1:93" ht="15" customHeight="1">
      <c r="A241" s="12" t="s">
        <v>1007</v>
      </c>
      <c r="B241" s="12">
        <v>1980.9638434999999</v>
      </c>
      <c r="C241" s="12">
        <v>5584.4498841666673</v>
      </c>
      <c r="D241" s="12">
        <v>7293.7689350000001</v>
      </c>
      <c r="E241" s="12">
        <v>7455.3531916666652</v>
      </c>
      <c r="F241" s="12">
        <v>7673.1841833333337</v>
      </c>
      <c r="G241" s="12">
        <v>7741.4484583333342</v>
      </c>
      <c r="H241" s="12">
        <v>8119.8768016666663</v>
      </c>
      <c r="I241" s="12">
        <v>8133.5048891666665</v>
      </c>
      <c r="J241" s="12">
        <v>8140.1620711666674</v>
      </c>
      <c r="K241" s="12">
        <v>8292.2199999999993</v>
      </c>
      <c r="L241" s="12" t="s">
        <v>1008</v>
      </c>
      <c r="M241" s="12">
        <v>2386.4354176666666</v>
      </c>
      <c r="N241" s="12">
        <v>6350.3045550000006</v>
      </c>
      <c r="O241" s="12">
        <v>8230.4793166666659</v>
      </c>
      <c r="P241" s="12">
        <v>8461.5224833333341</v>
      </c>
      <c r="Q241" s="12">
        <v>8658.9080666666669</v>
      </c>
      <c r="R241" s="12">
        <v>8744.8398500000003</v>
      </c>
      <c r="S241" s="12">
        <v>9135.3661883333334</v>
      </c>
      <c r="T241" s="12">
        <v>9194.2087200000024</v>
      </c>
      <c r="U241" s="12">
        <v>9210.3942773333347</v>
      </c>
      <c r="V241" s="12">
        <v>9339.83</v>
      </c>
      <c r="W241" s="12" t="s">
        <v>1008</v>
      </c>
      <c r="Y241" s="12" t="s">
        <v>1007</v>
      </c>
      <c r="Z241" s="12">
        <v>7308.2293854999998</v>
      </c>
      <c r="AA241" s="12">
        <v>7328.9099941666664</v>
      </c>
      <c r="AB241" s="12">
        <v>7354.7607550000002</v>
      </c>
      <c r="AC241" s="12">
        <v>7479.2392416666662</v>
      </c>
      <c r="AD241" s="12">
        <v>7568.1865833333322</v>
      </c>
      <c r="AE241" s="12">
        <v>7725.9512416666676</v>
      </c>
      <c r="AF241" s="12">
        <v>8188.1722566666667</v>
      </c>
      <c r="AG241" s="12">
        <v>8244.5896616666669</v>
      </c>
      <c r="AH241" s="12">
        <v>8289.7235856666666</v>
      </c>
      <c r="AI241" s="12">
        <v>8441.2999999999993</v>
      </c>
      <c r="AJ241" s="12" t="s">
        <v>1009</v>
      </c>
      <c r="AK241" s="12">
        <v>8231.1963063333333</v>
      </c>
      <c r="AL241" s="12">
        <v>8253.8787316666676</v>
      </c>
      <c r="AM241" s="12">
        <v>8282.2317633333332</v>
      </c>
      <c r="AN241" s="12">
        <v>8473.5739250000006</v>
      </c>
      <c r="AO241" s="12">
        <v>8633.9766833333324</v>
      </c>
      <c r="AP241" s="12">
        <v>8742.4933999999994</v>
      </c>
      <c r="AQ241" s="12">
        <v>9142.5933333333323</v>
      </c>
      <c r="AR241" s="12">
        <v>9193.242283333333</v>
      </c>
      <c r="AS241" s="12">
        <v>9233.7614433333329</v>
      </c>
      <c r="AT241" s="12">
        <v>9395.7199999999993</v>
      </c>
      <c r="AU241" s="12" t="s">
        <v>1009</v>
      </c>
      <c r="AW241" s="12">
        <f>IF(A241="","",MAX(0,MIN(1,(((IF(Статистика!$C$4="Параллельный режим (активная мощность)",B241,M241)+Статистика!$J$4))-Статистика!$C$10)/MAX(Статистика!$G$10-Статистика!$C$10,0.000001))))</f>
        <v>0</v>
      </c>
      <c r="AX241" s="12">
        <f>IF(A241="","",MAX(0,MAX(0,MIN(1,(((IF(Статистика!$C$4="Параллельный режим (активная мощность)",D241,O241)+Статистика!$J$4))-Статистика!$C$10)/MAX(Статистика!$G$10-Статистика!$C$10,0.000001)))-MAX(0,MIN(1,(((IF(Статистика!$C$4="Параллельный режим (активная мощность)",B241,M241)+Статистика!$J$4))-Статистика!$C$10)/MAX(Статистика!$G$10-Статистика!$C$10,0.000001)))))</f>
        <v>0.43125631166666667</v>
      </c>
      <c r="AY241" s="12">
        <f>IF(A241="","",MAX(0,MAX(0,MIN(1,(((IF(Статистика!$C$4="Параллельный режим (активная мощность)",E241,P241)+Статистика!$J$4))-Статистика!$C$10)/MAX(Статистика!$G$10-Статистика!$C$10,0.000001)))-MAX(0,MIN(1,(((IF(Статистика!$C$4="Параллельный режим (активная мощность)",D241,O241)+Статистика!$J$4))-Статистика!$C$10)/MAX(Статистика!$G$10-Статистика!$C$10,0.000001)))))</f>
        <v>5.3861418888888402E-2</v>
      </c>
      <c r="AZ241" s="12">
        <f>IF(A241="","",MAX(0,MAX(0,MIN(1,(((IF(Статистика!$C$4="Параллельный режим (активная мощность)",F241,Q241)+Статистика!$J$4))-Статистика!$C$10)/MAX(Статистика!$G$10-Статистика!$C$10,0.000001)))-MAX(0,MIN(1,(((IF(Статистика!$C$4="Параллельный режим (активная мощность)",E241,P241)+Статистика!$J$4))-Статистика!$C$10)/MAX(Статистика!$G$10-Статистика!$C$10,0.000001)))))</f>
        <v>7.2610330555556213E-2</v>
      </c>
      <c r="BA241" s="12">
        <f>IF(A241="","",MAX(0,MAX(0,MIN(1,(((IF(Статистика!$C$4="Параллельный режим (активная мощность)",G241,R241)+Статистика!$J$4))-Статистика!$C$10)/MAX(Статистика!$G$10-Статистика!$C$10,0.000001)))-MAX(0,MIN(1,(((IF(Статистика!$C$4="Параллельный режим (активная мощность)",F241,Q241)+Статистика!$J$4))-Статистика!$C$10)/MAX(Статистика!$G$10-Статистика!$C$10,0.000001)))))</f>
        <v>2.2754758333333402E-2</v>
      </c>
      <c r="BB241" s="12">
        <f>IF(A241="","",MAX(0,MAX(0,MIN(1,(((IF(Статистика!$C$4="Параллельный режим (активная мощность)",H241,S241)+Статистика!$J$4))-Статистика!$C$10)/MAX(Статистика!$G$10-Статистика!$C$10,0.000001)))-MAX(0,MIN(1,(((IF(Статистика!$C$4="Параллельный режим (активная мощность)",G241,R241)+Статистика!$J$4))-Статистика!$C$10)/MAX(Статистика!$G$10-Статистика!$C$10,0.000001)))))</f>
        <v>0.12614278111111077</v>
      </c>
      <c r="BC241" s="12">
        <f>IF(A241="","",MAX(0,MAX(0,MIN(1,(((IF(Статистика!$C$4="Параллельный режим (активная мощность)",J241,U241)+Статистика!$J$4))-Статистика!$C$10)/MAX(Статистика!$G$10-Статистика!$C$10,0.000001)))-MAX(0,MIN(1,(((IF(Статистика!$C$4="Параллельный режим (активная мощность)",H241,S241)+Статистика!$J$4))-Статистика!$C$10)/MAX(Статистика!$G$10-Статистика!$C$10,0.000001)))))</f>
        <v>6.7617565000003266E-3</v>
      </c>
      <c r="BD241" s="12">
        <f>IF(A241="","",MAX(0,1-MAX(0,MIN(1,(((IF(Статистика!$C$4="Параллельный режим (активная мощность)",J241,U241)+Статистика!$J$4))-Статистика!$C$10)/MAX(Статистика!$G$10-Статистика!$C$10,0.000001)))))</f>
        <v>0.28661264294444422</v>
      </c>
      <c r="BE241" s="12">
        <f>IF(A241="",NA(),IF(Статистика!$B$8="Вкл",(((IF(Статистика!$C$4="Параллельный режим (активная мощность)",F241,Q241)+Статистика!$J$4))-Статистика!$C$10)/MAX(Статистика!$G$10-Статистика!$C$10,0.000001),NA()))</f>
        <v>0.55772806111111128</v>
      </c>
      <c r="BF241" s="12">
        <f>IF(A241="",NA(),IF(Статистика!$D$8="Вкл",(((IF(Статистика!$C$4="Параллельный режим (активная мощность)",E241,P241)+Статистика!$J$4))-Статистика!$C$10)/MAX(Статистика!$G$10-Статистика!$C$10,0.000001),NA()))</f>
        <v>0.48511773055555507</v>
      </c>
      <c r="BG241" s="12">
        <f>IF(A241="",NA(),IF(Статистика!$D$8="Вкл",(((IF(Статистика!$C$4="Параллельный режим (активная мощность)",G241,R241)+Статистика!$J$4))-Статистика!$C$10)/MAX(Статистика!$G$10-Статистика!$C$10,0.000001),NA()))</f>
        <v>0.58048281944444469</v>
      </c>
      <c r="BH241" s="12">
        <f>IF(A241="",NA(),IF(Статистика!$F$8="Вкл",(((IF(Статистика!$C$4="Параллельный режим (активная мощность)",D241,O241)+Статистика!$J$4))-Статистика!$C$10)/MAX(Статистика!$G$10-Статистика!$C$10,0.000001),NA()))</f>
        <v>0.43125631166666667</v>
      </c>
      <c r="BI241" s="12">
        <f>IF(A241="",NA(),IF(Статистика!$F$8="Вкл",(((IF(Статистика!$C$4="Параллельный режим (активная мощность)",H241,S241)+Статистика!$J$4))-Статистика!$C$10)/MAX(Статистика!$G$10-Статистика!$C$10,0.000001),NA()))</f>
        <v>0.70662560055555546</v>
      </c>
      <c r="BJ241" s="12">
        <f>IF(A241="",NA(),IF(Статистика!$H$8="Вкл",(((IF(Статистика!$C$4="Параллельный режим (активная мощность)",B241,M241)+Статистика!$J$4))-Статистика!$C$10)/MAX(Статистика!$G$10-Статистика!$C$10,0.000001),NA()))</f>
        <v>-1.3396787188333334</v>
      </c>
      <c r="BK241" s="12">
        <f>IF(A241="",NA(),IF(Статистика!$H$8="Вкл",(((IF(Статистика!$C$4="Параллельный режим (активная мощность)",J241,U241)+Статистика!$J$4))-Статистика!$C$10)/MAX(Статистика!$G$10-Статистика!$C$10,0.000001),NA()))</f>
        <v>0.71338735705555578</v>
      </c>
      <c r="BL241" s="12" t="e">
        <f>IF(A241="",NA(),IF(Статистика!$J$8="Вкл",(((IF(Статистика!$C$4="Параллельный режим (активная мощность)",K241,V241)+Статистика!$J$4))-Статистика!$C$10)/MAX(Статистика!$G$10-Статистика!$C$10,0.000001),NA()))</f>
        <v>#N/A</v>
      </c>
      <c r="BM241" s="12" t="e">
        <f>IF(AND(A241&lt;&gt;"",Статистика!$C$6="Вкл",Статистика!$B$6&gt;0),(Статистика!$B$6-Статистика!$C$10)/MAX(Статистика!$G$10-Статистика!$C$10,0.000001),NA())</f>
        <v>#N/A</v>
      </c>
      <c r="BN241" s="12" t="e">
        <f>IF(AND(A241&lt;&gt;"",Статистика!$F$6="Вкл",Статистика!$E$6&gt;0),(Статистика!$E$6-Статистика!$C$10)/MAX(Статистика!$G$10-Статистика!$C$10,0.000001),NA())</f>
        <v>#N/A</v>
      </c>
      <c r="BO241" s="12" t="e">
        <f>IF(AND(A241&lt;&gt;"",Статистика!$I$6="Вкл",Статистика!$H$6&gt;0),(Статистика!$H$6-Статистика!$C$10)/MAX(Статистика!$G$10-Статистика!$C$10,0.000001),NA())</f>
        <v>#N/A</v>
      </c>
      <c r="BP241" s="12" t="e">
        <f>IF(AND(A241&lt;&gt;"",Статистика!$L$6="Вкл",Статистика!$K$6&gt;0),(Статистика!$K$6-Статистика!$C$10)/MAX(Статистика!$G$10-Статистика!$C$10,0.000001),NA())</f>
        <v>#N/A</v>
      </c>
      <c r="BQ241" s="12" t="e">
        <f>IF(AND(A241&lt;&gt;"",Статистика!$M$6="Вкл",Статистика!$O$6&gt;0),(Статистика!$O$6-Статистика!$C$10)/MAX(Статистика!$G$10-Статистика!$C$10,0.000001),NA())</f>
        <v>#N/A</v>
      </c>
      <c r="BR241" s="12">
        <f t="shared" si="6"/>
        <v>1</v>
      </c>
      <c r="BT241" s="12">
        <f>IF(Y241="","",MAX(0,MIN(1,(((IF(Статистика!$C$4="Параллельный режим (активная мощность)",Z241,AK241)+Статистика!$J$4))-Статистика!$C$10)/MAX(Статистика!$G$10-Статистика!$C$10,0.000001))))</f>
        <v>0.43607646183333326</v>
      </c>
      <c r="BU241" s="12">
        <f>IF(Y241="","",MAX(0,MAX(0,MIN(1,(((IF(Статистика!$C$4="Параллельный режим (активная мощность)",AB241,AM241)+Статистика!$J$4))-Статистика!$C$10)/MAX(Статистика!$G$10-Статистика!$C$10,0.000001)))-MAX(0,MIN(1,(((IF(Статистика!$C$4="Параллельный режим (активная мощность)",Z241,AK241)+Статистика!$J$4))-Статистика!$C$10)/MAX(Статистика!$G$10-Статистика!$C$10,0.000001)))))</f>
        <v>1.5510456500000158E-2</v>
      </c>
      <c r="BV241" s="12">
        <f>IF(Y241="","",MAX(0,MAX(0,MIN(1,(((IF(Статистика!$C$4="Параллельный режим (активная мощность)",AC241,AN241)+Статистика!$J$4))-Статистика!$C$10)/MAX(Статистика!$G$10-Статистика!$C$10,0.000001)))-MAX(0,MIN(1,(((IF(Статистика!$C$4="Параллельный режим (активная мощность)",AB241,AM241)+Статистика!$J$4))-Статистика!$C$10)/MAX(Статистика!$G$10-Статистика!$C$10,0.000001)))))</f>
        <v>4.1492828888888666E-2</v>
      </c>
      <c r="BW241" s="12">
        <f>IF(Y241="","",MAX(0,MAX(0,MIN(1,(((IF(Статистика!$C$4="Параллельный режим (активная мощность)",AD241,AO241)+Статистика!$J$4))-Статистика!$C$10)/MAX(Статистика!$G$10-Статистика!$C$10,0.000001)))-MAX(0,MIN(1,(((IF(Статистика!$C$4="Параллельный режим (активная мощность)",AC241,AN241)+Статистика!$J$4))-Статистика!$C$10)/MAX(Статистика!$G$10-Статистика!$C$10,0.000001)))))</f>
        <v>2.9649113888888634E-2</v>
      </c>
      <c r="BX241" s="12">
        <f>IF(Y241="","",MAX(0,MAX(0,MIN(1,(((IF(Статистика!$C$4="Параллельный режим (активная мощность)",AE241,AP241)+Статистика!$J$4))-Статистика!$C$10)/MAX(Статистика!$G$10-Статистика!$C$10,0.000001)))-MAX(0,MIN(1,(((IF(Статистика!$C$4="Параллельный режим (активная мощность)",AD241,AO241)+Статистика!$J$4))-Статистика!$C$10)/MAX(Статистика!$G$10-Статистика!$C$10,0.000001)))))</f>
        <v>5.2588219444445139E-2</v>
      </c>
      <c r="BY241" s="12">
        <f>IF(Y241="","",MAX(0,MAX(0,MIN(1,(((IF(Статистика!$C$4="Параллельный режим (активная мощность)",AF241,AQ241)+Статистика!$J$4))-Статистика!$C$10)/MAX(Статистика!$G$10-Статистика!$C$10,0.000001)))-MAX(0,MIN(1,(((IF(Статистика!$C$4="Параллельный режим (активная мощность)",AE241,AP241)+Статистика!$J$4))-Статистика!$C$10)/MAX(Статистика!$G$10-Статистика!$C$10,0.000001)))))</f>
        <v>0.15407367166666641</v>
      </c>
      <c r="BZ241" s="12">
        <f>IF(Y241="","",MAX(0,MAX(0,MIN(1,(((IF(Статистика!$C$4="Параллельный режим (активная мощность)",AH241,AS241)+Статистика!$J$4))-Статистика!$C$10)/MAX(Статистика!$G$10-Статистика!$C$10,0.000001)))-MAX(0,MIN(1,(((IF(Статистика!$C$4="Параллельный режим (активная мощность)",AF241,AQ241)+Статистика!$J$4))-Статистика!$C$10)/MAX(Статистика!$G$10-Статистика!$C$10,0.000001)))))</f>
        <v>3.3850442999999952E-2</v>
      </c>
      <c r="CA241" s="12">
        <f>IF(Y241="","",MAX(0,1-MAX(0,MIN(1,(((IF(Статистика!$C$4="Параллельный режим (активная мощность)",AH241,AS241)+Статистика!$J$4))-Статистика!$C$10)/MAX(Статистика!$G$10-Статистика!$C$10,0.000001)))))</f>
        <v>0.23675880477777778</v>
      </c>
      <c r="CB241" s="12">
        <f>IF(Y241="",NA(),IF(Статистика!$B$8="Вкл",(((IF(Статистика!$C$4="Параллельный режим (активная мощность)",AD241,AO241)+Статистика!$J$4))-Статистика!$C$10)/MAX(Статистика!$G$10-Статистика!$C$10,0.000001),NA()))</f>
        <v>0.52272886111111072</v>
      </c>
      <c r="CC241" s="12">
        <f>IF(Y241="",NA(),IF(Статистика!$D$8="Вкл",(((IF(Статистика!$C$4="Параллельный режим (активная мощность)",AC241,AN241)+Статистика!$J$4))-Статистика!$C$10)/MAX(Статистика!$G$10-Статистика!$C$10,0.000001),NA()))</f>
        <v>0.49307974722222209</v>
      </c>
      <c r="CD241" s="12">
        <f>IF(Y241="",NA(),IF(Статистика!$D$8="Вкл",(((IF(Статистика!$C$4="Параллельный режим (активная мощность)",AE241,AP241)+Статистика!$J$4))-Статистика!$C$10)/MAX(Статистика!$G$10-Статистика!$C$10,0.000001),NA()))</f>
        <v>0.57531708055555586</v>
      </c>
      <c r="CE241" s="12">
        <f>IF(Y241="",NA(),IF(Статистика!$F$8="Вкл",(((IF(Статистика!$C$4="Параллельный режим (активная мощность)",AB241,AM241)+Статистика!$J$4))-Статистика!$C$10)/MAX(Статистика!$G$10-Статистика!$C$10,0.000001),NA()))</f>
        <v>0.45158691833333342</v>
      </c>
      <c r="CF241" s="12">
        <f>IF(Y241="",NA(),IF(Статистика!$F$8="Вкл",(((IF(Статистика!$C$4="Параллельный режим (активная мощность)",AF241,AQ241)+Статистика!$J$4))-Статистика!$C$10)/MAX(Статистика!$G$10-Статистика!$C$10,0.000001),NA()))</f>
        <v>0.72939075222222227</v>
      </c>
      <c r="CG241" s="12">
        <f>IF(Y241="",NA(),IF(Статистика!$H$8="Вкл",(((IF(Статистика!$C$4="Параллельный режим (активная мощность)",Z241,AK241)+Статистика!$J$4))-Статистика!$C$10)/MAX(Статистика!$G$10-Статистика!$C$10,0.000001),NA()))</f>
        <v>0.43607646183333326</v>
      </c>
      <c r="CH241" s="12">
        <f>IF(Y241="",NA(),IF(Статистика!$H$8="Вкл",(((IF(Статистика!$C$4="Параллельный режим (активная мощность)",AH241,AS241)+Статистика!$J$4))-Статистика!$C$10)/MAX(Статистика!$G$10-Статистика!$C$10,0.000001),NA()))</f>
        <v>0.76324119522222222</v>
      </c>
      <c r="CI241" s="12" t="e">
        <f>IF(Y241="",NA(),IF(Статистика!$J$8="Вкл",(((IF(Статистика!$C$4="Параллельный режим (активная мощность)",AI241,AT241)+Статистика!$J$4))-Статистика!$C$10)/MAX(Статистика!$G$10-Статистика!$C$10,0.000001),NA()))</f>
        <v>#N/A</v>
      </c>
      <c r="CJ241" s="12" t="e">
        <f>IF(AND(Y241&lt;&gt;"",Статистика!$C$6="Вкл",Статистика!$B$6&gt;0),(Статистика!$B$6-Статистика!$C$10)/MAX(Статистика!$G$10-Статистика!$C$10,0.000001),NA())</f>
        <v>#N/A</v>
      </c>
      <c r="CK241" s="12" t="e">
        <f>IF(AND(Y241&lt;&gt;"",Статистика!$F$6="Вкл",Статистика!$E$6&gt;0),(Статистика!$E$6-Статистика!$C$10)/MAX(Статистика!$G$10-Статистика!$C$10,0.000001),NA())</f>
        <v>#N/A</v>
      </c>
      <c r="CL241" s="12" t="e">
        <f>IF(AND(Y241&lt;&gt;"",Статистика!$I$6="Вкл",Статистика!$H$6&gt;0),(Статистика!$H$6-Статистика!$C$10)/MAX(Статистика!$G$10-Статистика!$C$10,0.000001),NA())</f>
        <v>#N/A</v>
      </c>
      <c r="CM241" s="12" t="e">
        <f>IF(AND(Y241&lt;&gt;"",Статистика!$L$6="Вкл",Статистика!$K$6&gt;0),(Статистика!$K$6-Статистика!$C$10)/MAX(Статистика!$G$10-Статистика!$C$10,0.000001),NA())</f>
        <v>#N/A</v>
      </c>
      <c r="CN241" s="12" t="e">
        <f>IF(AND(Y241&lt;&gt;"",Статистика!$M$6="Вкл",Статистика!$O$6&gt;0),(Статистика!$O$6-Статистика!$C$10)/MAX(Статистика!$G$10-Статистика!$C$10,0.000001),NA())</f>
        <v>#N/A</v>
      </c>
      <c r="CO241" s="12">
        <f t="shared" si="7"/>
        <v>1</v>
      </c>
    </row>
    <row r="242" spans="1:93" ht="15" customHeight="1">
      <c r="A242" s="12" t="s">
        <v>1010</v>
      </c>
      <c r="B242" s="12">
        <v>2021.5401793333331</v>
      </c>
      <c r="C242" s="12">
        <v>5578.9826299999995</v>
      </c>
      <c r="D242" s="12">
        <v>7272.2758033333321</v>
      </c>
      <c r="E242" s="12">
        <v>7455.1451583333328</v>
      </c>
      <c r="F242" s="12">
        <v>7658.0301166666668</v>
      </c>
      <c r="G242" s="12">
        <v>7722.7728833333331</v>
      </c>
      <c r="H242" s="12">
        <v>8110.3297166666662</v>
      </c>
      <c r="I242" s="12">
        <v>8124.6519449999996</v>
      </c>
      <c r="J242" s="12">
        <v>8154.1916156666666</v>
      </c>
      <c r="K242" s="12">
        <v>8348.76</v>
      </c>
      <c r="L242" s="12" t="s">
        <v>1011</v>
      </c>
      <c r="M242" s="12">
        <v>2441.6759403333331</v>
      </c>
      <c r="N242" s="12">
        <v>6353.6077016666668</v>
      </c>
      <c r="O242" s="12">
        <v>8213.6014533333328</v>
      </c>
      <c r="P242" s="12">
        <v>8437.0958583333322</v>
      </c>
      <c r="Q242" s="12">
        <v>8646.0753999999997</v>
      </c>
      <c r="R242" s="12">
        <v>8760.5994583333322</v>
      </c>
      <c r="S242" s="12">
        <v>9139.9797600000002</v>
      </c>
      <c r="T242" s="12">
        <v>9170.1492991666673</v>
      </c>
      <c r="U242" s="12">
        <v>9188.3657265000002</v>
      </c>
      <c r="V242" s="12">
        <v>9337.32</v>
      </c>
      <c r="W242" s="12" t="s">
        <v>1012</v>
      </c>
      <c r="Y242" s="12" t="s">
        <v>1010</v>
      </c>
      <c r="Z242" s="12">
        <v>7326.974642666667</v>
      </c>
      <c r="AA242" s="12">
        <v>7333.0004133333332</v>
      </c>
      <c r="AB242" s="12">
        <v>7340.5326266666671</v>
      </c>
      <c r="AC242" s="12">
        <v>7454.1129583333332</v>
      </c>
      <c r="AD242" s="12">
        <v>7564.0229333333345</v>
      </c>
      <c r="AE242" s="12">
        <v>7715.7223250000006</v>
      </c>
      <c r="AF242" s="12">
        <v>8209.6477333333332</v>
      </c>
      <c r="AG242" s="12">
        <v>8248.8350499999997</v>
      </c>
      <c r="AH242" s="12">
        <v>8280.1849033333328</v>
      </c>
      <c r="AI242" s="12">
        <v>8419.9599999999991</v>
      </c>
      <c r="AJ242" s="12" t="s">
        <v>1013</v>
      </c>
      <c r="AK242" s="12">
        <v>8238.1132411666658</v>
      </c>
      <c r="AL242" s="12">
        <v>8247.4799391666656</v>
      </c>
      <c r="AM242" s="12">
        <v>8259.1883116666668</v>
      </c>
      <c r="AN242" s="12">
        <v>8456.0196583333327</v>
      </c>
      <c r="AO242" s="12">
        <v>8611.7333333333336</v>
      </c>
      <c r="AP242" s="12">
        <v>8726.6717666666664</v>
      </c>
      <c r="AQ242" s="12">
        <v>9164.7352666666666</v>
      </c>
      <c r="AR242" s="12">
        <v>9197.9149333333335</v>
      </c>
      <c r="AS242" s="12">
        <v>9224.4586666666673</v>
      </c>
      <c r="AT242" s="12">
        <v>9340.6</v>
      </c>
      <c r="AU242" s="12" t="s">
        <v>1014</v>
      </c>
      <c r="AW242" s="12">
        <f>IF(A242="","",MAX(0,MIN(1,(((IF(Статистика!$C$4="Параллельный режим (активная мощность)",B242,M242)+Статистика!$J$4))-Статистика!$C$10)/MAX(Статистика!$G$10-Статистика!$C$10,0.000001))))</f>
        <v>0</v>
      </c>
      <c r="AX242" s="12">
        <f>IF(A242="","",MAX(0,MAX(0,MIN(1,(((IF(Статистика!$C$4="Параллельный режим (активная мощность)",D242,O242)+Статистика!$J$4))-Статистика!$C$10)/MAX(Статистика!$G$10-Статистика!$C$10,0.000001)))-MAX(0,MIN(1,(((IF(Статистика!$C$4="Параллельный режим (активная мощность)",B242,M242)+Статистика!$J$4))-Статистика!$C$10)/MAX(Статистика!$G$10-Статистика!$C$10,0.000001)))))</f>
        <v>0.42409193444444404</v>
      </c>
      <c r="AY242" s="12">
        <f>IF(A242="","",MAX(0,MAX(0,MIN(1,(((IF(Статистика!$C$4="Параллельный режим (активная мощность)",E242,P242)+Статистика!$J$4))-Статистика!$C$10)/MAX(Статистика!$G$10-Статистика!$C$10,0.000001)))-MAX(0,MIN(1,(((IF(Статистика!$C$4="Параллельный режим (активная мощность)",D242,O242)+Статистика!$J$4))-Статистика!$C$10)/MAX(Статистика!$G$10-Статистика!$C$10,0.000001)))))</f>
        <v>6.0956451666666911E-2</v>
      </c>
      <c r="AZ242" s="12">
        <f>IF(A242="","",MAX(0,MAX(0,MIN(1,(((IF(Статистика!$C$4="Параллельный режим (активная мощность)",F242,Q242)+Статистика!$J$4))-Статистика!$C$10)/MAX(Статистика!$G$10-Статистика!$C$10,0.000001)))-MAX(0,MIN(1,(((IF(Статистика!$C$4="Параллельный режим (активная мощность)",E242,P242)+Статистика!$J$4))-Статистика!$C$10)/MAX(Статистика!$G$10-Статистика!$C$10,0.000001)))))</f>
        <v>6.762831944444464E-2</v>
      </c>
      <c r="BA242" s="12">
        <f>IF(A242="","",MAX(0,MAX(0,MIN(1,(((IF(Статистика!$C$4="Параллельный режим (активная мощность)",G242,R242)+Статистика!$J$4))-Статистика!$C$10)/MAX(Статистика!$G$10-Статистика!$C$10,0.000001)))-MAX(0,MIN(1,(((IF(Статистика!$C$4="Параллельный режим (активная мощность)",F242,Q242)+Статистика!$J$4))-Статистика!$C$10)/MAX(Статистика!$G$10-Статистика!$C$10,0.000001)))))</f>
        <v>2.1580922222222076E-2</v>
      </c>
      <c r="BB242" s="12">
        <f>IF(A242="","",MAX(0,MAX(0,MIN(1,(((IF(Статистика!$C$4="Параллельный режим (активная мощность)",H242,S242)+Статистика!$J$4))-Статистика!$C$10)/MAX(Статистика!$G$10-Статистика!$C$10,0.000001)))-MAX(0,MIN(1,(((IF(Статистика!$C$4="Параллельный режим (активная мощность)",G242,R242)+Статистика!$J$4))-Статистика!$C$10)/MAX(Статистика!$G$10-Статистика!$C$10,0.000001)))))</f>
        <v>0.12918561111111104</v>
      </c>
      <c r="BC242" s="12">
        <f>IF(A242="","",MAX(0,MAX(0,MIN(1,(((IF(Статистика!$C$4="Параллельный режим (активная мощность)",J242,U242)+Статистика!$J$4))-Статистика!$C$10)/MAX(Статистика!$G$10-Статистика!$C$10,0.000001)))-MAX(0,MIN(1,(((IF(Статистика!$C$4="Параллельный режим (активная мощность)",H242,S242)+Статистика!$J$4))-Статистика!$C$10)/MAX(Статистика!$G$10-Статистика!$C$10,0.000001)))))</f>
        <v>1.4620633000000161E-2</v>
      </c>
      <c r="BD242" s="12">
        <f>IF(A242="","",MAX(0,1-MAX(0,MIN(1,(((IF(Статистика!$C$4="Параллельный режим (активная мощность)",J242,U242)+Статистика!$J$4))-Статистика!$C$10)/MAX(Статистика!$G$10-Статистика!$C$10,0.000001)))))</f>
        <v>0.28193612811111113</v>
      </c>
      <c r="BE242" s="12">
        <f>IF(A242="",NA(),IF(Статистика!$B$8="Вкл",(((IF(Статистика!$C$4="Параллельный режим (активная мощность)",F242,Q242)+Статистика!$J$4))-Статистика!$C$10)/MAX(Статистика!$G$10-Статистика!$C$10,0.000001),NA()))</f>
        <v>0.55267670555555559</v>
      </c>
      <c r="BF242" s="12">
        <f>IF(A242="",NA(),IF(Статистика!$D$8="Вкл",(((IF(Статистика!$C$4="Параллельный режим (активная мощность)",E242,P242)+Статистика!$J$4))-Статистика!$C$10)/MAX(Статистика!$G$10-Статистика!$C$10,0.000001),NA()))</f>
        <v>0.48504838611111095</v>
      </c>
      <c r="BG242" s="12">
        <f>IF(A242="",NA(),IF(Статистика!$D$8="Вкл",(((IF(Статистика!$C$4="Параллельный режим (активная мощность)",G242,R242)+Статистика!$J$4))-Статистика!$C$10)/MAX(Статистика!$G$10-Статистика!$C$10,0.000001),NA()))</f>
        <v>0.57425762777777767</v>
      </c>
      <c r="BH242" s="12">
        <f>IF(A242="",NA(),IF(Статистика!$F$8="Вкл",(((IF(Статистика!$C$4="Параллельный режим (активная мощность)",D242,O242)+Статистика!$J$4))-Статистика!$C$10)/MAX(Статистика!$G$10-Статистика!$C$10,0.000001),NA()))</f>
        <v>0.42409193444444404</v>
      </c>
      <c r="BI242" s="12">
        <f>IF(A242="",NA(),IF(Статистика!$F$8="Вкл",(((IF(Статистика!$C$4="Параллельный режим (активная мощность)",H242,S242)+Статистика!$J$4))-Статистика!$C$10)/MAX(Статистика!$G$10-Статистика!$C$10,0.000001),NA()))</f>
        <v>0.70344323888888871</v>
      </c>
      <c r="BJ242" s="12">
        <f>IF(A242="",NA(),IF(Статистика!$H$8="Вкл",(((IF(Статистика!$C$4="Параллельный режим (активная мощность)",B242,M242)+Статистика!$J$4))-Статистика!$C$10)/MAX(Статистика!$G$10-Статистика!$C$10,0.000001),NA()))</f>
        <v>-1.3261532735555557</v>
      </c>
      <c r="BK242" s="12">
        <f>IF(A242="",NA(),IF(Статистика!$H$8="Вкл",(((IF(Статистика!$C$4="Параллельный режим (активная мощность)",J242,U242)+Статистика!$J$4))-Статистика!$C$10)/MAX(Статистика!$G$10-Статистика!$C$10,0.000001),NA()))</f>
        <v>0.71806387188888887</v>
      </c>
      <c r="BL242" s="12" t="e">
        <f>IF(A242="",NA(),IF(Статистика!$J$8="Вкл",(((IF(Статистика!$C$4="Параллельный режим (активная мощность)",K242,V242)+Статистика!$J$4))-Статистика!$C$10)/MAX(Статистика!$G$10-Статистика!$C$10,0.000001),NA()))</f>
        <v>#N/A</v>
      </c>
      <c r="BM242" s="12" t="e">
        <f>IF(AND(A242&lt;&gt;"",Статистика!$C$6="Вкл",Статистика!$B$6&gt;0),(Статистика!$B$6-Статистика!$C$10)/MAX(Статистика!$G$10-Статистика!$C$10,0.000001),NA())</f>
        <v>#N/A</v>
      </c>
      <c r="BN242" s="12" t="e">
        <f>IF(AND(A242&lt;&gt;"",Статистика!$F$6="Вкл",Статистика!$E$6&gt;0),(Статистика!$E$6-Статистика!$C$10)/MAX(Статистика!$G$10-Статистика!$C$10,0.000001),NA())</f>
        <v>#N/A</v>
      </c>
      <c r="BO242" s="12" t="e">
        <f>IF(AND(A242&lt;&gt;"",Статистика!$I$6="Вкл",Статистика!$H$6&gt;0),(Статистика!$H$6-Статистика!$C$10)/MAX(Статистика!$G$10-Статистика!$C$10,0.000001),NA())</f>
        <v>#N/A</v>
      </c>
      <c r="BP242" s="12" t="e">
        <f>IF(AND(A242&lt;&gt;"",Статистика!$L$6="Вкл",Статистика!$K$6&gt;0),(Статистика!$K$6-Статистика!$C$10)/MAX(Статистика!$G$10-Статистика!$C$10,0.000001),NA())</f>
        <v>#N/A</v>
      </c>
      <c r="BQ242" s="12" t="e">
        <f>IF(AND(A242&lt;&gt;"",Статистика!$M$6="Вкл",Статистика!$O$6&gt;0),(Статистика!$O$6-Статистика!$C$10)/MAX(Статистика!$G$10-Статистика!$C$10,0.000001),NA())</f>
        <v>#N/A</v>
      </c>
      <c r="BR242" s="12">
        <f t="shared" si="6"/>
        <v>1</v>
      </c>
      <c r="BT242" s="12">
        <f>IF(Y242="","",MAX(0,MIN(1,(((IF(Статистика!$C$4="Параллельный режим (активная мощность)",Z242,AK242)+Статистика!$J$4))-Статистика!$C$10)/MAX(Статистика!$G$10-Статистика!$C$10,0.000001))))</f>
        <v>0.44232488088888899</v>
      </c>
      <c r="BU242" s="12">
        <f>IF(Y242="","",MAX(0,MAX(0,MIN(1,(((IF(Статистика!$C$4="Параллельный режим (активная мощность)",AB242,AM242)+Статистика!$J$4))-Статистика!$C$10)/MAX(Статистика!$G$10-Статистика!$C$10,0.000001)))-MAX(0,MIN(1,(((IF(Статистика!$C$4="Параллельный режим (активная мощность)",Z242,AK242)+Статистика!$J$4))-Статистика!$C$10)/MAX(Статистика!$G$10-Статистика!$C$10,0.000001)))))</f>
        <v>4.5193280000000446E-3</v>
      </c>
      <c r="BV242" s="12">
        <f>IF(Y242="","",MAX(0,MAX(0,MIN(1,(((IF(Статистика!$C$4="Параллельный режим (активная мощность)",AC242,AN242)+Статистика!$J$4))-Статистика!$C$10)/MAX(Статистика!$G$10-Статистика!$C$10,0.000001)))-MAX(0,MIN(1,(((IF(Статистика!$C$4="Параллельный режим (активная мощность)",AB242,AM242)+Статистика!$J$4))-Статистика!$C$10)/MAX(Статистика!$G$10-Статистика!$C$10,0.000001)))))</f>
        <v>3.7860110555555326E-2</v>
      </c>
      <c r="BW242" s="12">
        <f>IF(Y242="","",MAX(0,MAX(0,MIN(1,(((IF(Статистика!$C$4="Параллельный режим (активная мощность)",AD242,AO242)+Статистика!$J$4))-Статистика!$C$10)/MAX(Статистика!$G$10-Статистика!$C$10,0.000001)))-MAX(0,MIN(1,(((IF(Статистика!$C$4="Параллельный режим (активная мощность)",AC242,AN242)+Статистика!$J$4))-Статистика!$C$10)/MAX(Статистика!$G$10-Статистика!$C$10,0.000001)))))</f>
        <v>3.6636658333333849E-2</v>
      </c>
      <c r="BX242" s="12">
        <f>IF(Y242="","",MAX(0,MAX(0,MIN(1,(((IF(Статистика!$C$4="Параллельный режим (активная мощность)",AE242,AP242)+Статистика!$J$4))-Статистика!$C$10)/MAX(Статистика!$G$10-Статистика!$C$10,0.000001)))-MAX(0,MIN(1,(((IF(Статистика!$C$4="Параллельный режим (активная мощность)",AD242,AO242)+Статистика!$J$4))-Статистика!$C$10)/MAX(Статистика!$G$10-Статистика!$C$10,0.000001)))))</f>
        <v>5.0566463888888635E-2</v>
      </c>
      <c r="BY242" s="12">
        <f>IF(Y242="","",MAX(0,MAX(0,MIN(1,(((IF(Статистика!$C$4="Параллельный режим (активная мощность)",AF242,AQ242)+Статистика!$J$4))-Статистика!$C$10)/MAX(Статистика!$G$10-Статистика!$C$10,0.000001)))-MAX(0,MIN(1,(((IF(Статистика!$C$4="Параллельный режим (активная мощность)",AE242,AP242)+Статистика!$J$4))-Статистика!$C$10)/MAX(Статистика!$G$10-Статистика!$C$10,0.000001)))))</f>
        <v>0.16464180277777751</v>
      </c>
      <c r="BZ242" s="12">
        <f>IF(Y242="","",MAX(0,MAX(0,MIN(1,(((IF(Статистика!$C$4="Параллельный режим (активная мощность)",AH242,AS242)+Статистика!$J$4))-Статистика!$C$10)/MAX(Статистика!$G$10-Статистика!$C$10,0.000001)))-MAX(0,MIN(1,(((IF(Статистика!$C$4="Параллельный режим (активная мощность)",AF242,AQ242)+Статистика!$J$4))-Статистика!$C$10)/MAX(Статистика!$G$10-Статистика!$C$10,0.000001)))))</f>
        <v>2.3512389999999939E-2</v>
      </c>
      <c r="CA242" s="12">
        <f>IF(Y242="","",MAX(0,1-MAX(0,MIN(1,(((IF(Статистика!$C$4="Параллельный режим (активная мощность)",AH242,AS242)+Статистика!$J$4))-Статистика!$C$10)/MAX(Статистика!$G$10-Статистика!$C$10,0.000001)))))</f>
        <v>0.2399383655555557</v>
      </c>
      <c r="CB242" s="12">
        <f>IF(Y242="",NA(),IF(Статистика!$B$8="Вкл",(((IF(Статистика!$C$4="Параллельный режим (активная мощность)",AD242,AO242)+Статистика!$J$4))-Статистика!$C$10)/MAX(Статистика!$G$10-Статистика!$C$10,0.000001),NA()))</f>
        <v>0.52134097777777821</v>
      </c>
      <c r="CC242" s="12">
        <f>IF(Y242="",NA(),IF(Статистика!$D$8="Вкл",(((IF(Статистика!$C$4="Параллельный режим (активная мощность)",AC242,AN242)+Статистика!$J$4))-Статистика!$C$10)/MAX(Статистика!$G$10-Статистика!$C$10,0.000001),NA()))</f>
        <v>0.48470431944444436</v>
      </c>
      <c r="CD242" s="12">
        <f>IF(Y242="",NA(),IF(Статистика!$D$8="Вкл",(((IF(Статистика!$C$4="Параллельный режим (активная мощность)",AE242,AP242)+Статистика!$J$4))-Статистика!$C$10)/MAX(Статистика!$G$10-Статистика!$C$10,0.000001),NA()))</f>
        <v>0.57190744166666685</v>
      </c>
      <c r="CE242" s="12">
        <f>IF(Y242="",NA(),IF(Статистика!$F$8="Вкл",(((IF(Статистика!$C$4="Параллельный режим (активная мощность)",AB242,AM242)+Статистика!$J$4))-Статистика!$C$10)/MAX(Статистика!$G$10-Статистика!$C$10,0.000001),NA()))</f>
        <v>0.44684420888888904</v>
      </c>
      <c r="CF242" s="12">
        <f>IF(Y242="",NA(),IF(Статистика!$F$8="Вкл",(((IF(Статистика!$C$4="Параллельный режим (активная мощность)",AF242,AQ242)+Статистика!$J$4))-Статистика!$C$10)/MAX(Статистика!$G$10-Статистика!$C$10,0.000001),NA()))</f>
        <v>0.73654924444444436</v>
      </c>
      <c r="CG242" s="12">
        <f>IF(Y242="",NA(),IF(Статистика!$H$8="Вкл",(((IF(Статистика!$C$4="Параллельный режим (активная мощность)",Z242,AK242)+Статистика!$J$4))-Статистика!$C$10)/MAX(Статистика!$G$10-Статистика!$C$10,0.000001),NA()))</f>
        <v>0.44232488088888899</v>
      </c>
      <c r="CH242" s="12">
        <f>IF(Y242="",NA(),IF(Статистика!$H$8="Вкл",(((IF(Статистика!$C$4="Параллельный режим (активная мощность)",AH242,AS242)+Статистика!$J$4))-Статистика!$C$10)/MAX(Статистика!$G$10-Статистика!$C$10,0.000001),NA()))</f>
        <v>0.7600616344444443</v>
      </c>
      <c r="CI242" s="12" t="e">
        <f>IF(Y242="",NA(),IF(Статистика!$J$8="Вкл",(((IF(Статистика!$C$4="Параллельный режим (активная мощность)",AI242,AT242)+Статистика!$J$4))-Статистика!$C$10)/MAX(Статистика!$G$10-Статистика!$C$10,0.000001),NA()))</f>
        <v>#N/A</v>
      </c>
      <c r="CJ242" s="12" t="e">
        <f>IF(AND(Y242&lt;&gt;"",Статистика!$C$6="Вкл",Статистика!$B$6&gt;0),(Статистика!$B$6-Статистика!$C$10)/MAX(Статистика!$G$10-Статистика!$C$10,0.000001),NA())</f>
        <v>#N/A</v>
      </c>
      <c r="CK242" s="12" t="e">
        <f>IF(AND(Y242&lt;&gt;"",Статистика!$F$6="Вкл",Статистика!$E$6&gt;0),(Статистика!$E$6-Статистика!$C$10)/MAX(Статистика!$G$10-Статистика!$C$10,0.000001),NA())</f>
        <v>#N/A</v>
      </c>
      <c r="CL242" s="12" t="e">
        <f>IF(AND(Y242&lt;&gt;"",Статистика!$I$6="Вкл",Статистика!$H$6&gt;0),(Статистика!$H$6-Статистика!$C$10)/MAX(Статистика!$G$10-Статистика!$C$10,0.000001),NA())</f>
        <v>#N/A</v>
      </c>
      <c r="CM242" s="12" t="e">
        <f>IF(AND(Y242&lt;&gt;"",Статистика!$L$6="Вкл",Статистика!$K$6&gt;0),(Статистика!$K$6-Статистика!$C$10)/MAX(Статистика!$G$10-Статистика!$C$10,0.000001),NA())</f>
        <v>#N/A</v>
      </c>
      <c r="CN242" s="12" t="e">
        <f>IF(AND(Y242&lt;&gt;"",Статистика!$M$6="Вкл",Статистика!$O$6&gt;0),(Статистика!$O$6-Статистика!$C$10)/MAX(Статистика!$G$10-Статистика!$C$10,0.000001),NA())</f>
        <v>#N/A</v>
      </c>
      <c r="CO242" s="12">
        <f t="shared" si="7"/>
        <v>1</v>
      </c>
    </row>
    <row r="243" spans="1:93" ht="15" customHeight="1">
      <c r="A243" s="12" t="s">
        <v>1015</v>
      </c>
      <c r="B243" s="12">
        <v>2034.4255248333338</v>
      </c>
      <c r="C243" s="12">
        <v>5580.3769575000015</v>
      </c>
      <c r="D243" s="12">
        <v>7282.5667983333342</v>
      </c>
      <c r="E243" s="12">
        <v>7490.0463833333342</v>
      </c>
      <c r="F243" s="12">
        <v>7658.0699333333341</v>
      </c>
      <c r="G243" s="12">
        <v>7743.5938833333339</v>
      </c>
      <c r="H243" s="12">
        <v>8116.0346266666666</v>
      </c>
      <c r="I243" s="12">
        <v>8155.915560833334</v>
      </c>
      <c r="J243" s="12">
        <v>8206.7429521666691</v>
      </c>
      <c r="K243" s="12">
        <v>8370.82</v>
      </c>
      <c r="L243" s="12" t="s">
        <v>1016</v>
      </c>
      <c r="M243" s="12">
        <v>2457.3780848333331</v>
      </c>
      <c r="N243" s="12">
        <v>6356.8982908333337</v>
      </c>
      <c r="O243" s="12">
        <v>8224.6103483333336</v>
      </c>
      <c r="P243" s="12">
        <v>8463.8380250000009</v>
      </c>
      <c r="Q243" s="12">
        <v>8646.8840166666669</v>
      </c>
      <c r="R243" s="12">
        <v>8760.8255916666658</v>
      </c>
      <c r="S243" s="12">
        <v>9144.6810583333336</v>
      </c>
      <c r="T243" s="12">
        <v>9177.3036816666681</v>
      </c>
      <c r="U243" s="12">
        <v>9188.8672963333338</v>
      </c>
      <c r="V243" s="12">
        <v>9363.2800000000007</v>
      </c>
      <c r="W243" s="12" t="s">
        <v>1017</v>
      </c>
      <c r="Y243" s="12" t="s">
        <v>1015</v>
      </c>
      <c r="Z243" s="12">
        <v>7294.4352021666664</v>
      </c>
      <c r="AA243" s="12">
        <v>7308.7204108333326</v>
      </c>
      <c r="AB243" s="12">
        <v>7326.5769216666667</v>
      </c>
      <c r="AC243" s="12">
        <v>7464.2590083333344</v>
      </c>
      <c r="AD243" s="12">
        <v>7559.7598833333341</v>
      </c>
      <c r="AE243" s="12">
        <v>7791.586166666666</v>
      </c>
      <c r="AF243" s="12">
        <v>8207.5255099999995</v>
      </c>
      <c r="AG243" s="12">
        <v>8255.3191716666661</v>
      </c>
      <c r="AH243" s="12">
        <v>8293.5541009999997</v>
      </c>
      <c r="AI243" s="12">
        <v>8440.7800000000007</v>
      </c>
      <c r="AJ243" s="12" t="s">
        <v>1018</v>
      </c>
      <c r="AK243" s="12">
        <v>8203.9191951666653</v>
      </c>
      <c r="AL243" s="12">
        <v>8225.483309166666</v>
      </c>
      <c r="AM243" s="12">
        <v>8252.4384516666669</v>
      </c>
      <c r="AN243" s="12">
        <v>8441.1938750000008</v>
      </c>
      <c r="AO243" s="12">
        <v>8575.6730333333344</v>
      </c>
      <c r="AP243" s="12">
        <v>8826.4616916666673</v>
      </c>
      <c r="AQ243" s="12">
        <v>9156.9787716666669</v>
      </c>
      <c r="AR243" s="12">
        <v>9198.4053858333336</v>
      </c>
      <c r="AS243" s="12">
        <v>9231.546677166667</v>
      </c>
      <c r="AT243" s="12">
        <v>9368.8700000000008</v>
      </c>
      <c r="AU243" s="12" t="s">
        <v>1019</v>
      </c>
      <c r="AW243" s="12">
        <f>IF(A243="","",MAX(0,MIN(1,(((IF(Статистика!$C$4="Параллельный режим (активная мощность)",B243,M243)+Статистика!$J$4))-Статистика!$C$10)/MAX(Статистика!$G$10-Статистика!$C$10,0.000001))))</f>
        <v>0</v>
      </c>
      <c r="AX243" s="12">
        <f>IF(A243="","",MAX(0,MAX(0,MIN(1,(((IF(Статистика!$C$4="Параллельный режим (активная мощность)",D243,O243)+Статистика!$J$4))-Статистика!$C$10)/MAX(Статистика!$G$10-Статистика!$C$10,0.000001)))-MAX(0,MIN(1,(((IF(Статистика!$C$4="Параллельный режим (активная мощность)",B243,M243)+Статистика!$J$4))-Статистика!$C$10)/MAX(Статистика!$G$10-Статистика!$C$10,0.000001)))))</f>
        <v>0.42752226611111138</v>
      </c>
      <c r="AY243" s="12">
        <f>IF(A243="","",MAX(0,MAX(0,MIN(1,(((IF(Статистика!$C$4="Параллельный режим (активная мощность)",E243,P243)+Статистика!$J$4))-Статистика!$C$10)/MAX(Статистика!$G$10-Статистика!$C$10,0.000001)))-MAX(0,MIN(1,(((IF(Статистика!$C$4="Параллельный режим (активная мощность)",D243,O243)+Статистика!$J$4))-Статистика!$C$10)/MAX(Статистика!$G$10-Статистика!$C$10,0.000001)))))</f>
        <v>6.9159861666666711E-2</v>
      </c>
      <c r="AZ243" s="12">
        <f>IF(A243="","",MAX(0,MAX(0,MIN(1,(((IF(Статистика!$C$4="Параллельный режим (активная мощность)",F243,Q243)+Статистика!$J$4))-Статистика!$C$10)/MAX(Статистика!$G$10-Статистика!$C$10,0.000001)))-MAX(0,MIN(1,(((IF(Статистика!$C$4="Параллельный режим (активная мощность)",E243,P243)+Статистика!$J$4))-Статистика!$C$10)/MAX(Статистика!$G$10-Статистика!$C$10,0.000001)))))</f>
        <v>5.600784999999997E-2</v>
      </c>
      <c r="BA243" s="12">
        <f>IF(A243="","",MAX(0,MAX(0,MIN(1,(((IF(Статистика!$C$4="Параллельный режим (активная мощность)",G243,R243)+Статистика!$J$4))-Статистика!$C$10)/MAX(Статистика!$G$10-Статистика!$C$10,0.000001)))-MAX(0,MIN(1,(((IF(Статистика!$C$4="Параллельный режим (активная мощность)",F243,Q243)+Статистика!$J$4))-Статистика!$C$10)/MAX(Статистика!$G$10-Статистика!$C$10,0.000001)))))</f>
        <v>2.8507983333333264E-2</v>
      </c>
      <c r="BB243" s="12">
        <f>IF(A243="","",MAX(0,MAX(0,MIN(1,(((IF(Статистика!$C$4="Параллельный режим (активная мощность)",H243,S243)+Статистика!$J$4))-Статистика!$C$10)/MAX(Статистика!$G$10-Статистика!$C$10,0.000001)))-MAX(0,MIN(1,(((IF(Статистика!$C$4="Параллельный режим (активная мощность)",G243,R243)+Статистика!$J$4))-Статистика!$C$10)/MAX(Статистика!$G$10-Статистика!$C$10,0.000001)))))</f>
        <v>0.12414691444444415</v>
      </c>
      <c r="BC243" s="12">
        <f>IF(A243="","",MAX(0,MAX(0,MIN(1,(((IF(Статистика!$C$4="Параллельный режим (активная мощность)",J243,U243)+Статистика!$J$4))-Статистика!$C$10)/MAX(Статистика!$G$10-Статистика!$C$10,0.000001)))-MAX(0,MIN(1,(((IF(Статистика!$C$4="Параллельный режим (активная мощность)",H243,S243)+Статистика!$J$4))-Статистика!$C$10)/MAX(Статистика!$G$10-Статистика!$C$10,0.000001)))))</f>
        <v>3.0236108500000913E-2</v>
      </c>
      <c r="BD243" s="12">
        <f>IF(A243="","",MAX(0,1-MAX(0,MIN(1,(((IF(Статистика!$C$4="Параллельный режим (активная мощность)",J243,U243)+Статистика!$J$4))-Статистика!$C$10)/MAX(Статистика!$G$10-Статистика!$C$10,0.000001)))))</f>
        <v>0.26441901594444361</v>
      </c>
      <c r="BE243" s="12">
        <f>IF(A243="",NA(),IF(Статистика!$B$8="Вкл",(((IF(Статистика!$C$4="Параллельный режим (активная мощность)",F243,Q243)+Статистика!$J$4))-Статистика!$C$10)/MAX(Статистика!$G$10-Статистика!$C$10,0.000001),NA()))</f>
        <v>0.55268997777777806</v>
      </c>
      <c r="BF243" s="12">
        <f>IF(A243="",NA(),IF(Статистика!$D$8="Вкл",(((IF(Статистика!$C$4="Параллельный режим (активная мощность)",E243,P243)+Статистика!$J$4))-Статистика!$C$10)/MAX(Статистика!$G$10-Статистика!$C$10,0.000001),NA()))</f>
        <v>0.49668212777777809</v>
      </c>
      <c r="BG243" s="12">
        <f>IF(A243="",NA(),IF(Статистика!$D$8="Вкл",(((IF(Статистика!$C$4="Параллельный режим (активная мощность)",G243,R243)+Статистика!$J$4))-Статистика!$C$10)/MAX(Статистика!$G$10-Статистика!$C$10,0.000001),NA()))</f>
        <v>0.58119796111111133</v>
      </c>
      <c r="BH243" s="12">
        <f>IF(A243="",NA(),IF(Статистика!$F$8="Вкл",(((IF(Статистика!$C$4="Параллельный режим (активная мощность)",D243,O243)+Статистика!$J$4))-Статистика!$C$10)/MAX(Статистика!$G$10-Статистика!$C$10,0.000001),NA()))</f>
        <v>0.42752226611111138</v>
      </c>
      <c r="BI243" s="12">
        <f>IF(A243="",NA(),IF(Статистика!$F$8="Вкл",(((IF(Статистика!$C$4="Параллельный режим (активная мощность)",H243,S243)+Статистика!$J$4))-Статистика!$C$10)/MAX(Статистика!$G$10-Статистика!$C$10,0.000001),NA()))</f>
        <v>0.70534487555555547</v>
      </c>
      <c r="BJ243" s="12">
        <f>IF(A243="",NA(),IF(Статистика!$H$8="Вкл",(((IF(Статистика!$C$4="Параллельный режим (активная мощность)",B243,M243)+Статистика!$J$4))-Статистика!$C$10)/MAX(Статистика!$G$10-Статистика!$C$10,0.000001),NA()))</f>
        <v>-1.3218581583888886</v>
      </c>
      <c r="BK243" s="12">
        <f>IF(A243="",NA(),IF(Статистика!$H$8="Вкл",(((IF(Статистика!$C$4="Параллельный режим (активная мощность)",J243,U243)+Статистика!$J$4))-Статистика!$C$10)/MAX(Статистика!$G$10-Статистика!$C$10,0.000001),NA()))</f>
        <v>0.73558098405555639</v>
      </c>
      <c r="BL243" s="12" t="e">
        <f>IF(A243="",NA(),IF(Статистика!$J$8="Вкл",(((IF(Статистика!$C$4="Параллельный режим (активная мощность)",K243,V243)+Статистика!$J$4))-Статистика!$C$10)/MAX(Статистика!$G$10-Статистика!$C$10,0.000001),NA()))</f>
        <v>#N/A</v>
      </c>
      <c r="BM243" s="12" t="e">
        <f>IF(AND(A243&lt;&gt;"",Статистика!$C$6="Вкл",Статистика!$B$6&gt;0),(Статистика!$B$6-Статистика!$C$10)/MAX(Статистика!$G$10-Статистика!$C$10,0.000001),NA())</f>
        <v>#N/A</v>
      </c>
      <c r="BN243" s="12" t="e">
        <f>IF(AND(A243&lt;&gt;"",Статистика!$F$6="Вкл",Статистика!$E$6&gt;0),(Статистика!$E$6-Статистика!$C$10)/MAX(Статистика!$G$10-Статистика!$C$10,0.000001),NA())</f>
        <v>#N/A</v>
      </c>
      <c r="BO243" s="12" t="e">
        <f>IF(AND(A243&lt;&gt;"",Статистика!$I$6="Вкл",Статистика!$H$6&gt;0),(Статистика!$H$6-Статистика!$C$10)/MAX(Статистика!$G$10-Статистика!$C$10,0.000001),NA())</f>
        <v>#N/A</v>
      </c>
      <c r="BP243" s="12" t="e">
        <f>IF(AND(A243&lt;&gt;"",Статистика!$L$6="Вкл",Статистика!$K$6&gt;0),(Статистика!$K$6-Статистика!$C$10)/MAX(Статистика!$G$10-Статистика!$C$10,0.000001),NA())</f>
        <v>#N/A</v>
      </c>
      <c r="BQ243" s="12" t="e">
        <f>IF(AND(A243&lt;&gt;"",Статистика!$M$6="Вкл",Статистика!$O$6&gt;0),(Статистика!$O$6-Статистика!$C$10)/MAX(Статистика!$G$10-Статистика!$C$10,0.000001),NA())</f>
        <v>#N/A</v>
      </c>
      <c r="BR243" s="12">
        <f t="shared" si="6"/>
        <v>1</v>
      </c>
      <c r="BT243" s="12">
        <f>IF(Y243="","",MAX(0,MIN(1,(((IF(Статистика!$C$4="Параллельный режим (активная мощность)",Z243,AK243)+Статистика!$J$4))-Статистика!$C$10)/MAX(Статистика!$G$10-Статистика!$C$10,0.000001))))</f>
        <v>0.43147840072222216</v>
      </c>
      <c r="BU243" s="12">
        <f>IF(Y243="","",MAX(0,MAX(0,MIN(1,(((IF(Статистика!$C$4="Параллельный режим (активная мощность)",AB243,AM243)+Статистика!$J$4))-Статистика!$C$10)/MAX(Статистика!$G$10-Статистика!$C$10,0.000001)))-MAX(0,MIN(1,(((IF(Статистика!$C$4="Параллельный режим (активная мощность)",Z243,AK243)+Статистика!$J$4))-Статистика!$C$10)/MAX(Статистика!$G$10-Статистика!$C$10,0.000001)))))</f>
        <v>1.0713906500000092E-2</v>
      </c>
      <c r="BV243" s="12">
        <f>IF(Y243="","",MAX(0,MAX(0,MIN(1,(((IF(Статистика!$C$4="Параллельный режим (активная мощность)",AC243,AN243)+Статистика!$J$4))-Статистика!$C$10)/MAX(Статистика!$G$10-Статистика!$C$10,0.000001)))-MAX(0,MIN(1,(((IF(Статистика!$C$4="Параллельный режим (активная мощность)",AB243,AM243)+Статистика!$J$4))-Статистика!$C$10)/MAX(Статистика!$G$10-Статистика!$C$10,0.000001)))))</f>
        <v>4.5894028888889216E-2</v>
      </c>
      <c r="BW243" s="12">
        <f>IF(Y243="","",MAX(0,MAX(0,MIN(1,(((IF(Статистика!$C$4="Параллельный режим (активная мощность)",AD243,AO243)+Статистика!$J$4))-Статистика!$C$10)/MAX(Статистика!$G$10-Статистика!$C$10,0.000001)))-MAX(0,MIN(1,(((IF(Статистика!$C$4="Параллельный режим (активная мощность)",AC243,AN243)+Статистика!$J$4))-Статистика!$C$10)/MAX(Статистика!$G$10-Статистика!$C$10,0.000001)))))</f>
        <v>3.1833624999999921E-2</v>
      </c>
      <c r="BX243" s="12">
        <f>IF(Y243="","",MAX(0,MAX(0,MIN(1,(((IF(Статистика!$C$4="Параллельный режим (активная мощность)",AE243,AP243)+Статистика!$J$4))-Статистика!$C$10)/MAX(Статистика!$G$10-Статистика!$C$10,0.000001)))-MAX(0,MIN(1,(((IF(Статистика!$C$4="Параллельный режим (активная мощность)",AD243,AO243)+Статистика!$J$4))-Статистика!$C$10)/MAX(Статистика!$G$10-Статистика!$C$10,0.000001)))))</f>
        <v>7.7275427777777295E-2</v>
      </c>
      <c r="BY243" s="12">
        <f>IF(Y243="","",MAX(0,MAX(0,MIN(1,(((IF(Статистика!$C$4="Параллельный режим (активная мощность)",AF243,AQ243)+Статистика!$J$4))-Статистика!$C$10)/MAX(Статистика!$G$10-Статистика!$C$10,0.000001)))-MAX(0,MIN(1,(((IF(Статистика!$C$4="Параллельный режим (активная мощность)",AE243,AP243)+Статистика!$J$4))-Статистика!$C$10)/MAX(Статистика!$G$10-Статистика!$C$10,0.000001)))))</f>
        <v>0.13864644777777779</v>
      </c>
      <c r="BZ243" s="12">
        <f>IF(Y243="","",MAX(0,MAX(0,MIN(1,(((IF(Статистика!$C$4="Параллельный режим (активная мощность)",AH243,AS243)+Статистика!$J$4))-Статистика!$C$10)/MAX(Статистика!$G$10-Статистика!$C$10,0.000001)))-MAX(0,MIN(1,(((IF(Статистика!$C$4="Параллельный режим (активная мощность)",AF243,AQ243)+Статистика!$J$4))-Статистика!$C$10)/MAX(Статистика!$G$10-Статистика!$C$10,0.000001)))))</f>
        <v>2.8676197000000125E-2</v>
      </c>
      <c r="CA243" s="12">
        <f>IF(Y243="","",MAX(0,1-MAX(0,MIN(1,(((IF(Статистика!$C$4="Параллельный режим (активная мощность)",AH243,AS243)+Статистика!$J$4))-Статистика!$C$10)/MAX(Статистика!$G$10-Статистика!$C$10,0.000001)))))</f>
        <v>0.2354819663333334</v>
      </c>
      <c r="CB243" s="12">
        <f>IF(Y243="",NA(),IF(Статистика!$B$8="Вкл",(((IF(Статистика!$C$4="Параллельный режим (активная мощность)",AD243,AO243)+Статистика!$J$4))-Статистика!$C$10)/MAX(Статистика!$G$10-Статистика!$C$10,0.000001),NA()))</f>
        <v>0.51991996111111138</v>
      </c>
      <c r="CC243" s="12">
        <f>IF(Y243="",NA(),IF(Статистика!$D$8="Вкл",(((IF(Статистика!$C$4="Параллельный режим (активная мощность)",AC243,AN243)+Статистика!$J$4))-Статистика!$C$10)/MAX(Статистика!$G$10-Статистика!$C$10,0.000001),NA()))</f>
        <v>0.48808633611111146</v>
      </c>
      <c r="CD243" s="12">
        <f>IF(Y243="",NA(),IF(Статистика!$D$8="Вкл",(((IF(Статистика!$C$4="Параллельный режим (активная мощность)",AE243,AP243)+Статистика!$J$4))-Статистика!$C$10)/MAX(Статистика!$G$10-Статистика!$C$10,0.000001),NA()))</f>
        <v>0.59719538888888868</v>
      </c>
      <c r="CE243" s="12">
        <f>IF(Y243="",NA(),IF(Статистика!$F$8="Вкл",(((IF(Статистика!$C$4="Параллельный режим (активная мощность)",AB243,AM243)+Статистика!$J$4))-Статистика!$C$10)/MAX(Статистика!$G$10-Статистика!$C$10,0.000001),NA()))</f>
        <v>0.44219230722222225</v>
      </c>
      <c r="CF243" s="12">
        <f>IF(Y243="",NA(),IF(Статистика!$F$8="Вкл",(((IF(Статистика!$C$4="Параллельный режим (активная мощность)",AF243,AQ243)+Статистика!$J$4))-Статистика!$C$10)/MAX(Статистика!$G$10-Статистика!$C$10,0.000001),NA()))</f>
        <v>0.73584183666666647</v>
      </c>
      <c r="CG243" s="12">
        <f>IF(Y243="",NA(),IF(Статистика!$H$8="Вкл",(((IF(Статистика!$C$4="Параллельный режим (активная мощность)",Z243,AK243)+Статистика!$J$4))-Статистика!$C$10)/MAX(Статистика!$G$10-Статистика!$C$10,0.000001),NA()))</f>
        <v>0.43147840072222216</v>
      </c>
      <c r="CH243" s="12">
        <f>IF(Y243="",NA(),IF(Статистика!$H$8="Вкл",(((IF(Статистика!$C$4="Параллельный режим (активная мощность)",AH243,AS243)+Статистика!$J$4))-Статистика!$C$10)/MAX(Статистика!$G$10-Статистика!$C$10,0.000001),NA()))</f>
        <v>0.7645180336666666</v>
      </c>
      <c r="CI243" s="12" t="e">
        <f>IF(Y243="",NA(),IF(Статистика!$J$8="Вкл",(((IF(Статистика!$C$4="Параллельный режим (активная мощность)",AI243,AT243)+Статистика!$J$4))-Статистика!$C$10)/MAX(Статистика!$G$10-Статистика!$C$10,0.000001),NA()))</f>
        <v>#N/A</v>
      </c>
      <c r="CJ243" s="12" t="e">
        <f>IF(AND(Y243&lt;&gt;"",Статистика!$C$6="Вкл",Статистика!$B$6&gt;0),(Статистика!$B$6-Статистика!$C$10)/MAX(Статистика!$G$10-Статистика!$C$10,0.000001),NA())</f>
        <v>#N/A</v>
      </c>
      <c r="CK243" s="12" t="e">
        <f>IF(AND(Y243&lt;&gt;"",Статистика!$F$6="Вкл",Статистика!$E$6&gt;0),(Статистика!$E$6-Статистика!$C$10)/MAX(Статистика!$G$10-Статистика!$C$10,0.000001),NA())</f>
        <v>#N/A</v>
      </c>
      <c r="CL243" s="12" t="e">
        <f>IF(AND(Y243&lt;&gt;"",Статистика!$I$6="Вкл",Статистика!$H$6&gt;0),(Статистика!$H$6-Статистика!$C$10)/MAX(Статистика!$G$10-Статистика!$C$10,0.000001),NA())</f>
        <v>#N/A</v>
      </c>
      <c r="CM243" s="12" t="e">
        <f>IF(AND(Y243&lt;&gt;"",Статистика!$L$6="Вкл",Статистика!$K$6&gt;0),(Статистика!$K$6-Статистика!$C$10)/MAX(Статистика!$G$10-Статистика!$C$10,0.000001),NA())</f>
        <v>#N/A</v>
      </c>
      <c r="CN243" s="12" t="e">
        <f>IF(AND(Y243&lt;&gt;"",Статистика!$M$6="Вкл",Статистика!$O$6&gt;0),(Статистика!$O$6-Статистика!$C$10)/MAX(Статистика!$G$10-Статистика!$C$10,0.000001),NA())</f>
        <v>#N/A</v>
      </c>
      <c r="CO243" s="12">
        <f t="shared" si="7"/>
        <v>1</v>
      </c>
    </row>
    <row r="244" spans="1:93" ht="15" customHeight="1">
      <c r="A244" s="12" t="s">
        <v>1020</v>
      </c>
      <c r="B244" s="12">
        <v>2258.0156010000001</v>
      </c>
      <c r="C244" s="12">
        <v>5631.1605383333344</v>
      </c>
      <c r="D244" s="12">
        <v>7258.3492350000006</v>
      </c>
      <c r="E244" s="12">
        <v>7471.5183833333322</v>
      </c>
      <c r="F244" s="12">
        <v>7708.9880499999999</v>
      </c>
      <c r="G244" s="12">
        <v>7774.6016583333339</v>
      </c>
      <c r="H244" s="12">
        <v>8141.3515116666667</v>
      </c>
      <c r="I244" s="12">
        <v>8192.7394075000011</v>
      </c>
      <c r="J244" s="12">
        <v>8240.309828166668</v>
      </c>
      <c r="K244" s="12">
        <v>8408.81</v>
      </c>
      <c r="L244" s="12" t="s">
        <v>1021</v>
      </c>
      <c r="M244" s="12">
        <v>2668.8488631666664</v>
      </c>
      <c r="N244" s="12">
        <v>6407.3345825000015</v>
      </c>
      <c r="O244" s="12">
        <v>8208.5249316666668</v>
      </c>
      <c r="P244" s="12">
        <v>8460.4258333333328</v>
      </c>
      <c r="Q244" s="12">
        <v>8688.6350999999995</v>
      </c>
      <c r="R244" s="12">
        <v>8776.9032750000006</v>
      </c>
      <c r="S244" s="12">
        <v>9162.4148033333331</v>
      </c>
      <c r="T244" s="12">
        <v>9198.58302</v>
      </c>
      <c r="U244" s="12">
        <v>9235.2309773333327</v>
      </c>
      <c r="V244" s="12">
        <v>9450.5499999999993</v>
      </c>
      <c r="W244" s="12" t="s">
        <v>1022</v>
      </c>
      <c r="Y244" s="12" t="s">
        <v>1020</v>
      </c>
      <c r="Z244" s="12">
        <v>7298.5553481666666</v>
      </c>
      <c r="AA244" s="12">
        <v>7316.0431408333334</v>
      </c>
      <c r="AB244" s="12">
        <v>7337.9028816666669</v>
      </c>
      <c r="AC244" s="12">
        <v>7518.9464500000004</v>
      </c>
      <c r="AD244" s="12">
        <v>7566.5077999999994</v>
      </c>
      <c r="AE244" s="12">
        <v>7793.5546583333335</v>
      </c>
      <c r="AF244" s="12">
        <v>8223.6934516666661</v>
      </c>
      <c r="AG244" s="12">
        <v>8282.1043591666676</v>
      </c>
      <c r="AH244" s="12">
        <v>8328.8330851666669</v>
      </c>
      <c r="AI244" s="12">
        <v>8465.82</v>
      </c>
      <c r="AJ244" s="12" t="s">
        <v>1023</v>
      </c>
      <c r="AK244" s="12">
        <v>8207.3368255000005</v>
      </c>
      <c r="AL244" s="12">
        <v>8230.7207941666675</v>
      </c>
      <c r="AM244" s="12">
        <v>8259.9507549999998</v>
      </c>
      <c r="AN244" s="12">
        <v>8470.9778333333343</v>
      </c>
      <c r="AO244" s="12">
        <v>8607.5218833333347</v>
      </c>
      <c r="AP244" s="12">
        <v>8794.8117500000008</v>
      </c>
      <c r="AQ244" s="12">
        <v>9172.3292016666674</v>
      </c>
      <c r="AR244" s="12">
        <v>9223.5704008333341</v>
      </c>
      <c r="AS244" s="12">
        <v>9264.5633601666668</v>
      </c>
      <c r="AT244" s="12">
        <v>9382.85</v>
      </c>
      <c r="AU244" s="12" t="s">
        <v>1024</v>
      </c>
      <c r="AW244" s="12">
        <f>IF(A244="","",MAX(0,MIN(1,(((IF(Статистика!$C$4="Параллельный режим (активная мощность)",B244,M244)+Статистика!$J$4))-Статистика!$C$10)/MAX(Статистика!$G$10-Статистика!$C$10,0.000001))))</f>
        <v>0</v>
      </c>
      <c r="AX244" s="12">
        <f>IF(A244="","",MAX(0,MAX(0,MIN(1,(((IF(Статистика!$C$4="Параллельный режим (активная мощность)",D244,O244)+Статистика!$J$4))-Статистика!$C$10)/MAX(Статистика!$G$10-Статистика!$C$10,0.000001)))-MAX(0,MIN(1,(((IF(Статистика!$C$4="Параллельный режим (активная мощность)",B244,M244)+Статистика!$J$4))-Статистика!$C$10)/MAX(Статистика!$G$10-Статистика!$C$10,0.000001)))))</f>
        <v>0.41944974500000021</v>
      </c>
      <c r="AY244" s="12">
        <f>IF(A244="","",MAX(0,MAX(0,MIN(1,(((IF(Статистика!$C$4="Параллельный режим (активная мощность)",E244,P244)+Статистика!$J$4))-Статистика!$C$10)/MAX(Статистика!$G$10-Статистика!$C$10,0.000001)))-MAX(0,MIN(1,(((IF(Статистика!$C$4="Параллельный режим (активная мощность)",D244,O244)+Статистика!$J$4))-Статистика!$C$10)/MAX(Статистика!$G$10-Статистика!$C$10,0.000001)))))</f>
        <v>7.1056382777777205E-2</v>
      </c>
      <c r="AZ244" s="12">
        <f>IF(A244="","",MAX(0,MAX(0,MIN(1,(((IF(Статистика!$C$4="Параллельный режим (активная мощность)",F244,Q244)+Статистика!$J$4))-Статистика!$C$10)/MAX(Статистика!$G$10-Статистика!$C$10,0.000001)))-MAX(0,MIN(1,(((IF(Статистика!$C$4="Параллельный режим (активная мощность)",E244,P244)+Статистика!$J$4))-Статистика!$C$10)/MAX(Статистика!$G$10-Статистика!$C$10,0.000001)))))</f>
        <v>7.9156555555555952E-2</v>
      </c>
      <c r="BA244" s="12">
        <f>IF(A244="","",MAX(0,MAX(0,MIN(1,(((IF(Статистика!$C$4="Параллельный режим (активная мощность)",G244,R244)+Статистика!$J$4))-Статистика!$C$10)/MAX(Статистика!$G$10-Статистика!$C$10,0.000001)))-MAX(0,MIN(1,(((IF(Статистика!$C$4="Параллельный режим (активная мощность)",F244,Q244)+Статистика!$J$4))-Статистика!$C$10)/MAX(Статистика!$G$10-Статистика!$C$10,0.000001)))))</f>
        <v>2.1871202777777987E-2</v>
      </c>
      <c r="BB244" s="12">
        <f>IF(A244="","",MAX(0,MAX(0,MIN(1,(((IF(Статистика!$C$4="Параллельный режим (активная мощность)",H244,S244)+Статистика!$J$4))-Статистика!$C$10)/MAX(Статистика!$G$10-Статистика!$C$10,0.000001)))-MAX(0,MIN(1,(((IF(Статистика!$C$4="Параллельный режим (активная мощность)",G244,R244)+Статистика!$J$4))-Статистика!$C$10)/MAX(Статистика!$G$10-Статистика!$C$10,0.000001)))))</f>
        <v>0.12224995111111092</v>
      </c>
      <c r="BC244" s="12">
        <f>IF(A244="","",MAX(0,MAX(0,MIN(1,(((IF(Статистика!$C$4="Параллельный режим (активная мощность)",J244,U244)+Статистика!$J$4))-Статистика!$C$10)/MAX(Статистика!$G$10-Статистика!$C$10,0.000001)))-MAX(0,MIN(1,(((IF(Статистика!$C$4="Параллельный режим (активная мощность)",H244,S244)+Статистика!$J$4))-Статистика!$C$10)/MAX(Статистика!$G$10-Статистика!$C$10,0.000001)))))</f>
        <v>3.2986105500000362E-2</v>
      </c>
      <c r="BD244" s="12">
        <f>IF(A244="","",MAX(0,1-MAX(0,MIN(1,(((IF(Статистика!$C$4="Параллельный режим (активная мощность)",J244,U244)+Статистика!$J$4))-Статистика!$C$10)/MAX(Статистика!$G$10-Статистика!$C$10,0.000001)))))</f>
        <v>0.25323005727777737</v>
      </c>
      <c r="BE244" s="12">
        <f>IF(A244="",NA(),IF(Статистика!$B$8="Вкл",(((IF(Статистика!$C$4="Параллельный режим (активная мощность)",F244,Q244)+Статистика!$J$4))-Статистика!$C$10)/MAX(Статистика!$G$10-Статистика!$C$10,0.000001),NA()))</f>
        <v>0.56966268333333336</v>
      </c>
      <c r="BF244" s="12">
        <f>IF(A244="",NA(),IF(Статистика!$D$8="Вкл",(((IF(Статистика!$C$4="Параллельный режим (активная мощность)",E244,P244)+Статистика!$J$4))-Статистика!$C$10)/MAX(Статистика!$G$10-Статистика!$C$10,0.000001),NA()))</f>
        <v>0.49050612777777741</v>
      </c>
      <c r="BG244" s="12">
        <f>IF(A244="",NA(),IF(Статистика!$D$8="Вкл",(((IF(Статистика!$C$4="Параллельный режим (активная мощность)",G244,R244)+Статистика!$J$4))-Статистика!$C$10)/MAX(Статистика!$G$10-Статистика!$C$10,0.000001),NA()))</f>
        <v>0.59153388611111135</v>
      </c>
      <c r="BH244" s="12">
        <f>IF(A244="",NA(),IF(Статистика!$F$8="Вкл",(((IF(Статистика!$C$4="Параллельный режим (активная мощность)",D244,O244)+Статистика!$J$4))-Статистика!$C$10)/MAX(Статистика!$G$10-Статистика!$C$10,0.000001),NA()))</f>
        <v>0.41944974500000021</v>
      </c>
      <c r="BI244" s="12">
        <f>IF(A244="",NA(),IF(Статистика!$F$8="Вкл",(((IF(Статистика!$C$4="Параллельный режим (активная мощность)",H244,S244)+Статистика!$J$4))-Статистика!$C$10)/MAX(Статистика!$G$10-Статистика!$C$10,0.000001),NA()))</f>
        <v>0.71378383722222227</v>
      </c>
      <c r="BJ244" s="12">
        <f>IF(A244="",NA(),IF(Статистика!$H$8="Вкл",(((IF(Статистика!$C$4="Параллельный режим (активная мощность)",B244,M244)+Статистика!$J$4))-Статистика!$C$10)/MAX(Статистика!$G$10-Статистика!$C$10,0.000001),NA()))</f>
        <v>-1.2473281329999999</v>
      </c>
      <c r="BK244" s="12">
        <f>IF(A244="",NA(),IF(Статистика!$H$8="Вкл",(((IF(Статистика!$C$4="Параллельный режим (активная мощность)",J244,U244)+Статистика!$J$4))-Статистика!$C$10)/MAX(Статистика!$G$10-Статистика!$C$10,0.000001),NA()))</f>
        <v>0.74676994272222263</v>
      </c>
      <c r="BL244" s="12" t="e">
        <f>IF(A244="",NA(),IF(Статистика!$J$8="Вкл",(((IF(Статистика!$C$4="Параллельный режим (активная мощность)",K244,V244)+Статистика!$J$4))-Статистика!$C$10)/MAX(Статистика!$G$10-Статистика!$C$10,0.000001),NA()))</f>
        <v>#N/A</v>
      </c>
      <c r="BM244" s="12" t="e">
        <f>IF(AND(A244&lt;&gt;"",Статистика!$C$6="Вкл",Статистика!$B$6&gt;0),(Статистика!$B$6-Статистика!$C$10)/MAX(Статистика!$G$10-Статистика!$C$10,0.000001),NA())</f>
        <v>#N/A</v>
      </c>
      <c r="BN244" s="12" t="e">
        <f>IF(AND(A244&lt;&gt;"",Статистика!$F$6="Вкл",Статистика!$E$6&gt;0),(Статистика!$E$6-Статистика!$C$10)/MAX(Статистика!$G$10-Статистика!$C$10,0.000001),NA())</f>
        <v>#N/A</v>
      </c>
      <c r="BO244" s="12" t="e">
        <f>IF(AND(A244&lt;&gt;"",Статистика!$I$6="Вкл",Статистика!$H$6&gt;0),(Статистика!$H$6-Статистика!$C$10)/MAX(Статистика!$G$10-Статистика!$C$10,0.000001),NA())</f>
        <v>#N/A</v>
      </c>
      <c r="BP244" s="12" t="e">
        <f>IF(AND(A244&lt;&gt;"",Статистика!$L$6="Вкл",Статистика!$K$6&gt;0),(Статистика!$K$6-Статистика!$C$10)/MAX(Статистика!$G$10-Статистика!$C$10,0.000001),NA())</f>
        <v>#N/A</v>
      </c>
      <c r="BQ244" s="12" t="e">
        <f>IF(AND(A244&lt;&gt;"",Статистика!$M$6="Вкл",Статистика!$O$6&gt;0),(Статистика!$O$6-Статистика!$C$10)/MAX(Статистика!$G$10-Статистика!$C$10,0.000001),NA())</f>
        <v>#N/A</v>
      </c>
      <c r="BR244" s="12">
        <f t="shared" si="6"/>
        <v>1</v>
      </c>
      <c r="BT244" s="12">
        <f>IF(Y244="","",MAX(0,MIN(1,(((IF(Статистика!$C$4="Параллельный режим (активная мощность)",Z244,AK244)+Статистика!$J$4))-Статистика!$C$10)/MAX(Статистика!$G$10-Статистика!$C$10,0.000001))))</f>
        <v>0.43285178272222219</v>
      </c>
      <c r="BU244" s="12">
        <f>IF(Y244="","",MAX(0,MAX(0,MIN(1,(((IF(Статистика!$C$4="Параллельный режим (активная мощность)",AB244,AM244)+Статистика!$J$4))-Статистика!$C$10)/MAX(Статистика!$G$10-Статистика!$C$10,0.000001)))-MAX(0,MIN(1,(((IF(Статистика!$C$4="Параллельный режим (активная мощность)",Z244,AK244)+Статистика!$J$4))-Статистика!$C$10)/MAX(Статистика!$G$10-Статистика!$C$10,0.000001)))))</f>
        <v>1.3115844500000085E-2</v>
      </c>
      <c r="BV244" s="12">
        <f>IF(Y244="","",MAX(0,MAX(0,MIN(1,(((IF(Статистика!$C$4="Параллельный режим (активная мощность)",AC244,AN244)+Статистика!$J$4))-Статистика!$C$10)/MAX(Статистика!$G$10-Статистика!$C$10,0.000001)))-MAX(0,MIN(1,(((IF(Статистика!$C$4="Параллельный режим (активная мощность)",AB244,AM244)+Статистика!$J$4))-Статистика!$C$10)/MAX(Статистика!$G$10-Статистика!$C$10,0.000001)))))</f>
        <v>6.0347856111111153E-2</v>
      </c>
      <c r="BW244" s="12">
        <f>IF(Y244="","",MAX(0,MAX(0,MIN(1,(((IF(Статистика!$C$4="Параллельный режим (активная мощность)",AD244,AO244)+Статистика!$J$4))-Статистика!$C$10)/MAX(Статистика!$G$10-Статистика!$C$10,0.000001)))-MAX(0,MIN(1,(((IF(Статистика!$C$4="Параллельный режим (активная мощность)",AC244,AN244)+Статистика!$J$4))-Статистика!$C$10)/MAX(Статистика!$G$10-Статистика!$C$10,0.000001)))))</f>
        <v>1.5853783333333094E-2</v>
      </c>
      <c r="BX244" s="12">
        <f>IF(Y244="","",MAX(0,MAX(0,MIN(1,(((IF(Статистика!$C$4="Параллельный режим (активная мощность)",AE244,AP244)+Статистика!$J$4))-Статистика!$C$10)/MAX(Статистика!$G$10-Статистика!$C$10,0.000001)))-MAX(0,MIN(1,(((IF(Статистика!$C$4="Параллельный режим (активная мощность)",AD244,AO244)+Статистика!$J$4))-Статистика!$C$10)/MAX(Статистика!$G$10-Статистика!$C$10,0.000001)))))</f>
        <v>7.5682286111111274E-2</v>
      </c>
      <c r="BY244" s="12">
        <f>IF(Y244="","",MAX(0,MAX(0,MIN(1,(((IF(Статистика!$C$4="Параллельный режим (активная мощность)",AF244,AQ244)+Статистика!$J$4))-Статистика!$C$10)/MAX(Статистика!$G$10-Статистика!$C$10,0.000001)))-MAX(0,MIN(1,(((IF(Статистика!$C$4="Параллельный режим (активная мощность)",AE244,AP244)+Статистика!$J$4))-Статистика!$C$10)/MAX(Статистика!$G$10-Статистика!$C$10,0.000001)))))</f>
        <v>0.14337959777777753</v>
      </c>
      <c r="BZ244" s="12">
        <f>IF(Y244="","",MAX(0,MAX(0,MIN(1,(((IF(Статистика!$C$4="Параллельный режим (активная мощность)",AH244,AS244)+Статистика!$J$4))-Статистика!$C$10)/MAX(Статистика!$G$10-Статистика!$C$10,0.000001)))-MAX(0,MIN(1,(((IF(Статистика!$C$4="Параллельный режим (активная мощность)",AF244,AQ244)+Статистика!$J$4))-Статистика!$C$10)/MAX(Статистика!$G$10-Статистика!$C$10,0.000001)))))</f>
        <v>3.5046544500000332E-2</v>
      </c>
      <c r="CA244" s="12">
        <f>IF(Y244="","",MAX(0,1-MAX(0,MIN(1,(((IF(Статистика!$C$4="Параллельный режим (активная мощность)",AH244,AS244)+Статистика!$J$4))-Статистика!$C$10)/MAX(Статистика!$G$10-Статистика!$C$10,0.000001)))))</f>
        <v>0.22372230494444434</v>
      </c>
      <c r="CB244" s="12">
        <f>IF(Y244="",NA(),IF(Статистика!$B$8="Вкл",(((IF(Статистика!$C$4="Параллельный режим (активная мощность)",AD244,AO244)+Статистика!$J$4))-Статистика!$C$10)/MAX(Статистика!$G$10-Статистика!$C$10,0.000001),NA()))</f>
        <v>0.52216926666666652</v>
      </c>
      <c r="CC244" s="12">
        <f>IF(Y244="",NA(),IF(Статистика!$D$8="Вкл",(((IF(Статистика!$C$4="Параллельный режим (активная мощность)",AC244,AN244)+Статистика!$J$4))-Статистика!$C$10)/MAX(Статистика!$G$10-Статистика!$C$10,0.000001),NA()))</f>
        <v>0.50631548333333343</v>
      </c>
      <c r="CD244" s="12">
        <f>IF(Y244="",NA(),IF(Статистика!$D$8="Вкл",(((IF(Статистика!$C$4="Параллельный режим (активная мощность)",AE244,AP244)+Статистика!$J$4))-Статистика!$C$10)/MAX(Статистика!$G$10-Статистика!$C$10,0.000001),NA()))</f>
        <v>0.59785155277777779</v>
      </c>
      <c r="CE244" s="12">
        <f>IF(Y244="",NA(),IF(Статистика!$F$8="Вкл",(((IF(Статистика!$C$4="Параллельный режим (активная мощность)",AB244,AM244)+Статистика!$J$4))-Статистика!$C$10)/MAX(Статистика!$G$10-Статистика!$C$10,0.000001),NA()))</f>
        <v>0.44596762722222227</v>
      </c>
      <c r="CF244" s="12">
        <f>IF(Y244="",NA(),IF(Статистика!$F$8="Вкл",(((IF(Статистика!$C$4="Параллельный режим (активная мощность)",AF244,AQ244)+Статистика!$J$4))-Статистика!$C$10)/MAX(Статистика!$G$10-Статистика!$C$10,0.000001),NA()))</f>
        <v>0.74123115055555533</v>
      </c>
      <c r="CG244" s="12">
        <f>IF(Y244="",NA(),IF(Статистика!$H$8="Вкл",(((IF(Статистика!$C$4="Параллельный режим (активная мощность)",Z244,AK244)+Статистика!$J$4))-Статистика!$C$10)/MAX(Статистика!$G$10-Статистика!$C$10,0.000001),NA()))</f>
        <v>0.43285178272222219</v>
      </c>
      <c r="CH244" s="12">
        <f>IF(Y244="",NA(),IF(Статистика!$H$8="Вкл",(((IF(Статистика!$C$4="Параллельный режим (активная мощность)",AH244,AS244)+Статистика!$J$4))-Статистика!$C$10)/MAX(Статистика!$G$10-Статистика!$C$10,0.000001),NA()))</f>
        <v>0.77627769505555566</v>
      </c>
      <c r="CI244" s="12" t="e">
        <f>IF(Y244="",NA(),IF(Статистика!$J$8="Вкл",(((IF(Статистика!$C$4="Параллельный режим (активная мощность)",AI244,AT244)+Статистика!$J$4))-Статистика!$C$10)/MAX(Статистика!$G$10-Статистика!$C$10,0.000001),NA()))</f>
        <v>#N/A</v>
      </c>
      <c r="CJ244" s="12" t="e">
        <f>IF(AND(Y244&lt;&gt;"",Статистика!$C$6="Вкл",Статистика!$B$6&gt;0),(Статистика!$B$6-Статистика!$C$10)/MAX(Статистика!$G$10-Статистика!$C$10,0.000001),NA())</f>
        <v>#N/A</v>
      </c>
      <c r="CK244" s="12" t="e">
        <f>IF(AND(Y244&lt;&gt;"",Статистика!$F$6="Вкл",Статистика!$E$6&gt;0),(Статистика!$E$6-Статистика!$C$10)/MAX(Статистика!$G$10-Статистика!$C$10,0.000001),NA())</f>
        <v>#N/A</v>
      </c>
      <c r="CL244" s="12" t="e">
        <f>IF(AND(Y244&lt;&gt;"",Статистика!$I$6="Вкл",Статистика!$H$6&gt;0),(Статистика!$H$6-Статистика!$C$10)/MAX(Статистика!$G$10-Статистика!$C$10,0.000001),NA())</f>
        <v>#N/A</v>
      </c>
      <c r="CM244" s="12" t="e">
        <f>IF(AND(Y244&lt;&gt;"",Статистика!$L$6="Вкл",Статистика!$K$6&gt;0),(Статистика!$K$6-Статистика!$C$10)/MAX(Статистика!$G$10-Статистика!$C$10,0.000001),NA())</f>
        <v>#N/A</v>
      </c>
      <c r="CN244" s="12" t="e">
        <f>IF(AND(Y244&lt;&gt;"",Статистика!$M$6="Вкл",Статистика!$O$6&gt;0),(Статистика!$O$6-Статистика!$C$10)/MAX(Статистика!$G$10-Статистика!$C$10,0.000001),NA())</f>
        <v>#N/A</v>
      </c>
      <c r="CO244" s="12">
        <f t="shared" si="7"/>
        <v>1</v>
      </c>
    </row>
    <row r="245" spans="1:93" ht="15" customHeight="1">
      <c r="A245" s="12" t="s">
        <v>1025</v>
      </c>
      <c r="B245" s="12">
        <v>2375.4199918333334</v>
      </c>
      <c r="C245" s="12">
        <v>5646.4502258333332</v>
      </c>
      <c r="D245" s="12">
        <v>7240.2446683333328</v>
      </c>
      <c r="E245" s="12">
        <v>7486.8128750000005</v>
      </c>
      <c r="F245" s="12">
        <v>7696.2790000000005</v>
      </c>
      <c r="G245" s="12">
        <v>7810.9017499999991</v>
      </c>
      <c r="H245" s="12">
        <v>8160.9145099999996</v>
      </c>
      <c r="I245" s="12">
        <v>8200.7880299999997</v>
      </c>
      <c r="J245" s="12">
        <v>8229.2388859999992</v>
      </c>
      <c r="K245" s="12">
        <v>8382.56</v>
      </c>
      <c r="L245" s="12" t="s">
        <v>1026</v>
      </c>
      <c r="M245" s="12">
        <v>2787.4555121666663</v>
      </c>
      <c r="N245" s="12">
        <v>6436.0506274999998</v>
      </c>
      <c r="O245" s="12">
        <v>8202.1115816666661</v>
      </c>
      <c r="P245" s="12">
        <v>8473.1007166666677</v>
      </c>
      <c r="Q245" s="12">
        <v>8702.5031166666668</v>
      </c>
      <c r="R245" s="12">
        <v>8802.5230166666661</v>
      </c>
      <c r="S245" s="12">
        <v>9164.9258966666675</v>
      </c>
      <c r="T245" s="12">
        <v>9216.1597291666658</v>
      </c>
      <c r="U245" s="12">
        <v>9265.4083991666666</v>
      </c>
      <c r="V245" s="12">
        <v>9496.16</v>
      </c>
      <c r="W245" s="12" t="s">
        <v>1027</v>
      </c>
      <c r="Y245" s="12" t="s">
        <v>1025</v>
      </c>
      <c r="Z245" s="12">
        <v>7325.1052273333344</v>
      </c>
      <c r="AA245" s="12">
        <v>7337.0536033333337</v>
      </c>
      <c r="AB245" s="12">
        <v>7351.9890733333332</v>
      </c>
      <c r="AC245" s="12">
        <v>7492.4567750000006</v>
      </c>
      <c r="AD245" s="12">
        <v>7546.6280666666662</v>
      </c>
      <c r="AE245" s="12">
        <v>7761.5090666666665</v>
      </c>
      <c r="AF245" s="12">
        <v>8220.3731733333334</v>
      </c>
      <c r="AG245" s="12">
        <v>8271.8040033333327</v>
      </c>
      <c r="AH245" s="12">
        <v>8312.948667333334</v>
      </c>
      <c r="AI245" s="12">
        <v>8471.0499999999993</v>
      </c>
      <c r="AJ245" s="12" t="s">
        <v>1028</v>
      </c>
      <c r="AK245" s="12">
        <v>8242.1205145000004</v>
      </c>
      <c r="AL245" s="12">
        <v>8267.3128391666669</v>
      </c>
      <c r="AM245" s="12">
        <v>8298.803245000001</v>
      </c>
      <c r="AN245" s="12">
        <v>8439.5222416666656</v>
      </c>
      <c r="AO245" s="12">
        <v>8583.1218166666658</v>
      </c>
      <c r="AP245" s="12">
        <v>8723.5369916666659</v>
      </c>
      <c r="AQ245" s="12">
        <v>9169.0266783333336</v>
      </c>
      <c r="AR245" s="12">
        <v>9212.8809558333323</v>
      </c>
      <c r="AS245" s="12">
        <v>9247.9643778333339</v>
      </c>
      <c r="AT245" s="12">
        <v>9397.42</v>
      </c>
      <c r="AU245" s="12" t="s">
        <v>1028</v>
      </c>
      <c r="AW245" s="12">
        <f>IF(A245="","",MAX(0,MIN(1,(((IF(Статистика!$C$4="Параллельный режим (активная мощность)",B245,M245)+Статистика!$J$4))-Статистика!$C$10)/MAX(Статистика!$G$10-Статистика!$C$10,0.000001))))</f>
        <v>0</v>
      </c>
      <c r="AX245" s="12">
        <f>IF(A245="","",MAX(0,MAX(0,MIN(1,(((IF(Статистика!$C$4="Параллельный режим (активная мощность)",D245,O245)+Статистика!$J$4))-Статистика!$C$10)/MAX(Статистика!$G$10-Статистика!$C$10,0.000001)))-MAX(0,MIN(1,(((IF(Статистика!$C$4="Параллельный режим (активная мощность)",B245,M245)+Статистика!$J$4))-Статистика!$C$10)/MAX(Статистика!$G$10-Статистика!$C$10,0.000001)))))</f>
        <v>0.41341488944444427</v>
      </c>
      <c r="AY245" s="12">
        <f>IF(A245="","",MAX(0,MAX(0,MIN(1,(((IF(Статистика!$C$4="Параллельный режим (активная мощность)",E245,P245)+Статистика!$J$4))-Статистика!$C$10)/MAX(Статистика!$G$10-Статистика!$C$10,0.000001)))-MAX(0,MIN(1,(((IF(Статистика!$C$4="Параллельный режим (активная мощность)",D245,O245)+Статистика!$J$4))-Статистика!$C$10)/MAX(Статистика!$G$10-Статистика!$C$10,0.000001)))))</f>
        <v>8.2189402222222596E-2</v>
      </c>
      <c r="AZ245" s="12">
        <f>IF(A245="","",MAX(0,MAX(0,MIN(1,(((IF(Статистика!$C$4="Параллельный режим (активная мощность)",F245,Q245)+Статистика!$J$4))-Статистика!$C$10)/MAX(Статистика!$G$10-Статистика!$C$10,0.000001)))-MAX(0,MIN(1,(((IF(Статистика!$C$4="Параллельный режим (активная мощность)",E245,P245)+Статистика!$J$4))-Статистика!$C$10)/MAX(Статистика!$G$10-Статистика!$C$10,0.000001)))))</f>
        <v>6.9822041666666612E-2</v>
      </c>
      <c r="BA245" s="12">
        <f>IF(A245="","",MAX(0,MAX(0,MIN(1,(((IF(Статистика!$C$4="Параллельный режим (активная мощность)",G245,R245)+Статистика!$J$4))-Статистика!$C$10)/MAX(Статистика!$G$10-Статистика!$C$10,0.000001)))-MAX(0,MIN(1,(((IF(Статистика!$C$4="Параллельный режим (активная мощность)",F245,Q245)+Статистика!$J$4))-Статистика!$C$10)/MAX(Статистика!$G$10-Статистика!$C$10,0.000001)))))</f>
        <v>3.8207583333332851E-2</v>
      </c>
      <c r="BB245" s="12">
        <f>IF(A245="","",MAX(0,MAX(0,MIN(1,(((IF(Статистика!$C$4="Параллельный режим (активная мощность)",H245,S245)+Статистика!$J$4))-Статистика!$C$10)/MAX(Статистика!$G$10-Статистика!$C$10,0.000001)))-MAX(0,MIN(1,(((IF(Статистика!$C$4="Параллельный режим (активная мощность)",G245,R245)+Статистика!$J$4))-Статистика!$C$10)/MAX(Статистика!$G$10-Статистика!$C$10,0.000001)))))</f>
        <v>0.11667092000000023</v>
      </c>
      <c r="BC245" s="12">
        <f>IF(A245="","",MAX(0,MAX(0,MIN(1,(((IF(Статистика!$C$4="Параллельный режим (активная мощность)",J245,U245)+Статистика!$J$4))-Статистика!$C$10)/MAX(Статистика!$G$10-Статистика!$C$10,0.000001)))-MAX(0,MIN(1,(((IF(Статистика!$C$4="Параллельный режим (активная мощность)",H245,S245)+Статистика!$J$4))-Статистика!$C$10)/MAX(Статистика!$G$10-Статистика!$C$10,0.000001)))))</f>
        <v>2.2774791999999877E-2</v>
      </c>
      <c r="BD245" s="12">
        <f>IF(A245="","",MAX(0,1-MAX(0,MIN(1,(((IF(Статистика!$C$4="Параллельный режим (активная мощность)",J245,U245)+Статистика!$J$4))-Статистика!$C$10)/MAX(Статистика!$G$10-Статистика!$C$10,0.000001)))))</f>
        <v>0.25692037133333356</v>
      </c>
      <c r="BE245" s="12">
        <f>IF(A245="",NA(),IF(Статистика!$B$8="Вкл",(((IF(Статистика!$C$4="Параллельный режим (активная мощность)",F245,Q245)+Статистика!$J$4))-Статистика!$C$10)/MAX(Статистика!$G$10-Статистика!$C$10,0.000001),NA()))</f>
        <v>0.56542633333333348</v>
      </c>
      <c r="BF245" s="12">
        <f>IF(A245="",NA(),IF(Статистика!$D$8="Вкл",(((IF(Статистика!$C$4="Параллельный режим (активная мощность)",E245,P245)+Статистика!$J$4))-Статистика!$C$10)/MAX(Статистика!$G$10-Статистика!$C$10,0.000001),NA()))</f>
        <v>0.49560429166666686</v>
      </c>
      <c r="BG245" s="12">
        <f>IF(A245="",NA(),IF(Статистика!$D$8="Вкл",(((IF(Статистика!$C$4="Параллельный режим (активная мощность)",G245,R245)+Статистика!$J$4))-Статистика!$C$10)/MAX(Статистика!$G$10-Статистика!$C$10,0.000001),NA()))</f>
        <v>0.60363391666666633</v>
      </c>
      <c r="BH245" s="12">
        <f>IF(A245="",NA(),IF(Статистика!$F$8="Вкл",(((IF(Статистика!$C$4="Параллельный режим (активная мощность)",D245,O245)+Статистика!$J$4))-Статистика!$C$10)/MAX(Статистика!$G$10-Статистика!$C$10,0.000001),NA()))</f>
        <v>0.41341488944444427</v>
      </c>
      <c r="BI245" s="12">
        <f>IF(A245="",NA(),IF(Статистика!$F$8="Вкл",(((IF(Статистика!$C$4="Параллельный режим (активная мощность)",H245,S245)+Статистика!$J$4))-Статистика!$C$10)/MAX(Статистика!$G$10-Статистика!$C$10,0.000001),NA()))</f>
        <v>0.72030483666666656</v>
      </c>
      <c r="BJ245" s="12">
        <f>IF(A245="",NA(),IF(Статистика!$H$8="Вкл",(((IF(Статистика!$C$4="Параллельный режим (активная мощность)",B245,M245)+Статистика!$J$4))-Статистика!$C$10)/MAX(Статистика!$G$10-Статистика!$C$10,0.000001),NA()))</f>
        <v>-1.2081933360555555</v>
      </c>
      <c r="BK245" s="12">
        <f>IF(A245="",NA(),IF(Статистика!$H$8="Вкл",(((IF(Статистика!$C$4="Параллельный режим (активная мощность)",J245,U245)+Статистика!$J$4))-Статистика!$C$10)/MAX(Статистика!$G$10-Статистика!$C$10,0.000001),NA()))</f>
        <v>0.74307962866666644</v>
      </c>
      <c r="BL245" s="12" t="e">
        <f>IF(A245="",NA(),IF(Статистика!$J$8="Вкл",(((IF(Статистика!$C$4="Параллельный режим (активная мощность)",K245,V245)+Статистика!$J$4))-Статистика!$C$10)/MAX(Статистика!$G$10-Статистика!$C$10,0.000001),NA()))</f>
        <v>#N/A</v>
      </c>
      <c r="BM245" s="12" t="e">
        <f>IF(AND(A245&lt;&gt;"",Статистика!$C$6="Вкл",Статистика!$B$6&gt;0),(Статистика!$B$6-Статистика!$C$10)/MAX(Статистика!$G$10-Статистика!$C$10,0.000001),NA())</f>
        <v>#N/A</v>
      </c>
      <c r="BN245" s="12" t="e">
        <f>IF(AND(A245&lt;&gt;"",Статистика!$F$6="Вкл",Статистика!$E$6&gt;0),(Статистика!$E$6-Статистика!$C$10)/MAX(Статистика!$G$10-Статистика!$C$10,0.000001),NA())</f>
        <v>#N/A</v>
      </c>
      <c r="BO245" s="12" t="e">
        <f>IF(AND(A245&lt;&gt;"",Статистика!$I$6="Вкл",Статистика!$H$6&gt;0),(Статистика!$H$6-Статистика!$C$10)/MAX(Статистика!$G$10-Статистика!$C$10,0.000001),NA())</f>
        <v>#N/A</v>
      </c>
      <c r="BP245" s="12" t="e">
        <f>IF(AND(A245&lt;&gt;"",Статистика!$L$6="Вкл",Статистика!$K$6&gt;0),(Статистика!$K$6-Статистика!$C$10)/MAX(Статистика!$G$10-Статистика!$C$10,0.000001),NA())</f>
        <v>#N/A</v>
      </c>
      <c r="BQ245" s="12" t="e">
        <f>IF(AND(A245&lt;&gt;"",Статистика!$M$6="Вкл",Статистика!$O$6&gt;0),(Статистика!$O$6-Статистика!$C$10)/MAX(Статистика!$G$10-Статистика!$C$10,0.000001),NA())</f>
        <v>#N/A</v>
      </c>
      <c r="BR245" s="12">
        <f t="shared" si="6"/>
        <v>1</v>
      </c>
      <c r="BT245" s="12">
        <f>IF(Y245="","",MAX(0,MIN(1,(((IF(Статистика!$C$4="Параллельный режим (активная мощность)",Z245,AK245)+Статистика!$J$4))-Статистика!$C$10)/MAX(Статистика!$G$10-Статистика!$C$10,0.000001))))</f>
        <v>0.44170174244444477</v>
      </c>
      <c r="BU245" s="12">
        <f>IF(Y245="","",MAX(0,MAX(0,MIN(1,(((IF(Статистика!$C$4="Параллельный режим (активная мощность)",AB245,AM245)+Статистика!$J$4))-Статистика!$C$10)/MAX(Статистика!$G$10-Статистика!$C$10,0.000001)))-MAX(0,MIN(1,(((IF(Статистика!$C$4="Параллельный режим (активная мощность)",Z245,AK245)+Статистика!$J$4))-Статистика!$C$10)/MAX(Статистика!$G$10-Статистика!$C$10,0.000001)))))</f>
        <v>8.9612819999996263E-3</v>
      </c>
      <c r="BV245" s="12">
        <f>IF(Y245="","",MAX(0,MAX(0,MIN(1,(((IF(Статистика!$C$4="Параллельный режим (активная мощность)",AC245,AN245)+Статистика!$J$4))-Статистика!$C$10)/MAX(Статистика!$G$10-Статистика!$C$10,0.000001)))-MAX(0,MIN(1,(((IF(Статистика!$C$4="Параллельный режим (активная мощность)",AB245,AM245)+Статистика!$J$4))-Статистика!$C$10)/MAX(Статистика!$G$10-Статистика!$C$10,0.000001)))))</f>
        <v>4.6822567222222444E-2</v>
      </c>
      <c r="BW245" s="12">
        <f>IF(Y245="","",MAX(0,MAX(0,MIN(1,(((IF(Статистика!$C$4="Параллельный режим (активная мощность)",AD245,AO245)+Статистика!$J$4))-Статистика!$C$10)/MAX(Статистика!$G$10-Статистика!$C$10,0.000001)))-MAX(0,MIN(1,(((IF(Статистика!$C$4="Параллельный режим (активная мощность)",AC245,AN245)+Статистика!$J$4))-Статистика!$C$10)/MAX(Статистика!$G$10-Статистика!$C$10,0.000001)))))</f>
        <v>1.8057097222221929E-2</v>
      </c>
      <c r="BX245" s="12">
        <f>IF(Y245="","",MAX(0,MAX(0,MIN(1,(((IF(Статистика!$C$4="Параллельный режим (активная мощность)",AE245,AP245)+Статистика!$J$4))-Статистика!$C$10)/MAX(Статистика!$G$10-Статистика!$C$10,0.000001)))-MAX(0,MIN(1,(((IF(Статистика!$C$4="Параллельный режим (активная мощность)",AD245,AO245)+Статистика!$J$4))-Статистика!$C$10)/MAX(Статистика!$G$10-Статистика!$C$10,0.000001)))))</f>
        <v>7.1627000000000107E-2</v>
      </c>
      <c r="BY245" s="12">
        <f>IF(Y245="","",MAX(0,MAX(0,MIN(1,(((IF(Статистика!$C$4="Параллельный режим (активная мощность)",AF245,AQ245)+Статистика!$J$4))-Статистика!$C$10)/MAX(Статистика!$G$10-Статистика!$C$10,0.000001)))-MAX(0,MIN(1,(((IF(Статистика!$C$4="Параллельный режим (активная мощность)",AE245,AP245)+Статистика!$J$4))-Статистика!$C$10)/MAX(Статистика!$G$10-Статистика!$C$10,0.000001)))))</f>
        <v>0.15295470222222229</v>
      </c>
      <c r="BZ245" s="12">
        <f>IF(Y245="","",MAX(0,MAX(0,MIN(1,(((IF(Статистика!$C$4="Параллельный режим (активная мощность)",AH245,AS245)+Статистика!$J$4))-Статистика!$C$10)/MAX(Статистика!$G$10-Статистика!$C$10,0.000001)))-MAX(0,MIN(1,(((IF(Статистика!$C$4="Параллельный режим (активная мощность)",AF245,AQ245)+Статистика!$J$4))-Статистика!$C$10)/MAX(Статистика!$G$10-Статистика!$C$10,0.000001)))))</f>
        <v>3.0858498000000179E-2</v>
      </c>
      <c r="CA245" s="12">
        <f>IF(Y245="","",MAX(0,1-MAX(0,MIN(1,(((IF(Статистика!$C$4="Параллельный режим (активная мощность)",AH245,AS245)+Статистика!$J$4))-Статистика!$C$10)/MAX(Статистика!$G$10-Статистика!$C$10,0.000001)))))</f>
        <v>0.22901711088888865</v>
      </c>
      <c r="CB245" s="12">
        <f>IF(Y245="",NA(),IF(Статистика!$B$8="Вкл",(((IF(Статистика!$C$4="Параллельный режим (активная мощность)",AD245,AO245)+Статистика!$J$4))-Статистика!$C$10)/MAX(Статистика!$G$10-Статистика!$C$10,0.000001),NA()))</f>
        <v>0.51554268888888877</v>
      </c>
      <c r="CC245" s="12">
        <f>IF(Y245="",NA(),IF(Статистика!$D$8="Вкл",(((IF(Статистика!$C$4="Параллельный режим (активная мощность)",AC245,AN245)+Статистика!$J$4))-Статистика!$C$10)/MAX(Статистика!$G$10-Статистика!$C$10,0.000001),NA()))</f>
        <v>0.49748559166666684</v>
      </c>
      <c r="CD245" s="12">
        <f>IF(Y245="",NA(),IF(Статистика!$D$8="Вкл",(((IF(Статистика!$C$4="Параллельный режим (активная мощность)",AE245,AP245)+Статистика!$J$4))-Статистика!$C$10)/MAX(Статистика!$G$10-Статистика!$C$10,0.000001),NA()))</f>
        <v>0.58716968888888887</v>
      </c>
      <c r="CE245" s="12">
        <f>IF(Y245="",NA(),IF(Статистика!$F$8="Вкл",(((IF(Статистика!$C$4="Параллельный режим (активная мощность)",AB245,AM245)+Статистика!$J$4))-Статистика!$C$10)/MAX(Статистика!$G$10-Статистика!$C$10,0.000001),NA()))</f>
        <v>0.45066302444444439</v>
      </c>
      <c r="CF245" s="12">
        <f>IF(Y245="",NA(),IF(Статистика!$F$8="Вкл",(((IF(Статистика!$C$4="Параллельный режим (активная мощность)",AF245,AQ245)+Статистика!$J$4))-Статистика!$C$10)/MAX(Статистика!$G$10-Статистика!$C$10,0.000001),NA()))</f>
        <v>0.74012439111111117</v>
      </c>
      <c r="CG245" s="12">
        <f>IF(Y245="",NA(),IF(Статистика!$H$8="Вкл",(((IF(Статистика!$C$4="Параллельный режим (активная мощность)",Z245,AK245)+Статистика!$J$4))-Статистика!$C$10)/MAX(Статистика!$G$10-Статистика!$C$10,0.000001),NA()))</f>
        <v>0.44170174244444477</v>
      </c>
      <c r="CH245" s="12">
        <f>IF(Y245="",NA(),IF(Статистика!$H$8="Вкл",(((IF(Статистика!$C$4="Параллельный режим (активная мощность)",AH245,AS245)+Статистика!$J$4))-Статистика!$C$10)/MAX(Статистика!$G$10-Статистика!$C$10,0.000001),NA()))</f>
        <v>0.77098288911111135</v>
      </c>
      <c r="CI245" s="12" t="e">
        <f>IF(Y245="",NA(),IF(Статистика!$J$8="Вкл",(((IF(Статистика!$C$4="Параллельный режим (активная мощность)",AI245,AT245)+Статистика!$J$4))-Статистика!$C$10)/MAX(Статистика!$G$10-Статистика!$C$10,0.000001),NA()))</f>
        <v>#N/A</v>
      </c>
      <c r="CJ245" s="12" t="e">
        <f>IF(AND(Y245&lt;&gt;"",Статистика!$C$6="Вкл",Статистика!$B$6&gt;0),(Статистика!$B$6-Статистика!$C$10)/MAX(Статистика!$G$10-Статистика!$C$10,0.000001),NA())</f>
        <v>#N/A</v>
      </c>
      <c r="CK245" s="12" t="e">
        <f>IF(AND(Y245&lt;&gt;"",Статистика!$F$6="Вкл",Статистика!$E$6&gt;0),(Статистика!$E$6-Статистика!$C$10)/MAX(Статистика!$G$10-Статистика!$C$10,0.000001),NA())</f>
        <v>#N/A</v>
      </c>
      <c r="CL245" s="12" t="e">
        <f>IF(AND(Y245&lt;&gt;"",Статистика!$I$6="Вкл",Статистика!$H$6&gt;0),(Статистика!$H$6-Статистика!$C$10)/MAX(Статистика!$G$10-Статистика!$C$10,0.000001),NA())</f>
        <v>#N/A</v>
      </c>
      <c r="CM245" s="12" t="e">
        <f>IF(AND(Y245&lt;&gt;"",Статистика!$L$6="Вкл",Статистика!$K$6&gt;0),(Статистика!$K$6-Статистика!$C$10)/MAX(Статистика!$G$10-Статистика!$C$10,0.000001),NA())</f>
        <v>#N/A</v>
      </c>
      <c r="CN245" s="12" t="e">
        <f>IF(AND(Y245&lt;&gt;"",Статистика!$M$6="Вкл",Статистика!$O$6&gt;0),(Статистика!$O$6-Статистика!$C$10)/MAX(Статистика!$G$10-Статистика!$C$10,0.000001),NA())</f>
        <v>#N/A</v>
      </c>
      <c r="CO245" s="12">
        <f t="shared" si="7"/>
        <v>1</v>
      </c>
    </row>
    <row r="246" spans="1:93" ht="15" customHeight="1">
      <c r="A246" s="12" t="s">
        <v>1029</v>
      </c>
      <c r="B246" s="12">
        <v>2396.452949333333</v>
      </c>
      <c r="C246" s="12">
        <v>5727.8922133333335</v>
      </c>
      <c r="D246" s="12">
        <v>7330.6347983333335</v>
      </c>
      <c r="E246" s="12">
        <v>7498.2341500000011</v>
      </c>
      <c r="F246" s="12">
        <v>7723.2113333333327</v>
      </c>
      <c r="G246" s="12">
        <v>7880.0809749999999</v>
      </c>
      <c r="H246" s="12">
        <v>8163.3300100000006</v>
      </c>
      <c r="I246" s="12">
        <v>8198.9768949999998</v>
      </c>
      <c r="J246" s="12">
        <v>8234.0563389999988</v>
      </c>
      <c r="K246" s="12">
        <v>8377.7999999999993</v>
      </c>
      <c r="L246" s="12" t="s">
        <v>1030</v>
      </c>
      <c r="M246" s="12">
        <v>2815.0829306666665</v>
      </c>
      <c r="N246" s="12">
        <v>6515.3262533333336</v>
      </c>
      <c r="O246" s="12">
        <v>8290.0857716666669</v>
      </c>
      <c r="P246" s="12">
        <v>8522.6794583333321</v>
      </c>
      <c r="Q246" s="12">
        <v>8717.0607166666668</v>
      </c>
      <c r="R246" s="12">
        <v>8838.2374750000017</v>
      </c>
      <c r="S246" s="12">
        <v>9125.0033149999999</v>
      </c>
      <c r="T246" s="12">
        <v>9191.7824408333327</v>
      </c>
      <c r="U246" s="12">
        <v>9262.6688615000003</v>
      </c>
      <c r="V246" s="12">
        <v>9448.8799999999992</v>
      </c>
      <c r="W246" s="12" t="s">
        <v>1031</v>
      </c>
      <c r="Y246" s="12" t="s">
        <v>1029</v>
      </c>
      <c r="Z246" s="12">
        <v>7327.5931436666669</v>
      </c>
      <c r="AA246" s="12">
        <v>7346.8463850000007</v>
      </c>
      <c r="AB246" s="12">
        <v>7370.9129366666675</v>
      </c>
      <c r="AC246" s="12">
        <v>7481.6594500000001</v>
      </c>
      <c r="AD246" s="12">
        <v>7626.4843833333334</v>
      </c>
      <c r="AE246" s="12">
        <v>7769.777516666667</v>
      </c>
      <c r="AF246" s="12">
        <v>8248.9213883333323</v>
      </c>
      <c r="AG246" s="12">
        <v>8299.0758608333326</v>
      </c>
      <c r="AH246" s="12">
        <v>8339.1994388333333</v>
      </c>
      <c r="AI246" s="12">
        <v>8460.84</v>
      </c>
      <c r="AJ246" s="12" t="s">
        <v>1032</v>
      </c>
      <c r="AK246" s="12">
        <v>8242.9084965000002</v>
      </c>
      <c r="AL246" s="12">
        <v>8275.0482158333343</v>
      </c>
      <c r="AM246" s="12">
        <v>8315.2228649999997</v>
      </c>
      <c r="AN246" s="12">
        <v>8466.6218833333332</v>
      </c>
      <c r="AO246" s="12">
        <v>8600.0316000000003</v>
      </c>
      <c r="AP246" s="12">
        <v>8773.7755083333323</v>
      </c>
      <c r="AQ246" s="12">
        <v>9201.3680949999998</v>
      </c>
      <c r="AR246" s="12">
        <v>9246.190097499999</v>
      </c>
      <c r="AS246" s="12">
        <v>9282.0476995000008</v>
      </c>
      <c r="AT246" s="12">
        <v>9408.43</v>
      </c>
      <c r="AU246" s="12" t="s">
        <v>1032</v>
      </c>
      <c r="AW246" s="12">
        <f>IF(A246="","",MAX(0,MIN(1,(((IF(Статистика!$C$4="Параллельный режим (активная мощность)",B246,M246)+Статистика!$J$4))-Статистика!$C$10)/MAX(Статистика!$G$10-Статистика!$C$10,0.000001))))</f>
        <v>0</v>
      </c>
      <c r="AX246" s="12">
        <f>IF(A246="","",MAX(0,MAX(0,MIN(1,(((IF(Статистика!$C$4="Параллельный режим (активная мощность)",D246,O246)+Статистика!$J$4))-Статистика!$C$10)/MAX(Статистика!$G$10-Статистика!$C$10,0.000001)))-MAX(0,MIN(1,(((IF(Статистика!$C$4="Параллельный режим (активная мощность)",B246,M246)+Статистика!$J$4))-Статистика!$C$10)/MAX(Статистика!$G$10-Статистика!$C$10,0.000001)))))</f>
        <v>0.44354493277777784</v>
      </c>
      <c r="AY246" s="12">
        <f>IF(A246="","",MAX(0,MAX(0,MIN(1,(((IF(Статистика!$C$4="Параллельный режим (активная мощность)",E246,P246)+Статистика!$J$4))-Статистика!$C$10)/MAX(Статистика!$G$10-Статистика!$C$10,0.000001)))-MAX(0,MIN(1,(((IF(Статистика!$C$4="Параллельный режим (активная мощность)",D246,O246)+Статистика!$J$4))-Статистика!$C$10)/MAX(Статистика!$G$10-Статистика!$C$10,0.000001)))))</f>
        <v>5.5866450555555891E-2</v>
      </c>
      <c r="AZ246" s="12">
        <f>IF(A246="","",MAX(0,MAX(0,MIN(1,(((IF(Статистика!$C$4="Параллельный режим (активная мощность)",F246,Q246)+Статистика!$J$4))-Статистика!$C$10)/MAX(Статистика!$G$10-Статистика!$C$10,0.000001)))-MAX(0,MIN(1,(((IF(Статистика!$C$4="Параллельный режим (активная мощность)",E246,P246)+Статистика!$J$4))-Статистика!$C$10)/MAX(Статистика!$G$10-Статистика!$C$10,0.000001)))))</f>
        <v>7.4992394444443888E-2</v>
      </c>
      <c r="BA246" s="12">
        <f>IF(A246="","",MAX(0,MAX(0,MIN(1,(((IF(Статистика!$C$4="Параллельный режим (активная мощность)",G246,R246)+Статистика!$J$4))-Статистика!$C$10)/MAX(Статистика!$G$10-Статистика!$C$10,0.000001)))-MAX(0,MIN(1,(((IF(Статистика!$C$4="Параллельный режим (активная мощность)",F246,Q246)+Статистика!$J$4))-Статистика!$C$10)/MAX(Статистика!$G$10-Статистика!$C$10,0.000001)))))</f>
        <v>5.2289880555555612E-2</v>
      </c>
      <c r="BB246" s="12">
        <f>IF(A246="","",MAX(0,MAX(0,MIN(1,(((IF(Статистика!$C$4="Параллельный режим (активная мощность)",H246,S246)+Статистика!$J$4))-Статистика!$C$10)/MAX(Статистика!$G$10-Статистика!$C$10,0.000001)))-MAX(0,MIN(1,(((IF(Статистика!$C$4="Параллельный режим (активная мощность)",G246,R246)+Статистика!$J$4))-Статистика!$C$10)/MAX(Статистика!$G$10-Статистика!$C$10,0.000001)))))</f>
        <v>9.441634500000029E-2</v>
      </c>
      <c r="BC246" s="12">
        <f>IF(A246="","",MAX(0,MAX(0,MIN(1,(((IF(Статистика!$C$4="Параллельный режим (активная мощность)",J246,U246)+Статистика!$J$4))-Статистика!$C$10)/MAX(Статистика!$G$10-Статистика!$C$10,0.000001)))-MAX(0,MIN(1,(((IF(Статистика!$C$4="Параллельный режим (активная мощность)",H246,S246)+Статистика!$J$4))-Статистика!$C$10)/MAX(Статистика!$G$10-Статистика!$C$10,0.000001)))))</f>
        <v>2.3575442999999474E-2</v>
      </c>
      <c r="BD246" s="12">
        <f>IF(A246="","",MAX(0,1-MAX(0,MIN(1,(((IF(Статистика!$C$4="Параллельный режим (активная мощность)",J246,U246)+Статистика!$J$4))-Статистика!$C$10)/MAX(Статистика!$G$10-Статистика!$C$10,0.000001)))))</f>
        <v>0.255314553666667</v>
      </c>
      <c r="BE246" s="12">
        <f>IF(A246="",NA(),IF(Статистика!$B$8="Вкл",(((IF(Статистика!$C$4="Параллельный режим (активная мощность)",F246,Q246)+Статистика!$J$4))-Статистика!$C$10)/MAX(Статистика!$G$10-Статистика!$C$10,0.000001),NA()))</f>
        <v>0.57440377777777762</v>
      </c>
      <c r="BF246" s="12">
        <f>IF(A246="",NA(),IF(Статистика!$D$8="Вкл",(((IF(Статистика!$C$4="Параллельный режим (активная мощность)",E246,P246)+Статистика!$J$4))-Статистика!$C$10)/MAX(Статистика!$G$10-Статистика!$C$10,0.000001),NA()))</f>
        <v>0.49941138333333374</v>
      </c>
      <c r="BG246" s="12">
        <f>IF(A246="",NA(),IF(Статистика!$D$8="Вкл",(((IF(Статистика!$C$4="Параллельный режим (активная мощность)",G246,R246)+Статистика!$J$4))-Статистика!$C$10)/MAX(Статистика!$G$10-Статистика!$C$10,0.000001),NA()))</f>
        <v>0.62669365833333324</v>
      </c>
      <c r="BH246" s="12">
        <f>IF(A246="",NA(),IF(Статистика!$F$8="Вкл",(((IF(Статистика!$C$4="Параллельный режим (активная мощность)",D246,O246)+Статистика!$J$4))-Статистика!$C$10)/MAX(Статистика!$G$10-Статистика!$C$10,0.000001),NA()))</f>
        <v>0.44354493277777784</v>
      </c>
      <c r="BI246" s="12">
        <f>IF(A246="",NA(),IF(Статистика!$F$8="Вкл",(((IF(Статистика!$C$4="Параллельный режим (активная мощность)",H246,S246)+Статистика!$J$4))-Статистика!$C$10)/MAX(Статистика!$G$10-Статистика!$C$10,0.000001),NA()))</f>
        <v>0.72111000333333353</v>
      </c>
      <c r="BJ246" s="12">
        <f>IF(A246="",NA(),IF(Статистика!$H$8="Вкл",(((IF(Статистика!$C$4="Параллельный режим (активная мощность)",B246,M246)+Статистика!$J$4))-Статистика!$C$10)/MAX(Статистика!$G$10-Статистика!$C$10,0.000001),NA()))</f>
        <v>-1.2011823502222223</v>
      </c>
      <c r="BK246" s="12">
        <f>IF(A246="",NA(),IF(Статистика!$H$8="Вкл",(((IF(Статистика!$C$4="Параллельный режим (активная мощность)",J246,U246)+Статистика!$J$4))-Статистика!$C$10)/MAX(Статистика!$G$10-Статистика!$C$10,0.000001),NA()))</f>
        <v>0.744685446333333</v>
      </c>
      <c r="BL246" s="12" t="e">
        <f>IF(A246="",NA(),IF(Статистика!$J$8="Вкл",(((IF(Статистика!$C$4="Параллельный режим (активная мощность)",K246,V246)+Статистика!$J$4))-Статистика!$C$10)/MAX(Статистика!$G$10-Статистика!$C$10,0.000001),NA()))</f>
        <v>#N/A</v>
      </c>
      <c r="BM246" s="12" t="e">
        <f>IF(AND(A246&lt;&gt;"",Статистика!$C$6="Вкл",Статистика!$B$6&gt;0),(Статистика!$B$6-Статистика!$C$10)/MAX(Статистика!$G$10-Статистика!$C$10,0.000001),NA())</f>
        <v>#N/A</v>
      </c>
      <c r="BN246" s="12" t="e">
        <f>IF(AND(A246&lt;&gt;"",Статистика!$F$6="Вкл",Статистика!$E$6&gt;0),(Статистика!$E$6-Статистика!$C$10)/MAX(Статистика!$G$10-Статистика!$C$10,0.000001),NA())</f>
        <v>#N/A</v>
      </c>
      <c r="BO246" s="12" t="e">
        <f>IF(AND(A246&lt;&gt;"",Статистика!$I$6="Вкл",Статистика!$H$6&gt;0),(Статистика!$H$6-Статистика!$C$10)/MAX(Статистика!$G$10-Статистика!$C$10,0.000001),NA())</f>
        <v>#N/A</v>
      </c>
      <c r="BP246" s="12" t="e">
        <f>IF(AND(A246&lt;&gt;"",Статистика!$L$6="Вкл",Статистика!$K$6&gt;0),(Статистика!$K$6-Статистика!$C$10)/MAX(Статистика!$G$10-Статистика!$C$10,0.000001),NA())</f>
        <v>#N/A</v>
      </c>
      <c r="BQ246" s="12" t="e">
        <f>IF(AND(A246&lt;&gt;"",Статистика!$M$6="Вкл",Статистика!$O$6&gt;0),(Статистика!$O$6-Статистика!$C$10)/MAX(Статистика!$G$10-Статистика!$C$10,0.000001),NA())</f>
        <v>#N/A</v>
      </c>
      <c r="BR246" s="12">
        <f t="shared" si="6"/>
        <v>1</v>
      </c>
      <c r="BT246" s="12">
        <f>IF(Y246="","",MAX(0,MIN(1,(((IF(Статистика!$C$4="Параллельный режим (активная мощность)",Z246,AK246)+Статистика!$J$4))-Статистика!$C$10)/MAX(Статистика!$G$10-Статистика!$C$10,0.000001))))</f>
        <v>0.44253104788888897</v>
      </c>
      <c r="BU246" s="12">
        <f>IF(Y246="","",MAX(0,MAX(0,MIN(1,(((IF(Статистика!$C$4="Параллельный режим (активная мощность)",AB246,AM246)+Статистика!$J$4))-Статистика!$C$10)/MAX(Статистика!$G$10-Статистика!$C$10,0.000001)))-MAX(0,MIN(1,(((IF(Статистика!$C$4="Параллельный режим (активная мощность)",Z246,AK246)+Статистика!$J$4))-Статистика!$C$10)/MAX(Статистика!$G$10-Статистика!$C$10,0.000001)))))</f>
        <v>1.4439931000000183E-2</v>
      </c>
      <c r="BV246" s="12">
        <f>IF(Y246="","",MAX(0,MAX(0,MIN(1,(((IF(Статистика!$C$4="Параллельный режим (активная мощность)",AC246,AN246)+Статистика!$J$4))-Статистика!$C$10)/MAX(Статистика!$G$10-Статистика!$C$10,0.000001)))-MAX(0,MIN(1,(((IF(Статистика!$C$4="Параллельный режим (активная мощность)",AB246,AM246)+Статистика!$J$4))-Статистика!$C$10)/MAX(Статистика!$G$10-Статистика!$C$10,0.000001)))))</f>
        <v>3.6915504444444192E-2</v>
      </c>
      <c r="BW246" s="12">
        <f>IF(Y246="","",MAX(0,MAX(0,MIN(1,(((IF(Статистика!$C$4="Параллельный режим (активная мощность)",AD246,AO246)+Статистика!$J$4))-Статистика!$C$10)/MAX(Статистика!$G$10-Статистика!$C$10,0.000001)))-MAX(0,MIN(1,(((IF(Статистика!$C$4="Параллельный режим (активная мощность)",AC246,AN246)+Статистика!$J$4))-Статистика!$C$10)/MAX(Статистика!$G$10-Статистика!$C$10,0.000001)))))</f>
        <v>4.8274977777777839E-2</v>
      </c>
      <c r="BX246" s="12">
        <f>IF(Y246="","",MAX(0,MAX(0,MIN(1,(((IF(Статистика!$C$4="Параллельный режим (активная мощность)",AE246,AP246)+Статистика!$J$4))-Статистика!$C$10)/MAX(Статистика!$G$10-Статистика!$C$10,0.000001)))-MAX(0,MIN(1,(((IF(Статистика!$C$4="Параллельный режим (активная мощность)",AD246,AO246)+Статистика!$J$4))-Статистика!$C$10)/MAX(Статистика!$G$10-Статистика!$C$10,0.000001)))))</f>
        <v>4.7764377777777867E-2</v>
      </c>
      <c r="BY246" s="12">
        <f>IF(Y246="","",MAX(0,MAX(0,MIN(1,(((IF(Статистика!$C$4="Параллельный режим (активная мощность)",AF246,AQ246)+Статистика!$J$4))-Статистика!$C$10)/MAX(Статистика!$G$10-Статистика!$C$10,0.000001)))-MAX(0,MIN(1,(((IF(Статистика!$C$4="Параллельный режим (активная мощность)",AE246,AP246)+Статистика!$J$4))-Статистика!$C$10)/MAX(Статистика!$G$10-Статистика!$C$10,0.000001)))))</f>
        <v>0.15971462388888835</v>
      </c>
      <c r="BZ246" s="12">
        <f>IF(Y246="","",MAX(0,MAX(0,MIN(1,(((IF(Статистика!$C$4="Параллельный режим (активная мощность)",AH246,AS246)+Статистика!$J$4))-Статистика!$C$10)/MAX(Статистика!$G$10-Статистика!$C$10,0.000001)))-MAX(0,MIN(1,(((IF(Статистика!$C$4="Параллельный режим (активная мощность)",AF246,AQ246)+Статистика!$J$4))-Статистика!$C$10)/MAX(Статистика!$G$10-Статистика!$C$10,0.000001)))))</f>
        <v>3.0092683500000383E-2</v>
      </c>
      <c r="CA246" s="12">
        <f>IF(Y246="","",MAX(0,1-MAX(0,MIN(1,(((IF(Статистика!$C$4="Параллельный режим (активная мощность)",AH246,AS246)+Статистика!$J$4))-Статистика!$C$10)/MAX(Статистика!$G$10-Статистика!$C$10,0.000001)))))</f>
        <v>0.22026685372222221</v>
      </c>
      <c r="CB246" s="12">
        <f>IF(Y246="",NA(),IF(Статистика!$B$8="Вкл",(((IF(Статистика!$C$4="Параллельный режим (активная мощность)",AD246,AO246)+Статистика!$J$4))-Статистика!$C$10)/MAX(Статистика!$G$10-Статистика!$C$10,0.000001),NA()))</f>
        <v>0.54216146111111119</v>
      </c>
      <c r="CC246" s="12">
        <f>IF(Y246="",NA(),IF(Статистика!$D$8="Вкл",(((IF(Статистика!$C$4="Параллельный режим (активная мощность)",AC246,AN246)+Статистика!$J$4))-Статистика!$C$10)/MAX(Статистика!$G$10-Статистика!$C$10,0.000001),NA()))</f>
        <v>0.49388648333333335</v>
      </c>
      <c r="CD246" s="12">
        <f>IF(Y246="",NA(),IF(Статистика!$D$8="Вкл",(((IF(Статистика!$C$4="Параллельный режим (активная мощность)",AE246,AP246)+Статистика!$J$4))-Статистика!$C$10)/MAX(Статистика!$G$10-Статистика!$C$10,0.000001),NA()))</f>
        <v>0.58992583888888905</v>
      </c>
      <c r="CE246" s="12">
        <f>IF(Y246="",NA(),IF(Статистика!$F$8="Вкл",(((IF(Статистика!$C$4="Параллельный режим (активная мощность)",AB246,AM246)+Статистика!$J$4))-Статистика!$C$10)/MAX(Статистика!$G$10-Статистика!$C$10,0.000001),NA()))</f>
        <v>0.45697097888888916</v>
      </c>
      <c r="CF246" s="12">
        <f>IF(Y246="",NA(),IF(Статистика!$F$8="Вкл",(((IF(Статистика!$C$4="Параллельный режим (активная мощность)",AF246,AQ246)+Статистика!$J$4))-Статистика!$C$10)/MAX(Статистика!$G$10-Статистика!$C$10,0.000001),NA()))</f>
        <v>0.74964046277777741</v>
      </c>
      <c r="CG246" s="12">
        <f>IF(Y246="",NA(),IF(Статистика!$H$8="Вкл",(((IF(Статистика!$C$4="Параллельный режим (активная мощность)",Z246,AK246)+Статистика!$J$4))-Статистика!$C$10)/MAX(Статистика!$G$10-Статистика!$C$10,0.000001),NA()))</f>
        <v>0.44253104788888897</v>
      </c>
      <c r="CH246" s="12">
        <f>IF(Y246="",NA(),IF(Статистика!$H$8="Вкл",(((IF(Статистика!$C$4="Параллельный режим (активная мощность)",AH246,AS246)+Статистика!$J$4))-Статистика!$C$10)/MAX(Статистика!$G$10-Статистика!$C$10,0.000001),NA()))</f>
        <v>0.77973314627777779</v>
      </c>
      <c r="CI246" s="12" t="e">
        <f>IF(Y246="",NA(),IF(Статистика!$J$8="Вкл",(((IF(Статистика!$C$4="Параллельный режим (активная мощность)",AI246,AT246)+Статистика!$J$4))-Статистика!$C$10)/MAX(Статистика!$G$10-Статистика!$C$10,0.000001),NA()))</f>
        <v>#N/A</v>
      </c>
      <c r="CJ246" s="12" t="e">
        <f>IF(AND(Y246&lt;&gt;"",Статистика!$C$6="Вкл",Статистика!$B$6&gt;0),(Статистика!$B$6-Статистика!$C$10)/MAX(Статистика!$G$10-Статистика!$C$10,0.000001),NA())</f>
        <v>#N/A</v>
      </c>
      <c r="CK246" s="12" t="e">
        <f>IF(AND(Y246&lt;&gt;"",Статистика!$F$6="Вкл",Статистика!$E$6&gt;0),(Статистика!$E$6-Статистика!$C$10)/MAX(Статистика!$G$10-Статистика!$C$10,0.000001),NA())</f>
        <v>#N/A</v>
      </c>
      <c r="CL246" s="12" t="e">
        <f>IF(AND(Y246&lt;&gt;"",Статистика!$I$6="Вкл",Статистика!$H$6&gt;0),(Статистика!$H$6-Статистика!$C$10)/MAX(Статистика!$G$10-Статистика!$C$10,0.000001),NA())</f>
        <v>#N/A</v>
      </c>
      <c r="CM246" s="12" t="e">
        <f>IF(AND(Y246&lt;&gt;"",Статистика!$L$6="Вкл",Статистика!$K$6&gt;0),(Статистика!$K$6-Статистика!$C$10)/MAX(Статистика!$G$10-Статистика!$C$10,0.000001),NA())</f>
        <v>#N/A</v>
      </c>
      <c r="CN246" s="12" t="e">
        <f>IF(AND(Y246&lt;&gt;"",Статистика!$M$6="Вкл",Статистика!$O$6&gt;0),(Статистика!$O$6-Статистика!$C$10)/MAX(Статистика!$G$10-Статистика!$C$10,0.000001),NA())</f>
        <v>#N/A</v>
      </c>
      <c r="CO246" s="12">
        <f t="shared" si="7"/>
        <v>1</v>
      </c>
    </row>
    <row r="247" spans="1:93" ht="15" customHeight="1">
      <c r="A247" s="12" t="s">
        <v>1033</v>
      </c>
      <c r="B247" s="12">
        <v>2332.1363461666665</v>
      </c>
      <c r="C247" s="12">
        <v>5698.1491974999999</v>
      </c>
      <c r="D247" s="12">
        <v>7306.6363066666654</v>
      </c>
      <c r="E247" s="12">
        <v>7540.1074583333339</v>
      </c>
      <c r="F247" s="12">
        <v>7724.0310166666659</v>
      </c>
      <c r="G247" s="12">
        <v>7866.6220083333337</v>
      </c>
      <c r="H247" s="12">
        <v>8184.3582733333324</v>
      </c>
      <c r="I247" s="12">
        <v>8218.040385833332</v>
      </c>
      <c r="J247" s="12">
        <v>8258.9205838333328</v>
      </c>
      <c r="K247" s="12">
        <v>8392.3700000000008</v>
      </c>
      <c r="L247" s="12" t="s">
        <v>1034</v>
      </c>
      <c r="M247" s="12">
        <v>2759.6210793333335</v>
      </c>
      <c r="N247" s="12">
        <v>6494.419796666667</v>
      </c>
      <c r="O247" s="12">
        <v>8271.5135283333329</v>
      </c>
      <c r="P247" s="12">
        <v>8570.6668416666671</v>
      </c>
      <c r="Q247" s="12">
        <v>8731.6228666666666</v>
      </c>
      <c r="R247" s="12">
        <v>8863.9264166666671</v>
      </c>
      <c r="S247" s="12">
        <v>9193.738561666667</v>
      </c>
      <c r="T247" s="12">
        <v>9216.2551124999991</v>
      </c>
      <c r="U247" s="12">
        <v>9253.6605691666664</v>
      </c>
      <c r="V247" s="12">
        <v>9413.1</v>
      </c>
      <c r="W247" s="12" t="s">
        <v>1035</v>
      </c>
      <c r="Y247" s="12" t="s">
        <v>1033</v>
      </c>
      <c r="Z247" s="12">
        <v>7315.6912244999994</v>
      </c>
      <c r="AA247" s="12">
        <v>7335.3135891666661</v>
      </c>
      <c r="AB247" s="12">
        <v>7359.8415449999993</v>
      </c>
      <c r="AC247" s="12">
        <v>7516.0376999999999</v>
      </c>
      <c r="AD247" s="12">
        <v>7592.852366666667</v>
      </c>
      <c r="AE247" s="12">
        <v>7777.141891666668</v>
      </c>
      <c r="AF247" s="12">
        <v>8226.6849366666665</v>
      </c>
      <c r="AG247" s="12">
        <v>8286.0438516666673</v>
      </c>
      <c r="AH247" s="12">
        <v>8333.5309836666656</v>
      </c>
      <c r="AI247" s="12">
        <v>8470.1200000000008</v>
      </c>
      <c r="AJ247" s="12" t="s">
        <v>1036</v>
      </c>
      <c r="AK247" s="12">
        <v>8224.3915856666663</v>
      </c>
      <c r="AL247" s="12">
        <v>8255.893928333333</v>
      </c>
      <c r="AM247" s="12">
        <v>8295.2718566666663</v>
      </c>
      <c r="AN247" s="12">
        <v>8477.6842500000002</v>
      </c>
      <c r="AO247" s="12">
        <v>8622.9343499999995</v>
      </c>
      <c r="AP247" s="12">
        <v>8796.377508333333</v>
      </c>
      <c r="AQ247" s="12">
        <v>9182.2287033333341</v>
      </c>
      <c r="AR247" s="12">
        <v>9235.9525016666685</v>
      </c>
      <c r="AS247" s="12">
        <v>9278.9315403333349</v>
      </c>
      <c r="AT247" s="12">
        <v>9414.4500000000007</v>
      </c>
      <c r="AU247" s="12" t="s">
        <v>1036</v>
      </c>
      <c r="AW247" s="12">
        <f>IF(A247="","",MAX(0,MIN(1,(((IF(Статистика!$C$4="Параллельный режим (активная мощность)",B247,M247)+Статистика!$J$4))-Статистика!$C$10)/MAX(Статистика!$G$10-Статистика!$C$10,0.000001))))</f>
        <v>0</v>
      </c>
      <c r="AX247" s="12">
        <f>IF(A247="","",MAX(0,MAX(0,MIN(1,(((IF(Статистика!$C$4="Параллельный режим (активная мощность)",D247,O247)+Статистика!$J$4))-Статистика!$C$10)/MAX(Статистика!$G$10-Статистика!$C$10,0.000001)))-MAX(0,MIN(1,(((IF(Статистика!$C$4="Параллельный режим (активная мощность)",B247,M247)+Статистика!$J$4))-Статистика!$C$10)/MAX(Статистика!$G$10-Статистика!$C$10,0.000001)))))</f>
        <v>0.43554543555555514</v>
      </c>
      <c r="AY247" s="12">
        <f>IF(A247="","",MAX(0,MAX(0,MIN(1,(((IF(Статистика!$C$4="Параллельный режим (активная мощность)",E247,P247)+Статистика!$J$4))-Статистика!$C$10)/MAX(Статистика!$G$10-Статистика!$C$10,0.000001)))-MAX(0,MIN(1,(((IF(Статистика!$C$4="Параллельный режим (активная мощность)",D247,O247)+Статистика!$J$4))-Статистика!$C$10)/MAX(Статистика!$G$10-Статистика!$C$10,0.000001)))))</f>
        <v>7.782371722222281E-2</v>
      </c>
      <c r="AZ247" s="12">
        <f>IF(A247="","",MAX(0,MAX(0,MIN(1,(((IF(Статистика!$C$4="Параллельный режим (активная мощность)",F247,Q247)+Статистика!$J$4))-Статистика!$C$10)/MAX(Статистика!$G$10-Статистика!$C$10,0.000001)))-MAX(0,MIN(1,(((IF(Статистика!$C$4="Параллельный режим (активная мощность)",E247,P247)+Статистика!$J$4))-Статистика!$C$10)/MAX(Статистика!$G$10-Статистика!$C$10,0.000001)))))</f>
        <v>6.1307852777777394E-2</v>
      </c>
      <c r="BA247" s="12">
        <f>IF(A247="","",MAX(0,MAX(0,MIN(1,(((IF(Статистика!$C$4="Параллельный режим (активная мощность)",G247,R247)+Статистика!$J$4))-Статистика!$C$10)/MAX(Статистика!$G$10-Статистика!$C$10,0.000001)))-MAX(0,MIN(1,(((IF(Статистика!$C$4="Параллельный режим (активная мощность)",F247,Q247)+Статистика!$J$4))-Статистика!$C$10)/MAX(Статистика!$G$10-Статистика!$C$10,0.000001)))))</f>
        <v>4.7530330555555889E-2</v>
      </c>
      <c r="BB247" s="12">
        <f>IF(A247="","",MAX(0,MAX(0,MIN(1,(((IF(Статистика!$C$4="Параллельный режим (активная мощность)",H247,S247)+Статистика!$J$4))-Статистика!$C$10)/MAX(Статистика!$G$10-Статистика!$C$10,0.000001)))-MAX(0,MIN(1,(((IF(Статистика!$C$4="Параллельный режим (активная мощность)",G247,R247)+Статистика!$J$4))-Статистика!$C$10)/MAX(Статистика!$G$10-Статистика!$C$10,0.000001)))))</f>
        <v>0.10591208833333288</v>
      </c>
      <c r="BC247" s="12">
        <f>IF(A247="","",MAX(0,MAX(0,MIN(1,(((IF(Статистика!$C$4="Параллельный режим (активная мощность)",J247,U247)+Статистика!$J$4))-Статистика!$C$10)/MAX(Статистика!$G$10-Статистика!$C$10,0.000001)))-MAX(0,MIN(1,(((IF(Статистика!$C$4="Параллельный режим (активная мощность)",H247,S247)+Статистика!$J$4))-Статистика!$C$10)/MAX(Статистика!$G$10-Статистика!$C$10,0.000001)))))</f>
        <v>2.4854103500000169E-2</v>
      </c>
      <c r="BD247" s="12">
        <f>IF(A247="","",MAX(0,1-MAX(0,MIN(1,(((IF(Статистика!$C$4="Параллельный режим (активная мощность)",J247,U247)+Статистика!$J$4))-Статистика!$C$10)/MAX(Статистика!$G$10-Статистика!$C$10,0.000001)))))</f>
        <v>0.24702647205555572</v>
      </c>
      <c r="BE247" s="12">
        <f>IF(A247="",NA(),IF(Статистика!$B$8="Вкл",(((IF(Статистика!$C$4="Параллельный режим (активная мощность)",F247,Q247)+Статистика!$J$4))-Статистика!$C$10)/MAX(Статистика!$G$10-Статистика!$C$10,0.000001),NA()))</f>
        <v>0.57467700555555534</v>
      </c>
      <c r="BF247" s="12">
        <f>IF(A247="",NA(),IF(Статистика!$D$8="Вкл",(((IF(Статистика!$C$4="Параллельный режим (активная мощность)",E247,P247)+Статистика!$J$4))-Статистика!$C$10)/MAX(Статистика!$G$10-Статистика!$C$10,0.000001),NA()))</f>
        <v>0.51336915277777795</v>
      </c>
      <c r="BG247" s="12">
        <f>IF(A247="",NA(),IF(Статистика!$D$8="Вкл",(((IF(Статистика!$C$4="Параллельный режим (активная мощность)",G247,R247)+Статистика!$J$4))-Статистика!$C$10)/MAX(Статистика!$G$10-Статистика!$C$10,0.000001),NA()))</f>
        <v>0.62220733611111123</v>
      </c>
      <c r="BH247" s="12">
        <f>IF(A247="",NA(),IF(Статистика!$F$8="Вкл",(((IF(Статистика!$C$4="Параллельный режим (активная мощность)",D247,O247)+Статистика!$J$4))-Статистика!$C$10)/MAX(Статистика!$G$10-Статистика!$C$10,0.000001),NA()))</f>
        <v>0.43554543555555514</v>
      </c>
      <c r="BI247" s="12">
        <f>IF(A247="",NA(),IF(Статистика!$F$8="Вкл",(((IF(Статистика!$C$4="Параллельный режим (активная мощность)",H247,S247)+Статистика!$J$4))-Статистика!$C$10)/MAX(Статистика!$G$10-Статистика!$C$10,0.000001),NA()))</f>
        <v>0.72811942444444411</v>
      </c>
      <c r="BJ247" s="12">
        <f>IF(A247="",NA(),IF(Статистика!$H$8="Вкл",(((IF(Статистика!$C$4="Параллельный режим (активная мощность)",B247,M247)+Статистика!$J$4))-Статистика!$C$10)/MAX(Статистика!$G$10-Статистика!$C$10,0.000001),NA()))</f>
        <v>-1.2226212179444444</v>
      </c>
      <c r="BK247" s="12">
        <f>IF(A247="",NA(),IF(Статистика!$H$8="Вкл",(((IF(Статистика!$C$4="Параллельный режим (активная мощность)",J247,U247)+Статистика!$J$4))-Статистика!$C$10)/MAX(Статистика!$G$10-Статистика!$C$10,0.000001),NA()))</f>
        <v>0.75297352794444428</v>
      </c>
      <c r="BL247" s="12" t="e">
        <f>IF(A247="",NA(),IF(Статистика!$J$8="Вкл",(((IF(Статистика!$C$4="Параллельный режим (активная мощность)",K247,V247)+Статистика!$J$4))-Статистика!$C$10)/MAX(Статистика!$G$10-Статистика!$C$10,0.000001),NA()))</f>
        <v>#N/A</v>
      </c>
      <c r="BM247" s="12" t="e">
        <f>IF(AND(A247&lt;&gt;"",Статистика!$C$6="Вкл",Статистика!$B$6&gt;0),(Статистика!$B$6-Статистика!$C$10)/MAX(Статистика!$G$10-Статистика!$C$10,0.000001),NA())</f>
        <v>#N/A</v>
      </c>
      <c r="BN247" s="12" t="e">
        <f>IF(AND(A247&lt;&gt;"",Статистика!$F$6="Вкл",Статистика!$E$6&gt;0),(Статистика!$E$6-Статистика!$C$10)/MAX(Статистика!$G$10-Статистика!$C$10,0.000001),NA())</f>
        <v>#N/A</v>
      </c>
      <c r="BO247" s="12" t="e">
        <f>IF(AND(A247&lt;&gt;"",Статистика!$I$6="Вкл",Статистика!$H$6&gt;0),(Статистика!$H$6-Статистика!$C$10)/MAX(Статистика!$G$10-Статистика!$C$10,0.000001),NA())</f>
        <v>#N/A</v>
      </c>
      <c r="BP247" s="12" t="e">
        <f>IF(AND(A247&lt;&gt;"",Статистика!$L$6="Вкл",Статистика!$K$6&gt;0),(Статистика!$K$6-Статистика!$C$10)/MAX(Статистика!$G$10-Статистика!$C$10,0.000001),NA())</f>
        <v>#N/A</v>
      </c>
      <c r="BQ247" s="12" t="e">
        <f>IF(AND(A247&lt;&gt;"",Статистика!$M$6="Вкл",Статистика!$O$6&gt;0),(Статистика!$O$6-Статистика!$C$10)/MAX(Статистика!$G$10-Статистика!$C$10,0.000001),NA())</f>
        <v>#N/A</v>
      </c>
      <c r="BR247" s="12">
        <f t="shared" si="6"/>
        <v>1</v>
      </c>
      <c r="BT247" s="12">
        <f>IF(Y247="","",MAX(0,MIN(1,(((IF(Статистика!$C$4="Параллельный режим (активная мощность)",Z247,AK247)+Статистика!$J$4))-Статистика!$C$10)/MAX(Статистика!$G$10-Статистика!$C$10,0.000001))))</f>
        <v>0.43856374149999983</v>
      </c>
      <c r="BU247" s="12">
        <f>IF(Y247="","",MAX(0,MAX(0,MIN(1,(((IF(Статистика!$C$4="Параллельный режим (активная мощность)",AB247,AM247)+Статистика!$J$4))-Статистика!$C$10)/MAX(Статистика!$G$10-Статистика!$C$10,0.000001)))-MAX(0,MIN(1,(((IF(Статистика!$C$4="Параллельный режим (активная мощность)",Z247,AK247)+Статистика!$J$4))-Статистика!$C$10)/MAX(Статистика!$G$10-Статистика!$C$10,0.000001)))))</f>
        <v>1.4716773499999947E-2</v>
      </c>
      <c r="BV247" s="12">
        <f>IF(Y247="","",MAX(0,MAX(0,MIN(1,(((IF(Статистика!$C$4="Параллельный режим (активная мощность)",AC247,AN247)+Статистика!$J$4))-Статистика!$C$10)/MAX(Статистика!$G$10-Статистика!$C$10,0.000001)))-MAX(0,MIN(1,(((IF(Статистика!$C$4="Параллельный режим (активная мощность)",AB247,AM247)+Статистика!$J$4))-Статистика!$C$10)/MAX(Статистика!$G$10-Статистика!$C$10,0.000001)))))</f>
        <v>5.2065385000000131E-2</v>
      </c>
      <c r="BW247" s="12">
        <f>IF(Y247="","",MAX(0,MAX(0,MIN(1,(((IF(Статистика!$C$4="Параллельный режим (активная мощность)",AD247,AO247)+Статистика!$J$4))-Статистика!$C$10)/MAX(Статистика!$G$10-Статистика!$C$10,0.000001)))-MAX(0,MIN(1,(((IF(Статистика!$C$4="Параллельный режим (активная мощность)",AC247,AN247)+Статистика!$J$4))-Статистика!$C$10)/MAX(Статистика!$G$10-Статистика!$C$10,0.000001)))))</f>
        <v>2.5604888888889121E-2</v>
      </c>
      <c r="BX247" s="12">
        <f>IF(Y247="","",MAX(0,MAX(0,MIN(1,(((IF(Статистика!$C$4="Параллельный режим (активная мощность)",AE247,AP247)+Статистика!$J$4))-Статистика!$C$10)/MAX(Статистика!$G$10-Статистика!$C$10,0.000001)))-MAX(0,MIN(1,(((IF(Статистика!$C$4="Параллельный режим (активная мощность)",AD247,AO247)+Статистика!$J$4))-Статистика!$C$10)/MAX(Статистика!$G$10-Статистика!$C$10,0.000001)))))</f>
        <v>6.1429841666666984E-2</v>
      </c>
      <c r="BY247" s="12">
        <f>IF(Y247="","",MAX(0,MAX(0,MIN(1,(((IF(Статистика!$C$4="Параллельный режим (активная мощность)",AF247,AQ247)+Статистика!$J$4))-Статистика!$C$10)/MAX(Статистика!$G$10-Статистика!$C$10,0.000001)))-MAX(0,MIN(1,(((IF(Статистика!$C$4="Параллельный режим (активная мощность)",AE247,AP247)+Статистика!$J$4))-Статистика!$C$10)/MAX(Статистика!$G$10-Статистика!$C$10,0.000001)))))</f>
        <v>0.14984768166666618</v>
      </c>
      <c r="BZ247" s="12">
        <f>IF(Y247="","",MAX(0,MAX(0,MIN(1,(((IF(Статистика!$C$4="Параллельный режим (активная мощность)",AH247,AS247)+Статистика!$J$4))-Статистика!$C$10)/MAX(Статистика!$G$10-Статистика!$C$10,0.000001)))-MAX(0,MIN(1,(((IF(Статистика!$C$4="Параллельный режим (активная мощность)",AF247,AQ247)+Статистика!$J$4))-Статистика!$C$10)/MAX(Статистика!$G$10-Статистика!$C$10,0.000001)))))</f>
        <v>3.5615348999999741E-2</v>
      </c>
      <c r="CA247" s="12">
        <f>IF(Y247="","",MAX(0,1-MAX(0,MIN(1,(((IF(Статистика!$C$4="Параллельный режим (активная мощность)",AH247,AS247)+Статистика!$J$4))-Статистика!$C$10)/MAX(Статистика!$G$10-Статистика!$C$10,0.000001)))))</f>
        <v>0.22215633877777807</v>
      </c>
      <c r="CB247" s="12">
        <f>IF(Y247="",NA(),IF(Статистика!$B$8="Вкл",(((IF(Статистика!$C$4="Параллельный режим (активная мощность)",AD247,AO247)+Статистика!$J$4))-Статистика!$C$10)/MAX(Статистика!$G$10-Статистика!$C$10,0.000001),NA()))</f>
        <v>0.53095078888888902</v>
      </c>
      <c r="CC247" s="12">
        <f>IF(Y247="",NA(),IF(Статистика!$D$8="Вкл",(((IF(Статистика!$C$4="Параллельный режим (активная мощность)",AC247,AN247)+Статистика!$J$4))-Статистика!$C$10)/MAX(Статистика!$G$10-Статистика!$C$10,0.000001),NA()))</f>
        <v>0.5053458999999999</v>
      </c>
      <c r="CD247" s="12">
        <f>IF(Y247="",NA(),IF(Статистика!$D$8="Вкл",(((IF(Статистика!$C$4="Параллельный режим (активная мощность)",AE247,AP247)+Статистика!$J$4))-Статистика!$C$10)/MAX(Статистика!$G$10-Статистика!$C$10,0.000001),NA()))</f>
        <v>0.59238063055555601</v>
      </c>
      <c r="CE247" s="12">
        <f>IF(Y247="",NA(),IF(Статистика!$F$8="Вкл",(((IF(Статистика!$C$4="Параллельный режим (активная мощность)",AB247,AM247)+Статистика!$J$4))-Статистика!$C$10)/MAX(Статистика!$G$10-Статистика!$C$10,0.000001),NA()))</f>
        <v>0.45328051499999977</v>
      </c>
      <c r="CF247" s="12">
        <f>IF(Y247="",NA(),IF(Статистика!$F$8="Вкл",(((IF(Статистика!$C$4="Параллельный режим (активная мощность)",AF247,AQ247)+Статистика!$J$4))-Статистика!$C$10)/MAX(Статистика!$G$10-Статистика!$C$10,0.000001),NA()))</f>
        <v>0.74222831222222219</v>
      </c>
      <c r="CG247" s="12">
        <f>IF(Y247="",NA(),IF(Статистика!$H$8="Вкл",(((IF(Статистика!$C$4="Параллельный режим (активная мощность)",Z247,AK247)+Статистика!$J$4))-Статистика!$C$10)/MAX(Статистика!$G$10-Статистика!$C$10,0.000001),NA()))</f>
        <v>0.43856374149999983</v>
      </c>
      <c r="CH247" s="12">
        <f>IF(Y247="",NA(),IF(Статистика!$H$8="Вкл",(((IF(Статистика!$C$4="Параллельный режим (активная мощность)",AH247,AS247)+Статистика!$J$4))-Статистика!$C$10)/MAX(Статистика!$G$10-Статистика!$C$10,0.000001),NA()))</f>
        <v>0.77784366122222193</v>
      </c>
      <c r="CI247" s="12" t="e">
        <f>IF(Y247="",NA(),IF(Статистика!$J$8="Вкл",(((IF(Статистика!$C$4="Параллельный режим (активная мощность)",AI247,AT247)+Статистика!$J$4))-Статистика!$C$10)/MAX(Статистика!$G$10-Статистика!$C$10,0.000001),NA()))</f>
        <v>#N/A</v>
      </c>
      <c r="CJ247" s="12" t="e">
        <f>IF(AND(Y247&lt;&gt;"",Статистика!$C$6="Вкл",Статистика!$B$6&gt;0),(Статистика!$B$6-Статистика!$C$10)/MAX(Статистика!$G$10-Статистика!$C$10,0.000001),NA())</f>
        <v>#N/A</v>
      </c>
      <c r="CK247" s="12" t="e">
        <f>IF(AND(Y247&lt;&gt;"",Статистика!$F$6="Вкл",Статистика!$E$6&gt;0),(Статистика!$E$6-Статистика!$C$10)/MAX(Статистика!$G$10-Статистика!$C$10,0.000001),NA())</f>
        <v>#N/A</v>
      </c>
      <c r="CL247" s="12" t="e">
        <f>IF(AND(Y247&lt;&gt;"",Статистика!$I$6="Вкл",Статистика!$H$6&gt;0),(Статистика!$H$6-Статистика!$C$10)/MAX(Статистика!$G$10-Статистика!$C$10,0.000001),NA())</f>
        <v>#N/A</v>
      </c>
      <c r="CM247" s="12" t="e">
        <f>IF(AND(Y247&lt;&gt;"",Статистика!$L$6="Вкл",Статистика!$K$6&gt;0),(Статистика!$K$6-Статистика!$C$10)/MAX(Статистика!$G$10-Статистика!$C$10,0.000001),NA())</f>
        <v>#N/A</v>
      </c>
      <c r="CN247" s="12" t="e">
        <f>IF(AND(Y247&lt;&gt;"",Статистика!$M$6="Вкл",Статистика!$O$6&gt;0),(Статистика!$O$6-Статистика!$C$10)/MAX(Статистика!$G$10-Статистика!$C$10,0.000001),NA())</f>
        <v>#N/A</v>
      </c>
      <c r="CO247" s="12">
        <f t="shared" si="7"/>
        <v>1</v>
      </c>
    </row>
    <row r="248" spans="1:93" ht="15" customHeight="1">
      <c r="A248" s="12" t="s">
        <v>1037</v>
      </c>
      <c r="B248" s="12">
        <v>2182.8536451666669</v>
      </c>
      <c r="C248" s="12">
        <v>5661.5331591666672</v>
      </c>
      <c r="D248" s="12">
        <v>7329.3674916666669</v>
      </c>
      <c r="E248" s="12">
        <v>7596.5558999999994</v>
      </c>
      <c r="F248" s="12">
        <v>7768.1268</v>
      </c>
      <c r="G248" s="12">
        <v>7880.3118333333332</v>
      </c>
      <c r="H248" s="12">
        <v>8222.6155966666665</v>
      </c>
      <c r="I248" s="12">
        <v>8247.4082675000009</v>
      </c>
      <c r="J248" s="12">
        <v>8254.4032801666672</v>
      </c>
      <c r="K248" s="12">
        <v>8601.4699999999993</v>
      </c>
      <c r="L248" s="12" t="s">
        <v>1038</v>
      </c>
      <c r="M248" s="12">
        <v>2647.1385375</v>
      </c>
      <c r="N248" s="12">
        <v>6473.0181541666661</v>
      </c>
      <c r="O248" s="12">
        <v>8299.0202399999998</v>
      </c>
      <c r="P248" s="12">
        <v>8665.9580333333324</v>
      </c>
      <c r="Q248" s="12">
        <v>8768.2190833333334</v>
      </c>
      <c r="R248" s="12">
        <v>8835.8296750000009</v>
      </c>
      <c r="S248" s="12">
        <v>9218.251945</v>
      </c>
      <c r="T248" s="12">
        <v>9290.1968175000002</v>
      </c>
      <c r="U248" s="12">
        <v>9366.9677635000007</v>
      </c>
      <c r="V248" s="12">
        <v>9861.69</v>
      </c>
      <c r="W248" s="12" t="s">
        <v>1038</v>
      </c>
      <c r="Y248" s="12" t="s">
        <v>1037</v>
      </c>
      <c r="Z248" s="12">
        <v>7316.5567089999986</v>
      </c>
      <c r="AA248" s="12">
        <v>7336.9354116666655</v>
      </c>
      <c r="AB248" s="12">
        <v>7362.4087899999986</v>
      </c>
      <c r="AC248" s="12">
        <v>7576.2285083333336</v>
      </c>
      <c r="AD248" s="12">
        <v>7657.9987999999994</v>
      </c>
      <c r="AE248" s="12">
        <v>7792.8255249999993</v>
      </c>
      <c r="AF248" s="12">
        <v>8201.733811666667</v>
      </c>
      <c r="AG248" s="12">
        <v>8262.7182058333347</v>
      </c>
      <c r="AH248" s="12">
        <v>8311.5057211666681</v>
      </c>
      <c r="AI248" s="12">
        <v>8469.57</v>
      </c>
      <c r="AJ248" s="12" t="s">
        <v>1039</v>
      </c>
      <c r="AK248" s="12">
        <v>8230.3721318333337</v>
      </c>
      <c r="AL248" s="12">
        <v>8262.2617258333339</v>
      </c>
      <c r="AM248" s="12">
        <v>8302.1237183333324</v>
      </c>
      <c r="AN248" s="12">
        <v>8571.0599333333339</v>
      </c>
      <c r="AO248" s="12">
        <v>8669.8015500000001</v>
      </c>
      <c r="AP248" s="12">
        <v>8878.6262999999999</v>
      </c>
      <c r="AQ248" s="12">
        <v>9158.3884116666668</v>
      </c>
      <c r="AR248" s="12">
        <v>9217.4058225000008</v>
      </c>
      <c r="AS248" s="12">
        <v>9264.6197511666687</v>
      </c>
      <c r="AT248" s="12">
        <v>9576.9699999999993</v>
      </c>
      <c r="AU248" s="12" t="s">
        <v>1040</v>
      </c>
      <c r="AW248" s="12">
        <f>IF(A248="","",MAX(0,MIN(1,(((IF(Статистика!$C$4="Параллельный режим (активная мощность)",B248,M248)+Статистика!$J$4))-Статистика!$C$10)/MAX(Статистика!$G$10-Статистика!$C$10,0.000001))))</f>
        <v>0</v>
      </c>
      <c r="AX248" s="12">
        <f>IF(A248="","",MAX(0,MAX(0,MIN(1,(((IF(Статистика!$C$4="Параллельный режим (активная мощность)",D248,O248)+Статистика!$J$4))-Статистика!$C$10)/MAX(Статистика!$G$10-Статистика!$C$10,0.000001)))-MAX(0,MIN(1,(((IF(Статистика!$C$4="Параллельный режим (активная мощность)",B248,M248)+Статистика!$J$4))-Статистика!$C$10)/MAX(Статистика!$G$10-Статистика!$C$10,0.000001)))))</f>
        <v>0.4431224972222223</v>
      </c>
      <c r="AY248" s="12">
        <f>IF(A248="","",MAX(0,MAX(0,MIN(1,(((IF(Статистика!$C$4="Параллельный режим (активная мощность)",E248,P248)+Статистика!$J$4))-Статистика!$C$10)/MAX(Статистика!$G$10-Статистика!$C$10,0.000001)))-MAX(0,MIN(1,(((IF(Статистика!$C$4="Параллельный режим (активная мощность)",D248,O248)+Статистика!$J$4))-Статистика!$C$10)/MAX(Статистика!$G$10-Статистика!$C$10,0.000001)))))</f>
        <v>8.906280277777745E-2</v>
      </c>
      <c r="AZ248" s="12">
        <f>IF(A248="","",MAX(0,MAX(0,MIN(1,(((IF(Статистика!$C$4="Параллельный режим (активная мощность)",F248,Q248)+Статистика!$J$4))-Статистика!$C$10)/MAX(Статистика!$G$10-Статистика!$C$10,0.000001)))-MAX(0,MIN(1,(((IF(Статистика!$C$4="Параллельный режим (активная мощность)",E248,P248)+Статистика!$J$4))-Статистика!$C$10)/MAX(Статистика!$G$10-Статистика!$C$10,0.000001)))))</f>
        <v>5.7190300000000249E-2</v>
      </c>
      <c r="BA248" s="12">
        <f>IF(A248="","",MAX(0,MAX(0,MIN(1,(((IF(Статистика!$C$4="Параллельный режим (активная мощность)",G248,R248)+Статистика!$J$4))-Статистика!$C$10)/MAX(Статистика!$G$10-Статистика!$C$10,0.000001)))-MAX(0,MIN(1,(((IF(Статистика!$C$4="Параллельный режим (активная мощность)",F248,Q248)+Статистика!$J$4))-Статистика!$C$10)/MAX(Статистика!$G$10-Статистика!$C$10,0.000001)))))</f>
        <v>3.7395011111111098E-2</v>
      </c>
      <c r="BB248" s="12">
        <f>IF(A248="","",MAX(0,MAX(0,MIN(1,(((IF(Статистика!$C$4="Параллельный режим (активная мощность)",H248,S248)+Статистика!$J$4))-Статистика!$C$10)/MAX(Статистика!$G$10-Статистика!$C$10,0.000001)))-MAX(0,MIN(1,(((IF(Статистика!$C$4="Параллельный режим (активная мощность)",G248,R248)+Статистика!$J$4))-Статистика!$C$10)/MAX(Статистика!$G$10-Статистика!$C$10,0.000001)))))</f>
        <v>0.11410125444444441</v>
      </c>
      <c r="BC248" s="12">
        <f>IF(A248="","",MAX(0,MAX(0,MIN(1,(((IF(Статистика!$C$4="Параллельный режим (активная мощность)",J248,U248)+Статистика!$J$4))-Статистика!$C$10)/MAX(Статистика!$G$10-Статистика!$C$10,0.000001)))-MAX(0,MIN(1,(((IF(Статистика!$C$4="Параллельный режим (активная мощность)",H248,S248)+Статистика!$J$4))-Статистика!$C$10)/MAX(Статистика!$G$10-Статистика!$C$10,0.000001)))))</f>
        <v>1.0595894500000202E-2</v>
      </c>
      <c r="BD248" s="12">
        <f>IF(A248="","",MAX(0,1-MAX(0,MIN(1,(((IF(Статистика!$C$4="Параллельный режим (активная мощность)",J248,U248)+Статистика!$J$4))-Статистика!$C$10)/MAX(Статистика!$G$10-Статистика!$C$10,0.000001)))))</f>
        <v>0.24853223994444429</v>
      </c>
      <c r="BE248" s="12">
        <f>IF(A248="",NA(),IF(Статистика!$B$8="Вкл",(((IF(Статистика!$C$4="Параллельный режим (активная мощность)",F248,Q248)+Статистика!$J$4))-Статистика!$C$10)/MAX(Статистика!$G$10-Статистика!$C$10,0.000001),NA()))</f>
        <v>0.5893756</v>
      </c>
      <c r="BF248" s="12">
        <f>IF(A248="",NA(),IF(Статистика!$D$8="Вкл",(((IF(Статистика!$C$4="Параллельный режим (активная мощность)",E248,P248)+Статистика!$J$4))-Статистика!$C$10)/MAX(Статистика!$G$10-Статистика!$C$10,0.000001),NA()))</f>
        <v>0.53218529999999975</v>
      </c>
      <c r="BG248" s="12">
        <f>IF(A248="",NA(),IF(Статистика!$D$8="Вкл",(((IF(Статистика!$C$4="Параллельный режим (активная мощность)",G248,R248)+Статистика!$J$4))-Статистика!$C$10)/MAX(Статистика!$G$10-Статистика!$C$10,0.000001),NA()))</f>
        <v>0.6267706111111111</v>
      </c>
      <c r="BH248" s="12">
        <f>IF(A248="",NA(),IF(Статистика!$F$8="Вкл",(((IF(Статистика!$C$4="Параллельный режим (активная мощность)",D248,O248)+Статистика!$J$4))-Статистика!$C$10)/MAX(Статистика!$G$10-Статистика!$C$10,0.000001),NA()))</f>
        <v>0.4431224972222223</v>
      </c>
      <c r="BI248" s="12">
        <f>IF(A248="",NA(),IF(Статистика!$F$8="Вкл",(((IF(Статистика!$C$4="Параллельный режим (активная мощность)",H248,S248)+Статистика!$J$4))-Статистика!$C$10)/MAX(Статистика!$G$10-Статистика!$C$10,0.000001),NA()))</f>
        <v>0.74087186555555551</v>
      </c>
      <c r="BJ248" s="12">
        <f>IF(A248="",NA(),IF(Статистика!$H$8="Вкл",(((IF(Статистика!$C$4="Параллельный режим (активная мощность)",B248,M248)+Статистика!$J$4))-Статистика!$C$10)/MAX(Статистика!$G$10-Статистика!$C$10,0.000001),NA()))</f>
        <v>-1.2723821182777777</v>
      </c>
      <c r="BK248" s="12">
        <f>IF(A248="",NA(),IF(Статистика!$H$8="Вкл",(((IF(Статистика!$C$4="Параллельный режим (активная мощность)",J248,U248)+Статистика!$J$4))-Статистика!$C$10)/MAX(Статистика!$G$10-Статистика!$C$10,0.000001),NA()))</f>
        <v>0.75146776005555571</v>
      </c>
      <c r="BL248" s="12" t="e">
        <f>IF(A248="",NA(),IF(Статистика!$J$8="Вкл",(((IF(Статистика!$C$4="Параллельный режим (активная мощность)",K248,V248)+Статистика!$J$4))-Статистика!$C$10)/MAX(Статистика!$G$10-Статистика!$C$10,0.000001),NA()))</f>
        <v>#N/A</v>
      </c>
      <c r="BM248" s="12" t="e">
        <f>IF(AND(A248&lt;&gt;"",Статистика!$C$6="Вкл",Статистика!$B$6&gt;0),(Статистика!$B$6-Статистика!$C$10)/MAX(Статистика!$G$10-Статистика!$C$10,0.000001),NA())</f>
        <v>#N/A</v>
      </c>
      <c r="BN248" s="12" t="e">
        <f>IF(AND(A248&lt;&gt;"",Статистика!$F$6="Вкл",Статистика!$E$6&gt;0),(Статистика!$E$6-Статистика!$C$10)/MAX(Статистика!$G$10-Статистика!$C$10,0.000001),NA())</f>
        <v>#N/A</v>
      </c>
      <c r="BO248" s="12" t="e">
        <f>IF(AND(A248&lt;&gt;"",Статистика!$I$6="Вкл",Статистика!$H$6&gt;0),(Статистика!$H$6-Статистика!$C$10)/MAX(Статистика!$G$10-Статистика!$C$10,0.000001),NA())</f>
        <v>#N/A</v>
      </c>
      <c r="BP248" s="12" t="e">
        <f>IF(AND(A248&lt;&gt;"",Статистика!$L$6="Вкл",Статистика!$K$6&gt;0),(Статистика!$K$6-Статистика!$C$10)/MAX(Статистика!$G$10-Статистика!$C$10,0.000001),NA())</f>
        <v>#N/A</v>
      </c>
      <c r="BQ248" s="12" t="e">
        <f>IF(AND(A248&lt;&gt;"",Статистика!$M$6="Вкл",Статистика!$O$6&gt;0),(Статистика!$O$6-Статистика!$C$10)/MAX(Статистика!$G$10-Статистика!$C$10,0.000001),NA())</f>
        <v>#N/A</v>
      </c>
      <c r="BR248" s="12">
        <f t="shared" si="6"/>
        <v>1</v>
      </c>
      <c r="BT248" s="12">
        <f>IF(Y248="","",MAX(0,MIN(1,(((IF(Статистика!$C$4="Параллельный режим (активная мощность)",Z248,AK248)+Статистика!$J$4))-Статистика!$C$10)/MAX(Статистика!$G$10-Статистика!$C$10,0.000001))))</f>
        <v>0.43885223633333287</v>
      </c>
      <c r="BU248" s="12">
        <f>IF(Y248="","",MAX(0,MAX(0,MIN(1,(((IF(Статистика!$C$4="Параллельный режим (активная мощность)",AB248,AM248)+Статистика!$J$4))-Статистика!$C$10)/MAX(Статистика!$G$10-Статистика!$C$10,0.000001)))-MAX(0,MIN(1,(((IF(Статистика!$C$4="Параллельный режим (активная мощность)",Z248,AK248)+Статистика!$J$4))-Статистика!$C$10)/MAX(Статистика!$G$10-Статистика!$C$10,0.000001)))))</f>
        <v>1.5284026999999978E-2</v>
      </c>
      <c r="BV248" s="12">
        <f>IF(Y248="","",MAX(0,MAX(0,MIN(1,(((IF(Статистика!$C$4="Параллельный режим (активная мощность)",AC248,AN248)+Статистика!$J$4))-Статистика!$C$10)/MAX(Статистика!$G$10-Статистика!$C$10,0.000001)))-MAX(0,MIN(1,(((IF(Статистика!$C$4="Параллельный режим (активная мощность)",AB248,AM248)+Статистика!$J$4))-Статистика!$C$10)/MAX(Статистика!$G$10-Статистика!$C$10,0.000001)))))</f>
        <v>7.1273239444445025E-2</v>
      </c>
      <c r="BW248" s="12">
        <f>IF(Y248="","",MAX(0,MAX(0,MIN(1,(((IF(Статистика!$C$4="Параллельный режим (активная мощность)",AD248,AO248)+Статистика!$J$4))-Статистика!$C$10)/MAX(Статистика!$G$10-Статистика!$C$10,0.000001)))-MAX(0,MIN(1,(((IF(Статистика!$C$4="Параллельный режим (активная мощность)",AC248,AN248)+Статистика!$J$4))-Статистика!$C$10)/MAX(Статистика!$G$10-Статистика!$C$10,0.000001)))))</f>
        <v>2.7256763888888647E-2</v>
      </c>
      <c r="BX248" s="12">
        <f>IF(Y248="","",MAX(0,MAX(0,MIN(1,(((IF(Статистика!$C$4="Параллельный режим (активная мощность)",AE248,AP248)+Статистика!$J$4))-Статистика!$C$10)/MAX(Статистика!$G$10-Статистика!$C$10,0.000001)))-MAX(0,MIN(1,(((IF(Статистика!$C$4="Параллельный режим (активная мощность)",AD248,AO248)+Статистика!$J$4))-Статистика!$C$10)/MAX(Статистика!$G$10-Статистика!$C$10,0.000001)))))</f>
        <v>4.4942241666666605E-2</v>
      </c>
      <c r="BY248" s="12">
        <f>IF(Y248="","",MAX(0,MAX(0,MIN(1,(((IF(Статистика!$C$4="Параллельный режим (активная мощность)",AF248,AQ248)+Статистика!$J$4))-Статистика!$C$10)/MAX(Статистика!$G$10-Статистика!$C$10,0.000001)))-MAX(0,MIN(1,(((IF(Статистика!$C$4="Параллельный режим (активная мощность)",AE248,AP248)+Статистика!$J$4))-Статистика!$C$10)/MAX(Статистика!$G$10-Статистика!$C$10,0.000001)))))</f>
        <v>0.13630276222222248</v>
      </c>
      <c r="BZ248" s="12">
        <f>IF(Y248="","",MAX(0,MAX(0,MIN(1,(((IF(Статистика!$C$4="Параллельный режим (активная мощность)",AH248,AS248)+Статистика!$J$4))-Статистика!$C$10)/MAX(Статистика!$G$10-Статистика!$C$10,0.000001)))-MAX(0,MIN(1,(((IF(Статистика!$C$4="Параллельный режим (активная мощность)",AF248,AQ248)+Статистика!$J$4))-Статистика!$C$10)/MAX(Статистика!$G$10-Статистика!$C$10,0.000001)))))</f>
        <v>3.6590636500000384E-2</v>
      </c>
      <c r="CA248" s="12">
        <f>IF(Y248="","",MAX(0,1-MAX(0,MIN(1,(((IF(Статистика!$C$4="Параллельный режим (активная мощность)",AH248,AS248)+Статистика!$J$4))-Статистика!$C$10)/MAX(Статистика!$G$10-Статистика!$C$10,0.000001)))))</f>
        <v>0.22949809294444401</v>
      </c>
      <c r="CB248" s="12">
        <f>IF(Y248="",NA(),IF(Статистика!$B$8="Вкл",(((IF(Статистика!$C$4="Параллельный режим (активная мощность)",AD248,AO248)+Статистика!$J$4))-Статистика!$C$10)/MAX(Статистика!$G$10-Статистика!$C$10,0.000001),NA()))</f>
        <v>0.55266626666666652</v>
      </c>
      <c r="CC248" s="12">
        <f>IF(Y248="",NA(),IF(Статистика!$D$8="Вкл",(((IF(Статистика!$C$4="Параллельный режим (активная мощность)",AC248,AN248)+Статистика!$J$4))-Статистика!$C$10)/MAX(Статистика!$G$10-Статистика!$C$10,0.000001),NA()))</f>
        <v>0.52540950277777787</v>
      </c>
      <c r="CD248" s="12">
        <f>IF(Y248="",NA(),IF(Статистика!$D$8="Вкл",(((IF(Статистика!$C$4="Параллельный режим (активная мощность)",AE248,AP248)+Статистика!$J$4))-Статистика!$C$10)/MAX(Статистика!$G$10-Статистика!$C$10,0.000001),NA()))</f>
        <v>0.59760850833333312</v>
      </c>
      <c r="CE248" s="12">
        <f>IF(Y248="",NA(),IF(Статистика!$F$8="Вкл",(((IF(Статистика!$C$4="Параллельный режим (активная мощность)",AB248,AM248)+Статистика!$J$4))-Статистика!$C$10)/MAX(Статистика!$G$10-Статистика!$C$10,0.000001),NA()))</f>
        <v>0.45413626333333285</v>
      </c>
      <c r="CF248" s="12">
        <f>IF(Y248="",NA(),IF(Статистика!$F$8="Вкл",(((IF(Статистика!$C$4="Параллельный режим (активная мощность)",AF248,AQ248)+Статистика!$J$4))-Статистика!$C$10)/MAX(Статистика!$G$10-Статистика!$C$10,0.000001),NA()))</f>
        <v>0.73391127055555561</v>
      </c>
      <c r="CG248" s="12">
        <f>IF(Y248="",NA(),IF(Статистика!$H$8="Вкл",(((IF(Статистика!$C$4="Параллельный режим (активная мощность)",Z248,AK248)+Статистика!$J$4))-Статистика!$C$10)/MAX(Статистика!$G$10-Статистика!$C$10,0.000001),NA()))</f>
        <v>0.43885223633333287</v>
      </c>
      <c r="CH248" s="12">
        <f>IF(Y248="",NA(),IF(Статистика!$H$8="Вкл",(((IF(Статистика!$C$4="Параллельный режим (активная мощность)",AH248,AS248)+Статистика!$J$4))-Статистика!$C$10)/MAX(Статистика!$G$10-Статистика!$C$10,0.000001),NA()))</f>
        <v>0.77050190705555599</v>
      </c>
      <c r="CI248" s="12" t="e">
        <f>IF(Y248="",NA(),IF(Статистика!$J$8="Вкл",(((IF(Статистика!$C$4="Параллельный режим (активная мощность)",AI248,AT248)+Статистика!$J$4))-Статистика!$C$10)/MAX(Статистика!$G$10-Статистика!$C$10,0.000001),NA()))</f>
        <v>#N/A</v>
      </c>
      <c r="CJ248" s="12" t="e">
        <f>IF(AND(Y248&lt;&gt;"",Статистика!$C$6="Вкл",Статистика!$B$6&gt;0),(Статистика!$B$6-Статистика!$C$10)/MAX(Статистика!$G$10-Статистика!$C$10,0.000001),NA())</f>
        <v>#N/A</v>
      </c>
      <c r="CK248" s="12" t="e">
        <f>IF(AND(Y248&lt;&gt;"",Статистика!$F$6="Вкл",Статистика!$E$6&gt;0),(Статистика!$E$6-Статистика!$C$10)/MAX(Статистика!$G$10-Статистика!$C$10,0.000001),NA())</f>
        <v>#N/A</v>
      </c>
      <c r="CL248" s="12" t="e">
        <f>IF(AND(Y248&lt;&gt;"",Статистика!$I$6="Вкл",Статистика!$H$6&gt;0),(Статистика!$H$6-Статистика!$C$10)/MAX(Статистика!$G$10-Статистика!$C$10,0.000001),NA())</f>
        <v>#N/A</v>
      </c>
      <c r="CM248" s="12" t="e">
        <f>IF(AND(Y248&lt;&gt;"",Статистика!$L$6="Вкл",Статистика!$K$6&gt;0),(Статистика!$K$6-Статистика!$C$10)/MAX(Статистика!$G$10-Статистика!$C$10,0.000001),NA())</f>
        <v>#N/A</v>
      </c>
      <c r="CN248" s="12" t="e">
        <f>IF(AND(Y248&lt;&gt;"",Статистика!$M$6="Вкл",Статистика!$O$6&gt;0),(Статистика!$O$6-Статистика!$C$10)/MAX(Статистика!$G$10-Статистика!$C$10,0.000001),NA())</f>
        <v>#N/A</v>
      </c>
      <c r="CO248" s="12">
        <f t="shared" si="7"/>
        <v>1</v>
      </c>
    </row>
    <row r="249" spans="1:93" ht="15" customHeight="1">
      <c r="A249" s="12" t="s">
        <v>1041</v>
      </c>
      <c r="B249" s="12">
        <v>2196.9979146666669</v>
      </c>
      <c r="C249" s="12">
        <v>5651.9239733333343</v>
      </c>
      <c r="D249" s="12">
        <v>7308.1282416666663</v>
      </c>
      <c r="E249" s="12">
        <v>7608.0308750000004</v>
      </c>
      <c r="F249" s="12">
        <v>7743.4303666666665</v>
      </c>
      <c r="G249" s="12">
        <v>7953.1507666666666</v>
      </c>
      <c r="H249" s="12">
        <v>8250.004278333332</v>
      </c>
      <c r="I249" s="12">
        <v>8277.8934941666648</v>
      </c>
      <c r="J249" s="12">
        <v>8299.7935788333325</v>
      </c>
      <c r="K249" s="12">
        <v>8430.59</v>
      </c>
      <c r="L249" s="12" t="s">
        <v>1042</v>
      </c>
      <c r="M249" s="12">
        <v>2675.5153701666668</v>
      </c>
      <c r="N249" s="12">
        <v>6472.7105841666671</v>
      </c>
      <c r="O249" s="12">
        <v>8276.3957766666681</v>
      </c>
      <c r="P249" s="12">
        <v>8662.2107916666664</v>
      </c>
      <c r="Q249" s="12">
        <v>8746.2427499999994</v>
      </c>
      <c r="R249" s="12">
        <v>8882.2845749999979</v>
      </c>
      <c r="S249" s="12">
        <v>9279.2906916666652</v>
      </c>
      <c r="T249" s="12">
        <v>9336.959815833332</v>
      </c>
      <c r="U249" s="12">
        <v>9396.2692431666655</v>
      </c>
      <c r="V249" s="12">
        <v>9558.73</v>
      </c>
      <c r="W249" s="12" t="s">
        <v>1043</v>
      </c>
      <c r="Y249" s="12" t="s">
        <v>1041</v>
      </c>
      <c r="Z249" s="12">
        <v>7317.297626999999</v>
      </c>
      <c r="AA249" s="12">
        <v>7328.762134999999</v>
      </c>
      <c r="AB249" s="12">
        <v>7343.0927699999993</v>
      </c>
      <c r="AC249" s="12">
        <v>7572.1149500000001</v>
      </c>
      <c r="AD249" s="12">
        <v>7647.1339166666667</v>
      </c>
      <c r="AE249" s="12">
        <v>8013.2076833333331</v>
      </c>
      <c r="AF249" s="12">
        <v>8268.0919549999999</v>
      </c>
      <c r="AG249" s="12">
        <v>8283.6407941666675</v>
      </c>
      <c r="AH249" s="12">
        <v>8296.0798654999999</v>
      </c>
      <c r="AI249" s="12">
        <v>8469.3700000000008</v>
      </c>
      <c r="AJ249" s="12" t="s">
        <v>1044</v>
      </c>
      <c r="AK249" s="12">
        <v>8232.7534853333345</v>
      </c>
      <c r="AL249" s="12">
        <v>8255.0819600000013</v>
      </c>
      <c r="AM249" s="12">
        <v>8282.9925533333335</v>
      </c>
      <c r="AN249" s="12">
        <v>8584.0813249999992</v>
      </c>
      <c r="AO249" s="12">
        <v>8657.6204500000003</v>
      </c>
      <c r="AP249" s="12">
        <v>9066.9888166666678</v>
      </c>
      <c r="AQ249" s="12">
        <v>9214.6380733333353</v>
      </c>
      <c r="AR249" s="12">
        <v>9217.4899700000005</v>
      </c>
      <c r="AS249" s="12">
        <v>9219.7714873333334</v>
      </c>
      <c r="AT249" s="12">
        <v>9406.49</v>
      </c>
      <c r="AU249" s="12" t="s">
        <v>1045</v>
      </c>
      <c r="AW249" s="12">
        <f>IF(A249="","",MAX(0,MIN(1,(((IF(Статистика!$C$4="Параллельный режим (активная мощность)",B249,M249)+Статистика!$J$4))-Статистика!$C$10)/MAX(Статистика!$G$10-Статистика!$C$10,0.000001))))</f>
        <v>0</v>
      </c>
      <c r="AX249" s="12">
        <f>IF(A249="","",MAX(0,MAX(0,MIN(1,(((IF(Статистика!$C$4="Параллельный режим (активная мощность)",D249,O249)+Статистика!$J$4))-Статистика!$C$10)/MAX(Статистика!$G$10-Статистика!$C$10,0.000001)))-MAX(0,MIN(1,(((IF(Статистика!$C$4="Параллельный режим (активная мощность)",B249,M249)+Статистика!$J$4))-Статистика!$C$10)/MAX(Статистика!$G$10-Статистика!$C$10,0.000001)))))</f>
        <v>0.43604274722222208</v>
      </c>
      <c r="AY249" s="12">
        <f>IF(A249="","",MAX(0,MAX(0,MIN(1,(((IF(Статистика!$C$4="Параллельный режим (активная мощность)",E249,P249)+Статистика!$J$4))-Статистика!$C$10)/MAX(Статистика!$G$10-Статистика!$C$10,0.000001)))-MAX(0,MIN(1,(((IF(Статистика!$C$4="Параллельный режим (активная мощность)",D249,O249)+Статистика!$J$4))-Статистика!$C$10)/MAX(Статистика!$G$10-Статистика!$C$10,0.000001)))))</f>
        <v>9.9967544444444723E-2</v>
      </c>
      <c r="AZ249" s="12">
        <f>IF(A249="","",MAX(0,MAX(0,MIN(1,(((IF(Статистика!$C$4="Параллельный режим (активная мощность)",F249,Q249)+Статистика!$J$4))-Статистика!$C$10)/MAX(Статистика!$G$10-Статистика!$C$10,0.000001)))-MAX(0,MIN(1,(((IF(Статистика!$C$4="Параллельный режим (активная мощность)",E249,P249)+Статистика!$J$4))-Статистика!$C$10)/MAX(Статистика!$G$10-Статистика!$C$10,0.000001)))))</f>
        <v>4.5133163888888661E-2</v>
      </c>
      <c r="BA249" s="12">
        <f>IF(A249="","",MAX(0,MAX(0,MIN(1,(((IF(Статистика!$C$4="Параллельный режим (активная мощность)",G249,R249)+Статистика!$J$4))-Статистика!$C$10)/MAX(Статистика!$G$10-Статистика!$C$10,0.000001)))-MAX(0,MIN(1,(((IF(Статистика!$C$4="Параллельный режим (активная мощность)",F249,Q249)+Статистика!$J$4))-Статистика!$C$10)/MAX(Статистика!$G$10-Статистика!$C$10,0.000001)))))</f>
        <v>6.9906800000000047E-2</v>
      </c>
      <c r="BB249" s="12">
        <f>IF(A249="","",MAX(0,MAX(0,MIN(1,(((IF(Статистика!$C$4="Параллельный режим (активная мощность)",H249,S249)+Статистика!$J$4))-Статистика!$C$10)/MAX(Статистика!$G$10-Статистика!$C$10,0.000001)))-MAX(0,MIN(1,(((IF(Статистика!$C$4="Параллельный режим (активная мощность)",G249,R249)+Статистика!$J$4))-Статистика!$C$10)/MAX(Статистика!$G$10-Статистика!$C$10,0.000001)))))</f>
        <v>9.8951170555555135E-2</v>
      </c>
      <c r="BC249" s="12">
        <f>IF(A249="","",MAX(0,MAX(0,MIN(1,(((IF(Статистика!$C$4="Параллельный режим (активная мощность)",J249,U249)+Статистика!$J$4))-Статистика!$C$10)/MAX(Статистика!$G$10-Статистика!$C$10,0.000001)))-MAX(0,MIN(1,(((IF(Статистика!$C$4="Параллельный режим (активная мощность)",H249,S249)+Статистика!$J$4))-Статистика!$C$10)/MAX(Статистика!$G$10-Статистика!$C$10,0.000001)))))</f>
        <v>1.6596433500000174E-2</v>
      </c>
      <c r="BD249" s="12">
        <f>IF(A249="","",MAX(0,1-MAX(0,MIN(1,(((IF(Статистика!$C$4="Параллельный режим (активная мощность)",J249,U249)+Статистика!$J$4))-Статистика!$C$10)/MAX(Статистика!$G$10-Статистика!$C$10,0.000001)))))</f>
        <v>0.23340214038888918</v>
      </c>
      <c r="BE249" s="12">
        <f>IF(A249="",NA(),IF(Статистика!$B$8="Вкл",(((IF(Статистика!$C$4="Параллельный режим (активная мощность)",F249,Q249)+Статистика!$J$4))-Статистика!$C$10)/MAX(Статистика!$G$10-Статистика!$C$10,0.000001),NA()))</f>
        <v>0.58114345555555547</v>
      </c>
      <c r="BF249" s="12">
        <f>IF(A249="",NA(),IF(Статистика!$D$8="Вкл",(((IF(Статистика!$C$4="Параллельный режим (активная мощность)",E249,P249)+Статистика!$J$4))-Статистика!$C$10)/MAX(Статистика!$G$10-Статистика!$C$10,0.000001),NA()))</f>
        <v>0.5360102916666668</v>
      </c>
      <c r="BG249" s="12">
        <f>IF(A249="",NA(),IF(Статистика!$D$8="Вкл",(((IF(Статистика!$C$4="Параллельный режим (активная мощность)",G249,R249)+Статистика!$J$4))-Статистика!$C$10)/MAX(Статистика!$G$10-Статистика!$C$10,0.000001),NA()))</f>
        <v>0.65105025555555551</v>
      </c>
      <c r="BH249" s="12">
        <f>IF(A249="",NA(),IF(Статистика!$F$8="Вкл",(((IF(Статистика!$C$4="Параллельный режим (активная мощность)",D249,O249)+Статистика!$J$4))-Статистика!$C$10)/MAX(Статистика!$G$10-Статистика!$C$10,0.000001),NA()))</f>
        <v>0.43604274722222208</v>
      </c>
      <c r="BI249" s="12">
        <f>IF(A249="",NA(),IF(Статистика!$F$8="Вкл",(((IF(Статистика!$C$4="Параллельный режим (активная мощность)",H249,S249)+Статистика!$J$4))-Статистика!$C$10)/MAX(Статистика!$G$10-Статистика!$C$10,0.000001),NA()))</f>
        <v>0.75000142611111065</v>
      </c>
      <c r="BJ249" s="12">
        <f>IF(A249="",NA(),IF(Статистика!$H$8="Вкл",(((IF(Статистика!$C$4="Параллельный режим (активная мощность)",B249,M249)+Статистика!$J$4))-Статистика!$C$10)/MAX(Статистика!$G$10-Статистика!$C$10,0.000001),NA()))</f>
        <v>-1.2676673617777776</v>
      </c>
      <c r="BK249" s="12">
        <f>IF(A249="",NA(),IF(Статистика!$H$8="Вкл",(((IF(Статистика!$C$4="Параллельный режим (активная мощность)",J249,U249)+Статистика!$J$4))-Статистика!$C$10)/MAX(Статистика!$G$10-Статистика!$C$10,0.000001),NA()))</f>
        <v>0.76659785961111082</v>
      </c>
      <c r="BL249" s="12" t="e">
        <f>IF(A249="",NA(),IF(Статистика!$J$8="Вкл",(((IF(Статистика!$C$4="Параллельный режим (активная мощность)",K249,V249)+Статистика!$J$4))-Статистика!$C$10)/MAX(Статистика!$G$10-Статистика!$C$10,0.000001),NA()))</f>
        <v>#N/A</v>
      </c>
      <c r="BM249" s="12" t="e">
        <f>IF(AND(A249&lt;&gt;"",Статистика!$C$6="Вкл",Статистика!$B$6&gt;0),(Статистика!$B$6-Статистика!$C$10)/MAX(Статистика!$G$10-Статистика!$C$10,0.000001),NA())</f>
        <v>#N/A</v>
      </c>
      <c r="BN249" s="12" t="e">
        <f>IF(AND(A249&lt;&gt;"",Статистика!$F$6="Вкл",Статистика!$E$6&gt;0),(Статистика!$E$6-Статистика!$C$10)/MAX(Статистика!$G$10-Статистика!$C$10,0.000001),NA())</f>
        <v>#N/A</v>
      </c>
      <c r="BO249" s="12" t="e">
        <f>IF(AND(A249&lt;&gt;"",Статистика!$I$6="Вкл",Статистика!$H$6&gt;0),(Статистика!$H$6-Статистика!$C$10)/MAX(Статистика!$G$10-Статистика!$C$10,0.000001),NA())</f>
        <v>#N/A</v>
      </c>
      <c r="BP249" s="12" t="e">
        <f>IF(AND(A249&lt;&gt;"",Статистика!$L$6="Вкл",Статистика!$K$6&gt;0),(Статистика!$K$6-Статистика!$C$10)/MAX(Статистика!$G$10-Статистика!$C$10,0.000001),NA())</f>
        <v>#N/A</v>
      </c>
      <c r="BQ249" s="12" t="e">
        <f>IF(AND(A249&lt;&gt;"",Статистика!$M$6="Вкл",Статистика!$O$6&gt;0),(Статистика!$O$6-Статистика!$C$10)/MAX(Статистика!$G$10-Статистика!$C$10,0.000001),NA())</f>
        <v>#N/A</v>
      </c>
      <c r="BR249" s="12">
        <f t="shared" si="6"/>
        <v>1</v>
      </c>
      <c r="BT249" s="12">
        <f>IF(Y249="","",MAX(0,MIN(1,(((IF(Статистика!$C$4="Параллельный режим (активная мощность)",Z249,AK249)+Статистика!$J$4))-Статистика!$C$10)/MAX(Статистика!$G$10-Статистика!$C$10,0.000001))))</f>
        <v>0.43909920899999966</v>
      </c>
      <c r="BU249" s="12">
        <f>IF(Y249="","",MAX(0,MAX(0,MIN(1,(((IF(Статистика!$C$4="Параллельный режим (активная мощность)",AB249,AM249)+Статистика!$J$4))-Статистика!$C$10)/MAX(Статистика!$G$10-Статистика!$C$10,0.000001)))-MAX(0,MIN(1,(((IF(Статистика!$C$4="Параллельный режим (активная мощность)",Z249,AK249)+Статистика!$J$4))-Статистика!$C$10)/MAX(Статистика!$G$10-Статистика!$C$10,0.000001)))))</f>
        <v>8.5983810000000993E-3</v>
      </c>
      <c r="BV249" s="12">
        <f>IF(Y249="","",MAX(0,MAX(0,MIN(1,(((IF(Статистика!$C$4="Параллельный режим (активная мощность)",AC249,AN249)+Статистика!$J$4))-Статистика!$C$10)/MAX(Статистика!$G$10-Статистика!$C$10,0.000001)))-MAX(0,MIN(1,(((IF(Статистика!$C$4="Параллельный режим (активная мощность)",AB249,AM249)+Статистика!$J$4))-Статистика!$C$10)/MAX(Статистика!$G$10-Статистика!$C$10,0.000001)))))</f>
        <v>7.6340726666666914E-2</v>
      </c>
      <c r="BW249" s="12">
        <f>IF(Y249="","",MAX(0,MAX(0,MIN(1,(((IF(Статистика!$C$4="Параллельный режим (активная мощность)",AD249,AO249)+Статистика!$J$4))-Статистика!$C$10)/MAX(Статистика!$G$10-Статистика!$C$10,0.000001)))-MAX(0,MIN(1,(((IF(Статистика!$C$4="Параллельный режим (активная мощность)",AC249,AN249)+Статистика!$J$4))-Статистика!$C$10)/MAX(Статистика!$G$10-Статистика!$C$10,0.000001)))))</f>
        <v>2.500632222222221E-2</v>
      </c>
      <c r="BX249" s="12">
        <f>IF(Y249="","",MAX(0,MAX(0,MIN(1,(((IF(Статистика!$C$4="Параллельный режим (активная мощность)",AE249,AP249)+Статистика!$J$4))-Статистика!$C$10)/MAX(Статистика!$G$10-Статистика!$C$10,0.000001)))-MAX(0,MIN(1,(((IF(Статистика!$C$4="Параллельный режим (активная мощность)",AD249,AO249)+Статистика!$J$4))-Статистика!$C$10)/MAX(Статистика!$G$10-Статистика!$C$10,0.000001)))))</f>
        <v>0.12202458888888879</v>
      </c>
      <c r="BY249" s="12">
        <f>IF(Y249="","",MAX(0,MAX(0,MIN(1,(((IF(Статистика!$C$4="Параллельный режим (активная мощность)",AF249,AQ249)+Статистика!$J$4))-Статистика!$C$10)/MAX(Статистика!$G$10-Статистика!$C$10,0.000001)))-MAX(0,MIN(1,(((IF(Статистика!$C$4="Параллельный режим (активная мощность)",AE249,AP249)+Статистика!$J$4))-Статистика!$C$10)/MAX(Статистика!$G$10-Статистика!$C$10,0.000001)))))</f>
        <v>8.4961423888888943E-2</v>
      </c>
      <c r="BZ249" s="12">
        <f>IF(Y249="","",MAX(0,MAX(0,MIN(1,(((IF(Статистика!$C$4="Параллельный режим (активная мощность)",AH249,AS249)+Статистика!$J$4))-Статистика!$C$10)/MAX(Статистика!$G$10-Статистика!$C$10,0.000001)))-MAX(0,MIN(1,(((IF(Статистика!$C$4="Параллельный режим (активная мощность)",AF249,AQ249)+Статистика!$J$4))-Статистика!$C$10)/MAX(Статистика!$G$10-Статистика!$C$10,0.000001)))))</f>
        <v>9.3293035000000524E-3</v>
      </c>
      <c r="CA249" s="12">
        <f>IF(Y249="","",MAX(0,1-MAX(0,MIN(1,(((IF(Статистика!$C$4="Параллельный режим (активная мощность)",AH249,AS249)+Статистика!$J$4))-Статистика!$C$10)/MAX(Статистика!$G$10-Статистика!$C$10,0.000001)))))</f>
        <v>0.23464004483333334</v>
      </c>
      <c r="CB249" s="12">
        <f>IF(Y249="",NA(),IF(Статистика!$B$8="Вкл",(((IF(Статистика!$C$4="Параллельный режим (активная мощность)",AD249,AO249)+Статистика!$J$4))-Статистика!$C$10)/MAX(Статистика!$G$10-Статистика!$C$10,0.000001),NA()))</f>
        <v>0.54904463888888888</v>
      </c>
      <c r="CC249" s="12">
        <f>IF(Y249="",NA(),IF(Статистика!$D$8="Вкл",(((IF(Статистика!$C$4="Параллельный режим (активная мощность)",AC249,AN249)+Статистика!$J$4))-Статистика!$C$10)/MAX(Статистика!$G$10-Статистика!$C$10,0.000001),NA()))</f>
        <v>0.52403831666666667</v>
      </c>
      <c r="CD249" s="12">
        <f>IF(Y249="",NA(),IF(Статистика!$D$8="Вкл",(((IF(Статистика!$C$4="Параллельный режим (активная мощность)",AE249,AP249)+Статистика!$J$4))-Статистика!$C$10)/MAX(Статистика!$G$10-Статистика!$C$10,0.000001),NA()))</f>
        <v>0.67106922777777767</v>
      </c>
      <c r="CE249" s="12">
        <f>IF(Y249="",NA(),IF(Статистика!$F$8="Вкл",(((IF(Статистика!$C$4="Параллельный режим (активная мощность)",AB249,AM249)+Статистика!$J$4))-Статистика!$C$10)/MAX(Статистика!$G$10-Статистика!$C$10,0.000001),NA()))</f>
        <v>0.44769758999999976</v>
      </c>
      <c r="CF249" s="12">
        <f>IF(Y249="",NA(),IF(Статистика!$F$8="Вкл",(((IF(Статистика!$C$4="Параллельный режим (активная мощность)",AF249,AQ249)+Статистика!$J$4))-Статистика!$C$10)/MAX(Статистика!$G$10-Статистика!$C$10,0.000001),NA()))</f>
        <v>0.75603065166666661</v>
      </c>
      <c r="CG249" s="12">
        <f>IF(Y249="",NA(),IF(Статистика!$H$8="Вкл",(((IF(Статистика!$C$4="Параллельный режим (активная мощность)",Z249,AK249)+Статистика!$J$4))-Статистика!$C$10)/MAX(Статистика!$G$10-Статистика!$C$10,0.000001),NA()))</f>
        <v>0.43909920899999966</v>
      </c>
      <c r="CH249" s="12">
        <f>IF(Y249="",NA(),IF(Статистика!$H$8="Вкл",(((IF(Статистика!$C$4="Параллельный режим (активная мощность)",AH249,AS249)+Статистика!$J$4))-Статистика!$C$10)/MAX(Статистика!$G$10-Статистика!$C$10,0.000001),NA()))</f>
        <v>0.76535995516666666</v>
      </c>
      <c r="CI249" s="12" t="e">
        <f>IF(Y249="",NA(),IF(Статистика!$J$8="Вкл",(((IF(Статистика!$C$4="Параллельный режим (активная мощность)",AI249,AT249)+Статистика!$J$4))-Статистика!$C$10)/MAX(Статистика!$G$10-Статистика!$C$10,0.000001),NA()))</f>
        <v>#N/A</v>
      </c>
      <c r="CJ249" s="12" t="e">
        <f>IF(AND(Y249&lt;&gt;"",Статистика!$C$6="Вкл",Статистика!$B$6&gt;0),(Статистика!$B$6-Статистика!$C$10)/MAX(Статистика!$G$10-Статистика!$C$10,0.000001),NA())</f>
        <v>#N/A</v>
      </c>
      <c r="CK249" s="12" t="e">
        <f>IF(AND(Y249&lt;&gt;"",Статистика!$F$6="Вкл",Статистика!$E$6&gt;0),(Статистика!$E$6-Статистика!$C$10)/MAX(Статистика!$G$10-Статистика!$C$10,0.000001),NA())</f>
        <v>#N/A</v>
      </c>
      <c r="CL249" s="12" t="e">
        <f>IF(AND(Y249&lt;&gt;"",Статистика!$I$6="Вкл",Статистика!$H$6&gt;0),(Статистика!$H$6-Статистика!$C$10)/MAX(Статистика!$G$10-Статистика!$C$10,0.000001),NA())</f>
        <v>#N/A</v>
      </c>
      <c r="CM249" s="12" t="e">
        <f>IF(AND(Y249&lt;&gt;"",Статистика!$L$6="Вкл",Статистика!$K$6&gt;0),(Статистика!$K$6-Статистика!$C$10)/MAX(Статистика!$G$10-Статистика!$C$10,0.000001),NA())</f>
        <v>#N/A</v>
      </c>
      <c r="CN249" s="12" t="e">
        <f>IF(AND(Y249&lt;&gt;"",Статистика!$M$6="Вкл",Статистика!$O$6&gt;0),(Статистика!$O$6-Статистика!$C$10)/MAX(Статистика!$G$10-Статистика!$C$10,0.000001),NA())</f>
        <v>#N/A</v>
      </c>
      <c r="CO249" s="12">
        <f t="shared" si="7"/>
        <v>1</v>
      </c>
    </row>
    <row r="250" spans="1:93" ht="15" customHeight="1">
      <c r="A250" s="12" t="s">
        <v>1046</v>
      </c>
      <c r="B250" s="12">
        <v>2196.9510066666671</v>
      </c>
      <c r="C250" s="12">
        <v>5659.5231666666677</v>
      </c>
      <c r="D250" s="12">
        <v>7303.6777866666671</v>
      </c>
      <c r="E250" s="12">
        <v>7593.2195083333336</v>
      </c>
      <c r="F250" s="12">
        <v>7745.5154833333327</v>
      </c>
      <c r="G250" s="12">
        <v>7979.0361083333337</v>
      </c>
      <c r="H250" s="12">
        <v>8245.6106000000018</v>
      </c>
      <c r="I250" s="12">
        <v>8259.4815750000016</v>
      </c>
      <c r="J250" s="12">
        <v>8273.2443950000015</v>
      </c>
      <c r="K250" s="12">
        <v>8504.19</v>
      </c>
      <c r="L250" s="12" t="s">
        <v>1047</v>
      </c>
      <c r="M250" s="12">
        <v>2671.5924494999999</v>
      </c>
      <c r="N250" s="12">
        <v>6451.5779808333336</v>
      </c>
      <c r="O250" s="12">
        <v>8264.6194350000005</v>
      </c>
      <c r="P250" s="12">
        <v>8657.6615666666676</v>
      </c>
      <c r="Q250" s="12">
        <v>8777.4189833333348</v>
      </c>
      <c r="R250" s="12">
        <v>8907.3397750000022</v>
      </c>
      <c r="S250" s="12">
        <v>9269.7253533333333</v>
      </c>
      <c r="T250" s="12">
        <v>9330.3829124999993</v>
      </c>
      <c r="U250" s="12">
        <v>9366.1195158333339</v>
      </c>
      <c r="V250" s="12">
        <v>9574.2800000000007</v>
      </c>
      <c r="W250" s="12" t="s">
        <v>1048</v>
      </c>
      <c r="Y250" s="12" t="s">
        <v>1046</v>
      </c>
      <c r="Z250" s="12">
        <v>7354.1977766666669</v>
      </c>
      <c r="AA250" s="12">
        <v>7360.2936833333342</v>
      </c>
      <c r="AB250" s="12">
        <v>7367.913566666668</v>
      </c>
      <c r="AC250" s="12">
        <v>7585.9158166666675</v>
      </c>
      <c r="AD250" s="12">
        <v>7661.8538499999995</v>
      </c>
      <c r="AE250" s="12">
        <v>8021.6220583333343</v>
      </c>
      <c r="AF250" s="12">
        <v>8323.4912183333327</v>
      </c>
      <c r="AG250" s="12">
        <v>8344.5969091666648</v>
      </c>
      <c r="AH250" s="12">
        <v>8361.481461833333</v>
      </c>
      <c r="AI250" s="12">
        <v>8495.1</v>
      </c>
      <c r="AJ250" s="12" t="s">
        <v>1049</v>
      </c>
      <c r="AK250" s="12">
        <v>8278.0162640000017</v>
      </c>
      <c r="AL250" s="12">
        <v>8295.7287866666666</v>
      </c>
      <c r="AM250" s="12">
        <v>8317.8694400000004</v>
      </c>
      <c r="AN250" s="12">
        <v>8608.4127916666657</v>
      </c>
      <c r="AO250" s="12">
        <v>8678.6995000000006</v>
      </c>
      <c r="AP250" s="12">
        <v>9072.1360333333323</v>
      </c>
      <c r="AQ250" s="12">
        <v>9272.0426166666657</v>
      </c>
      <c r="AR250" s="12">
        <v>9305.1195250000001</v>
      </c>
      <c r="AS250" s="12">
        <v>9331.5810516666661</v>
      </c>
      <c r="AT250" s="12">
        <v>9500.07</v>
      </c>
      <c r="AU250" s="12" t="s">
        <v>1050</v>
      </c>
      <c r="AW250" s="12">
        <f>IF(A250="","",MAX(0,MIN(1,(((IF(Статистика!$C$4="Параллельный режим (активная мощность)",B250,M250)+Статистика!$J$4))-Статистика!$C$10)/MAX(Статистика!$G$10-Статистика!$C$10,0.000001))))</f>
        <v>0</v>
      </c>
      <c r="AX250" s="12">
        <f>IF(A250="","",MAX(0,MAX(0,MIN(1,(((IF(Статистика!$C$4="Параллельный режим (активная мощность)",D250,O250)+Статистика!$J$4))-Статистика!$C$10)/MAX(Статистика!$G$10-Статистика!$C$10,0.000001)))-MAX(0,MIN(1,(((IF(Статистика!$C$4="Параллельный режим (активная мощность)",B250,M250)+Статистика!$J$4))-Статистика!$C$10)/MAX(Статистика!$G$10-Статистика!$C$10,0.000001)))))</f>
        <v>0.43455926222222235</v>
      </c>
      <c r="AY250" s="12">
        <f>IF(A250="","",MAX(0,MAX(0,MIN(1,(((IF(Статистика!$C$4="Параллельный режим (активная мощность)",E250,P250)+Статистика!$J$4))-Статистика!$C$10)/MAX(Статистика!$G$10-Статистика!$C$10,0.000001)))-MAX(0,MIN(1,(((IF(Статистика!$C$4="Параллельный режим (активная мощность)",D250,O250)+Статистика!$J$4))-Статистика!$C$10)/MAX(Статистика!$G$10-Статистика!$C$10,0.000001)))))</f>
        <v>9.6513907222222139E-2</v>
      </c>
      <c r="AZ250" s="12">
        <f>IF(A250="","",MAX(0,MAX(0,MIN(1,(((IF(Статистика!$C$4="Параллельный режим (активная мощность)",F250,Q250)+Статистика!$J$4))-Статистика!$C$10)/MAX(Статистика!$G$10-Статистика!$C$10,0.000001)))-MAX(0,MIN(1,(((IF(Статистика!$C$4="Параллельный режим (активная мощность)",E250,P250)+Статистика!$J$4))-Статистика!$C$10)/MAX(Статистика!$G$10-Статистика!$C$10,0.000001)))))</f>
        <v>5.076532499999975E-2</v>
      </c>
      <c r="BA250" s="12">
        <f>IF(A250="","",MAX(0,MAX(0,MIN(1,(((IF(Статистика!$C$4="Параллельный режим (активная мощность)",G250,R250)+Статистика!$J$4))-Статистика!$C$10)/MAX(Статистика!$G$10-Статистика!$C$10,0.000001)))-MAX(0,MIN(1,(((IF(Статистика!$C$4="Параллельный режим (активная мощность)",F250,Q250)+Статистика!$J$4))-Статистика!$C$10)/MAX(Статистика!$G$10-Статистика!$C$10,0.000001)))))</f>
        <v>7.7840208333333605E-2</v>
      </c>
      <c r="BB250" s="12">
        <f>IF(A250="","",MAX(0,MAX(0,MIN(1,(((IF(Статистика!$C$4="Параллельный режим (активная мощность)",H250,S250)+Статистика!$J$4))-Статистика!$C$10)/MAX(Статистика!$G$10-Статистика!$C$10,0.000001)))-MAX(0,MIN(1,(((IF(Статистика!$C$4="Параллельный режим (активная мощность)",G250,R250)+Статистика!$J$4))-Статистика!$C$10)/MAX(Статистика!$G$10-Статистика!$C$10,0.000001)))))</f>
        <v>8.8858163888889452E-2</v>
      </c>
      <c r="BC250" s="12">
        <f>IF(A250="","",MAX(0,MAX(0,MIN(1,(((IF(Статистика!$C$4="Параллельный режим (активная мощность)",J250,U250)+Статистика!$J$4))-Статистика!$C$10)/MAX(Статистика!$G$10-Статистика!$C$10,0.000001)))-MAX(0,MIN(1,(((IF(Статистика!$C$4="Параллельный режим (активная мощность)",H250,S250)+Статистика!$J$4))-Статистика!$C$10)/MAX(Статистика!$G$10-Статистика!$C$10,0.000001)))))</f>
        <v>9.211264999999913E-3</v>
      </c>
      <c r="BD250" s="12">
        <f>IF(A250="","",MAX(0,1-MAX(0,MIN(1,(((IF(Статистика!$C$4="Параллельный режим (активная мощность)",J250,U250)+Статистика!$J$4))-Статистика!$C$10)/MAX(Статистика!$G$10-Статистика!$C$10,0.000001)))))</f>
        <v>0.24225186833333279</v>
      </c>
      <c r="BE250" s="12">
        <f>IF(A250="",NA(),IF(Статистика!$B$8="Вкл",(((IF(Статистика!$C$4="Параллельный режим (активная мощность)",F250,Q250)+Статистика!$J$4))-Статистика!$C$10)/MAX(Статистика!$G$10-Статистика!$C$10,0.000001),NA()))</f>
        <v>0.58183849444444424</v>
      </c>
      <c r="BF250" s="12">
        <f>IF(A250="",NA(),IF(Статистика!$D$8="Вкл",(((IF(Статистика!$C$4="Параллельный режим (активная мощность)",E250,P250)+Статистика!$J$4))-Статистика!$C$10)/MAX(Статистика!$G$10-Статистика!$C$10,0.000001),NA()))</f>
        <v>0.53107316944444449</v>
      </c>
      <c r="BG250" s="12">
        <f>IF(A250="",NA(),IF(Статистика!$D$8="Вкл",(((IF(Статистика!$C$4="Параллельный режим (активная мощность)",G250,R250)+Статистика!$J$4))-Статистика!$C$10)/MAX(Статистика!$G$10-Статистика!$C$10,0.000001),NA()))</f>
        <v>0.65967870277777785</v>
      </c>
      <c r="BH250" s="12">
        <f>IF(A250="",NA(),IF(Статистика!$F$8="Вкл",(((IF(Статистика!$C$4="Параллельный режим (активная мощность)",D250,O250)+Статистика!$J$4))-Статистика!$C$10)/MAX(Статистика!$G$10-Статистика!$C$10,0.000001),NA()))</f>
        <v>0.43455926222222235</v>
      </c>
      <c r="BI250" s="12">
        <f>IF(A250="",NA(),IF(Статистика!$F$8="Вкл",(((IF(Статистика!$C$4="Параллельный режим (активная мощность)",H250,S250)+Статистика!$J$4))-Статистика!$C$10)/MAX(Статистика!$G$10-Статистика!$C$10,0.000001),NA()))</f>
        <v>0.7485368666666673</v>
      </c>
      <c r="BJ250" s="12">
        <f>IF(A250="",NA(),IF(Статистика!$H$8="Вкл",(((IF(Статистика!$C$4="Параллельный режим (активная мощность)",B250,M250)+Статистика!$J$4))-Статистика!$C$10)/MAX(Статистика!$G$10-Статистика!$C$10,0.000001),NA()))</f>
        <v>-1.2676829977777777</v>
      </c>
      <c r="BK250" s="12">
        <f>IF(A250="",NA(),IF(Статистика!$H$8="Вкл",(((IF(Статистика!$C$4="Параллельный режим (активная мощность)",J250,U250)+Статистика!$J$4))-Статистика!$C$10)/MAX(Статистика!$G$10-Статистика!$C$10,0.000001),NA()))</f>
        <v>0.75774813166666721</v>
      </c>
      <c r="BL250" s="12" t="e">
        <f>IF(A250="",NA(),IF(Статистика!$J$8="Вкл",(((IF(Статистика!$C$4="Параллельный режим (активная мощность)",K250,V250)+Статистика!$J$4))-Статистика!$C$10)/MAX(Статистика!$G$10-Статистика!$C$10,0.000001),NA()))</f>
        <v>#N/A</v>
      </c>
      <c r="BM250" s="12" t="e">
        <f>IF(AND(A250&lt;&gt;"",Статистика!$C$6="Вкл",Статистика!$B$6&gt;0),(Статистика!$B$6-Статистика!$C$10)/MAX(Статистика!$G$10-Статистика!$C$10,0.000001),NA())</f>
        <v>#N/A</v>
      </c>
      <c r="BN250" s="12" t="e">
        <f>IF(AND(A250&lt;&gt;"",Статистика!$F$6="Вкл",Статистика!$E$6&gt;0),(Статистика!$E$6-Статистика!$C$10)/MAX(Статистика!$G$10-Статистика!$C$10,0.000001),NA())</f>
        <v>#N/A</v>
      </c>
      <c r="BO250" s="12" t="e">
        <f>IF(AND(A250&lt;&gt;"",Статистика!$I$6="Вкл",Статистика!$H$6&gt;0),(Статистика!$H$6-Статистика!$C$10)/MAX(Статистика!$G$10-Статистика!$C$10,0.000001),NA())</f>
        <v>#N/A</v>
      </c>
      <c r="BP250" s="12" t="e">
        <f>IF(AND(A250&lt;&gt;"",Статистика!$L$6="Вкл",Статистика!$K$6&gt;0),(Статистика!$K$6-Статистика!$C$10)/MAX(Статистика!$G$10-Статистика!$C$10,0.000001),NA())</f>
        <v>#N/A</v>
      </c>
      <c r="BQ250" s="12" t="e">
        <f>IF(AND(A250&lt;&gt;"",Статистика!$M$6="Вкл",Статистика!$O$6&gt;0),(Статистика!$O$6-Статистика!$C$10)/MAX(Статистика!$G$10-Статистика!$C$10,0.000001),NA())</f>
        <v>#N/A</v>
      </c>
      <c r="BR250" s="12">
        <f t="shared" si="6"/>
        <v>1</v>
      </c>
      <c r="BT250" s="12">
        <f>IF(Y250="","",MAX(0,MIN(1,(((IF(Статистика!$C$4="Параллельный режим (активная мощность)",Z250,AK250)+Статистика!$J$4))-Статистика!$C$10)/MAX(Статистика!$G$10-Статистика!$C$10,0.000001))))</f>
        <v>0.45139925888888893</v>
      </c>
      <c r="BU250" s="12">
        <f>IF(Y250="","",MAX(0,MAX(0,MIN(1,(((IF(Статистика!$C$4="Параллельный режим (активная мощность)",AB250,AM250)+Статистика!$J$4))-Статистика!$C$10)/MAX(Статистика!$G$10-Статистика!$C$10,0.000001)))-MAX(0,MIN(1,(((IF(Статистика!$C$4="Параллельный режим (активная мощность)",Z250,AK250)+Статистика!$J$4))-Статистика!$C$10)/MAX(Статистика!$G$10-Статистика!$C$10,0.000001)))))</f>
        <v>4.5719300000003904E-3</v>
      </c>
      <c r="BV250" s="12">
        <f>IF(Y250="","",MAX(0,MAX(0,MIN(1,(((IF(Статистика!$C$4="Параллельный режим (активная мощность)",AC250,AN250)+Статистика!$J$4))-Статистика!$C$10)/MAX(Статистика!$G$10-Статистика!$C$10,0.000001)))-MAX(0,MIN(1,(((IF(Статистика!$C$4="Параллельный режим (активная мощность)",AB250,AM250)+Статистика!$J$4))-Статистика!$C$10)/MAX(Статистика!$G$10-Статистика!$C$10,0.000001)))))</f>
        <v>7.266741666666654E-2</v>
      </c>
      <c r="BW250" s="12">
        <f>IF(Y250="","",MAX(0,MAX(0,MIN(1,(((IF(Статистика!$C$4="Параллельный режим (активная мощность)",AD250,AO250)+Статистика!$J$4))-Статистика!$C$10)/MAX(Статистика!$G$10-Статистика!$C$10,0.000001)))-MAX(0,MIN(1,(((IF(Статистика!$C$4="Параллельный режим (активная мощность)",AC250,AN250)+Статистика!$J$4))-Статистика!$C$10)/MAX(Статистика!$G$10-Статистика!$C$10,0.000001)))))</f>
        <v>2.5312677777777348E-2</v>
      </c>
      <c r="BX250" s="12">
        <f>IF(Y250="","",MAX(0,MAX(0,MIN(1,(((IF(Статистика!$C$4="Параллельный режим (активная мощность)",AE250,AP250)+Статистика!$J$4))-Статистика!$C$10)/MAX(Статистика!$G$10-Статистика!$C$10,0.000001)))-MAX(0,MIN(1,(((IF(Статистика!$C$4="Параллельный режим (активная мощность)",AD250,AO250)+Статистика!$J$4))-Статистика!$C$10)/MAX(Статистика!$G$10-Статистика!$C$10,0.000001)))))</f>
        <v>0.11992273611111159</v>
      </c>
      <c r="BY250" s="12">
        <f>IF(Y250="","",MAX(0,MAX(0,MIN(1,(((IF(Статистика!$C$4="Параллельный режим (активная мощность)",AF250,AQ250)+Статистика!$J$4))-Статистика!$C$10)/MAX(Статистика!$G$10-Статистика!$C$10,0.000001)))-MAX(0,MIN(1,(((IF(Статистика!$C$4="Параллельный режим (активная мощность)",AE250,AP250)+Статистика!$J$4))-Статистика!$C$10)/MAX(Статистика!$G$10-Статистика!$C$10,0.000001)))))</f>
        <v>0.10062305333333277</v>
      </c>
      <c r="BZ250" s="12">
        <f>IF(Y250="","",MAX(0,MAX(0,MIN(1,(((IF(Статистика!$C$4="Параллельный режим (активная мощность)",AH250,AS250)+Статистика!$J$4))-Статистика!$C$10)/MAX(Статистика!$G$10-Статистика!$C$10,0.000001)))-MAX(0,MIN(1,(((IF(Статистика!$C$4="Параллельный режим (активная мощность)",AF250,AQ250)+Статистика!$J$4))-Статистика!$C$10)/MAX(Статистика!$G$10-Статистика!$C$10,0.000001)))))</f>
        <v>1.2663414500000081E-2</v>
      </c>
      <c r="CA250" s="12">
        <f>IF(Y250="","",MAX(0,1-MAX(0,MIN(1,(((IF(Статистика!$C$4="Параллельный режим (активная мощность)",AH250,AS250)+Статистика!$J$4))-Статистика!$C$10)/MAX(Статистика!$G$10-Статистика!$C$10,0.000001)))))</f>
        <v>0.21283951272222235</v>
      </c>
      <c r="CB250" s="12">
        <f>IF(Y250="",NA(),IF(Статистика!$B$8="Вкл",(((IF(Статистика!$C$4="Параллельный режим (активная мощность)",AD250,AO250)+Статистика!$J$4))-Статистика!$C$10)/MAX(Статистика!$G$10-Статистика!$C$10,0.000001),NA()))</f>
        <v>0.55395128333333321</v>
      </c>
      <c r="CC250" s="12">
        <f>IF(Y250="",NA(),IF(Статистика!$D$8="Вкл",(((IF(Статистика!$C$4="Параллельный режим (активная мощность)",AC250,AN250)+Статистика!$J$4))-Статистика!$C$10)/MAX(Статистика!$G$10-Статистика!$C$10,0.000001),NA()))</f>
        <v>0.52863860555555586</v>
      </c>
      <c r="CD250" s="12">
        <f>IF(Y250="",NA(),IF(Статистика!$D$8="Вкл",(((IF(Статистика!$C$4="Параллельный режим (активная мощность)",AE250,AP250)+Статистика!$J$4))-Статистика!$C$10)/MAX(Статистика!$G$10-Статистика!$C$10,0.000001),NA()))</f>
        <v>0.67387401944444481</v>
      </c>
      <c r="CE250" s="12">
        <f>IF(Y250="",NA(),IF(Статистика!$F$8="Вкл",(((IF(Статистика!$C$4="Параллельный режим (активная мощность)",AB250,AM250)+Статистика!$J$4))-Статистика!$C$10)/MAX(Статистика!$G$10-Статистика!$C$10,0.000001),NA()))</f>
        <v>0.45597118888888932</v>
      </c>
      <c r="CF250" s="12">
        <f>IF(Y250="",NA(),IF(Статистика!$F$8="Вкл",(((IF(Статистика!$C$4="Параллельный режим (активная мощность)",AF250,AQ250)+Статистика!$J$4))-Статистика!$C$10)/MAX(Статистика!$G$10-Статистика!$C$10,0.000001),NA()))</f>
        <v>0.77449707277777757</v>
      </c>
      <c r="CG250" s="12">
        <f>IF(Y250="",NA(),IF(Статистика!$H$8="Вкл",(((IF(Статистика!$C$4="Параллельный режим (активная мощность)",Z250,AK250)+Статистика!$J$4))-Статистика!$C$10)/MAX(Статистика!$G$10-Статистика!$C$10,0.000001),NA()))</f>
        <v>0.45139925888888893</v>
      </c>
      <c r="CH250" s="12">
        <f>IF(Y250="",NA(),IF(Статистика!$H$8="Вкл",(((IF(Статистика!$C$4="Параллельный режим (активная мощность)",AH250,AS250)+Статистика!$J$4))-Статистика!$C$10)/MAX(Статистика!$G$10-Статистика!$C$10,0.000001),NA()))</f>
        <v>0.78716048727777765</v>
      </c>
      <c r="CI250" s="12" t="e">
        <f>IF(Y250="",NA(),IF(Статистика!$J$8="Вкл",(((IF(Статистика!$C$4="Параллельный режим (активная мощность)",AI250,AT250)+Статистика!$J$4))-Статистика!$C$10)/MAX(Статистика!$G$10-Статистика!$C$10,0.000001),NA()))</f>
        <v>#N/A</v>
      </c>
      <c r="CJ250" s="12" t="e">
        <f>IF(AND(Y250&lt;&gt;"",Статистика!$C$6="Вкл",Статистика!$B$6&gt;0),(Статистика!$B$6-Статистика!$C$10)/MAX(Статистика!$G$10-Статистика!$C$10,0.000001),NA())</f>
        <v>#N/A</v>
      </c>
      <c r="CK250" s="12" t="e">
        <f>IF(AND(Y250&lt;&gt;"",Статистика!$F$6="Вкл",Статистика!$E$6&gt;0),(Статистика!$E$6-Статистика!$C$10)/MAX(Статистика!$G$10-Статистика!$C$10,0.000001),NA())</f>
        <v>#N/A</v>
      </c>
      <c r="CL250" s="12" t="e">
        <f>IF(AND(Y250&lt;&gt;"",Статистика!$I$6="Вкл",Статистика!$H$6&gt;0),(Статистика!$H$6-Статистика!$C$10)/MAX(Статистика!$G$10-Статистика!$C$10,0.000001),NA())</f>
        <v>#N/A</v>
      </c>
      <c r="CM250" s="12" t="e">
        <f>IF(AND(Y250&lt;&gt;"",Статистика!$L$6="Вкл",Статистика!$K$6&gt;0),(Статистика!$K$6-Статистика!$C$10)/MAX(Статистика!$G$10-Статистика!$C$10,0.000001),NA())</f>
        <v>#N/A</v>
      </c>
      <c r="CN250" s="12" t="e">
        <f>IF(AND(Y250&lt;&gt;"",Статистика!$M$6="Вкл",Статистика!$O$6&gt;0),(Статистика!$O$6-Статистика!$C$10)/MAX(Статистика!$G$10-Статистика!$C$10,0.000001),NA())</f>
        <v>#N/A</v>
      </c>
      <c r="CO250" s="12">
        <f t="shared" si="7"/>
        <v>1</v>
      </c>
    </row>
    <row r="251" spans="1:93" ht="15" customHeight="1">
      <c r="A251" s="12" t="s">
        <v>1051</v>
      </c>
      <c r="B251" s="12">
        <v>2203.4962133333329</v>
      </c>
      <c r="C251" s="12">
        <v>5677.1146666666664</v>
      </c>
      <c r="D251" s="12">
        <v>7329.7597733333332</v>
      </c>
      <c r="E251" s="12">
        <v>7668.2998416666669</v>
      </c>
      <c r="F251" s="12">
        <v>7785.5352666666668</v>
      </c>
      <c r="G251" s="12">
        <v>8010.7089416666659</v>
      </c>
      <c r="H251" s="12">
        <v>8282.2311000000009</v>
      </c>
      <c r="I251" s="12">
        <v>8330.0666033333346</v>
      </c>
      <c r="J251" s="12">
        <v>8408.2676940000001</v>
      </c>
      <c r="K251" s="12">
        <v>8578.08</v>
      </c>
      <c r="L251" s="12" t="s">
        <v>1052</v>
      </c>
      <c r="M251" s="12">
        <v>2682.4364725</v>
      </c>
      <c r="N251" s="12">
        <v>6487.4339625000011</v>
      </c>
      <c r="O251" s="12">
        <v>8301.7426000000014</v>
      </c>
      <c r="P251" s="12">
        <v>8708.2403750000012</v>
      </c>
      <c r="Q251" s="12">
        <v>8793.1272833333333</v>
      </c>
      <c r="R251" s="12">
        <v>8958.3024250000017</v>
      </c>
      <c r="S251" s="12">
        <v>9333.6478983333309</v>
      </c>
      <c r="T251" s="12">
        <v>9434.1410591666663</v>
      </c>
      <c r="U251" s="12">
        <v>9489.9506118333356</v>
      </c>
      <c r="V251" s="12">
        <v>9722.7199999999993</v>
      </c>
      <c r="W251" s="12" t="s">
        <v>1053</v>
      </c>
      <c r="Y251" s="12" t="s">
        <v>1051</v>
      </c>
      <c r="Z251" s="12">
        <v>7363.9391974999999</v>
      </c>
      <c r="AA251" s="12">
        <v>7366.9959874999995</v>
      </c>
      <c r="AB251" s="12">
        <v>7370.8169749999997</v>
      </c>
      <c r="AC251" s="12">
        <v>7582.4874749999999</v>
      </c>
      <c r="AD251" s="12">
        <v>7680.8495999999996</v>
      </c>
      <c r="AE251" s="12">
        <v>8012.4503750000013</v>
      </c>
      <c r="AF251" s="12">
        <v>8371.7142183333344</v>
      </c>
      <c r="AG251" s="12">
        <v>8388.9196758333328</v>
      </c>
      <c r="AH251" s="12">
        <v>8402.6840418333322</v>
      </c>
      <c r="AI251" s="12">
        <v>8554.34</v>
      </c>
      <c r="AJ251" s="12" t="s">
        <v>1054</v>
      </c>
      <c r="AK251" s="12">
        <v>8309.9728761666647</v>
      </c>
      <c r="AL251" s="12">
        <v>8320.6046474999985</v>
      </c>
      <c r="AM251" s="12">
        <v>8333.8943616666656</v>
      </c>
      <c r="AN251" s="12">
        <v>8590.2178749999985</v>
      </c>
      <c r="AO251" s="12">
        <v>8720.2815499999997</v>
      </c>
      <c r="AP251" s="12">
        <v>9065.3942416666669</v>
      </c>
      <c r="AQ251" s="12">
        <v>9338.9645299999993</v>
      </c>
      <c r="AR251" s="12">
        <v>9366.3426316666664</v>
      </c>
      <c r="AS251" s="12">
        <v>9388.245112999999</v>
      </c>
      <c r="AT251" s="12">
        <v>9535.83</v>
      </c>
      <c r="AU251" s="12" t="s">
        <v>1054</v>
      </c>
      <c r="AW251" s="12">
        <f>IF(A251="","",MAX(0,MIN(1,(((IF(Статистика!$C$4="Параллельный режим (активная мощность)",B251,M251)+Статистика!$J$4))-Статистика!$C$10)/MAX(Статистика!$G$10-Статистика!$C$10,0.000001))))</f>
        <v>0</v>
      </c>
      <c r="AX251" s="12">
        <f>IF(A251="","",MAX(0,MAX(0,MIN(1,(((IF(Статистика!$C$4="Параллельный режим (активная мощность)",D251,O251)+Статистика!$J$4))-Статистика!$C$10)/MAX(Статистика!$G$10-Статистика!$C$10,0.000001)))-MAX(0,MIN(1,(((IF(Статистика!$C$4="Параллельный режим (активная мощность)",B251,M251)+Статистика!$J$4))-Статистика!$C$10)/MAX(Статистика!$G$10-Статистика!$C$10,0.000001)))))</f>
        <v>0.44325325777777774</v>
      </c>
      <c r="AY251" s="12">
        <f>IF(A251="","",MAX(0,MAX(0,MIN(1,(((IF(Статистика!$C$4="Параллельный режим (активная мощность)",E251,P251)+Статистика!$J$4))-Статистика!$C$10)/MAX(Статистика!$G$10-Статистика!$C$10,0.000001)))-MAX(0,MIN(1,(((IF(Статистика!$C$4="Параллельный режим (активная мощность)",D251,O251)+Статистика!$J$4))-Статистика!$C$10)/MAX(Статистика!$G$10-Статистика!$C$10,0.000001)))))</f>
        <v>0.11284668944444459</v>
      </c>
      <c r="AZ251" s="12">
        <f>IF(A251="","",MAX(0,MAX(0,MIN(1,(((IF(Статистика!$C$4="Параллельный режим (активная мощность)",F251,Q251)+Статистика!$J$4))-Статистика!$C$10)/MAX(Статистика!$G$10-Статистика!$C$10,0.000001)))-MAX(0,MIN(1,(((IF(Статистика!$C$4="Параллельный режим (активная мощность)",E251,P251)+Статистика!$J$4))-Статистика!$C$10)/MAX(Статистика!$G$10-Статистика!$C$10,0.000001)))))</f>
        <v>3.9078474999999946E-2</v>
      </c>
      <c r="BA251" s="12">
        <f>IF(A251="","",MAX(0,MAX(0,MIN(1,(((IF(Статистика!$C$4="Параллельный режим (активная мощность)",G251,R251)+Статистика!$J$4))-Статистика!$C$10)/MAX(Статистика!$G$10-Статистика!$C$10,0.000001)))-MAX(0,MIN(1,(((IF(Статистика!$C$4="Параллельный режим (активная мощность)",F251,Q251)+Статистика!$J$4))-Статистика!$C$10)/MAX(Статистика!$G$10-Статистика!$C$10,0.000001)))))</f>
        <v>7.5057891666666321E-2</v>
      </c>
      <c r="BB251" s="12">
        <f>IF(A251="","",MAX(0,MAX(0,MIN(1,(((IF(Статистика!$C$4="Параллельный режим (активная мощность)",H251,S251)+Статистика!$J$4))-Статистика!$C$10)/MAX(Статистика!$G$10-Статистика!$C$10,0.000001)))-MAX(0,MIN(1,(((IF(Статистика!$C$4="Параллельный режим (активная мощность)",G251,R251)+Статистика!$J$4))-Статистика!$C$10)/MAX(Статистика!$G$10-Статистика!$C$10,0.000001)))))</f>
        <v>9.0507386111111643E-2</v>
      </c>
      <c r="BC251" s="12">
        <f>IF(A251="","",MAX(0,MAX(0,MIN(1,(((IF(Статистика!$C$4="Параллельный режим (активная мощность)",J251,U251)+Статистика!$J$4))-Статистика!$C$10)/MAX(Статистика!$G$10-Статистика!$C$10,0.000001)))-MAX(0,MIN(1,(((IF(Статистика!$C$4="Параллельный режим (активная мощность)",H251,S251)+Статистика!$J$4))-Статистика!$C$10)/MAX(Статистика!$G$10-Статистика!$C$10,0.000001)))))</f>
        <v>4.2012197999999779E-2</v>
      </c>
      <c r="BD251" s="12">
        <f>IF(A251="","",MAX(0,1-MAX(0,MIN(1,(((IF(Статистика!$C$4="Параллельный режим (активная мощность)",J251,U251)+Статистика!$J$4))-Статистика!$C$10)/MAX(Статистика!$G$10-Статистика!$C$10,0.000001)))))</f>
        <v>0.19724410199999998</v>
      </c>
      <c r="BE251" s="12">
        <f>IF(A251="",NA(),IF(Статистика!$B$8="Вкл",(((IF(Статистика!$C$4="Параллельный режим (активная мощность)",F251,Q251)+Статистика!$J$4))-Статистика!$C$10)/MAX(Статистика!$G$10-Статистика!$C$10,0.000001),NA()))</f>
        <v>0.59517842222222228</v>
      </c>
      <c r="BF251" s="12">
        <f>IF(A251="",NA(),IF(Статистика!$D$8="Вкл",(((IF(Статистика!$C$4="Параллельный режим (активная мощность)",E251,P251)+Статистика!$J$4))-Статистика!$C$10)/MAX(Статистика!$G$10-Статистика!$C$10,0.000001),NA()))</f>
        <v>0.55609994722222233</v>
      </c>
      <c r="BG251" s="12">
        <f>IF(A251="",NA(),IF(Статистика!$D$8="Вкл",(((IF(Статистика!$C$4="Параллельный режим (активная мощность)",G251,R251)+Статистика!$J$4))-Статистика!$C$10)/MAX(Статистика!$G$10-Статистика!$C$10,0.000001),NA()))</f>
        <v>0.6702363138888886</v>
      </c>
      <c r="BH251" s="12">
        <f>IF(A251="",NA(),IF(Статистика!$F$8="Вкл",(((IF(Статистика!$C$4="Параллельный режим (активная мощность)",D251,O251)+Статистика!$J$4))-Статистика!$C$10)/MAX(Статистика!$G$10-Статистика!$C$10,0.000001),NA()))</f>
        <v>0.44325325777777774</v>
      </c>
      <c r="BI251" s="12">
        <f>IF(A251="",NA(),IF(Статистика!$F$8="Вкл",(((IF(Статистика!$C$4="Параллельный режим (активная мощность)",H251,S251)+Статистика!$J$4))-Статистика!$C$10)/MAX(Статистика!$G$10-Статистика!$C$10,0.000001),NA()))</f>
        <v>0.76074370000000024</v>
      </c>
      <c r="BJ251" s="12">
        <f>IF(A251="",NA(),IF(Статистика!$H$8="Вкл",(((IF(Статистика!$C$4="Параллельный режим (активная мощность)",B251,M251)+Статистика!$J$4))-Статистика!$C$10)/MAX(Статистика!$G$10-Статистика!$C$10,0.000001),NA()))</f>
        <v>-1.2655012622222224</v>
      </c>
      <c r="BK251" s="12">
        <f>IF(A251="",NA(),IF(Статистика!$H$8="Вкл",(((IF(Статистика!$C$4="Параллельный режим (активная мощность)",J251,U251)+Статистика!$J$4))-Статистика!$C$10)/MAX(Статистика!$G$10-Статистика!$C$10,0.000001),NA()))</f>
        <v>0.80275589800000002</v>
      </c>
      <c r="BL251" s="12" t="e">
        <f>IF(A251="",NA(),IF(Статистика!$J$8="Вкл",(((IF(Статистика!$C$4="Параллельный режим (активная мощность)",K251,V251)+Статистика!$J$4))-Статистика!$C$10)/MAX(Статистика!$G$10-Статистика!$C$10,0.000001),NA()))</f>
        <v>#N/A</v>
      </c>
      <c r="BM251" s="12" t="e">
        <f>IF(AND(A251&lt;&gt;"",Статистика!$C$6="Вкл",Статистика!$B$6&gt;0),(Статистика!$B$6-Статистика!$C$10)/MAX(Статистика!$G$10-Статистика!$C$10,0.000001),NA())</f>
        <v>#N/A</v>
      </c>
      <c r="BN251" s="12" t="e">
        <f>IF(AND(A251&lt;&gt;"",Статистика!$F$6="Вкл",Статистика!$E$6&gt;0),(Статистика!$E$6-Статистика!$C$10)/MAX(Статистика!$G$10-Статистика!$C$10,0.000001),NA())</f>
        <v>#N/A</v>
      </c>
      <c r="BO251" s="12" t="e">
        <f>IF(AND(A251&lt;&gt;"",Статистика!$I$6="Вкл",Статистика!$H$6&gt;0),(Статистика!$H$6-Статистика!$C$10)/MAX(Статистика!$G$10-Статистика!$C$10,0.000001),NA())</f>
        <v>#N/A</v>
      </c>
      <c r="BP251" s="12" t="e">
        <f>IF(AND(A251&lt;&gt;"",Статистика!$L$6="Вкл",Статистика!$K$6&gt;0),(Статистика!$K$6-Статистика!$C$10)/MAX(Статистика!$G$10-Статистика!$C$10,0.000001),NA())</f>
        <v>#N/A</v>
      </c>
      <c r="BQ251" s="12" t="e">
        <f>IF(AND(A251&lt;&gt;"",Статистика!$M$6="Вкл",Статистика!$O$6&gt;0),(Статистика!$O$6-Статистика!$C$10)/MAX(Статистика!$G$10-Статистика!$C$10,0.000001),NA())</f>
        <v>#N/A</v>
      </c>
      <c r="BR251" s="12">
        <f t="shared" si="6"/>
        <v>1</v>
      </c>
      <c r="BT251" s="12">
        <f>IF(Y251="","",MAX(0,MIN(1,(((IF(Статистика!$C$4="Параллельный режим (активная мощность)",Z251,AK251)+Статистика!$J$4))-Статистика!$C$10)/MAX(Статистика!$G$10-Статистика!$C$10,0.000001))))</f>
        <v>0.4546463991666666</v>
      </c>
      <c r="BU251" s="12">
        <f>IF(Y251="","",MAX(0,MAX(0,MIN(1,(((IF(Статистика!$C$4="Параллельный режим (активная мощность)",AB251,AM251)+Статистика!$J$4))-Статистика!$C$10)/MAX(Статистика!$G$10-Статистика!$C$10,0.000001)))-MAX(0,MIN(1,(((IF(Статистика!$C$4="Параллельный режим (активная мощность)",Z251,AK251)+Статистика!$J$4))-Статистика!$C$10)/MAX(Статистика!$G$10-Статистика!$C$10,0.000001)))))</f>
        <v>2.2925924999999681E-3</v>
      </c>
      <c r="BV251" s="12">
        <f>IF(Y251="","",MAX(0,MAX(0,MIN(1,(((IF(Статистика!$C$4="Параллельный режим (активная мощность)",AC251,AN251)+Статистика!$J$4))-Статистика!$C$10)/MAX(Статистика!$G$10-Статистика!$C$10,0.000001)))-MAX(0,MIN(1,(((IF(Статистика!$C$4="Параллельный режим (активная мощность)",AB251,AM251)+Статистика!$J$4))-Статистика!$C$10)/MAX(Статистика!$G$10-Статистика!$C$10,0.000001)))))</f>
        <v>7.0556833333333346E-2</v>
      </c>
      <c r="BW251" s="12">
        <f>IF(Y251="","",MAX(0,MAX(0,MIN(1,(((IF(Статистика!$C$4="Параллельный режим (активная мощность)",AD251,AO251)+Статистика!$J$4))-Статистика!$C$10)/MAX(Статистика!$G$10-Статистика!$C$10,0.000001)))-MAX(0,MIN(1,(((IF(Статистика!$C$4="Параллельный режим (активная мощность)",AC251,AN251)+Статистика!$J$4))-Статистика!$C$10)/MAX(Статистика!$G$10-Статистика!$C$10,0.000001)))))</f>
        <v>3.2787374999999952E-2</v>
      </c>
      <c r="BX251" s="12">
        <f>IF(Y251="","",MAX(0,MAX(0,MIN(1,(((IF(Статистика!$C$4="Параллельный режим (активная мощность)",AE251,AP251)+Статистика!$J$4))-Статистика!$C$10)/MAX(Статистика!$G$10-Статистика!$C$10,0.000001)))-MAX(0,MIN(1,(((IF(Статистика!$C$4="Параллельный режим (активная мощность)",AD251,AO251)+Статистика!$J$4))-Статистика!$C$10)/MAX(Статистика!$G$10-Статистика!$C$10,0.000001)))))</f>
        <v>0.11053359166666721</v>
      </c>
      <c r="BY251" s="12">
        <f>IF(Y251="","",MAX(0,MAX(0,MIN(1,(((IF(Статистика!$C$4="Параллельный режим (активная мощность)",AF251,AQ251)+Статистика!$J$4))-Статистика!$C$10)/MAX(Статистика!$G$10-Статистика!$C$10,0.000001)))-MAX(0,MIN(1,(((IF(Статистика!$C$4="Параллельный режим (активная мощность)",AE251,AP251)+Статистика!$J$4))-Статистика!$C$10)/MAX(Статистика!$G$10-Статистика!$C$10,0.000001)))))</f>
        <v>0.11975461444444435</v>
      </c>
      <c r="BZ251" s="12">
        <f>IF(Y251="","",MAX(0,MAX(0,MIN(1,(((IF(Статистика!$C$4="Параллельный режим (активная мощность)",AH251,AS251)+Статистика!$J$4))-Статистика!$C$10)/MAX(Статистика!$G$10-Статистика!$C$10,0.000001)))-MAX(0,MIN(1,(((IF(Статистика!$C$4="Параллельный режим (активная мощность)",AF251,AQ251)+Статистика!$J$4))-Статистика!$C$10)/MAX(Статистика!$G$10-Статистика!$C$10,0.000001)))))</f>
        <v>1.0323274499999369E-2</v>
      </c>
      <c r="CA251" s="12">
        <f>IF(Y251="","",MAX(0,1-MAX(0,MIN(1,(((IF(Статистика!$C$4="Параллельный режим (активная мощность)",AH251,AS251)+Статистика!$J$4))-Статистика!$C$10)/MAX(Статистика!$G$10-Статистика!$C$10,0.000001)))))</f>
        <v>0.1991053193888892</v>
      </c>
      <c r="CB251" s="12">
        <f>IF(Y251="",NA(),IF(Статистика!$B$8="Вкл",(((IF(Статистика!$C$4="Параллельный режим (активная мощность)",AD251,AO251)+Статистика!$J$4))-Статистика!$C$10)/MAX(Статистика!$G$10-Статистика!$C$10,0.000001),NA()))</f>
        <v>0.56028319999999987</v>
      </c>
      <c r="CC251" s="12">
        <f>IF(Y251="",NA(),IF(Статистика!$D$8="Вкл",(((IF(Статистика!$C$4="Параллельный режим (активная мощность)",AC251,AN251)+Статистика!$J$4))-Статистика!$C$10)/MAX(Статистика!$G$10-Статистика!$C$10,0.000001),NA()))</f>
        <v>0.52749582499999992</v>
      </c>
      <c r="CD251" s="12">
        <f>IF(Y251="",NA(),IF(Статистика!$D$8="Вкл",(((IF(Статистика!$C$4="Параллельный режим (активная мощность)",AE251,AP251)+Статистика!$J$4))-Статистика!$C$10)/MAX(Статистика!$G$10-Статистика!$C$10,0.000001),NA()))</f>
        <v>0.67081679166666708</v>
      </c>
      <c r="CE251" s="12">
        <f>IF(Y251="",NA(),IF(Статистика!$F$8="Вкл",(((IF(Статистика!$C$4="Параллельный режим (активная мощность)",AB251,AM251)+Статистика!$J$4))-Статистика!$C$10)/MAX(Статистика!$G$10-Статистика!$C$10,0.000001),NA()))</f>
        <v>0.45693899166666657</v>
      </c>
      <c r="CF251" s="12">
        <f>IF(Y251="",NA(),IF(Статистика!$F$8="Вкл",(((IF(Статистика!$C$4="Параллельный режим (активная мощность)",AF251,AQ251)+Статистика!$J$4))-Статистика!$C$10)/MAX(Статистика!$G$10-Статистика!$C$10,0.000001),NA()))</f>
        <v>0.79057140611111143</v>
      </c>
      <c r="CG251" s="12">
        <f>IF(Y251="",NA(),IF(Статистика!$H$8="Вкл",(((IF(Статистика!$C$4="Параллельный режим (активная мощность)",Z251,AK251)+Статистика!$J$4))-Статистика!$C$10)/MAX(Статистика!$G$10-Статистика!$C$10,0.000001),NA()))</f>
        <v>0.4546463991666666</v>
      </c>
      <c r="CH251" s="12">
        <f>IF(Y251="",NA(),IF(Статистика!$H$8="Вкл",(((IF(Статистика!$C$4="Параллельный режим (активная мощность)",AH251,AS251)+Статистика!$J$4))-Статистика!$C$10)/MAX(Статистика!$G$10-Статистика!$C$10,0.000001),NA()))</f>
        <v>0.8008946806111108</v>
      </c>
      <c r="CI251" s="12" t="e">
        <f>IF(Y251="",NA(),IF(Статистика!$J$8="Вкл",(((IF(Статистика!$C$4="Параллельный режим (активная мощность)",AI251,AT251)+Статистика!$J$4))-Статистика!$C$10)/MAX(Статистика!$G$10-Статистика!$C$10,0.000001),NA()))</f>
        <v>#N/A</v>
      </c>
      <c r="CJ251" s="12" t="e">
        <f>IF(AND(Y251&lt;&gt;"",Статистика!$C$6="Вкл",Статистика!$B$6&gt;0),(Статистика!$B$6-Статистика!$C$10)/MAX(Статистика!$G$10-Статистика!$C$10,0.000001),NA())</f>
        <v>#N/A</v>
      </c>
      <c r="CK251" s="12" t="e">
        <f>IF(AND(Y251&lt;&gt;"",Статистика!$F$6="Вкл",Статистика!$E$6&gt;0),(Статистика!$E$6-Статистика!$C$10)/MAX(Статистика!$G$10-Статистика!$C$10,0.000001),NA())</f>
        <v>#N/A</v>
      </c>
      <c r="CL251" s="12" t="e">
        <f>IF(AND(Y251&lt;&gt;"",Статистика!$I$6="Вкл",Статистика!$H$6&gt;0),(Статистика!$H$6-Статистика!$C$10)/MAX(Статистика!$G$10-Статистика!$C$10,0.000001),NA())</f>
        <v>#N/A</v>
      </c>
      <c r="CM251" s="12" t="e">
        <f>IF(AND(Y251&lt;&gt;"",Статистика!$L$6="Вкл",Статистика!$K$6&gt;0),(Статистика!$K$6-Статистика!$C$10)/MAX(Статистика!$G$10-Статистика!$C$10,0.000001),NA())</f>
        <v>#N/A</v>
      </c>
      <c r="CN251" s="12" t="e">
        <f>IF(AND(Y251&lt;&gt;"",Статистика!$M$6="Вкл",Статистика!$O$6&gt;0),(Статистика!$O$6-Статистика!$C$10)/MAX(Статистика!$G$10-Статистика!$C$10,0.000001),NA())</f>
        <v>#N/A</v>
      </c>
      <c r="CO251" s="12">
        <f t="shared" si="7"/>
        <v>1</v>
      </c>
    </row>
    <row r="252" spans="1:93" ht="15" customHeight="1">
      <c r="A252" s="12" t="s">
        <v>1055</v>
      </c>
      <c r="B252" s="12">
        <v>2206.5783583333332</v>
      </c>
      <c r="C252" s="12">
        <v>5677.4365916666675</v>
      </c>
      <c r="D252" s="12">
        <v>7344.0868033333345</v>
      </c>
      <c r="E252" s="12">
        <v>7630.4959833333342</v>
      </c>
      <c r="F252" s="12">
        <v>7775.3291333333327</v>
      </c>
      <c r="G252" s="12">
        <v>8127.3355833333326</v>
      </c>
      <c r="H252" s="12">
        <v>8310.3105983333335</v>
      </c>
      <c r="I252" s="12">
        <v>8340.6369066666666</v>
      </c>
      <c r="J252" s="12">
        <v>8397.2566613333329</v>
      </c>
      <c r="K252" s="12">
        <v>8607.16</v>
      </c>
      <c r="L252" s="12" t="s">
        <v>1056</v>
      </c>
      <c r="M252" s="12">
        <v>2688.2635194999998</v>
      </c>
      <c r="N252" s="12">
        <v>6505.6006641666672</v>
      </c>
      <c r="O252" s="12">
        <v>8324.8582150000002</v>
      </c>
      <c r="P252" s="12">
        <v>8658.2662500000006</v>
      </c>
      <c r="Q252" s="12">
        <v>8821.8444000000018</v>
      </c>
      <c r="R252" s="12">
        <v>9093.6272833333333</v>
      </c>
      <c r="S252" s="12">
        <v>9394.4288149999993</v>
      </c>
      <c r="T252" s="12">
        <v>9481.1766724999998</v>
      </c>
      <c r="U252" s="12">
        <v>9498.9756545</v>
      </c>
      <c r="V252" s="12">
        <v>9733.9</v>
      </c>
      <c r="W252" s="12" t="s">
        <v>1057</v>
      </c>
      <c r="Y252" s="12" t="s">
        <v>1055</v>
      </c>
      <c r="Z252" s="12">
        <v>7333.5313813333332</v>
      </c>
      <c r="AA252" s="12">
        <v>7349.0663733333331</v>
      </c>
      <c r="AB252" s="12">
        <v>7368.4851133333332</v>
      </c>
      <c r="AC252" s="12">
        <v>7613.804208333333</v>
      </c>
      <c r="AD252" s="12">
        <v>7691.2916166666673</v>
      </c>
      <c r="AE252" s="12">
        <v>8073.1648916666663</v>
      </c>
      <c r="AF252" s="12">
        <v>8366.0710849999996</v>
      </c>
      <c r="AG252" s="12">
        <v>8383.6730925000011</v>
      </c>
      <c r="AH252" s="12">
        <v>8397.7546985000008</v>
      </c>
      <c r="AI252" s="12">
        <v>8530.5300000000007</v>
      </c>
      <c r="AJ252" s="12" t="s">
        <v>1058</v>
      </c>
      <c r="AK252" s="12">
        <v>8284.2194605000022</v>
      </c>
      <c r="AL252" s="12">
        <v>8306.3414358333339</v>
      </c>
      <c r="AM252" s="12">
        <v>8333.9939050000012</v>
      </c>
      <c r="AN252" s="12">
        <v>8620.3723416666653</v>
      </c>
      <c r="AO252" s="12">
        <v>8760.6594666666679</v>
      </c>
      <c r="AP252" s="12">
        <v>9121.4993083333338</v>
      </c>
      <c r="AQ252" s="12">
        <v>9340.1050633333343</v>
      </c>
      <c r="AR252" s="12">
        <v>9368.2953316666662</v>
      </c>
      <c r="AS252" s="12">
        <v>9390.8475463333325</v>
      </c>
      <c r="AT252" s="12">
        <v>9513.1200000000008</v>
      </c>
      <c r="AU252" s="12" t="s">
        <v>1058</v>
      </c>
      <c r="AW252" s="12">
        <f>IF(A252="","",MAX(0,MIN(1,(((IF(Статистика!$C$4="Параллельный режим (активная мощность)",B252,M252)+Статистика!$J$4))-Статистика!$C$10)/MAX(Статистика!$G$10-Статистика!$C$10,0.000001))))</f>
        <v>0</v>
      </c>
      <c r="AX252" s="12">
        <f>IF(A252="","",MAX(0,MAX(0,MIN(1,(((IF(Статистика!$C$4="Параллельный режим (активная мощность)",D252,O252)+Статистика!$J$4))-Статистика!$C$10)/MAX(Статистика!$G$10-Статистика!$C$10,0.000001)))-MAX(0,MIN(1,(((IF(Статистика!$C$4="Параллельный режим (активная мощность)",B252,M252)+Статистика!$J$4))-Статистика!$C$10)/MAX(Статистика!$G$10-Статистика!$C$10,0.000001)))))</f>
        <v>0.44802893444444486</v>
      </c>
      <c r="AY252" s="12">
        <f>IF(A252="","",MAX(0,MAX(0,MIN(1,(((IF(Статистика!$C$4="Параллельный режим (активная мощность)",E252,P252)+Статистика!$J$4))-Статистика!$C$10)/MAX(Статистика!$G$10-Статистика!$C$10,0.000001)))-MAX(0,MIN(1,(((IF(Статистика!$C$4="Параллельный режим (активная мощность)",D252,O252)+Статистика!$J$4))-Статистика!$C$10)/MAX(Статистика!$G$10-Статистика!$C$10,0.000001)))))</f>
        <v>9.5469726666666477E-2</v>
      </c>
      <c r="AZ252" s="12">
        <f>IF(A252="","",MAX(0,MAX(0,MIN(1,(((IF(Статистика!$C$4="Параллельный режим (активная мощность)",F252,Q252)+Статистика!$J$4))-Статистика!$C$10)/MAX(Статистика!$G$10-Статистика!$C$10,0.000001)))-MAX(0,MIN(1,(((IF(Статистика!$C$4="Параллельный режим (активная мощность)",E252,P252)+Статистика!$J$4))-Статистика!$C$10)/MAX(Статистика!$G$10-Статистика!$C$10,0.000001)))))</f>
        <v>4.8277716666666248E-2</v>
      </c>
      <c r="BA252" s="12">
        <f>IF(A252="","",MAX(0,MAX(0,MIN(1,(((IF(Статистика!$C$4="Параллельный режим (активная мощность)",G252,R252)+Статистика!$J$4))-Статистика!$C$10)/MAX(Статистика!$G$10-Статистика!$C$10,0.000001)))-MAX(0,MIN(1,(((IF(Статистика!$C$4="Параллельный режим (активная мощность)",F252,Q252)+Статистика!$J$4))-Статистика!$C$10)/MAX(Статистика!$G$10-Статистика!$C$10,0.000001)))))</f>
        <v>0.11733548333333332</v>
      </c>
      <c r="BB252" s="12">
        <f>IF(A252="","",MAX(0,MAX(0,MIN(1,(((IF(Статистика!$C$4="Параллельный режим (активная мощность)",H252,S252)+Статистика!$J$4))-Статистика!$C$10)/MAX(Статистика!$G$10-Статистика!$C$10,0.000001)))-MAX(0,MIN(1,(((IF(Статистика!$C$4="Параллельный режим (активная мощность)",G252,R252)+Статистика!$J$4))-Статистика!$C$10)/MAX(Статистика!$G$10-Статистика!$C$10,0.000001)))))</f>
        <v>6.0991671666666969E-2</v>
      </c>
      <c r="BC252" s="12">
        <f>IF(A252="","",MAX(0,MAX(0,MIN(1,(((IF(Статистика!$C$4="Параллельный режим (активная мощность)",J252,U252)+Статистика!$J$4))-Статистика!$C$10)/MAX(Статистика!$G$10-Статистика!$C$10,0.000001)))-MAX(0,MIN(1,(((IF(Статистика!$C$4="Параллельный режим (активная мощность)",H252,S252)+Статистика!$J$4))-Статистика!$C$10)/MAX(Статистика!$G$10-Статистика!$C$10,0.000001)))))</f>
        <v>2.8982020999999802E-2</v>
      </c>
      <c r="BD252" s="12">
        <f>IF(A252="","",MAX(0,1-MAX(0,MIN(1,(((IF(Статистика!$C$4="Параллельный режим (активная мощность)",J252,U252)+Статистика!$J$4))-Статистика!$C$10)/MAX(Статистика!$G$10-Статистика!$C$10,0.000001)))))</f>
        <v>0.20091444622222232</v>
      </c>
      <c r="BE252" s="12">
        <f>IF(A252="",NA(),IF(Статистика!$B$8="Вкл",(((IF(Статистика!$C$4="Параллельный режим (активная мощность)",F252,Q252)+Статистика!$J$4))-Статистика!$C$10)/MAX(Статистика!$G$10-Статистика!$C$10,0.000001),NA()))</f>
        <v>0.59177637777777758</v>
      </c>
      <c r="BF252" s="12">
        <f>IF(A252="",NA(),IF(Статистика!$D$8="Вкл",(((IF(Статистика!$C$4="Параллельный режим (активная мощность)",E252,P252)+Статистика!$J$4))-Статистика!$C$10)/MAX(Статистика!$G$10-Статистика!$C$10,0.000001),NA()))</f>
        <v>0.54349866111111134</v>
      </c>
      <c r="BG252" s="12">
        <f>IF(A252="",NA(),IF(Статистика!$D$8="Вкл",(((IF(Статистика!$C$4="Параллельный режим (активная мощность)",G252,R252)+Статистика!$J$4))-Статистика!$C$10)/MAX(Статистика!$G$10-Статистика!$C$10,0.000001),NA()))</f>
        <v>0.70911186111111091</v>
      </c>
      <c r="BH252" s="12">
        <f>IF(A252="",NA(),IF(Статистика!$F$8="Вкл",(((IF(Статистика!$C$4="Параллельный режим (активная мощность)",D252,O252)+Статистика!$J$4))-Статистика!$C$10)/MAX(Статистика!$G$10-Статистика!$C$10,0.000001),NA()))</f>
        <v>0.44802893444444486</v>
      </c>
      <c r="BI252" s="12">
        <f>IF(A252="",NA(),IF(Статистика!$F$8="Вкл",(((IF(Статистика!$C$4="Параллельный режим (активная мощность)",H252,S252)+Статистика!$J$4))-Статистика!$C$10)/MAX(Статистика!$G$10-Статистика!$C$10,0.000001),NA()))</f>
        <v>0.77010353277777788</v>
      </c>
      <c r="BJ252" s="12">
        <f>IF(A252="",NA(),IF(Статистика!$H$8="Вкл",(((IF(Статистика!$C$4="Параллельный режим (активная мощность)",B252,M252)+Статистика!$J$4))-Статистика!$C$10)/MAX(Статистика!$G$10-Статистика!$C$10,0.000001),NA()))</f>
        <v>-1.2644738805555555</v>
      </c>
      <c r="BK252" s="12">
        <f>IF(A252="",NA(),IF(Статистика!$H$8="Вкл",(((IF(Статистика!$C$4="Параллельный режим (активная мощность)",J252,U252)+Статистика!$J$4))-Статистика!$C$10)/MAX(Статистика!$G$10-Статистика!$C$10,0.000001),NA()))</f>
        <v>0.79908555377777768</v>
      </c>
      <c r="BL252" s="12" t="e">
        <f>IF(A252="",NA(),IF(Статистика!$J$8="Вкл",(((IF(Статистика!$C$4="Параллельный режим (активная мощность)",K252,V252)+Статистика!$J$4))-Статистика!$C$10)/MAX(Статистика!$G$10-Статистика!$C$10,0.000001),NA()))</f>
        <v>#N/A</v>
      </c>
      <c r="BM252" s="12" t="e">
        <f>IF(AND(A252&lt;&gt;"",Статистика!$C$6="Вкл",Статистика!$B$6&gt;0),(Статистика!$B$6-Статистика!$C$10)/MAX(Статистика!$G$10-Статистика!$C$10,0.000001),NA())</f>
        <v>#N/A</v>
      </c>
      <c r="BN252" s="12" t="e">
        <f>IF(AND(A252&lt;&gt;"",Статистика!$F$6="Вкл",Статистика!$E$6&gt;0),(Статистика!$E$6-Статистика!$C$10)/MAX(Статистика!$G$10-Статистика!$C$10,0.000001),NA())</f>
        <v>#N/A</v>
      </c>
      <c r="BO252" s="12" t="e">
        <f>IF(AND(A252&lt;&gt;"",Статистика!$I$6="Вкл",Статистика!$H$6&gt;0),(Статистика!$H$6-Статистика!$C$10)/MAX(Статистика!$G$10-Статистика!$C$10,0.000001),NA())</f>
        <v>#N/A</v>
      </c>
      <c r="BP252" s="12" t="e">
        <f>IF(AND(A252&lt;&gt;"",Статистика!$L$6="Вкл",Статистика!$K$6&gt;0),(Статистика!$K$6-Статистика!$C$10)/MAX(Статистика!$G$10-Статистика!$C$10,0.000001),NA())</f>
        <v>#N/A</v>
      </c>
      <c r="BQ252" s="12" t="e">
        <f>IF(AND(A252&lt;&gt;"",Статистика!$M$6="Вкл",Статистика!$O$6&gt;0),(Статистика!$O$6-Статистика!$C$10)/MAX(Статистика!$G$10-Статистика!$C$10,0.000001),NA())</f>
        <v>#N/A</v>
      </c>
      <c r="BR252" s="12">
        <f t="shared" si="6"/>
        <v>1</v>
      </c>
      <c r="BT252" s="12">
        <f>IF(Y252="","",MAX(0,MIN(1,(((IF(Статистика!$C$4="Параллельный режим (активная мощность)",Z252,AK252)+Статистика!$J$4))-Статистика!$C$10)/MAX(Статистика!$G$10-Статистика!$C$10,0.000001))))</f>
        <v>0.44451046044444442</v>
      </c>
      <c r="BU252" s="12">
        <f>IF(Y252="","",MAX(0,MAX(0,MIN(1,(((IF(Статистика!$C$4="Параллельный режим (активная мощность)",AB252,AM252)+Статистика!$J$4))-Статистика!$C$10)/MAX(Статистика!$G$10-Статистика!$C$10,0.000001)))-MAX(0,MIN(1,(((IF(Статистика!$C$4="Параллельный режим (активная мощность)",Z252,AK252)+Статистика!$J$4))-Статистика!$C$10)/MAX(Статистика!$G$10-Статистика!$C$10,0.000001)))))</f>
        <v>1.165124399999995E-2</v>
      </c>
      <c r="BV252" s="12">
        <f>IF(Y252="","",MAX(0,MAX(0,MIN(1,(((IF(Статистика!$C$4="Параллельный режим (активная мощность)",AC252,AN252)+Статистика!$J$4))-Статистика!$C$10)/MAX(Статистика!$G$10-Статистика!$C$10,0.000001)))-MAX(0,MIN(1,(((IF(Статистика!$C$4="Параллельный режим (активная мощность)",AB252,AM252)+Статистика!$J$4))-Статистика!$C$10)/MAX(Статистика!$G$10-Статистика!$C$10,0.000001)))))</f>
        <v>8.1773031666666607E-2</v>
      </c>
      <c r="BW252" s="12">
        <f>IF(Y252="","",MAX(0,MAX(0,MIN(1,(((IF(Статистика!$C$4="Параллельный режим (активная мощность)",AD252,AO252)+Статистика!$J$4))-Статистика!$C$10)/MAX(Статистика!$G$10-Статистика!$C$10,0.000001)))-MAX(0,MIN(1,(((IF(Статистика!$C$4="Параллельный режим (активная мощность)",AC252,AN252)+Статистика!$J$4))-Статистика!$C$10)/MAX(Статистика!$G$10-Статистика!$C$10,0.000001)))))</f>
        <v>2.5829136111111484E-2</v>
      </c>
      <c r="BX252" s="12">
        <f>IF(Y252="","",MAX(0,MAX(0,MIN(1,(((IF(Статистика!$C$4="Параллельный режим (активная мощность)",AE252,AP252)+Статистика!$J$4))-Статистика!$C$10)/MAX(Статистика!$G$10-Статистика!$C$10,0.000001)))-MAX(0,MIN(1,(((IF(Статистика!$C$4="Параллельный режим (активная мощность)",AD252,AO252)+Статистика!$J$4))-Статистика!$C$10)/MAX(Статистика!$G$10-Статистика!$C$10,0.000001)))))</f>
        <v>0.1272910916666663</v>
      </c>
      <c r="BY252" s="12">
        <f>IF(Y252="","",MAX(0,MAX(0,MIN(1,(((IF(Статистика!$C$4="Параллельный режим (активная мощность)",AF252,AQ252)+Статистика!$J$4))-Статистика!$C$10)/MAX(Статистика!$G$10-Статистика!$C$10,0.000001)))-MAX(0,MIN(1,(((IF(Статистика!$C$4="Параллельный режим (активная мощность)",AE252,AP252)+Статистика!$J$4))-Статистика!$C$10)/MAX(Статистика!$G$10-Статистика!$C$10,0.000001)))))</f>
        <v>9.7635397777777744E-2</v>
      </c>
      <c r="BZ252" s="12">
        <f>IF(Y252="","",MAX(0,MAX(0,MIN(1,(((IF(Статистика!$C$4="Параллельный режим (активная мощность)",AH252,AS252)+Статистика!$J$4))-Статистика!$C$10)/MAX(Статистика!$G$10-Статистика!$C$10,0.000001)))-MAX(0,MIN(1,(((IF(Статистика!$C$4="Параллельный режим (активная мощность)",AF252,AQ252)+Статистика!$J$4))-Статистика!$C$10)/MAX(Статистика!$G$10-Статистика!$C$10,0.000001)))))</f>
        <v>1.0561204500000421E-2</v>
      </c>
      <c r="CA252" s="12">
        <f>IF(Y252="","",MAX(0,1-MAX(0,MIN(1,(((IF(Статистика!$C$4="Параллельный режим (активная мощность)",AH252,AS252)+Статистика!$J$4))-Статистика!$C$10)/MAX(Статистика!$G$10-Статистика!$C$10,0.000001)))))</f>
        <v>0.20074843383333307</v>
      </c>
      <c r="CB252" s="12">
        <f>IF(Y252="",NA(),IF(Статистика!$B$8="Вкл",(((IF(Статистика!$C$4="Параллельный режим (активная мощность)",AD252,AO252)+Статистика!$J$4))-Статистика!$C$10)/MAX(Статистика!$G$10-Статистика!$C$10,0.000001),NA()))</f>
        <v>0.56376387222222246</v>
      </c>
      <c r="CC252" s="12">
        <f>IF(Y252="",NA(),IF(Статистика!$D$8="Вкл",(((IF(Статистика!$C$4="Параллельный режим (активная мощность)",AC252,AN252)+Статистика!$J$4))-Статистика!$C$10)/MAX(Статистика!$G$10-Статистика!$C$10,0.000001),NA()))</f>
        <v>0.53793473611111098</v>
      </c>
      <c r="CD252" s="12">
        <f>IF(Y252="",NA(),IF(Статистика!$D$8="Вкл",(((IF(Статистика!$C$4="Параллельный режим (активная мощность)",AE252,AP252)+Статистика!$J$4))-Статистика!$C$10)/MAX(Статистика!$G$10-Статистика!$C$10,0.000001),NA()))</f>
        <v>0.69105496388888876</v>
      </c>
      <c r="CE252" s="12">
        <f>IF(Y252="",NA(),IF(Статистика!$F$8="Вкл",(((IF(Статистика!$C$4="Параллельный режим (активная мощность)",AB252,AM252)+Статистика!$J$4))-Статистика!$C$10)/MAX(Статистика!$G$10-Статистика!$C$10,0.000001),NA()))</f>
        <v>0.45616170444444437</v>
      </c>
      <c r="CF252" s="12">
        <f>IF(Y252="",NA(),IF(Статистика!$F$8="Вкл",(((IF(Статистика!$C$4="Параллельный режим (активная мощность)",AF252,AQ252)+Статистика!$J$4))-Статистика!$C$10)/MAX(Статистика!$G$10-Статистика!$C$10,0.000001),NA()))</f>
        <v>0.78869036166666651</v>
      </c>
      <c r="CG252" s="12">
        <f>IF(Y252="",NA(),IF(Статистика!$H$8="Вкл",(((IF(Статистика!$C$4="Параллельный режим (активная мощность)",Z252,AK252)+Статистика!$J$4))-Статистика!$C$10)/MAX(Статистика!$G$10-Статистика!$C$10,0.000001),NA()))</f>
        <v>0.44451046044444442</v>
      </c>
      <c r="CH252" s="12">
        <f>IF(Y252="",NA(),IF(Статистика!$H$8="Вкл",(((IF(Статистика!$C$4="Параллельный режим (активная мощность)",AH252,AS252)+Статистика!$J$4))-Статистика!$C$10)/MAX(Статистика!$G$10-Статистика!$C$10,0.000001),NA()))</f>
        <v>0.79925156616666693</v>
      </c>
      <c r="CI252" s="12" t="e">
        <f>IF(Y252="",NA(),IF(Статистика!$J$8="Вкл",(((IF(Статистика!$C$4="Параллельный режим (активная мощность)",AI252,AT252)+Статистика!$J$4))-Статистика!$C$10)/MAX(Статистика!$G$10-Статистика!$C$10,0.000001),NA()))</f>
        <v>#N/A</v>
      </c>
      <c r="CJ252" s="12" t="e">
        <f>IF(AND(Y252&lt;&gt;"",Статистика!$C$6="Вкл",Статистика!$B$6&gt;0),(Статистика!$B$6-Статистика!$C$10)/MAX(Статистика!$G$10-Статистика!$C$10,0.000001),NA())</f>
        <v>#N/A</v>
      </c>
      <c r="CK252" s="12" t="e">
        <f>IF(AND(Y252&lt;&gt;"",Статистика!$F$6="Вкл",Статистика!$E$6&gt;0),(Статистика!$E$6-Статистика!$C$10)/MAX(Статистика!$G$10-Статистика!$C$10,0.000001),NA())</f>
        <v>#N/A</v>
      </c>
      <c r="CL252" s="12" t="e">
        <f>IF(AND(Y252&lt;&gt;"",Статистика!$I$6="Вкл",Статистика!$H$6&gt;0),(Статистика!$H$6-Статистика!$C$10)/MAX(Статистика!$G$10-Статистика!$C$10,0.000001),NA())</f>
        <v>#N/A</v>
      </c>
      <c r="CM252" s="12" t="e">
        <f>IF(AND(Y252&lt;&gt;"",Статистика!$L$6="Вкл",Статистика!$K$6&gt;0),(Статистика!$K$6-Статистика!$C$10)/MAX(Статистика!$G$10-Статистика!$C$10,0.000001),NA())</f>
        <v>#N/A</v>
      </c>
      <c r="CN252" s="12" t="e">
        <f>IF(AND(Y252&lt;&gt;"",Статистика!$M$6="Вкл",Статистика!$O$6&gt;0),(Статистика!$O$6-Статистика!$C$10)/MAX(Статистика!$G$10-Статистика!$C$10,0.000001),NA())</f>
        <v>#N/A</v>
      </c>
      <c r="CO252" s="12">
        <f t="shared" si="7"/>
        <v>1</v>
      </c>
    </row>
    <row r="253" spans="1:93" ht="15" customHeight="1">
      <c r="A253" s="12" t="s">
        <v>1059</v>
      </c>
      <c r="B253" s="12">
        <v>2207.9308215000001</v>
      </c>
      <c r="C253" s="12">
        <v>5670.122907500001</v>
      </c>
      <c r="D253" s="12">
        <v>7316.2192050000003</v>
      </c>
      <c r="E253" s="12">
        <v>7598.1609166666676</v>
      </c>
      <c r="F253" s="12">
        <v>7736.7119666666667</v>
      </c>
      <c r="G253" s="12">
        <v>8104.3226166666664</v>
      </c>
      <c r="H253" s="12">
        <v>8288.7761916666659</v>
      </c>
      <c r="I253" s="12">
        <v>8310.2595849999998</v>
      </c>
      <c r="J253" s="12">
        <v>8344.9621836666665</v>
      </c>
      <c r="K253" s="12">
        <v>8730.6</v>
      </c>
      <c r="L253" s="12" t="s">
        <v>1060</v>
      </c>
      <c r="M253" s="12">
        <v>2696.4774761666667</v>
      </c>
      <c r="N253" s="12">
        <v>6506.4420475000006</v>
      </c>
      <c r="O253" s="12">
        <v>8339.7346616666673</v>
      </c>
      <c r="P253" s="12">
        <v>8611.9634000000005</v>
      </c>
      <c r="Q253" s="12">
        <v>8781.7896999999994</v>
      </c>
      <c r="R253" s="12">
        <v>9085.2095250000002</v>
      </c>
      <c r="S253" s="12">
        <v>9350.9724416666668</v>
      </c>
      <c r="T253" s="12">
        <v>9427.4172166666667</v>
      </c>
      <c r="U253" s="12">
        <v>9481.0567766666663</v>
      </c>
      <c r="V253" s="12">
        <v>9940.35</v>
      </c>
      <c r="W253" s="12" t="s">
        <v>1060</v>
      </c>
      <c r="Y253" s="12" t="s">
        <v>1059</v>
      </c>
      <c r="Z253" s="12">
        <v>7374.2633840000008</v>
      </c>
      <c r="AA253" s="12">
        <v>7378.0625200000004</v>
      </c>
      <c r="AB253" s="12">
        <v>7382.8114399999995</v>
      </c>
      <c r="AC253" s="12">
        <v>7568.9738500000003</v>
      </c>
      <c r="AD253" s="12">
        <v>7661.4856666666665</v>
      </c>
      <c r="AE253" s="12">
        <v>8061.0184750000008</v>
      </c>
      <c r="AF253" s="12">
        <v>8374.6256200000007</v>
      </c>
      <c r="AG253" s="12">
        <v>8390.4968599999993</v>
      </c>
      <c r="AH253" s="12">
        <v>8403.1938520000003</v>
      </c>
      <c r="AI253" s="12">
        <v>8513.75</v>
      </c>
      <c r="AJ253" s="12" t="s">
        <v>1061</v>
      </c>
      <c r="AK253" s="12">
        <v>8323.5343841666672</v>
      </c>
      <c r="AL253" s="12">
        <v>8337.8355208333342</v>
      </c>
      <c r="AM253" s="12">
        <v>8355.7119416666665</v>
      </c>
      <c r="AN253" s="12">
        <v>8568.7215416666659</v>
      </c>
      <c r="AO253" s="12">
        <v>8737.2725333333346</v>
      </c>
      <c r="AP253" s="12">
        <v>9096.3201916666676</v>
      </c>
      <c r="AQ253" s="12">
        <v>9358.6269516666671</v>
      </c>
      <c r="AR253" s="12">
        <v>9375.7517425000005</v>
      </c>
      <c r="AS253" s="12">
        <v>9389.4515751666677</v>
      </c>
      <c r="AT253" s="12">
        <v>9504.25</v>
      </c>
      <c r="AU253" s="12" t="s">
        <v>1062</v>
      </c>
      <c r="AW253" s="12">
        <f>IF(A253="","",MAX(0,MIN(1,(((IF(Статистика!$C$4="Параллельный режим (активная мощность)",B253,M253)+Статистика!$J$4))-Статистика!$C$10)/MAX(Статистика!$G$10-Статистика!$C$10,0.000001))))</f>
        <v>0</v>
      </c>
      <c r="AX253" s="12">
        <f>IF(A253="","",MAX(0,MAX(0,MIN(1,(((IF(Статистика!$C$4="Параллельный режим (активная мощность)",D253,O253)+Статистика!$J$4))-Статистика!$C$10)/MAX(Статистика!$G$10-Статистика!$C$10,0.000001)))-MAX(0,MIN(1,(((IF(Статистика!$C$4="Параллельный режим (активная мощность)",B253,M253)+Статистика!$J$4))-Статистика!$C$10)/MAX(Статистика!$G$10-Статистика!$C$10,0.000001)))))</f>
        <v>0.43873973500000013</v>
      </c>
      <c r="AY253" s="12">
        <f>IF(A253="","",MAX(0,MAX(0,MIN(1,(((IF(Статистика!$C$4="Параллельный режим (активная мощность)",E253,P253)+Статистика!$J$4))-Статистика!$C$10)/MAX(Статистика!$G$10-Статистика!$C$10,0.000001)))-MAX(0,MIN(1,(((IF(Статистика!$C$4="Параллельный режим (активная мощность)",D253,O253)+Статистика!$J$4))-Статистика!$C$10)/MAX(Статистика!$G$10-Статистика!$C$10,0.000001)))))</f>
        <v>9.3980570555555698E-2</v>
      </c>
      <c r="AZ253" s="12">
        <f>IF(A253="","",MAX(0,MAX(0,MIN(1,(((IF(Статистика!$C$4="Параллельный режим (активная мощность)",F253,Q253)+Статистика!$J$4))-Статистика!$C$10)/MAX(Статистика!$G$10-Статистика!$C$10,0.000001)))-MAX(0,MIN(1,(((IF(Статистика!$C$4="Параллельный режим (активная мощность)",E253,P253)+Статистика!$J$4))-Статистика!$C$10)/MAX(Статистика!$G$10-Статистика!$C$10,0.000001)))))</f>
        <v>4.6183683333333114E-2</v>
      </c>
      <c r="BA253" s="12">
        <f>IF(A253="","",MAX(0,MAX(0,MIN(1,(((IF(Статистика!$C$4="Параллельный режим (активная мощность)",G253,R253)+Статистика!$J$4))-Статистика!$C$10)/MAX(Статистика!$G$10-Статистика!$C$10,0.000001)))-MAX(0,MIN(1,(((IF(Статистика!$C$4="Параллельный режим (активная мощность)",F253,Q253)+Статистика!$J$4))-Статистика!$C$10)/MAX(Статистика!$G$10-Статистика!$C$10,0.000001)))))</f>
        <v>0.12253688333333312</v>
      </c>
      <c r="BB253" s="12">
        <f>IF(A253="","",MAX(0,MAX(0,MIN(1,(((IF(Статистика!$C$4="Параллельный режим (активная мощность)",H253,S253)+Статистика!$J$4))-Статистика!$C$10)/MAX(Статистика!$G$10-Статистика!$C$10,0.000001)))-MAX(0,MIN(1,(((IF(Статистика!$C$4="Параллельный режим (активная мощность)",G253,R253)+Статистика!$J$4))-Статистика!$C$10)/MAX(Статистика!$G$10-Статистика!$C$10,0.000001)))))</f>
        <v>6.1484524999999901E-2</v>
      </c>
      <c r="BC253" s="12">
        <f>IF(A253="","",MAX(0,MAX(0,MIN(1,(((IF(Статистика!$C$4="Параллельный режим (активная мощность)",J253,U253)+Статистика!$J$4))-Статистика!$C$10)/MAX(Статистика!$G$10-Статистика!$C$10,0.000001)))-MAX(0,MIN(1,(((IF(Статистика!$C$4="Параллельный режим (активная мощность)",H253,S253)+Статистика!$J$4))-Статистика!$C$10)/MAX(Статистика!$G$10-Статистика!$C$10,0.000001)))))</f>
        <v>1.8728664000000173E-2</v>
      </c>
      <c r="BD253" s="12">
        <f>IF(A253="","",MAX(0,1-MAX(0,MIN(1,(((IF(Статистика!$C$4="Параллельный режим (активная мощность)",J253,U253)+Статистика!$J$4))-Статистика!$C$10)/MAX(Статистика!$G$10-Статистика!$C$10,0.000001)))))</f>
        <v>0.21834593877777786</v>
      </c>
      <c r="BE253" s="12">
        <f>IF(A253="",NA(),IF(Статистика!$B$8="Вкл",(((IF(Статистика!$C$4="Параллельный режим (активная мощность)",F253,Q253)+Статистика!$J$4))-Статистика!$C$10)/MAX(Статистика!$G$10-Статистика!$C$10,0.000001),NA()))</f>
        <v>0.57890398888888894</v>
      </c>
      <c r="BF253" s="12">
        <f>IF(A253="",NA(),IF(Статистика!$D$8="Вкл",(((IF(Статистика!$C$4="Параллельный режим (активная мощность)",E253,P253)+Статистика!$J$4))-Статистика!$C$10)/MAX(Статистика!$G$10-Статистика!$C$10,0.000001),NA()))</f>
        <v>0.53272030555555583</v>
      </c>
      <c r="BG253" s="12">
        <f>IF(A253="",NA(),IF(Статистика!$D$8="Вкл",(((IF(Статистика!$C$4="Параллельный режим (активная мощность)",G253,R253)+Статистика!$J$4))-Статистика!$C$10)/MAX(Статистика!$G$10-Статистика!$C$10,0.000001),NA()))</f>
        <v>0.70144087222222207</v>
      </c>
      <c r="BH253" s="12">
        <f>IF(A253="",NA(),IF(Статистика!$F$8="Вкл",(((IF(Статистика!$C$4="Параллельный режим (активная мощность)",D253,O253)+Статистика!$J$4))-Статистика!$C$10)/MAX(Статистика!$G$10-Статистика!$C$10,0.000001),NA()))</f>
        <v>0.43873973500000013</v>
      </c>
      <c r="BI253" s="12">
        <f>IF(A253="",NA(),IF(Статистика!$F$8="Вкл",(((IF(Статистика!$C$4="Параллельный режим (активная мощность)",H253,S253)+Статистика!$J$4))-Статистика!$C$10)/MAX(Статистика!$G$10-Статистика!$C$10,0.000001),NA()))</f>
        <v>0.76292539722222197</v>
      </c>
      <c r="BJ253" s="12">
        <f>IF(A253="",NA(),IF(Статистика!$H$8="Вкл",(((IF(Статистика!$C$4="Параллельный режим (активная мощность)",B253,M253)+Статистика!$J$4))-Статистика!$C$10)/MAX(Статистика!$G$10-Статистика!$C$10,0.000001),NA()))</f>
        <v>-1.2640230594999999</v>
      </c>
      <c r="BK253" s="12">
        <f>IF(A253="",NA(),IF(Статистика!$H$8="Вкл",(((IF(Статистика!$C$4="Параллельный режим (активная мощность)",J253,U253)+Статистика!$J$4))-Статистика!$C$10)/MAX(Статистика!$G$10-Статистика!$C$10,0.000001),NA()))</f>
        <v>0.78165406122222214</v>
      </c>
      <c r="BL253" s="12" t="e">
        <f>IF(A253="",NA(),IF(Статистика!$J$8="Вкл",(((IF(Статистика!$C$4="Параллельный режим (активная мощность)",K253,V253)+Статистика!$J$4))-Статистика!$C$10)/MAX(Статистика!$G$10-Статистика!$C$10,0.000001),NA()))</f>
        <v>#N/A</v>
      </c>
      <c r="BM253" s="12" t="e">
        <f>IF(AND(A253&lt;&gt;"",Статистика!$C$6="Вкл",Статистика!$B$6&gt;0),(Статистика!$B$6-Статистика!$C$10)/MAX(Статистика!$G$10-Статистика!$C$10,0.000001),NA())</f>
        <v>#N/A</v>
      </c>
      <c r="BN253" s="12" t="e">
        <f>IF(AND(A253&lt;&gt;"",Статистика!$F$6="Вкл",Статистика!$E$6&gt;0),(Статистика!$E$6-Статистика!$C$10)/MAX(Статистика!$G$10-Статистика!$C$10,0.000001),NA())</f>
        <v>#N/A</v>
      </c>
      <c r="BO253" s="12" t="e">
        <f>IF(AND(A253&lt;&gt;"",Статистика!$I$6="Вкл",Статистика!$H$6&gt;0),(Статистика!$H$6-Статистика!$C$10)/MAX(Статистика!$G$10-Статистика!$C$10,0.000001),NA())</f>
        <v>#N/A</v>
      </c>
      <c r="BP253" s="12" t="e">
        <f>IF(AND(A253&lt;&gt;"",Статистика!$L$6="Вкл",Статистика!$K$6&gt;0),(Статистика!$K$6-Статистика!$C$10)/MAX(Статистика!$G$10-Статистика!$C$10,0.000001),NA())</f>
        <v>#N/A</v>
      </c>
      <c r="BQ253" s="12" t="e">
        <f>IF(AND(A253&lt;&gt;"",Статистика!$M$6="Вкл",Статистика!$O$6&gt;0),(Статистика!$O$6-Статистика!$C$10)/MAX(Статистика!$G$10-Статистика!$C$10,0.000001),NA())</f>
        <v>#N/A</v>
      </c>
      <c r="BR253" s="12">
        <f t="shared" si="6"/>
        <v>1</v>
      </c>
      <c r="BT253" s="12">
        <f>IF(Y253="","",MAX(0,MIN(1,(((IF(Статистика!$C$4="Параллельный режим (активная мощность)",Z253,AK253)+Статистика!$J$4))-Статистика!$C$10)/MAX(Статистика!$G$10-Статистика!$C$10,0.000001))))</f>
        <v>0.45808779466666694</v>
      </c>
      <c r="BU253" s="12">
        <f>IF(Y253="","",MAX(0,MAX(0,MIN(1,(((IF(Статистика!$C$4="Параллельный режим (активная мощность)",AB253,AM253)+Статистика!$J$4))-Статистика!$C$10)/MAX(Статистика!$G$10-Статистика!$C$10,0.000001)))-MAX(0,MIN(1,(((IF(Статистика!$C$4="Параллельный режим (активная мощность)",Z253,AK253)+Статистика!$J$4))-Статистика!$C$10)/MAX(Статистика!$G$10-Статистика!$C$10,0.000001)))))</f>
        <v>2.8493519999995831E-3</v>
      </c>
      <c r="BV253" s="12">
        <f>IF(Y253="","",MAX(0,MAX(0,MIN(1,(((IF(Статистика!$C$4="Параллельный режим (активная мощность)",AC253,AN253)+Статистика!$J$4))-Статистика!$C$10)/MAX(Статистика!$G$10-Статистика!$C$10,0.000001)))-MAX(0,MIN(1,(((IF(Статистика!$C$4="Параллельный режим (активная мощность)",AB253,AM253)+Статистика!$J$4))-Статистика!$C$10)/MAX(Статистика!$G$10-Статистика!$C$10,0.000001)))))</f>
        <v>6.2054136666666926E-2</v>
      </c>
      <c r="BW253" s="12">
        <f>IF(Y253="","",MAX(0,MAX(0,MIN(1,(((IF(Статистика!$C$4="Параллельный режим (активная мощность)",AD253,AO253)+Статистика!$J$4))-Статистика!$C$10)/MAX(Статистика!$G$10-Статистика!$C$10,0.000001)))-MAX(0,MIN(1,(((IF(Статистика!$C$4="Параллельный режим (активная мощность)",AC253,AN253)+Статистика!$J$4))-Статистика!$C$10)/MAX(Статистика!$G$10-Статистика!$C$10,0.000001)))))</f>
        <v>3.0837272222222101E-2</v>
      </c>
      <c r="BX253" s="12">
        <f>IF(Y253="","",MAX(0,MAX(0,MIN(1,(((IF(Статистика!$C$4="Параллельный режим (активная мощность)",AE253,AP253)+Статистика!$J$4))-Статистика!$C$10)/MAX(Статистика!$G$10-Статистика!$C$10,0.000001)))-MAX(0,MIN(1,(((IF(Статистика!$C$4="Параллельный режим (активная мощность)",AD253,AO253)+Статистика!$J$4))-Статистика!$C$10)/MAX(Статистика!$G$10-Статистика!$C$10,0.000001)))))</f>
        <v>0.13317760277777801</v>
      </c>
      <c r="BY253" s="12">
        <f>IF(Y253="","",MAX(0,MAX(0,MIN(1,(((IF(Статистика!$C$4="Параллельный режим (активная мощность)",AF253,AQ253)+Статистика!$J$4))-Статистика!$C$10)/MAX(Статистика!$G$10-Статистика!$C$10,0.000001)))-MAX(0,MIN(1,(((IF(Статистика!$C$4="Параллельный режим (активная мощность)",AE253,AP253)+Статистика!$J$4))-Статистика!$C$10)/MAX(Статистика!$G$10-Статистика!$C$10,0.000001)))))</f>
        <v>0.10453571500000003</v>
      </c>
      <c r="BZ253" s="12">
        <f>IF(Y253="","",MAX(0,MAX(0,MIN(1,(((IF(Статистика!$C$4="Параллельный режим (активная мощность)",AH253,AS253)+Статистика!$J$4))-Статистика!$C$10)/MAX(Статистика!$G$10-Статистика!$C$10,0.000001)))-MAX(0,MIN(1,(((IF(Статистика!$C$4="Параллельный режим (активная мощность)",AF253,AQ253)+Статистика!$J$4))-Статистика!$C$10)/MAX(Статистика!$G$10-Статистика!$C$10,0.000001)))))</f>
        <v>9.5227439999998609E-3</v>
      </c>
      <c r="CA253" s="12">
        <f>IF(Y253="","",MAX(0,1-MAX(0,MIN(1,(((IF(Статистика!$C$4="Параллельный режим (активная мощность)",AH253,AS253)+Статистика!$J$4))-Статистика!$C$10)/MAX(Статистика!$G$10-Статистика!$C$10,0.000001)))))</f>
        <v>0.19893538266666655</v>
      </c>
      <c r="CB253" s="12">
        <f>IF(Y253="",NA(),IF(Статистика!$B$8="Вкл",(((IF(Статистика!$C$4="Параллельный режим (активная мощность)",AD253,AO253)+Статистика!$J$4))-Статистика!$C$10)/MAX(Статистика!$G$10-Статистика!$C$10,0.000001),NA()))</f>
        <v>0.55382855555555555</v>
      </c>
      <c r="CC253" s="12">
        <f>IF(Y253="",NA(),IF(Статистика!$D$8="Вкл",(((IF(Статистика!$C$4="Параллельный режим (активная мощность)",AC253,AN253)+Статистика!$J$4))-Статистика!$C$10)/MAX(Статистика!$G$10-Статистика!$C$10,0.000001),NA()))</f>
        <v>0.52299128333333345</v>
      </c>
      <c r="CD253" s="12">
        <f>IF(Y253="",NA(),IF(Статистика!$D$8="Вкл",(((IF(Статистика!$C$4="Параллельный режим (активная мощность)",AE253,AP253)+Статистика!$J$4))-Статистика!$C$10)/MAX(Статистика!$G$10-Статистика!$C$10,0.000001),NA()))</f>
        <v>0.68700615833333356</v>
      </c>
      <c r="CE253" s="12">
        <f>IF(Y253="",NA(),IF(Статистика!$F$8="Вкл",(((IF(Статистика!$C$4="Параллельный режим (активная мощность)",AB253,AM253)+Статистика!$J$4))-Статистика!$C$10)/MAX(Статистика!$G$10-Статистика!$C$10,0.000001),NA()))</f>
        <v>0.46093714666666652</v>
      </c>
      <c r="CF253" s="12">
        <f>IF(Y253="",NA(),IF(Статистика!$F$8="Вкл",(((IF(Статистика!$C$4="Параллельный режим (активная мощность)",AF253,AQ253)+Статистика!$J$4))-Статистика!$C$10)/MAX(Статистика!$G$10-Статистика!$C$10,0.000001),NA()))</f>
        <v>0.79154187333333359</v>
      </c>
      <c r="CG253" s="12">
        <f>IF(Y253="",NA(),IF(Статистика!$H$8="Вкл",(((IF(Статистика!$C$4="Параллельный режим (активная мощность)",Z253,AK253)+Статистика!$J$4))-Статистика!$C$10)/MAX(Статистика!$G$10-Статистика!$C$10,0.000001),NA()))</f>
        <v>0.45808779466666694</v>
      </c>
      <c r="CH253" s="12">
        <f>IF(Y253="",NA(),IF(Статистика!$H$8="Вкл",(((IF(Статистика!$C$4="Параллельный режим (активная мощность)",AH253,AS253)+Статистика!$J$4))-Статистика!$C$10)/MAX(Статистика!$G$10-Статистика!$C$10,0.000001),NA()))</f>
        <v>0.80106461733333345</v>
      </c>
      <c r="CI253" s="12" t="e">
        <f>IF(Y253="",NA(),IF(Статистика!$J$8="Вкл",(((IF(Статистика!$C$4="Параллельный режим (активная мощность)",AI253,AT253)+Статистика!$J$4))-Статистика!$C$10)/MAX(Статистика!$G$10-Статистика!$C$10,0.000001),NA()))</f>
        <v>#N/A</v>
      </c>
      <c r="CJ253" s="12" t="e">
        <f>IF(AND(Y253&lt;&gt;"",Статистика!$C$6="Вкл",Статистика!$B$6&gt;0),(Статистика!$B$6-Статистика!$C$10)/MAX(Статистика!$G$10-Статистика!$C$10,0.000001),NA())</f>
        <v>#N/A</v>
      </c>
      <c r="CK253" s="12" t="e">
        <f>IF(AND(Y253&lt;&gt;"",Статистика!$F$6="Вкл",Статистика!$E$6&gt;0),(Статистика!$E$6-Статистика!$C$10)/MAX(Статистика!$G$10-Статистика!$C$10,0.000001),NA())</f>
        <v>#N/A</v>
      </c>
      <c r="CL253" s="12" t="e">
        <f>IF(AND(Y253&lt;&gt;"",Статистика!$I$6="Вкл",Статистика!$H$6&gt;0),(Статистика!$H$6-Статистика!$C$10)/MAX(Статистика!$G$10-Статистика!$C$10,0.000001),NA())</f>
        <v>#N/A</v>
      </c>
      <c r="CM253" s="12" t="e">
        <f>IF(AND(Y253&lt;&gt;"",Статистика!$L$6="Вкл",Статистика!$K$6&gt;0),(Статистика!$K$6-Статистика!$C$10)/MAX(Статистика!$G$10-Статистика!$C$10,0.000001),NA())</f>
        <v>#N/A</v>
      </c>
      <c r="CN253" s="12" t="e">
        <f>IF(AND(Y253&lt;&gt;"",Статистика!$M$6="Вкл",Статистика!$O$6&gt;0),(Статистика!$O$6-Статистика!$C$10)/MAX(Статистика!$G$10-Статистика!$C$10,0.000001),NA())</f>
        <v>#N/A</v>
      </c>
      <c r="CO253" s="12">
        <f t="shared" si="7"/>
        <v>1</v>
      </c>
    </row>
    <row r="254" spans="1:93" ht="15" customHeight="1">
      <c r="A254" s="12" t="s">
        <v>1063</v>
      </c>
      <c r="B254" s="12">
        <v>2179.0110968333333</v>
      </c>
      <c r="C254" s="12">
        <v>5577.9017508333336</v>
      </c>
      <c r="D254" s="12">
        <v>7216.8258233333327</v>
      </c>
      <c r="E254" s="12">
        <v>7590.7288083333333</v>
      </c>
      <c r="F254" s="12">
        <v>7769.8361999999988</v>
      </c>
      <c r="G254" s="12">
        <v>8091.3023666666668</v>
      </c>
      <c r="H254" s="12">
        <v>8308.5738783333327</v>
      </c>
      <c r="I254" s="12">
        <v>8354.4931733333324</v>
      </c>
      <c r="J254" s="12">
        <v>8382.9883413333337</v>
      </c>
      <c r="K254" s="12">
        <v>8599.74</v>
      </c>
      <c r="L254" s="12" t="s">
        <v>1064</v>
      </c>
      <c r="M254" s="12">
        <v>2666.0251153333338</v>
      </c>
      <c r="N254" s="12">
        <v>6378.1246433333336</v>
      </c>
      <c r="O254" s="12">
        <v>8232.014893333333</v>
      </c>
      <c r="P254" s="12">
        <v>8606.514224999999</v>
      </c>
      <c r="Q254" s="12">
        <v>8832.384133333333</v>
      </c>
      <c r="R254" s="12">
        <v>9112.4467999999997</v>
      </c>
      <c r="S254" s="12">
        <v>9364.876056666666</v>
      </c>
      <c r="T254" s="12">
        <v>9436.2327074999994</v>
      </c>
      <c r="U254" s="12">
        <v>9520.9370481666665</v>
      </c>
      <c r="V254" s="12">
        <v>9747.2099999999991</v>
      </c>
      <c r="W254" s="12" t="s">
        <v>1065</v>
      </c>
      <c r="Y254" s="12" t="s">
        <v>1063</v>
      </c>
      <c r="Z254" s="12">
        <v>7361.5397603333322</v>
      </c>
      <c r="AA254" s="12">
        <v>7383.7358683333323</v>
      </c>
      <c r="AB254" s="12">
        <v>7411.4810033333324</v>
      </c>
      <c r="AC254" s="12">
        <v>7582.5107166666658</v>
      </c>
      <c r="AD254" s="12">
        <v>7670.1051833333331</v>
      </c>
      <c r="AE254" s="12">
        <v>8052.4878916666667</v>
      </c>
      <c r="AF254" s="12">
        <v>8337.9461783333336</v>
      </c>
      <c r="AG254" s="12">
        <v>8366.0215058333324</v>
      </c>
      <c r="AH254" s="12">
        <v>8388.4817678333329</v>
      </c>
      <c r="AI254" s="12">
        <v>8642.9</v>
      </c>
      <c r="AJ254" s="12" t="s">
        <v>1066</v>
      </c>
      <c r="AK254" s="12">
        <v>8328.1405136666654</v>
      </c>
      <c r="AL254" s="12">
        <v>8364.8487016666659</v>
      </c>
      <c r="AM254" s="12">
        <v>8410.7339366666656</v>
      </c>
      <c r="AN254" s="12">
        <v>8574.4549750000006</v>
      </c>
      <c r="AO254" s="12">
        <v>8676.67245</v>
      </c>
      <c r="AP254" s="12">
        <v>9091.285941666667</v>
      </c>
      <c r="AQ254" s="12">
        <v>9330.4055349999999</v>
      </c>
      <c r="AR254" s="12">
        <v>9360.7793675000012</v>
      </c>
      <c r="AS254" s="12">
        <v>9385.0784335000008</v>
      </c>
      <c r="AT254" s="12">
        <v>9681.7999999999993</v>
      </c>
      <c r="AU254" s="12" t="s">
        <v>1066</v>
      </c>
      <c r="AW254" s="12">
        <f>IF(A254="","",MAX(0,MIN(1,(((IF(Статистика!$C$4="Параллельный режим (активная мощность)",B254,M254)+Статистика!$J$4))-Статистика!$C$10)/MAX(Статистика!$G$10-Статистика!$C$10,0.000001))))</f>
        <v>0</v>
      </c>
      <c r="AX254" s="12">
        <f>IF(A254="","",MAX(0,MAX(0,MIN(1,(((IF(Статистика!$C$4="Параллельный режим (активная мощность)",D254,O254)+Статистика!$J$4))-Статистика!$C$10)/MAX(Статистика!$G$10-Статистика!$C$10,0.000001)))-MAX(0,MIN(1,(((IF(Статистика!$C$4="Параллельный режим (активная мощность)",B254,M254)+Статистика!$J$4))-Статистика!$C$10)/MAX(Статистика!$G$10-Статистика!$C$10,0.000001)))))</f>
        <v>0.40560860777777757</v>
      </c>
      <c r="AY254" s="12">
        <f>IF(A254="","",MAX(0,MAX(0,MIN(1,(((IF(Статистика!$C$4="Параллельный режим (активная мощность)",E254,P254)+Статистика!$J$4))-Статистика!$C$10)/MAX(Статистика!$G$10-Статистика!$C$10,0.000001)))-MAX(0,MIN(1,(((IF(Статистика!$C$4="Параллельный режим (активная мощность)",D254,O254)+Статистика!$J$4))-Статистика!$C$10)/MAX(Статистика!$G$10-Статистика!$C$10,0.000001)))))</f>
        <v>0.12463432833333349</v>
      </c>
      <c r="AZ254" s="12">
        <f>IF(A254="","",MAX(0,MAX(0,MIN(1,(((IF(Статистика!$C$4="Параллельный режим (активная мощность)",F254,Q254)+Статистика!$J$4))-Статистика!$C$10)/MAX(Статистика!$G$10-Статистика!$C$10,0.000001)))-MAX(0,MIN(1,(((IF(Статистика!$C$4="Параллельный режим (активная мощность)",E254,P254)+Статистика!$J$4))-Статистика!$C$10)/MAX(Статистика!$G$10-Статистика!$C$10,0.000001)))))</f>
        <v>5.9702463888888557E-2</v>
      </c>
      <c r="BA254" s="12">
        <f>IF(A254="","",MAX(0,MAX(0,MIN(1,(((IF(Статистика!$C$4="Параллельный режим (активная мощность)",G254,R254)+Статистика!$J$4))-Статистика!$C$10)/MAX(Статистика!$G$10-Статистика!$C$10,0.000001)))-MAX(0,MIN(1,(((IF(Статистика!$C$4="Параллельный режим (активная мощность)",F254,Q254)+Статистика!$J$4))-Статистика!$C$10)/MAX(Статистика!$G$10-Статистика!$C$10,0.000001)))))</f>
        <v>0.10715538888888931</v>
      </c>
      <c r="BB254" s="12">
        <f>IF(A254="","",MAX(0,MAX(0,MIN(1,(((IF(Статистика!$C$4="Параллельный режим (активная мощность)",H254,S254)+Статистика!$J$4))-Статистика!$C$10)/MAX(Статистика!$G$10-Статистика!$C$10,0.000001)))-MAX(0,MIN(1,(((IF(Статистика!$C$4="Параллельный режим (активная мощность)",G254,R254)+Статистика!$J$4))-Статистика!$C$10)/MAX(Статистика!$G$10-Статистика!$C$10,0.000001)))))</f>
        <v>7.2423837222222009E-2</v>
      </c>
      <c r="BC254" s="12">
        <f>IF(A254="","",MAX(0,MAX(0,MIN(1,(((IF(Статистика!$C$4="Параллельный режим (активная мощность)",J254,U254)+Статистика!$J$4))-Статистика!$C$10)/MAX(Статистика!$G$10-Статистика!$C$10,0.000001)))-MAX(0,MIN(1,(((IF(Статистика!$C$4="Параллельный режим (активная мощность)",H254,S254)+Статистика!$J$4))-Статистика!$C$10)/MAX(Статистика!$G$10-Статистика!$C$10,0.000001)))))</f>
        <v>2.4804821000000254E-2</v>
      </c>
      <c r="BD254" s="12">
        <f>IF(A254="","",MAX(0,1-MAX(0,MIN(1,(((IF(Статистика!$C$4="Параллельный режим (активная мощность)",J254,U254)+Статистика!$J$4))-Статистика!$C$10)/MAX(Статистика!$G$10-Статистика!$C$10,0.000001)))))</f>
        <v>0.2056705528888888</v>
      </c>
      <c r="BE254" s="12">
        <f>IF(A254="",NA(),IF(Статистика!$B$8="Вкл",(((IF(Статистика!$C$4="Параллельный режим (активная мощность)",F254,Q254)+Статистика!$J$4))-Статистика!$C$10)/MAX(Статистика!$G$10-Статистика!$C$10,0.000001),NA()))</f>
        <v>0.58994539999999962</v>
      </c>
      <c r="BF254" s="12">
        <f>IF(A254="",NA(),IF(Статистика!$D$8="Вкл",(((IF(Статистика!$C$4="Параллельный режим (активная мощность)",E254,P254)+Статистика!$J$4))-Статистика!$C$10)/MAX(Статистика!$G$10-Статистика!$C$10,0.000001),NA()))</f>
        <v>0.53024293611111106</v>
      </c>
      <c r="BG254" s="12">
        <f>IF(A254="",NA(),IF(Статистика!$D$8="Вкл",(((IF(Статистика!$C$4="Параллельный режим (активная мощность)",G254,R254)+Статистика!$J$4))-Статистика!$C$10)/MAX(Статистика!$G$10-Статистика!$C$10,0.000001),NA()))</f>
        <v>0.69710078888888893</v>
      </c>
      <c r="BH254" s="12">
        <f>IF(A254="",NA(),IF(Статистика!$F$8="Вкл",(((IF(Статистика!$C$4="Параллельный режим (активная мощность)",D254,O254)+Статистика!$J$4))-Статистика!$C$10)/MAX(Статистика!$G$10-Статистика!$C$10,0.000001),NA()))</f>
        <v>0.40560860777777757</v>
      </c>
      <c r="BI254" s="12">
        <f>IF(A254="",NA(),IF(Статистика!$F$8="Вкл",(((IF(Статистика!$C$4="Параллельный режим (активная мощность)",H254,S254)+Статистика!$J$4))-Статистика!$C$10)/MAX(Статистика!$G$10-Статистика!$C$10,0.000001),NA()))</f>
        <v>0.76952462611111094</v>
      </c>
      <c r="BJ254" s="12">
        <f>IF(A254="",NA(),IF(Статистика!$H$8="Вкл",(((IF(Статистика!$C$4="Параллельный режим (активная мощность)",B254,M254)+Статистика!$J$4))-Статистика!$C$10)/MAX(Статистика!$G$10-Статистика!$C$10,0.000001),NA()))</f>
        <v>-1.2736629677222222</v>
      </c>
      <c r="BK254" s="12">
        <f>IF(A254="",NA(),IF(Статистика!$H$8="Вкл",(((IF(Статистика!$C$4="Параллельный режим (активная мощность)",J254,U254)+Статистика!$J$4))-Статистика!$C$10)/MAX(Статистика!$G$10-Статистика!$C$10,0.000001),NA()))</f>
        <v>0.7943294471111112</v>
      </c>
      <c r="BL254" s="12" t="e">
        <f>IF(A254="",NA(),IF(Статистика!$J$8="Вкл",(((IF(Статистика!$C$4="Параллельный режим (активная мощность)",K254,V254)+Статистика!$J$4))-Статистика!$C$10)/MAX(Статистика!$G$10-Статистика!$C$10,0.000001),NA()))</f>
        <v>#N/A</v>
      </c>
      <c r="BM254" s="12" t="e">
        <f>IF(AND(A254&lt;&gt;"",Статистика!$C$6="Вкл",Статистика!$B$6&gt;0),(Статистика!$B$6-Статистика!$C$10)/MAX(Статистика!$G$10-Статистика!$C$10,0.000001),NA())</f>
        <v>#N/A</v>
      </c>
      <c r="BN254" s="12" t="e">
        <f>IF(AND(A254&lt;&gt;"",Статистика!$F$6="Вкл",Статистика!$E$6&gt;0),(Статистика!$E$6-Статистика!$C$10)/MAX(Статистика!$G$10-Статистика!$C$10,0.000001),NA())</f>
        <v>#N/A</v>
      </c>
      <c r="BO254" s="12" t="e">
        <f>IF(AND(A254&lt;&gt;"",Статистика!$I$6="Вкл",Статистика!$H$6&gt;0),(Статистика!$H$6-Статистика!$C$10)/MAX(Статистика!$G$10-Статистика!$C$10,0.000001),NA())</f>
        <v>#N/A</v>
      </c>
      <c r="BP254" s="12" t="e">
        <f>IF(AND(A254&lt;&gt;"",Статистика!$L$6="Вкл",Статистика!$K$6&gt;0),(Статистика!$K$6-Статистика!$C$10)/MAX(Статистика!$G$10-Статистика!$C$10,0.000001),NA())</f>
        <v>#N/A</v>
      </c>
      <c r="BQ254" s="12" t="e">
        <f>IF(AND(A254&lt;&gt;"",Статистика!$M$6="Вкл",Статистика!$O$6&gt;0),(Статистика!$O$6-Статистика!$C$10)/MAX(Статистика!$G$10-Статистика!$C$10,0.000001),NA())</f>
        <v>#N/A</v>
      </c>
      <c r="BR254" s="12">
        <f t="shared" si="6"/>
        <v>1</v>
      </c>
      <c r="BT254" s="12">
        <f>IF(Y254="","",MAX(0,MIN(1,(((IF(Статистика!$C$4="Параллельный режим (активная мощность)",Z254,AK254)+Статистика!$J$4))-Статистика!$C$10)/MAX(Статистика!$G$10-Статистика!$C$10,0.000001))))</f>
        <v>0.45384658677777739</v>
      </c>
      <c r="BU254" s="12">
        <f>IF(Y254="","",MAX(0,MAX(0,MIN(1,(((IF(Статистика!$C$4="Параллельный режим (активная мощность)",AB254,AM254)+Статистика!$J$4))-Статистика!$C$10)/MAX(Статистика!$G$10-Статистика!$C$10,0.000001)))-MAX(0,MIN(1,(((IF(Статистика!$C$4="Параллельный режим (активная мощность)",Z254,AK254)+Статистика!$J$4))-Статистика!$C$10)/MAX(Статистика!$G$10-Статистика!$C$10,0.000001)))))</f>
        <v>1.6647081000000064E-2</v>
      </c>
      <c r="BV254" s="12">
        <f>IF(Y254="","",MAX(0,MAX(0,MIN(1,(((IF(Статистика!$C$4="Параллельный режим (активная мощность)",AC254,AN254)+Статистика!$J$4))-Статистика!$C$10)/MAX(Статистика!$G$10-Статистика!$C$10,0.000001)))-MAX(0,MIN(1,(((IF(Статистика!$C$4="Параллельный режим (активная мощность)",AB254,AM254)+Статистика!$J$4))-Статистика!$C$10)/MAX(Статистика!$G$10-Статистика!$C$10,0.000001)))))</f>
        <v>5.7009904444444426E-2</v>
      </c>
      <c r="BW254" s="12">
        <f>IF(Y254="","",MAX(0,MAX(0,MIN(1,(((IF(Статистика!$C$4="Параллельный режим (активная мощность)",AD254,AO254)+Статистика!$J$4))-Статистика!$C$10)/MAX(Статистика!$G$10-Статистика!$C$10,0.000001)))-MAX(0,MIN(1,(((IF(Статистика!$C$4="Параллельный режим (активная мощность)",AC254,AN254)+Статистика!$J$4))-Статистика!$C$10)/MAX(Статистика!$G$10-Статистика!$C$10,0.000001)))))</f>
        <v>2.9198155555555827E-2</v>
      </c>
      <c r="BX254" s="12">
        <f>IF(Y254="","",MAX(0,MAX(0,MIN(1,(((IF(Статистика!$C$4="Параллельный режим (активная мощность)",AE254,AP254)+Статистика!$J$4))-Статистика!$C$10)/MAX(Статистика!$G$10-Статистика!$C$10,0.000001)))-MAX(0,MIN(1,(((IF(Статистика!$C$4="Параллельный режим (активная мощность)",AD254,AO254)+Статистика!$J$4))-Статистика!$C$10)/MAX(Статистика!$G$10-Статистика!$C$10,0.000001)))))</f>
        <v>0.12746090277777788</v>
      </c>
      <c r="BY254" s="12">
        <f>IF(Y254="","",MAX(0,MAX(0,MIN(1,(((IF(Статистика!$C$4="Параллельный режим (активная мощность)",AF254,AQ254)+Статистика!$J$4))-Статистика!$C$10)/MAX(Статистика!$G$10-Статистика!$C$10,0.000001)))-MAX(0,MIN(1,(((IF(Статистика!$C$4="Параллельный режим (активная мощность)",AE254,AP254)+Статистика!$J$4))-Статистика!$C$10)/MAX(Статистика!$G$10-Статистика!$C$10,0.000001)))))</f>
        <v>9.5152762222222242E-2</v>
      </c>
      <c r="BZ254" s="12">
        <f>IF(Y254="","",MAX(0,MAX(0,MIN(1,(((IF(Статистика!$C$4="Параллельный режим (активная мощность)",AH254,AS254)+Статистика!$J$4))-Статистика!$C$10)/MAX(Статистика!$G$10-Статистика!$C$10,0.000001)))-MAX(0,MIN(1,(((IF(Статистика!$C$4="Параллельный режим (активная мощность)",AF254,AQ254)+Статистика!$J$4))-Статистика!$C$10)/MAX(Статистика!$G$10-Статистика!$C$10,0.000001)))))</f>
        <v>1.6845196499999826E-2</v>
      </c>
      <c r="CA254" s="12">
        <f>IF(Y254="","",MAX(0,1-MAX(0,MIN(1,(((IF(Статистика!$C$4="Параллельный режим (активная мощность)",AH254,AS254)+Статистика!$J$4))-Статистика!$C$10)/MAX(Статистика!$G$10-Статистика!$C$10,0.000001)))))</f>
        <v>0.20383941072222234</v>
      </c>
      <c r="CB254" s="12">
        <f>IF(Y254="",NA(),IF(Статистика!$B$8="Вкл",(((IF(Статистика!$C$4="Параллельный режим (активная мощность)",AD254,AO254)+Статистика!$J$4))-Статистика!$C$10)/MAX(Статистика!$G$10-Статистика!$C$10,0.000001),NA()))</f>
        <v>0.55670172777777771</v>
      </c>
      <c r="CC254" s="12">
        <f>IF(Y254="",NA(),IF(Статистика!$D$8="Вкл",(((IF(Статистика!$C$4="Параллельный режим (активная мощность)",AC254,AN254)+Статистика!$J$4))-Статистика!$C$10)/MAX(Статистика!$G$10-Статистика!$C$10,0.000001),NA()))</f>
        <v>0.52750357222222188</v>
      </c>
      <c r="CD254" s="12">
        <f>IF(Y254="",NA(),IF(Статистика!$D$8="Вкл",(((IF(Статистика!$C$4="Параллельный режим (активная мощность)",AE254,AP254)+Статистика!$J$4))-Статистика!$C$10)/MAX(Статистика!$G$10-Статистика!$C$10,0.000001),NA()))</f>
        <v>0.6841626305555556</v>
      </c>
      <c r="CE254" s="12">
        <f>IF(Y254="",NA(),IF(Статистика!$F$8="Вкл",(((IF(Статистика!$C$4="Параллельный режим (активная мощность)",AB254,AM254)+Статистика!$J$4))-Статистика!$C$10)/MAX(Статистика!$G$10-Статистика!$C$10,0.000001),NA()))</f>
        <v>0.47049366777777746</v>
      </c>
      <c r="CF254" s="12">
        <f>IF(Y254="",NA(),IF(Статистика!$F$8="Вкл",(((IF(Статистика!$C$4="Параллельный режим (активная мощность)",AF254,AQ254)+Статистика!$J$4))-Статистика!$C$10)/MAX(Статистика!$G$10-Статистика!$C$10,0.000001),NA()))</f>
        <v>0.77931539277777784</v>
      </c>
      <c r="CG254" s="12">
        <f>IF(Y254="",NA(),IF(Статистика!$H$8="Вкл",(((IF(Статистика!$C$4="Параллельный режим (активная мощность)",Z254,AK254)+Статистика!$J$4))-Статистика!$C$10)/MAX(Статистика!$G$10-Статистика!$C$10,0.000001),NA()))</f>
        <v>0.45384658677777739</v>
      </c>
      <c r="CH254" s="12">
        <f>IF(Y254="",NA(),IF(Статистика!$H$8="Вкл",(((IF(Статистика!$C$4="Параллельный режим (активная мощность)",AH254,AS254)+Статистика!$J$4))-Статистика!$C$10)/MAX(Статистика!$G$10-Статистика!$C$10,0.000001),NA()))</f>
        <v>0.79616058927777766</v>
      </c>
      <c r="CI254" s="12" t="e">
        <f>IF(Y254="",NA(),IF(Статистика!$J$8="Вкл",(((IF(Статистика!$C$4="Параллельный режим (активная мощность)",AI254,AT254)+Статистика!$J$4))-Статистика!$C$10)/MAX(Статистика!$G$10-Статистика!$C$10,0.000001),NA()))</f>
        <v>#N/A</v>
      </c>
      <c r="CJ254" s="12" t="e">
        <f>IF(AND(Y254&lt;&gt;"",Статистика!$C$6="Вкл",Статистика!$B$6&gt;0),(Статистика!$B$6-Статистика!$C$10)/MAX(Статистика!$G$10-Статистика!$C$10,0.000001),NA())</f>
        <v>#N/A</v>
      </c>
      <c r="CK254" s="12" t="e">
        <f>IF(AND(Y254&lt;&gt;"",Статистика!$F$6="Вкл",Статистика!$E$6&gt;0),(Статистика!$E$6-Статистика!$C$10)/MAX(Статистика!$G$10-Статистика!$C$10,0.000001),NA())</f>
        <v>#N/A</v>
      </c>
      <c r="CL254" s="12" t="e">
        <f>IF(AND(Y254&lt;&gt;"",Статистика!$I$6="Вкл",Статистика!$H$6&gt;0),(Статистика!$H$6-Статистика!$C$10)/MAX(Статистика!$G$10-Статистика!$C$10,0.000001),NA())</f>
        <v>#N/A</v>
      </c>
      <c r="CM254" s="12" t="e">
        <f>IF(AND(Y254&lt;&gt;"",Статистика!$L$6="Вкл",Статистика!$K$6&gt;0),(Статистика!$K$6-Статистика!$C$10)/MAX(Статистика!$G$10-Статистика!$C$10,0.000001),NA())</f>
        <v>#N/A</v>
      </c>
      <c r="CN254" s="12" t="e">
        <f>IF(AND(Y254&lt;&gt;"",Статистика!$M$6="Вкл",Статистика!$O$6&gt;0),(Статистика!$O$6-Статистика!$C$10)/MAX(Статистика!$G$10-Статистика!$C$10,0.000001),NA())</f>
        <v>#N/A</v>
      </c>
      <c r="CO254" s="12">
        <f t="shared" si="7"/>
        <v>1</v>
      </c>
    </row>
    <row r="255" spans="1:93" ht="15" customHeight="1">
      <c r="A255" s="12" t="s">
        <v>1067</v>
      </c>
      <c r="B255" s="12">
        <v>2207.278602833333</v>
      </c>
      <c r="C255" s="12">
        <v>5601.121014166667</v>
      </c>
      <c r="D255" s="12">
        <v>7246.0402133333337</v>
      </c>
      <c r="E255" s="12">
        <v>7555.124158333334</v>
      </c>
      <c r="F255" s="12">
        <v>7800.6240666666663</v>
      </c>
      <c r="G255" s="12">
        <v>8121.865424999999</v>
      </c>
      <c r="H255" s="12">
        <v>8397.5162899999996</v>
      </c>
      <c r="I255" s="12">
        <v>8408.2248733333345</v>
      </c>
      <c r="J255" s="12">
        <v>8425.5600680000007</v>
      </c>
      <c r="K255" s="12">
        <v>8599.41</v>
      </c>
      <c r="L255" s="12" t="s">
        <v>1068</v>
      </c>
      <c r="M255" s="12">
        <v>2713.0331896666667</v>
      </c>
      <c r="N255" s="12">
        <v>6400.4590150000013</v>
      </c>
      <c r="O255" s="12">
        <v>8211.1439566666668</v>
      </c>
      <c r="P255" s="12">
        <v>8600.9774166666684</v>
      </c>
      <c r="Q255" s="12">
        <v>8822.0493166666674</v>
      </c>
      <c r="R255" s="12">
        <v>9156.7482083333343</v>
      </c>
      <c r="S255" s="12">
        <v>9497.6409833333328</v>
      </c>
      <c r="T255" s="12">
        <v>9575.9801733333334</v>
      </c>
      <c r="U255" s="12">
        <v>9576.7490213333331</v>
      </c>
      <c r="V255" s="12">
        <v>9782.64</v>
      </c>
      <c r="W255" s="12" t="s">
        <v>1069</v>
      </c>
      <c r="Y255" s="12" t="s">
        <v>1067</v>
      </c>
      <c r="Z255" s="12">
        <v>7406.8409073333341</v>
      </c>
      <c r="AA255" s="12">
        <v>7416.4740033333337</v>
      </c>
      <c r="AB255" s="12">
        <v>7428.5153733333336</v>
      </c>
      <c r="AC255" s="12">
        <v>7550.8184499999998</v>
      </c>
      <c r="AD255" s="12">
        <v>7701.5027166666659</v>
      </c>
      <c r="AE255" s="12">
        <v>8035.5551666666661</v>
      </c>
      <c r="AF255" s="12">
        <v>8370.5815899999998</v>
      </c>
      <c r="AG255" s="12">
        <v>8397.4177950000012</v>
      </c>
      <c r="AH255" s="12">
        <v>8418.8867590000009</v>
      </c>
      <c r="AI255" s="12">
        <v>8568.8799999999992</v>
      </c>
      <c r="AJ255" s="12" t="s">
        <v>1070</v>
      </c>
      <c r="AK255" s="12">
        <v>8424.2394373333336</v>
      </c>
      <c r="AL255" s="12">
        <v>8439.365053333333</v>
      </c>
      <c r="AM255" s="12">
        <v>8458.2720733333335</v>
      </c>
      <c r="AN255" s="12">
        <v>8584.7121249999982</v>
      </c>
      <c r="AO255" s="12">
        <v>8717.5190833333327</v>
      </c>
      <c r="AP255" s="12">
        <v>9085.6736500000006</v>
      </c>
      <c r="AQ255" s="12">
        <v>9360.6405733333322</v>
      </c>
      <c r="AR255" s="12">
        <v>9395.2920033333321</v>
      </c>
      <c r="AS255" s="12">
        <v>9423.0131473333313</v>
      </c>
      <c r="AT255" s="12">
        <v>9561.66</v>
      </c>
      <c r="AU255" s="12" t="s">
        <v>1070</v>
      </c>
      <c r="AW255" s="12">
        <f>IF(A255="","",MAX(0,MIN(1,(((IF(Статистика!$C$4="Параллельный режим (активная мощность)",B255,M255)+Статистика!$J$4))-Статистика!$C$10)/MAX(Статистика!$G$10-Статистика!$C$10,0.000001))))</f>
        <v>0</v>
      </c>
      <c r="AX255" s="12">
        <f>IF(A255="","",MAX(0,MAX(0,MIN(1,(((IF(Статистика!$C$4="Параллельный режим (активная мощность)",D255,O255)+Статистика!$J$4))-Статистика!$C$10)/MAX(Статистика!$G$10-Статистика!$C$10,0.000001)))-MAX(0,MIN(1,(((IF(Статистика!$C$4="Параллельный режим (активная мощность)",B255,M255)+Статистика!$J$4))-Статистика!$C$10)/MAX(Статистика!$G$10-Статистика!$C$10,0.000001)))))</f>
        <v>0.41534673777777786</v>
      </c>
      <c r="AY255" s="12">
        <f>IF(A255="","",MAX(0,MAX(0,MIN(1,(((IF(Статистика!$C$4="Параллельный режим (активная мощность)",E255,P255)+Статистика!$J$4))-Статистика!$C$10)/MAX(Статистика!$G$10-Статистика!$C$10,0.000001)))-MAX(0,MIN(1,(((IF(Статистика!$C$4="Параллельный режим (активная мощность)",D255,O255)+Статистика!$J$4))-Статистика!$C$10)/MAX(Статистика!$G$10-Статистика!$C$10,0.000001)))))</f>
        <v>0.10302798166666682</v>
      </c>
      <c r="AZ255" s="12">
        <f>IF(A255="","",MAX(0,MAX(0,MIN(1,(((IF(Статистика!$C$4="Параллельный режим (активная мощность)",F255,Q255)+Статистика!$J$4))-Статистика!$C$10)/MAX(Статистика!$G$10-Статистика!$C$10,0.000001)))-MAX(0,MIN(1,(((IF(Статистика!$C$4="Параллельный режим (активная мощность)",E255,P255)+Статистика!$J$4))-Статистика!$C$10)/MAX(Статистика!$G$10-Статистика!$C$10,0.000001)))))</f>
        <v>8.183330277777745E-2</v>
      </c>
      <c r="BA255" s="12">
        <f>IF(A255="","",MAX(0,MAX(0,MIN(1,(((IF(Статистика!$C$4="Параллельный режим (активная мощность)",G255,R255)+Статистика!$J$4))-Статистика!$C$10)/MAX(Статистика!$G$10-Статистика!$C$10,0.000001)))-MAX(0,MIN(1,(((IF(Статистика!$C$4="Параллельный режим (активная мощность)",F255,Q255)+Статистика!$J$4))-Статистика!$C$10)/MAX(Статистика!$G$10-Статистика!$C$10,0.000001)))))</f>
        <v>0.10708045277777756</v>
      </c>
      <c r="BB255" s="12">
        <f>IF(A255="","",MAX(0,MAX(0,MIN(1,(((IF(Статистика!$C$4="Параллельный режим (активная мощность)",H255,S255)+Статистика!$J$4))-Статистика!$C$10)/MAX(Статистика!$G$10-Статистика!$C$10,0.000001)))-MAX(0,MIN(1,(((IF(Статистика!$C$4="Параллельный режим (активная мощность)",G255,R255)+Статистика!$J$4))-Статистика!$C$10)/MAX(Статистика!$G$10-Статистика!$C$10,0.000001)))))</f>
        <v>9.1883621666666859E-2</v>
      </c>
      <c r="BC255" s="12">
        <f>IF(A255="","",MAX(0,MAX(0,MIN(1,(((IF(Статистика!$C$4="Параллельный режим (активная мощность)",J255,U255)+Статистика!$J$4))-Статистика!$C$10)/MAX(Статистика!$G$10-Статистика!$C$10,0.000001)))-MAX(0,MIN(1,(((IF(Статистика!$C$4="Параллельный режим (активная мощность)",H255,S255)+Статистика!$J$4))-Статистика!$C$10)/MAX(Статистика!$G$10-Статистика!$C$10,0.000001)))))</f>
        <v>9.3479260000003395E-3</v>
      </c>
      <c r="BD255" s="12">
        <f>IF(A255="","",MAX(0,1-MAX(0,MIN(1,(((IF(Статистика!$C$4="Параллельный режим (активная мощность)",J255,U255)+Статистика!$J$4))-Статистика!$C$10)/MAX(Статистика!$G$10-Статистика!$C$10,0.000001)))))</f>
        <v>0.19147997733333311</v>
      </c>
      <c r="BE255" s="12">
        <f>IF(A255="",NA(),IF(Статистика!$B$8="Вкл",(((IF(Статистика!$C$4="Параллельный режим (активная мощность)",F255,Q255)+Статистика!$J$4))-Статистика!$C$10)/MAX(Статистика!$G$10-Статистика!$C$10,0.000001),NA()))</f>
        <v>0.60020802222222214</v>
      </c>
      <c r="BF255" s="12">
        <f>IF(A255="",NA(),IF(Статистика!$D$8="Вкл",(((IF(Статистика!$C$4="Параллельный режим (активная мощность)",E255,P255)+Статистика!$J$4))-Статистика!$C$10)/MAX(Статистика!$G$10-Статистика!$C$10,0.000001),NA()))</f>
        <v>0.51837471944444469</v>
      </c>
      <c r="BG255" s="12">
        <f>IF(A255="",NA(),IF(Статистика!$D$8="Вкл",(((IF(Статистика!$C$4="Параллельный режим (активная мощность)",G255,R255)+Статистика!$J$4))-Статистика!$C$10)/MAX(Статистика!$G$10-Статистика!$C$10,0.000001),NA()))</f>
        <v>0.70728847499999969</v>
      </c>
      <c r="BH255" s="12">
        <f>IF(A255="",NA(),IF(Статистика!$F$8="Вкл",(((IF(Статистика!$C$4="Параллельный режим (активная мощность)",D255,O255)+Статистика!$J$4))-Статистика!$C$10)/MAX(Статистика!$G$10-Статистика!$C$10,0.000001),NA()))</f>
        <v>0.41534673777777786</v>
      </c>
      <c r="BI255" s="12">
        <f>IF(A255="",NA(),IF(Статистика!$F$8="Вкл",(((IF(Статистика!$C$4="Параллельный режим (активная мощность)",H255,S255)+Статистика!$J$4))-Статистика!$C$10)/MAX(Статистика!$G$10-Статистика!$C$10,0.000001),NA()))</f>
        <v>0.79917209666666655</v>
      </c>
      <c r="BJ255" s="12">
        <f>IF(A255="",NA(),IF(Статистика!$H$8="Вкл",(((IF(Статистика!$C$4="Параллельный режим (активная мощность)",B255,M255)+Статистика!$J$4))-Статистика!$C$10)/MAX(Статистика!$G$10-Статистика!$C$10,0.000001),NA()))</f>
        <v>-1.2642404657222224</v>
      </c>
      <c r="BK255" s="12">
        <f>IF(A255="",NA(),IF(Статистика!$H$8="Вкл",(((IF(Статистика!$C$4="Параллельный режим (активная мощность)",J255,U255)+Статистика!$J$4))-Статистика!$C$10)/MAX(Статистика!$G$10-Статистика!$C$10,0.000001),NA()))</f>
        <v>0.80852002266666689</v>
      </c>
      <c r="BL255" s="12" t="e">
        <f>IF(A255="",NA(),IF(Статистика!$J$8="Вкл",(((IF(Статистика!$C$4="Параллельный режим (активная мощность)",K255,V255)+Статистика!$J$4))-Статистика!$C$10)/MAX(Статистика!$G$10-Статистика!$C$10,0.000001),NA()))</f>
        <v>#N/A</v>
      </c>
      <c r="BM255" s="12" t="e">
        <f>IF(AND(A255&lt;&gt;"",Статистика!$C$6="Вкл",Статистика!$B$6&gt;0),(Статистика!$B$6-Статистика!$C$10)/MAX(Статистика!$G$10-Статистика!$C$10,0.000001),NA())</f>
        <v>#N/A</v>
      </c>
      <c r="BN255" s="12" t="e">
        <f>IF(AND(A255&lt;&gt;"",Статистика!$F$6="Вкл",Статистика!$E$6&gt;0),(Статистика!$E$6-Статистика!$C$10)/MAX(Статистика!$G$10-Статистика!$C$10,0.000001),NA())</f>
        <v>#N/A</v>
      </c>
      <c r="BO255" s="12" t="e">
        <f>IF(AND(A255&lt;&gt;"",Статистика!$I$6="Вкл",Статистика!$H$6&gt;0),(Статистика!$H$6-Статистика!$C$10)/MAX(Статистика!$G$10-Статистика!$C$10,0.000001),NA())</f>
        <v>#N/A</v>
      </c>
      <c r="BP255" s="12" t="e">
        <f>IF(AND(A255&lt;&gt;"",Статистика!$L$6="Вкл",Статистика!$K$6&gt;0),(Статистика!$K$6-Статистика!$C$10)/MAX(Статистика!$G$10-Статистика!$C$10,0.000001),NA())</f>
        <v>#N/A</v>
      </c>
      <c r="BQ255" s="12" t="e">
        <f>IF(AND(A255&lt;&gt;"",Статистика!$M$6="Вкл",Статистика!$O$6&gt;0),(Статистика!$O$6-Статистика!$C$10)/MAX(Статистика!$G$10-Статистика!$C$10,0.000001),NA())</f>
        <v>#N/A</v>
      </c>
      <c r="BR255" s="12">
        <f t="shared" si="6"/>
        <v>1</v>
      </c>
      <c r="BT255" s="12">
        <f>IF(Y255="","",MAX(0,MIN(1,(((IF(Статистика!$C$4="Параллельный режим (активная мощность)",Z255,AK255)+Статистика!$J$4))-Статистика!$C$10)/MAX(Статистика!$G$10-Статистика!$C$10,0.000001))))</f>
        <v>0.46894696911111139</v>
      </c>
      <c r="BU255" s="12">
        <f>IF(Y255="","",MAX(0,MAX(0,MIN(1,(((IF(Статистика!$C$4="Параллельный режим (активная мощность)",AB255,AM255)+Статистика!$J$4))-Статистика!$C$10)/MAX(Статистика!$G$10-Статистика!$C$10,0.000001)))-MAX(0,MIN(1,(((IF(Статистика!$C$4="Параллельный режим (активная мощность)",Z255,AK255)+Статистика!$J$4))-Статистика!$C$10)/MAX(Статистика!$G$10-Статистика!$C$10,0.000001)))))</f>
        <v>7.2248219999997976E-3</v>
      </c>
      <c r="BV255" s="12">
        <f>IF(Y255="","",MAX(0,MAX(0,MIN(1,(((IF(Статистика!$C$4="Параллельный режим (активная мощность)",AC255,AN255)+Статистика!$J$4))-Статистика!$C$10)/MAX(Статистика!$G$10-Статистика!$C$10,0.000001)))-MAX(0,MIN(1,(((IF(Статистика!$C$4="Параллельный режим (активная мощность)",AB255,AM255)+Статистика!$J$4))-Статистика!$C$10)/MAX(Статистика!$G$10-Статистика!$C$10,0.000001)))))</f>
        <v>4.0767692222222096E-2</v>
      </c>
      <c r="BW255" s="12">
        <f>IF(Y255="","",MAX(0,MAX(0,MIN(1,(((IF(Статистика!$C$4="Параллельный режим (активная мощность)",AD255,AO255)+Статистика!$J$4))-Статистика!$C$10)/MAX(Статистика!$G$10-Статистика!$C$10,0.000001)))-MAX(0,MIN(1,(((IF(Статистика!$C$4="Параллельный режим (активная мощность)",AC255,AN255)+Статистика!$J$4))-Статистика!$C$10)/MAX(Статистика!$G$10-Статистика!$C$10,0.000001)))))</f>
        <v>5.0228088888888744E-2</v>
      </c>
      <c r="BX255" s="12">
        <f>IF(Y255="","",MAX(0,MAX(0,MIN(1,(((IF(Статистика!$C$4="Параллельный режим (активная мощность)",AE255,AP255)+Статистика!$J$4))-Статистика!$C$10)/MAX(Статистика!$G$10-Статистика!$C$10,0.000001)))-MAX(0,MIN(1,(((IF(Статистика!$C$4="Параллельный режим (активная мощность)",AD255,AO255)+Статистика!$J$4))-Статистика!$C$10)/MAX(Статистика!$G$10-Статистика!$C$10,0.000001)))))</f>
        <v>0.11135081666666669</v>
      </c>
      <c r="BY255" s="12">
        <f>IF(Y255="","",MAX(0,MAX(0,MIN(1,(((IF(Статистика!$C$4="Параллельный режим (активная мощность)",AF255,AQ255)+Статистика!$J$4))-Статистика!$C$10)/MAX(Статистика!$G$10-Статистика!$C$10,0.000001)))-MAX(0,MIN(1,(((IF(Статистика!$C$4="Параллельный режим (активная мощность)",AE255,AP255)+Статистика!$J$4))-Статистика!$C$10)/MAX(Статистика!$G$10-Статистика!$C$10,0.000001)))))</f>
        <v>0.11167547444444459</v>
      </c>
      <c r="BZ255" s="12">
        <f>IF(Y255="","",MAX(0,MAX(0,MIN(1,(((IF(Статистика!$C$4="Параллельный режим (активная мощность)",AH255,AS255)+Статистика!$J$4))-Статистика!$C$10)/MAX(Статистика!$G$10-Статистика!$C$10,0.000001)))-MAX(0,MIN(1,(((IF(Статистика!$C$4="Параллельный режим (активная мощность)",AF255,AQ255)+Статистика!$J$4))-Статистика!$C$10)/MAX(Статистика!$G$10-Статистика!$C$10,0.000001)))))</f>
        <v>1.6101723000000345E-2</v>
      </c>
      <c r="CA255" s="12">
        <f>IF(Y255="","",MAX(0,1-MAX(0,MIN(1,(((IF(Статистика!$C$4="Параллельный режим (активная мощность)",AH255,AS255)+Статистика!$J$4))-Статистика!$C$10)/MAX(Статистика!$G$10-Статистика!$C$10,0.000001)))))</f>
        <v>0.19370441366666635</v>
      </c>
      <c r="CB255" s="12">
        <f>IF(Y255="",NA(),IF(Статистика!$B$8="Вкл",(((IF(Статистика!$C$4="Параллельный режим (активная мощность)",AD255,AO255)+Статистика!$J$4))-Статистика!$C$10)/MAX(Статистика!$G$10-Статистика!$C$10,0.000001),NA()))</f>
        <v>0.56716757222222203</v>
      </c>
      <c r="CC255" s="12">
        <f>IF(Y255="",NA(),IF(Статистика!$D$8="Вкл",(((IF(Статистика!$C$4="Параллельный режим (активная мощность)",AC255,AN255)+Статистика!$J$4))-Статистика!$C$10)/MAX(Статистика!$G$10-Статистика!$C$10,0.000001),NA()))</f>
        <v>0.51693948333333328</v>
      </c>
      <c r="CD255" s="12">
        <f>IF(Y255="",NA(),IF(Статистика!$D$8="Вкл",(((IF(Статистика!$C$4="Параллельный режим (активная мощность)",AE255,AP255)+Статистика!$J$4))-Статистика!$C$10)/MAX(Статистика!$G$10-Статистика!$C$10,0.000001),NA()))</f>
        <v>0.67851838888888871</v>
      </c>
      <c r="CE255" s="12">
        <f>IF(Y255="",NA(),IF(Статистика!$F$8="Вкл",(((IF(Статистика!$C$4="Параллельный режим (активная мощность)",AB255,AM255)+Статистика!$J$4))-Статистика!$C$10)/MAX(Статистика!$G$10-Статистика!$C$10,0.000001),NA()))</f>
        <v>0.47617179111111119</v>
      </c>
      <c r="CF255" s="12">
        <f>IF(Y255="",NA(),IF(Статистика!$F$8="Вкл",(((IF(Статистика!$C$4="Параллельный режим (активная мощность)",AF255,AQ255)+Статистика!$J$4))-Статистика!$C$10)/MAX(Статистика!$G$10-Статистика!$C$10,0.000001),NA()))</f>
        <v>0.7901938633333333</v>
      </c>
      <c r="CG255" s="12">
        <f>IF(Y255="",NA(),IF(Статистика!$H$8="Вкл",(((IF(Статистика!$C$4="Параллельный режим (активная мощность)",Z255,AK255)+Статистика!$J$4))-Статистика!$C$10)/MAX(Статистика!$G$10-Статистика!$C$10,0.000001),NA()))</f>
        <v>0.46894696911111139</v>
      </c>
      <c r="CH255" s="12">
        <f>IF(Y255="",NA(),IF(Статистика!$H$8="Вкл",(((IF(Статистика!$C$4="Параллельный режим (активная мощность)",AH255,AS255)+Статистика!$J$4))-Статистика!$C$10)/MAX(Статистика!$G$10-Статистика!$C$10,0.000001),NA()))</f>
        <v>0.80629558633333365</v>
      </c>
      <c r="CI255" s="12" t="e">
        <f>IF(Y255="",NA(),IF(Статистика!$J$8="Вкл",(((IF(Статистика!$C$4="Параллельный режим (активная мощность)",AI255,AT255)+Статистика!$J$4))-Статистика!$C$10)/MAX(Статистика!$G$10-Статистика!$C$10,0.000001),NA()))</f>
        <v>#N/A</v>
      </c>
      <c r="CJ255" s="12" t="e">
        <f>IF(AND(Y255&lt;&gt;"",Статистика!$C$6="Вкл",Статистика!$B$6&gt;0),(Статистика!$B$6-Статистика!$C$10)/MAX(Статистика!$G$10-Статистика!$C$10,0.000001),NA())</f>
        <v>#N/A</v>
      </c>
      <c r="CK255" s="12" t="e">
        <f>IF(AND(Y255&lt;&gt;"",Статистика!$F$6="Вкл",Статистика!$E$6&gt;0),(Статистика!$E$6-Статистика!$C$10)/MAX(Статистика!$G$10-Статистика!$C$10,0.000001),NA())</f>
        <v>#N/A</v>
      </c>
      <c r="CL255" s="12" t="e">
        <f>IF(AND(Y255&lt;&gt;"",Статистика!$I$6="Вкл",Статистика!$H$6&gt;0),(Статистика!$H$6-Статистика!$C$10)/MAX(Статистика!$G$10-Статистика!$C$10,0.000001),NA())</f>
        <v>#N/A</v>
      </c>
      <c r="CM255" s="12" t="e">
        <f>IF(AND(Y255&lt;&gt;"",Статистика!$L$6="Вкл",Статистика!$K$6&gt;0),(Статистика!$K$6-Статистика!$C$10)/MAX(Статистика!$G$10-Статистика!$C$10,0.000001),NA())</f>
        <v>#N/A</v>
      </c>
      <c r="CN255" s="12" t="e">
        <f>IF(AND(Y255&lt;&gt;"",Статистика!$M$6="Вкл",Статистика!$O$6&gt;0),(Статистика!$O$6-Статистика!$C$10)/MAX(Статистика!$G$10-Статистика!$C$10,0.000001),NA())</f>
        <v>#N/A</v>
      </c>
      <c r="CO255" s="12">
        <f t="shared" si="7"/>
        <v>1</v>
      </c>
    </row>
    <row r="256" spans="1:93" ht="15" customHeight="1">
      <c r="A256" s="12" t="s">
        <v>1071</v>
      </c>
      <c r="B256" s="12">
        <v>2221.5745368333332</v>
      </c>
      <c r="C256" s="12">
        <v>5624.3968175000009</v>
      </c>
      <c r="D256" s="12">
        <v>7263.8456583333336</v>
      </c>
      <c r="E256" s="12">
        <v>7590.4265416666676</v>
      </c>
      <c r="F256" s="12">
        <v>7787.6528833333332</v>
      </c>
      <c r="G256" s="12">
        <v>8151.5801249999995</v>
      </c>
      <c r="H256" s="12">
        <v>8395.2006849999998</v>
      </c>
      <c r="I256" s="12">
        <v>8417.0171974999994</v>
      </c>
      <c r="J256" s="12">
        <v>8440.0147195000009</v>
      </c>
      <c r="K256" s="12">
        <v>8640.84</v>
      </c>
      <c r="L256" s="12" t="s">
        <v>1072</v>
      </c>
      <c r="M256" s="12">
        <v>2728.8930334999995</v>
      </c>
      <c r="N256" s="12">
        <v>6435.6627675</v>
      </c>
      <c r="O256" s="12">
        <v>8240.9886350000015</v>
      </c>
      <c r="P256" s="12">
        <v>8645.5540000000001</v>
      </c>
      <c r="Q256" s="12">
        <v>8851.3415499999992</v>
      </c>
      <c r="R256" s="12">
        <v>9198.5447999999997</v>
      </c>
      <c r="S256" s="12">
        <v>9486.9052933333314</v>
      </c>
      <c r="T256" s="12">
        <v>9530.8742474999981</v>
      </c>
      <c r="U256" s="12">
        <v>9567.6498628333338</v>
      </c>
      <c r="V256" s="12">
        <v>9708.06</v>
      </c>
      <c r="W256" s="12" t="s">
        <v>1073</v>
      </c>
      <c r="Y256" s="12" t="s">
        <v>1071</v>
      </c>
      <c r="Z256" s="12">
        <v>7406.5738576666663</v>
      </c>
      <c r="AA256" s="12">
        <v>7416.316088333333</v>
      </c>
      <c r="AB256" s="12">
        <v>7428.4938766666655</v>
      </c>
      <c r="AC256" s="12">
        <v>7545.0876166666676</v>
      </c>
      <c r="AD256" s="12">
        <v>7759.816733333334</v>
      </c>
      <c r="AE256" s="12">
        <v>8182.1160916666659</v>
      </c>
      <c r="AF256" s="12">
        <v>8353.2901599999987</v>
      </c>
      <c r="AG256" s="12">
        <v>8392.7660799999994</v>
      </c>
      <c r="AH256" s="12">
        <v>8424.3468159999993</v>
      </c>
      <c r="AI256" s="12">
        <v>8553.42</v>
      </c>
      <c r="AJ256" s="12" t="s">
        <v>1074</v>
      </c>
      <c r="AK256" s="12">
        <v>8457.3257928333314</v>
      </c>
      <c r="AL256" s="12">
        <v>8462.4142974999995</v>
      </c>
      <c r="AM256" s="12">
        <v>8468.7749283333324</v>
      </c>
      <c r="AN256" s="12">
        <v>8568.3390249999993</v>
      </c>
      <c r="AO256" s="12">
        <v>8864.8321166666665</v>
      </c>
      <c r="AP256" s="12">
        <v>9199.9313333333339</v>
      </c>
      <c r="AQ256" s="12">
        <v>9366.1753333333345</v>
      </c>
      <c r="AR256" s="12">
        <v>9401.6389666666673</v>
      </c>
      <c r="AS256" s="12">
        <v>9430.0098733333343</v>
      </c>
      <c r="AT256" s="12">
        <v>9547.2199999999993</v>
      </c>
      <c r="AU256" s="12" t="s">
        <v>1074</v>
      </c>
      <c r="AW256" s="12">
        <f>IF(A256="","",MAX(0,MIN(1,(((IF(Статистика!$C$4="Параллельный режим (активная мощность)",B256,M256)+Статистика!$J$4))-Статистика!$C$10)/MAX(Статистика!$G$10-Статистика!$C$10,0.000001))))</f>
        <v>0</v>
      </c>
      <c r="AX256" s="12">
        <f>IF(A256="","",MAX(0,MAX(0,MIN(1,(((IF(Статистика!$C$4="Параллельный режим (активная мощность)",D256,O256)+Статистика!$J$4))-Статистика!$C$10)/MAX(Статистика!$G$10-Статистика!$C$10,0.000001)))-MAX(0,MIN(1,(((IF(Статистика!$C$4="Параллельный режим (активная мощность)",B256,M256)+Статистика!$J$4))-Статистика!$C$10)/MAX(Статистика!$G$10-Статистика!$C$10,0.000001)))))</f>
        <v>0.42128188611111123</v>
      </c>
      <c r="AY256" s="12">
        <f>IF(A256="","",MAX(0,MAX(0,MIN(1,(((IF(Статистика!$C$4="Параллельный режим (активная мощность)",E256,P256)+Статистика!$J$4))-Статистика!$C$10)/MAX(Статистика!$G$10-Статистика!$C$10,0.000001)))-MAX(0,MIN(1,(((IF(Статистика!$C$4="Параллельный режим (активная мощность)",D256,O256)+Статистика!$J$4))-Статистика!$C$10)/MAX(Статистика!$G$10-Статистика!$C$10,0.000001)))))</f>
        <v>0.10886029444444462</v>
      </c>
      <c r="AZ256" s="12">
        <f>IF(A256="","",MAX(0,MAX(0,MIN(1,(((IF(Статистика!$C$4="Параллельный режим (активная мощность)",F256,Q256)+Статистика!$J$4))-Статистика!$C$10)/MAX(Статистика!$G$10-Статистика!$C$10,0.000001)))-MAX(0,MIN(1,(((IF(Статистика!$C$4="Параллельный режим (активная мощность)",E256,P256)+Статистика!$J$4))-Статистика!$C$10)/MAX(Статистика!$G$10-Статистика!$C$10,0.000001)))))</f>
        <v>6.5742113888888509E-2</v>
      </c>
      <c r="BA256" s="12">
        <f>IF(A256="","",MAX(0,MAX(0,MIN(1,(((IF(Статистика!$C$4="Параллельный режим (активная мощность)",G256,R256)+Статистика!$J$4))-Статистика!$C$10)/MAX(Статистика!$G$10-Статистика!$C$10,0.000001)))-MAX(0,MIN(1,(((IF(Статистика!$C$4="Параллельный режим (активная мощность)",F256,Q256)+Статистика!$J$4))-Статистика!$C$10)/MAX(Статистика!$G$10-Статистика!$C$10,0.000001)))))</f>
        <v>0.12130908055555545</v>
      </c>
      <c r="BB256" s="12">
        <f>IF(A256="","",MAX(0,MAX(0,MIN(1,(((IF(Статистика!$C$4="Параллельный режим (активная мощность)",H256,S256)+Статистика!$J$4))-Статистика!$C$10)/MAX(Статистика!$G$10-Статистика!$C$10,0.000001)))-MAX(0,MIN(1,(((IF(Статистика!$C$4="Параллельный режим (активная мощность)",G256,R256)+Статистика!$J$4))-Статистика!$C$10)/MAX(Статистика!$G$10-Статистика!$C$10,0.000001)))))</f>
        <v>8.120685333333344E-2</v>
      </c>
      <c r="BC256" s="12">
        <f>IF(A256="","",MAX(0,MAX(0,MIN(1,(((IF(Статистика!$C$4="Параллельный режим (активная мощность)",J256,U256)+Статистика!$J$4))-Статистика!$C$10)/MAX(Статистика!$G$10-Статистика!$C$10,0.000001)))-MAX(0,MIN(1,(((IF(Статистика!$C$4="Параллельный режим (активная мощность)",H256,S256)+Статистика!$J$4))-Статистика!$C$10)/MAX(Статистика!$G$10-Статистика!$C$10,0.000001)))))</f>
        <v>1.4938011500000403E-2</v>
      </c>
      <c r="BD256" s="12">
        <f>IF(A256="","",MAX(0,1-MAX(0,MIN(1,(((IF(Статистика!$C$4="Параллельный режим (активная мощность)",J256,U256)+Статистика!$J$4))-Статистика!$C$10)/MAX(Статистика!$G$10-Статистика!$C$10,0.000001)))))</f>
        <v>0.18666176016666636</v>
      </c>
      <c r="BE256" s="12">
        <f>IF(A256="",NA(),IF(Статистика!$B$8="Вкл",(((IF(Статистика!$C$4="Параллельный режим (активная мощность)",F256,Q256)+Статистика!$J$4))-Статистика!$C$10)/MAX(Статистика!$G$10-Статистика!$C$10,0.000001),NA()))</f>
        <v>0.59588429444444435</v>
      </c>
      <c r="BF256" s="12">
        <f>IF(A256="",NA(),IF(Статистика!$D$8="Вкл",(((IF(Статистика!$C$4="Параллельный режим (активная мощность)",E256,P256)+Статистика!$J$4))-Статистика!$C$10)/MAX(Статистика!$G$10-Статистика!$C$10,0.000001),NA()))</f>
        <v>0.53014218055555584</v>
      </c>
      <c r="BG256" s="12">
        <f>IF(A256="",NA(),IF(Статистика!$D$8="Вкл",(((IF(Статистика!$C$4="Параллельный режим (активная мощность)",G256,R256)+Статистика!$J$4))-Статистика!$C$10)/MAX(Статистика!$G$10-Статистика!$C$10,0.000001),NA()))</f>
        <v>0.7171933749999998</v>
      </c>
      <c r="BH256" s="12">
        <f>IF(A256="",NA(),IF(Статистика!$F$8="Вкл",(((IF(Статистика!$C$4="Параллельный режим (активная мощность)",D256,O256)+Статистика!$J$4))-Статистика!$C$10)/MAX(Статистика!$G$10-Статистика!$C$10,0.000001),NA()))</f>
        <v>0.42128188611111123</v>
      </c>
      <c r="BI256" s="12">
        <f>IF(A256="",NA(),IF(Статистика!$F$8="Вкл",(((IF(Статистика!$C$4="Параллельный режим (активная мощность)",H256,S256)+Статистика!$J$4))-Статистика!$C$10)/MAX(Статистика!$G$10-Статистика!$C$10,0.000001),NA()))</f>
        <v>0.79840022833333324</v>
      </c>
      <c r="BJ256" s="12">
        <f>IF(A256="",NA(),IF(Статистика!$H$8="Вкл",(((IF(Статистика!$C$4="Параллельный режим (активная мощность)",B256,M256)+Статистика!$J$4))-Статистика!$C$10)/MAX(Статистика!$G$10-Статистика!$C$10,0.000001),NA()))</f>
        <v>-1.2594751543888889</v>
      </c>
      <c r="BK256" s="12">
        <f>IF(A256="",NA(),IF(Статистика!$H$8="Вкл",(((IF(Статистика!$C$4="Параллельный режим (активная мощность)",J256,U256)+Статистика!$J$4))-Статистика!$C$10)/MAX(Статистика!$G$10-Статистика!$C$10,0.000001),NA()))</f>
        <v>0.81333823983333364</v>
      </c>
      <c r="BL256" s="12" t="e">
        <f>IF(A256="",NA(),IF(Статистика!$J$8="Вкл",(((IF(Статистика!$C$4="Параллельный режим (активная мощность)",K256,V256)+Статистика!$J$4))-Статистика!$C$10)/MAX(Статистика!$G$10-Статистика!$C$10,0.000001),NA()))</f>
        <v>#N/A</v>
      </c>
      <c r="BM256" s="12" t="e">
        <f>IF(AND(A256&lt;&gt;"",Статистика!$C$6="Вкл",Статистика!$B$6&gt;0),(Статистика!$B$6-Статистика!$C$10)/MAX(Статистика!$G$10-Статистика!$C$10,0.000001),NA())</f>
        <v>#N/A</v>
      </c>
      <c r="BN256" s="12" t="e">
        <f>IF(AND(A256&lt;&gt;"",Статистика!$F$6="Вкл",Статистика!$E$6&gt;0),(Статистика!$E$6-Статистика!$C$10)/MAX(Статистика!$G$10-Статистика!$C$10,0.000001),NA())</f>
        <v>#N/A</v>
      </c>
      <c r="BO256" s="12" t="e">
        <f>IF(AND(A256&lt;&gt;"",Статистика!$I$6="Вкл",Статистика!$H$6&gt;0),(Статистика!$H$6-Статистика!$C$10)/MAX(Статистика!$G$10-Статистика!$C$10,0.000001),NA())</f>
        <v>#N/A</v>
      </c>
      <c r="BP256" s="12" t="e">
        <f>IF(AND(A256&lt;&gt;"",Статистика!$L$6="Вкл",Статистика!$K$6&gt;0),(Статистика!$K$6-Статистика!$C$10)/MAX(Статистика!$G$10-Статистика!$C$10,0.000001),NA())</f>
        <v>#N/A</v>
      </c>
      <c r="BQ256" s="12" t="e">
        <f>IF(AND(A256&lt;&gt;"",Статистика!$M$6="Вкл",Статистика!$O$6&gt;0),(Статистика!$O$6-Статистика!$C$10)/MAX(Статистика!$G$10-Статистика!$C$10,0.000001),NA())</f>
        <v>#N/A</v>
      </c>
      <c r="BR256" s="12">
        <f t="shared" si="6"/>
        <v>1</v>
      </c>
      <c r="BT256" s="12">
        <f>IF(Y256="","",MAX(0,MIN(1,(((IF(Статистика!$C$4="Параллельный режим (активная мощность)",Z256,AK256)+Статистика!$J$4))-Статистика!$C$10)/MAX(Статистика!$G$10-Статистика!$C$10,0.000001))))</f>
        <v>0.46885795255555546</v>
      </c>
      <c r="BU256" s="12">
        <f>IF(Y256="","",MAX(0,MAX(0,MIN(1,(((IF(Статистика!$C$4="Параллельный режим (активная мощность)",AB256,AM256)+Статистика!$J$4))-Статистика!$C$10)/MAX(Статистика!$G$10-Статистика!$C$10,0.000001)))-MAX(0,MIN(1,(((IF(Статистика!$C$4="Параллельный режим (активная мощность)",Z256,AK256)+Статистика!$J$4))-Статистика!$C$10)/MAX(Статистика!$G$10-Статистика!$C$10,0.000001)))))</f>
        <v>7.3066729999997082E-3</v>
      </c>
      <c r="BV256" s="12">
        <f>IF(Y256="","",MAX(0,MAX(0,MIN(1,(((IF(Статистика!$C$4="Параллельный режим (активная мощность)",AC256,AN256)+Статистика!$J$4))-Статистика!$C$10)/MAX(Статистика!$G$10-Статистика!$C$10,0.000001)))-MAX(0,MIN(1,(((IF(Статистика!$C$4="Параллельный режим (активная мощность)",AB256,AM256)+Статистика!$J$4))-Статистика!$C$10)/MAX(Статистика!$G$10-Статистика!$C$10,0.000001)))))</f>
        <v>3.8864580000000704E-2</v>
      </c>
      <c r="BW256" s="12">
        <f>IF(Y256="","",MAX(0,MAX(0,MIN(1,(((IF(Статистика!$C$4="Параллельный режим (активная мощность)",AD256,AO256)+Статистика!$J$4))-Статистика!$C$10)/MAX(Статистика!$G$10-Статистика!$C$10,0.000001)))-MAX(0,MIN(1,(((IF(Статистика!$C$4="Параллельный режим (активная мощность)",AC256,AN256)+Статистика!$J$4))-Статистика!$C$10)/MAX(Статистика!$G$10-Статистика!$C$10,0.000001)))))</f>
        <v>7.1576372222222129E-2</v>
      </c>
      <c r="BX256" s="12">
        <f>IF(Y256="","",MAX(0,MAX(0,MIN(1,(((IF(Статистика!$C$4="Параллельный режим (активная мощность)",AE256,AP256)+Статистика!$J$4))-Статистика!$C$10)/MAX(Статистика!$G$10-Статистика!$C$10,0.000001)))-MAX(0,MIN(1,(((IF(Статистика!$C$4="Параллельный режим (активная мощность)",AD256,AO256)+Статистика!$J$4))-Статистика!$C$10)/MAX(Статистика!$G$10-Статистика!$C$10,0.000001)))))</f>
        <v>0.14076645277777733</v>
      </c>
      <c r="BY256" s="12">
        <f>IF(Y256="","",MAX(0,MAX(0,MIN(1,(((IF(Статистика!$C$4="Параллельный режим (активная мощность)",AF256,AQ256)+Статистика!$J$4))-Статистика!$C$10)/MAX(Статистика!$G$10-Статистика!$C$10,0.000001)))-MAX(0,MIN(1,(((IF(Статистика!$C$4="Параллельный режим (активная мощность)",AE256,AP256)+Статистика!$J$4))-Статистика!$C$10)/MAX(Статистика!$G$10-Статистика!$C$10,0.000001)))))</f>
        <v>5.7058022777777606E-2</v>
      </c>
      <c r="BZ256" s="12">
        <f>IF(Y256="","",MAX(0,MAX(0,MIN(1,(((IF(Статистика!$C$4="Параллельный режим (активная мощность)",AH256,AS256)+Статистика!$J$4))-Статистика!$C$10)/MAX(Статистика!$G$10-Статистика!$C$10,0.000001)))-MAX(0,MIN(1,(((IF(Статистика!$C$4="Параллельный режим (активная мощность)",AF256,AQ256)+Статистика!$J$4))-Статистика!$C$10)/MAX(Статистика!$G$10-Статистика!$C$10,0.000001)))))</f>
        <v>2.3685552000000221E-2</v>
      </c>
      <c r="CA256" s="12">
        <f>IF(Y256="","",MAX(0,1-MAX(0,MIN(1,(((IF(Статистика!$C$4="Параллельный режим (активная мощность)",AH256,AS256)+Статистика!$J$4))-Статистика!$C$10)/MAX(Статистика!$G$10-Статистика!$C$10,0.000001)))))</f>
        <v>0.19188439466666685</v>
      </c>
      <c r="CB256" s="12">
        <f>IF(Y256="",NA(),IF(Статистика!$B$8="Вкл",(((IF(Статистика!$C$4="Параллельный режим (активная мощность)",AD256,AO256)+Статистика!$J$4))-Статистика!$C$10)/MAX(Статистика!$G$10-Статистика!$C$10,0.000001),NA()))</f>
        <v>0.586605577777778</v>
      </c>
      <c r="CC256" s="12">
        <f>IF(Y256="",NA(),IF(Статистика!$D$8="Вкл",(((IF(Статистика!$C$4="Параллельный режим (активная мощность)",AC256,AN256)+Статистика!$J$4))-Статистика!$C$10)/MAX(Статистика!$G$10-Статистика!$C$10,0.000001),NA()))</f>
        <v>0.51502920555555587</v>
      </c>
      <c r="CD256" s="12">
        <f>IF(Y256="",NA(),IF(Статистика!$D$8="Вкл",(((IF(Статистика!$C$4="Параллельный режим (активная мощность)",AE256,AP256)+Статистика!$J$4))-Статистика!$C$10)/MAX(Статистика!$G$10-Статистика!$C$10,0.000001),NA()))</f>
        <v>0.72737203055555533</v>
      </c>
      <c r="CE256" s="12">
        <f>IF(Y256="",NA(),IF(Статистика!$F$8="Вкл",(((IF(Статистика!$C$4="Параллельный режим (активная мощность)",AB256,AM256)+Статистика!$J$4))-Статистика!$C$10)/MAX(Статистика!$G$10-Статистика!$C$10,0.000001),NA()))</f>
        <v>0.47616462555555517</v>
      </c>
      <c r="CF256" s="12">
        <f>IF(Y256="",NA(),IF(Статистика!$F$8="Вкл",(((IF(Статистика!$C$4="Параллельный режим (активная мощность)",AF256,AQ256)+Статистика!$J$4))-Статистика!$C$10)/MAX(Статистика!$G$10-Статистика!$C$10,0.000001),NA()))</f>
        <v>0.78443005333333293</v>
      </c>
      <c r="CG256" s="12">
        <f>IF(Y256="",NA(),IF(Статистика!$H$8="Вкл",(((IF(Статистика!$C$4="Параллельный режим (активная мощность)",Z256,AK256)+Статистика!$J$4))-Статистика!$C$10)/MAX(Статистика!$G$10-Статистика!$C$10,0.000001),NA()))</f>
        <v>0.46885795255555546</v>
      </c>
      <c r="CH256" s="12">
        <f>IF(Y256="",NA(),IF(Статистика!$H$8="Вкл",(((IF(Статистика!$C$4="Параллельный режим (активная мощность)",AH256,AS256)+Статистика!$J$4))-Статистика!$C$10)/MAX(Статистика!$G$10-Статистика!$C$10,0.000001),NA()))</f>
        <v>0.80811560533333315</v>
      </c>
      <c r="CI256" s="12" t="e">
        <f>IF(Y256="",NA(),IF(Статистика!$J$8="Вкл",(((IF(Статистика!$C$4="Параллельный режим (активная мощность)",AI256,AT256)+Статистика!$J$4))-Статистика!$C$10)/MAX(Статистика!$G$10-Статистика!$C$10,0.000001),NA()))</f>
        <v>#N/A</v>
      </c>
      <c r="CJ256" s="12" t="e">
        <f>IF(AND(Y256&lt;&gt;"",Статистика!$C$6="Вкл",Статистика!$B$6&gt;0),(Статистика!$B$6-Статистика!$C$10)/MAX(Статистика!$G$10-Статистика!$C$10,0.000001),NA())</f>
        <v>#N/A</v>
      </c>
      <c r="CK256" s="12" t="e">
        <f>IF(AND(Y256&lt;&gt;"",Статистика!$F$6="Вкл",Статистика!$E$6&gt;0),(Статистика!$E$6-Статистика!$C$10)/MAX(Статистика!$G$10-Статистика!$C$10,0.000001),NA())</f>
        <v>#N/A</v>
      </c>
      <c r="CL256" s="12" t="e">
        <f>IF(AND(Y256&lt;&gt;"",Статистика!$I$6="Вкл",Статистика!$H$6&gt;0),(Статистика!$H$6-Статистика!$C$10)/MAX(Статистика!$G$10-Статистика!$C$10,0.000001),NA())</f>
        <v>#N/A</v>
      </c>
      <c r="CM256" s="12" t="e">
        <f>IF(AND(Y256&lt;&gt;"",Статистика!$L$6="Вкл",Статистика!$K$6&gt;0),(Статистика!$K$6-Статистика!$C$10)/MAX(Статистика!$G$10-Статистика!$C$10,0.000001),NA())</f>
        <v>#N/A</v>
      </c>
      <c r="CN256" s="12" t="e">
        <f>IF(AND(Y256&lt;&gt;"",Статистика!$M$6="Вкл",Статистика!$O$6&gt;0),(Статистика!$O$6-Статистика!$C$10)/MAX(Статистика!$G$10-Статистика!$C$10,0.000001),NA())</f>
        <v>#N/A</v>
      </c>
      <c r="CO256" s="12">
        <f t="shared" si="7"/>
        <v>1</v>
      </c>
    </row>
    <row r="257" spans="1:93" ht="15" customHeight="1">
      <c r="A257" s="12" t="s">
        <v>1075</v>
      </c>
      <c r="B257" s="12">
        <v>2230.0476558333335</v>
      </c>
      <c r="C257" s="12">
        <v>5665.1810791666676</v>
      </c>
      <c r="D257" s="12">
        <v>7328.1164733333335</v>
      </c>
      <c r="E257" s="12">
        <v>7565.4000250000008</v>
      </c>
      <c r="F257" s="12">
        <v>7806.1197500000007</v>
      </c>
      <c r="G257" s="12">
        <v>8157.0686916666673</v>
      </c>
      <c r="H257" s="12">
        <v>8360.1951466666651</v>
      </c>
      <c r="I257" s="12">
        <v>8403.1653699999988</v>
      </c>
      <c r="J257" s="12">
        <v>8404.9456606666645</v>
      </c>
      <c r="K257" s="12">
        <v>8527.77</v>
      </c>
      <c r="L257" s="12" t="s">
        <v>1076</v>
      </c>
      <c r="M257" s="12">
        <v>2755.1746229999999</v>
      </c>
      <c r="N257" s="12">
        <v>6507.0964483333328</v>
      </c>
      <c r="O257" s="12">
        <v>8353.0464449999981</v>
      </c>
      <c r="P257" s="12">
        <v>8660.4694916666667</v>
      </c>
      <c r="Q257" s="12">
        <v>8849.1366500000004</v>
      </c>
      <c r="R257" s="12">
        <v>9221.6485999999986</v>
      </c>
      <c r="S257" s="12">
        <v>9429.0226050000001</v>
      </c>
      <c r="T257" s="12">
        <v>9481.7094533333329</v>
      </c>
      <c r="U257" s="12">
        <v>9562.9764240000022</v>
      </c>
      <c r="V257" s="12">
        <v>9797.48</v>
      </c>
      <c r="W257" s="12" t="s">
        <v>1076</v>
      </c>
      <c r="Y257" s="12" t="s">
        <v>1075</v>
      </c>
      <c r="Z257" s="12">
        <v>7241.5713548333324</v>
      </c>
      <c r="AA257" s="12">
        <v>7274.9654408333327</v>
      </c>
      <c r="AB257" s="12">
        <v>7316.708048333332</v>
      </c>
      <c r="AC257" s="12">
        <v>7570.4422500000001</v>
      </c>
      <c r="AD257" s="12">
        <v>7730.6771000000008</v>
      </c>
      <c r="AE257" s="12">
        <v>8242.3898499999996</v>
      </c>
      <c r="AF257" s="12">
        <v>8306.0474566666671</v>
      </c>
      <c r="AG257" s="12">
        <v>8308.3789616666672</v>
      </c>
      <c r="AH257" s="12">
        <v>8310.244165666667</v>
      </c>
      <c r="AI257" s="12">
        <v>8455.85</v>
      </c>
      <c r="AJ257" s="12" t="s">
        <v>1077</v>
      </c>
      <c r="AK257" s="12">
        <v>8304.7945135000009</v>
      </c>
      <c r="AL257" s="12">
        <v>8336.4699008333337</v>
      </c>
      <c r="AM257" s="12">
        <v>8376.0641349999987</v>
      </c>
      <c r="AN257" s="12">
        <v>8603.4971000000005</v>
      </c>
      <c r="AO257" s="12">
        <v>8810.6414833333329</v>
      </c>
      <c r="AP257" s="12">
        <v>9240.9805916666664</v>
      </c>
      <c r="AQ257" s="12">
        <v>9328.3056166666665</v>
      </c>
      <c r="AR257" s="12">
        <v>9328.590975000001</v>
      </c>
      <c r="AS257" s="12">
        <v>9328.8192616666674</v>
      </c>
      <c r="AT257" s="12">
        <v>9440.91</v>
      </c>
      <c r="AU257" s="12" t="s">
        <v>1077</v>
      </c>
      <c r="AW257" s="12">
        <f>IF(A257="","",MAX(0,MIN(1,(((IF(Статистика!$C$4="Параллельный режим (активная мощность)",B257,M257)+Статистика!$J$4))-Статистика!$C$10)/MAX(Статистика!$G$10-Статистика!$C$10,0.000001))))</f>
        <v>0</v>
      </c>
      <c r="AX257" s="12">
        <f>IF(A257="","",MAX(0,MAX(0,MIN(1,(((IF(Статистика!$C$4="Параллельный режим (активная мощность)",D257,O257)+Статистика!$J$4))-Статистика!$C$10)/MAX(Статистика!$G$10-Статистика!$C$10,0.000001)))-MAX(0,MIN(1,(((IF(Статистика!$C$4="Параллельный режим (активная мощность)",B257,M257)+Статистика!$J$4))-Статистика!$C$10)/MAX(Статистика!$G$10-Статистика!$C$10,0.000001)))))</f>
        <v>0.44270549111111118</v>
      </c>
      <c r="AY257" s="12">
        <f>IF(A257="","",MAX(0,MAX(0,MIN(1,(((IF(Статистика!$C$4="Параллельный режим (активная мощность)",E257,P257)+Статистика!$J$4))-Статистика!$C$10)/MAX(Статистика!$G$10-Статистика!$C$10,0.000001)))-MAX(0,MIN(1,(((IF(Статистика!$C$4="Параллельный режим (активная мощность)",D257,O257)+Статистика!$J$4))-Статистика!$C$10)/MAX(Статистика!$G$10-Статистика!$C$10,0.000001)))))</f>
        <v>7.9094517222222438E-2</v>
      </c>
      <c r="AZ257" s="12">
        <f>IF(A257="","",MAX(0,MAX(0,MIN(1,(((IF(Статистика!$C$4="Параллельный режим (активная мощность)",F257,Q257)+Статистика!$J$4))-Статистика!$C$10)/MAX(Статистика!$G$10-Статистика!$C$10,0.000001)))-MAX(0,MIN(1,(((IF(Статистика!$C$4="Параллельный режим (активная мощность)",E257,P257)+Статистика!$J$4))-Статистика!$C$10)/MAX(Статистика!$G$10-Статистика!$C$10,0.000001)))))</f>
        <v>8.0239908333333276E-2</v>
      </c>
      <c r="BA257" s="12">
        <f>IF(A257="","",MAX(0,MAX(0,MIN(1,(((IF(Статистика!$C$4="Параллельный режим (активная мощность)",G257,R257)+Статистика!$J$4))-Статистика!$C$10)/MAX(Статистика!$G$10-Статистика!$C$10,0.000001)))-MAX(0,MIN(1,(((IF(Статистика!$C$4="Параллельный режим (активная мощность)",F257,Q257)+Статистика!$J$4))-Статистика!$C$10)/MAX(Статистика!$G$10-Статистика!$C$10,0.000001)))))</f>
        <v>0.11698298055555556</v>
      </c>
      <c r="BB257" s="12">
        <f>IF(A257="","",MAX(0,MAX(0,MIN(1,(((IF(Статистика!$C$4="Параллельный режим (активная мощность)",H257,S257)+Статистика!$J$4))-Статистика!$C$10)/MAX(Статистика!$G$10-Статистика!$C$10,0.000001)))-MAX(0,MIN(1,(((IF(Статистика!$C$4="Параллельный режим (активная мощность)",G257,R257)+Статистика!$J$4))-Статистика!$C$10)/MAX(Статистика!$G$10-Статистика!$C$10,0.000001)))))</f>
        <v>6.7708818333332532E-2</v>
      </c>
      <c r="BC257" s="12">
        <f>IF(A257="","",MAX(0,MAX(0,MIN(1,(((IF(Статистика!$C$4="Параллельный режим (активная мощность)",J257,U257)+Статистика!$J$4))-Статистика!$C$10)/MAX(Статистика!$G$10-Статистика!$C$10,0.000001)))-MAX(0,MIN(1,(((IF(Статистика!$C$4="Параллельный режим (активная мощность)",H257,S257)+Статистика!$J$4))-Статистика!$C$10)/MAX(Статистика!$G$10-Статистика!$C$10,0.000001)))))</f>
        <v>1.4916837999999877E-2</v>
      </c>
      <c r="BD257" s="12">
        <f>IF(A257="","",MAX(0,1-MAX(0,MIN(1,(((IF(Статистика!$C$4="Параллельный режим (активная мощность)",J257,U257)+Статистика!$J$4))-Статистика!$C$10)/MAX(Статистика!$G$10-Статистика!$C$10,0.000001)))))</f>
        <v>0.19835144644444513</v>
      </c>
      <c r="BE257" s="12">
        <f>IF(A257="",NA(),IF(Статистика!$B$8="Вкл",(((IF(Статистика!$C$4="Параллельный режим (активная мощность)",F257,Q257)+Статистика!$J$4))-Статистика!$C$10)/MAX(Статистика!$G$10-Статистика!$C$10,0.000001),NA()))</f>
        <v>0.6020399166666669</v>
      </c>
      <c r="BF257" s="12">
        <f>IF(A257="",NA(),IF(Статистика!$D$8="Вкл",(((IF(Статистика!$C$4="Параллельный режим (активная мощность)",E257,P257)+Статистика!$J$4))-Статистика!$C$10)/MAX(Статистика!$G$10-Статистика!$C$10,0.000001),NA()))</f>
        <v>0.52180000833333362</v>
      </c>
      <c r="BG257" s="12">
        <f>IF(A257="",NA(),IF(Статистика!$D$8="Вкл",(((IF(Статистика!$C$4="Параллельный режим (активная мощность)",G257,R257)+Статистика!$J$4))-Статистика!$C$10)/MAX(Статистика!$G$10-Статистика!$C$10,0.000001),NA()))</f>
        <v>0.71902289722222246</v>
      </c>
      <c r="BH257" s="12">
        <f>IF(A257="",NA(),IF(Статистика!$F$8="Вкл",(((IF(Статистика!$C$4="Параллельный режим (активная мощность)",D257,O257)+Статистика!$J$4))-Статистика!$C$10)/MAX(Статистика!$G$10-Статистика!$C$10,0.000001),NA()))</f>
        <v>0.44270549111111118</v>
      </c>
      <c r="BI257" s="12">
        <f>IF(A257="",NA(),IF(Статистика!$F$8="Вкл",(((IF(Статистика!$C$4="Параллельный режим (активная мощность)",H257,S257)+Статистика!$J$4))-Статистика!$C$10)/MAX(Статистика!$G$10-Статистика!$C$10,0.000001),NA()))</f>
        <v>0.78673171555555499</v>
      </c>
      <c r="BJ257" s="12">
        <f>IF(A257="",NA(),IF(Статистика!$H$8="Вкл",(((IF(Статистика!$C$4="Параллельный режим (активная мощность)",B257,M257)+Статистика!$J$4))-Статистика!$C$10)/MAX(Статистика!$G$10-Статистика!$C$10,0.000001),NA()))</f>
        <v>-1.2566507813888887</v>
      </c>
      <c r="BK257" s="12">
        <f>IF(A257="",NA(),IF(Статистика!$H$8="Вкл",(((IF(Статистика!$C$4="Параллельный режим (активная мощность)",J257,U257)+Статистика!$J$4))-Статистика!$C$10)/MAX(Статистика!$G$10-Статистика!$C$10,0.000001),NA()))</f>
        <v>0.80164855355555487</v>
      </c>
      <c r="BL257" s="12" t="e">
        <f>IF(A257="",NA(),IF(Статистика!$J$8="Вкл",(((IF(Статистика!$C$4="Параллельный режим (активная мощность)",K257,V257)+Статистика!$J$4))-Статистика!$C$10)/MAX(Статистика!$G$10-Статистика!$C$10,0.000001),NA()))</f>
        <v>#N/A</v>
      </c>
      <c r="BM257" s="12" t="e">
        <f>IF(AND(A257&lt;&gt;"",Статистика!$C$6="Вкл",Статистика!$B$6&gt;0),(Статистика!$B$6-Статистика!$C$10)/MAX(Статистика!$G$10-Статистика!$C$10,0.000001),NA())</f>
        <v>#N/A</v>
      </c>
      <c r="BN257" s="12" t="e">
        <f>IF(AND(A257&lt;&gt;"",Статистика!$F$6="Вкл",Статистика!$E$6&gt;0),(Статистика!$E$6-Статистика!$C$10)/MAX(Статистика!$G$10-Статистика!$C$10,0.000001),NA())</f>
        <v>#N/A</v>
      </c>
      <c r="BO257" s="12" t="e">
        <f>IF(AND(A257&lt;&gt;"",Статистика!$I$6="Вкл",Статистика!$H$6&gt;0),(Статистика!$H$6-Статистика!$C$10)/MAX(Статистика!$G$10-Статистика!$C$10,0.000001),NA())</f>
        <v>#N/A</v>
      </c>
      <c r="BP257" s="12" t="e">
        <f>IF(AND(A257&lt;&gt;"",Статистика!$L$6="Вкл",Статистика!$K$6&gt;0),(Статистика!$K$6-Статистика!$C$10)/MAX(Статистика!$G$10-Статистика!$C$10,0.000001),NA())</f>
        <v>#N/A</v>
      </c>
      <c r="BQ257" s="12" t="e">
        <f>IF(AND(A257&lt;&gt;"",Статистика!$M$6="Вкл",Статистика!$O$6&gt;0),(Статистика!$O$6-Статистика!$C$10)/MAX(Статистика!$G$10-Статистика!$C$10,0.000001),NA())</f>
        <v>#N/A</v>
      </c>
      <c r="BR257" s="12">
        <f t="shared" si="6"/>
        <v>1</v>
      </c>
      <c r="BT257" s="12">
        <f>IF(Y257="","",MAX(0,MIN(1,(((IF(Статистика!$C$4="Параллельный режим (активная мощность)",Z257,AK257)+Статистика!$J$4))-Статистика!$C$10)/MAX(Статистика!$G$10-Статистика!$C$10,0.000001))))</f>
        <v>0.41385711827777749</v>
      </c>
      <c r="BU257" s="12">
        <f>IF(Y257="","",MAX(0,MAX(0,MIN(1,(((IF(Статистика!$C$4="Параллельный режим (активная мощность)",AB257,AM257)+Статистика!$J$4))-Статистика!$C$10)/MAX(Статистика!$G$10-Статистика!$C$10,0.000001)))-MAX(0,MIN(1,(((IF(Статистика!$C$4="Параллельный режим (активная мощность)",Z257,AK257)+Статистика!$J$4))-Статистика!$C$10)/MAX(Статистика!$G$10-Статистика!$C$10,0.000001)))))</f>
        <v>2.5045564499999839E-2</v>
      </c>
      <c r="BV257" s="12">
        <f>IF(Y257="","",MAX(0,MAX(0,MIN(1,(((IF(Статистика!$C$4="Параллельный режим (активная мощность)",AC257,AN257)+Статистика!$J$4))-Статистика!$C$10)/MAX(Статистика!$G$10-Статистика!$C$10,0.000001)))-MAX(0,MIN(1,(((IF(Статистика!$C$4="Параллельный режим (активная мощность)",AB257,AM257)+Статистика!$J$4))-Статистика!$C$10)/MAX(Статистика!$G$10-Статистика!$C$10,0.000001)))))</f>
        <v>8.4578067222222719E-2</v>
      </c>
      <c r="BW257" s="12">
        <f>IF(Y257="","",MAX(0,MAX(0,MIN(1,(((IF(Статистика!$C$4="Параллельный режим (активная мощность)",AD257,AO257)+Статистика!$J$4))-Статистика!$C$10)/MAX(Статистика!$G$10-Статистика!$C$10,0.000001)))-MAX(0,MIN(1,(((IF(Статистика!$C$4="Параллельный режим (активная мощность)",AC257,AN257)+Статистика!$J$4))-Статистика!$C$10)/MAX(Статистика!$G$10-Статистика!$C$10,0.000001)))))</f>
        <v>5.3411616666666828E-2</v>
      </c>
      <c r="BX257" s="12">
        <f>IF(Y257="","",MAX(0,MAX(0,MIN(1,(((IF(Статистика!$C$4="Параллельный режим (активная мощность)",AE257,AP257)+Статистика!$J$4))-Статистика!$C$10)/MAX(Статистика!$G$10-Статистика!$C$10,0.000001)))-MAX(0,MIN(1,(((IF(Статистика!$C$4="Параллельный режим (активная мощность)",AD257,AO257)+Статистика!$J$4))-Статистика!$C$10)/MAX(Статистика!$G$10-Статистика!$C$10,0.000001)))))</f>
        <v>0.17057091666666635</v>
      </c>
      <c r="BY257" s="12">
        <f>IF(Y257="","",MAX(0,MAX(0,MIN(1,(((IF(Статистика!$C$4="Параллельный режим (активная мощность)",AF257,AQ257)+Статистика!$J$4))-Статистика!$C$10)/MAX(Статистика!$G$10-Статистика!$C$10,0.000001)))-MAX(0,MIN(1,(((IF(Статистика!$C$4="Параллельный режим (активная мощность)",AE257,AP257)+Статистика!$J$4))-Статистика!$C$10)/MAX(Статистика!$G$10-Статистика!$C$10,0.000001)))))</f>
        <v>2.1219202222222511E-2</v>
      </c>
      <c r="BZ257" s="12">
        <f>IF(Y257="","",MAX(0,MAX(0,MIN(1,(((IF(Статистика!$C$4="Параллельный режим (активная мощность)",AH257,AS257)+Статистика!$J$4))-Статистика!$C$10)/MAX(Статистика!$G$10-Статистика!$C$10,0.000001)))-MAX(0,MIN(1,(((IF(Статистика!$C$4="Параллельный режим (активная мощность)",AF257,AQ257)+Статистика!$J$4))-Статистика!$C$10)/MAX(Статистика!$G$10-Статистика!$C$10,0.000001)))))</f>
        <v>1.3989029999998959E-3</v>
      </c>
      <c r="CA257" s="12">
        <f>IF(Y257="","",MAX(0,1-MAX(0,MIN(1,(((IF(Статистика!$C$4="Параллельный режим (активная мощность)",AH257,AS257)+Статистика!$J$4))-Статистика!$C$10)/MAX(Статистика!$G$10-Статистика!$C$10,0.000001)))))</f>
        <v>0.22991861144444437</v>
      </c>
      <c r="CB257" s="12">
        <f>IF(Y257="",NA(),IF(Статистика!$B$8="Вкл",(((IF(Статистика!$C$4="Параллельный режим (активная мощность)",AD257,AO257)+Статистика!$J$4))-Статистика!$C$10)/MAX(Статистика!$G$10-Статистика!$C$10,0.000001),NA()))</f>
        <v>0.57689236666666688</v>
      </c>
      <c r="CC257" s="12">
        <f>IF(Y257="",NA(),IF(Статистика!$D$8="Вкл",(((IF(Статистика!$C$4="Параллельный режим (активная мощность)",AC257,AN257)+Статистика!$J$4))-Статистика!$C$10)/MAX(Статистика!$G$10-Статистика!$C$10,0.000001),NA()))</f>
        <v>0.52348075000000005</v>
      </c>
      <c r="CD257" s="12">
        <f>IF(Y257="",NA(),IF(Статистика!$D$8="Вкл",(((IF(Статистика!$C$4="Параллельный режим (активная мощность)",AE257,AP257)+Статистика!$J$4))-Статистика!$C$10)/MAX(Статистика!$G$10-Статистика!$C$10,0.000001),NA()))</f>
        <v>0.74746328333333323</v>
      </c>
      <c r="CE257" s="12">
        <f>IF(Y257="",NA(),IF(Статистика!$F$8="Вкл",(((IF(Статистика!$C$4="Параллельный режим (активная мощность)",AB257,AM257)+Статистика!$J$4))-Статистика!$C$10)/MAX(Статистика!$G$10-Статистика!$C$10,0.000001),NA()))</f>
        <v>0.43890268277777733</v>
      </c>
      <c r="CF257" s="12">
        <f>IF(Y257="",NA(),IF(Статистика!$F$8="Вкл",(((IF(Статистика!$C$4="Параллельный режим (активная мощность)",AF257,AQ257)+Статистика!$J$4))-Статистика!$C$10)/MAX(Статистика!$G$10-Статистика!$C$10,0.000001),NA()))</f>
        <v>0.76868248555555574</v>
      </c>
      <c r="CG257" s="12">
        <f>IF(Y257="",NA(),IF(Статистика!$H$8="Вкл",(((IF(Статистика!$C$4="Параллельный режим (активная мощность)",Z257,AK257)+Статистика!$J$4))-Статистика!$C$10)/MAX(Статистика!$G$10-Статистика!$C$10,0.000001),NA()))</f>
        <v>0.41385711827777749</v>
      </c>
      <c r="CH257" s="12">
        <f>IF(Y257="",NA(),IF(Статистика!$H$8="Вкл",(((IF(Статистика!$C$4="Параллельный режим (активная мощность)",AH257,AS257)+Статистика!$J$4))-Статистика!$C$10)/MAX(Статистика!$G$10-Статистика!$C$10,0.000001),NA()))</f>
        <v>0.77008138855555563</v>
      </c>
      <c r="CI257" s="12" t="e">
        <f>IF(Y257="",NA(),IF(Статистика!$J$8="Вкл",(((IF(Статистика!$C$4="Параллельный режим (активная мощность)",AI257,AT257)+Статистика!$J$4))-Статистика!$C$10)/MAX(Статистика!$G$10-Статистика!$C$10,0.000001),NA()))</f>
        <v>#N/A</v>
      </c>
      <c r="CJ257" s="12" t="e">
        <f>IF(AND(Y257&lt;&gt;"",Статистика!$C$6="Вкл",Статистика!$B$6&gt;0),(Статистика!$B$6-Статистика!$C$10)/MAX(Статистика!$G$10-Статистика!$C$10,0.000001),NA())</f>
        <v>#N/A</v>
      </c>
      <c r="CK257" s="12" t="e">
        <f>IF(AND(Y257&lt;&gt;"",Статистика!$F$6="Вкл",Статистика!$E$6&gt;0),(Статистика!$E$6-Статистика!$C$10)/MAX(Статистика!$G$10-Статистика!$C$10,0.000001),NA())</f>
        <v>#N/A</v>
      </c>
      <c r="CL257" s="12" t="e">
        <f>IF(AND(Y257&lt;&gt;"",Статистика!$I$6="Вкл",Статистика!$H$6&gt;0),(Статистика!$H$6-Статистика!$C$10)/MAX(Статистика!$G$10-Статистика!$C$10,0.000001),NA())</f>
        <v>#N/A</v>
      </c>
      <c r="CM257" s="12" t="e">
        <f>IF(AND(Y257&lt;&gt;"",Статистика!$L$6="Вкл",Статистика!$K$6&gt;0),(Статистика!$K$6-Статистика!$C$10)/MAX(Статистика!$G$10-Статистика!$C$10,0.000001),NA())</f>
        <v>#N/A</v>
      </c>
      <c r="CN257" s="12" t="e">
        <f>IF(AND(Y257&lt;&gt;"",Статистика!$M$6="Вкл",Статистика!$O$6&gt;0),(Статистика!$O$6-Статистика!$C$10)/MAX(Статистика!$G$10-Статистика!$C$10,0.000001),NA())</f>
        <v>#N/A</v>
      </c>
      <c r="CO257" s="12">
        <f t="shared" si="7"/>
        <v>1</v>
      </c>
    </row>
    <row r="258" spans="1:93" ht="15" customHeight="1">
      <c r="A258" s="12" t="s">
        <v>1078</v>
      </c>
      <c r="B258" s="12">
        <v>2273.5463693333331</v>
      </c>
      <c r="C258" s="12">
        <v>5669.9781133333345</v>
      </c>
      <c r="D258" s="12">
        <v>7337.3711783333347</v>
      </c>
      <c r="E258" s="12">
        <v>7601.6134833333344</v>
      </c>
      <c r="F258" s="12">
        <v>7835.6448166666669</v>
      </c>
      <c r="G258" s="12">
        <v>8188.7802499999989</v>
      </c>
      <c r="H258" s="12">
        <v>8378.0612766666654</v>
      </c>
      <c r="I258" s="12">
        <v>8405.1977349999997</v>
      </c>
      <c r="J258" s="12">
        <v>8410.5882936666676</v>
      </c>
      <c r="K258" s="12">
        <v>8618.4</v>
      </c>
      <c r="L258" s="12" t="s">
        <v>1079</v>
      </c>
      <c r="M258" s="12">
        <v>2815.2418748333334</v>
      </c>
      <c r="N258" s="12">
        <v>6526.7349741666676</v>
      </c>
      <c r="O258" s="12">
        <v>8361.5226233333342</v>
      </c>
      <c r="P258" s="12">
        <v>8743.0192666666662</v>
      </c>
      <c r="Q258" s="12">
        <v>8916.6050166666682</v>
      </c>
      <c r="R258" s="12">
        <v>9252.4789666666657</v>
      </c>
      <c r="S258" s="12">
        <v>9398.3593133333343</v>
      </c>
      <c r="T258" s="12">
        <v>9468.0650600000008</v>
      </c>
      <c r="U258" s="12">
        <v>9568.3701053333334</v>
      </c>
      <c r="V258" s="12">
        <v>9741.36</v>
      </c>
      <c r="W258" s="12" t="s">
        <v>1080</v>
      </c>
      <c r="Y258" s="12" t="s">
        <v>1078</v>
      </c>
      <c r="Z258" s="12">
        <v>7271.879783166667</v>
      </c>
      <c r="AA258" s="12">
        <v>7297.352915833334</v>
      </c>
      <c r="AB258" s="12">
        <v>7329.1943316666675</v>
      </c>
      <c r="AC258" s="12">
        <v>7644.9664666666667</v>
      </c>
      <c r="AD258" s="12">
        <v>7755.4266499999994</v>
      </c>
      <c r="AE258" s="12">
        <v>8249.1606000000011</v>
      </c>
      <c r="AF258" s="12">
        <v>8338.6027316666659</v>
      </c>
      <c r="AG258" s="12">
        <v>8344.9899824999993</v>
      </c>
      <c r="AH258" s="12">
        <v>8350.0997831666664</v>
      </c>
      <c r="AI258" s="12">
        <v>8474.75</v>
      </c>
      <c r="AJ258" s="12" t="s">
        <v>1081</v>
      </c>
      <c r="AK258" s="12">
        <v>8342.2236286666684</v>
      </c>
      <c r="AL258" s="12">
        <v>8359.2784100000008</v>
      </c>
      <c r="AM258" s="12">
        <v>8380.5968866666681</v>
      </c>
      <c r="AN258" s="12">
        <v>8671.7161250000008</v>
      </c>
      <c r="AO258" s="12">
        <v>8788.031383333333</v>
      </c>
      <c r="AP258" s="12">
        <v>9245.233091666667</v>
      </c>
      <c r="AQ258" s="12">
        <v>9360.2577016666673</v>
      </c>
      <c r="AR258" s="12">
        <v>9363.9376508333353</v>
      </c>
      <c r="AS258" s="12">
        <v>9366.8816101666689</v>
      </c>
      <c r="AT258" s="12">
        <v>9477.92</v>
      </c>
      <c r="AU258" s="12" t="s">
        <v>1081</v>
      </c>
      <c r="AW258" s="12">
        <f>IF(A258="","",MAX(0,MIN(1,(((IF(Статистика!$C$4="Параллельный режим (активная мощность)",B258,M258)+Статистика!$J$4))-Статистика!$C$10)/MAX(Статистика!$G$10-Статистика!$C$10,0.000001))))</f>
        <v>0</v>
      </c>
      <c r="AX258" s="12">
        <f>IF(A258="","",MAX(0,MAX(0,MIN(1,(((IF(Статистика!$C$4="Параллельный режим (активная мощность)",D258,O258)+Статистика!$J$4))-Статистика!$C$10)/MAX(Статистика!$G$10-Статистика!$C$10,0.000001)))-MAX(0,MIN(1,(((IF(Статистика!$C$4="Параллельный режим (активная мощность)",B258,M258)+Статистика!$J$4))-Статистика!$C$10)/MAX(Статистика!$G$10-Статистика!$C$10,0.000001)))))</f>
        <v>0.44579039277777821</v>
      </c>
      <c r="AY258" s="12">
        <f>IF(A258="","",MAX(0,MAX(0,MIN(1,(((IF(Статистика!$C$4="Параллельный режим (активная мощность)",E258,P258)+Статистика!$J$4))-Статистика!$C$10)/MAX(Статистика!$G$10-Статистика!$C$10,0.000001)))-MAX(0,MIN(1,(((IF(Статистика!$C$4="Параллельный режим (активная мощность)",D258,O258)+Статистика!$J$4))-Статистика!$C$10)/MAX(Статистика!$G$10-Статистика!$C$10,0.000001)))))</f>
        <v>8.8080768333333226E-2</v>
      </c>
      <c r="AZ258" s="12">
        <f>IF(A258="","",MAX(0,MAX(0,MIN(1,(((IF(Статистика!$C$4="Параллельный режим (активная мощность)",F258,Q258)+Статистика!$J$4))-Статистика!$C$10)/MAX(Статистика!$G$10-Статистика!$C$10,0.000001)))-MAX(0,MIN(1,(((IF(Статистика!$C$4="Параллельный режим (активная мощность)",E258,P258)+Статистика!$J$4))-Статистика!$C$10)/MAX(Статистика!$G$10-Статистика!$C$10,0.000001)))))</f>
        <v>7.801044444444416E-2</v>
      </c>
      <c r="BA258" s="12">
        <f>IF(A258="","",MAX(0,MAX(0,MIN(1,(((IF(Статистика!$C$4="Параллельный режим (активная мощность)",G258,R258)+Статистика!$J$4))-Статистика!$C$10)/MAX(Статистика!$G$10-Статистика!$C$10,0.000001)))-MAX(0,MIN(1,(((IF(Статистика!$C$4="Параллельный режим (активная мощность)",F258,Q258)+Статистика!$J$4))-Статистика!$C$10)/MAX(Статистика!$G$10-Статистика!$C$10,0.000001)))))</f>
        <v>0.11771181111111073</v>
      </c>
      <c r="BB258" s="12">
        <f>IF(A258="","",MAX(0,MAX(0,MIN(1,(((IF(Статистика!$C$4="Параллельный режим (активная мощность)",H258,S258)+Статистика!$J$4))-Статистика!$C$10)/MAX(Статистика!$G$10-Статистика!$C$10,0.000001)))-MAX(0,MIN(1,(((IF(Статистика!$C$4="Параллельный режим (активная мощность)",G258,R258)+Статистика!$J$4))-Статистика!$C$10)/MAX(Статистика!$G$10-Статистика!$C$10,0.000001)))))</f>
        <v>6.3093675555555451E-2</v>
      </c>
      <c r="BC258" s="12">
        <f>IF(A258="","",MAX(0,MAX(0,MIN(1,(((IF(Статистика!$C$4="Параллельный режим (активная мощность)",J258,U258)+Статистика!$J$4))-Статистика!$C$10)/MAX(Статистика!$G$10-Статистика!$C$10,0.000001)))-MAX(0,MIN(1,(((IF(Статистика!$C$4="Параллельный режим (активная мощность)",H258,S258)+Статистика!$J$4))-Статистика!$C$10)/MAX(Статистика!$G$10-Статистика!$C$10,0.000001)))))</f>
        <v>1.0842339000000756E-2</v>
      </c>
      <c r="BD258" s="12">
        <f>IF(A258="","",MAX(0,1-MAX(0,MIN(1,(((IF(Статистика!$C$4="Параллельный режим (активная мощность)",J258,U258)+Статистика!$J$4))-Статистика!$C$10)/MAX(Статистика!$G$10-Статистика!$C$10,0.000001)))))</f>
        <v>0.19647056877777747</v>
      </c>
      <c r="BE258" s="12">
        <f>IF(A258="",NA(),IF(Статистика!$B$8="Вкл",(((IF(Статистика!$C$4="Параллельный режим (активная мощность)",F258,Q258)+Статистика!$J$4))-Статистика!$C$10)/MAX(Статистика!$G$10-Статистика!$C$10,0.000001),NA()))</f>
        <v>0.6118816055555556</v>
      </c>
      <c r="BF258" s="12">
        <f>IF(A258="",NA(),IF(Статистика!$D$8="Вкл",(((IF(Статистика!$C$4="Параллельный режим (активная мощность)",E258,P258)+Статистика!$J$4))-Статистика!$C$10)/MAX(Статистика!$G$10-Статистика!$C$10,0.000001),NA()))</f>
        <v>0.53387116111111144</v>
      </c>
      <c r="BG258" s="12">
        <f>IF(A258="",NA(),IF(Статистика!$D$8="Вкл",(((IF(Статистика!$C$4="Параллельный режим (активная мощность)",G258,R258)+Статистика!$J$4))-Статистика!$C$10)/MAX(Статистика!$G$10-Статистика!$C$10,0.000001),NA()))</f>
        <v>0.72959341666666633</v>
      </c>
      <c r="BH258" s="12">
        <f>IF(A258="",NA(),IF(Статистика!$F$8="Вкл",(((IF(Статистика!$C$4="Параллельный режим (активная мощность)",D258,O258)+Статистика!$J$4))-Статистика!$C$10)/MAX(Статистика!$G$10-Статистика!$C$10,0.000001),NA()))</f>
        <v>0.44579039277777821</v>
      </c>
      <c r="BI258" s="12">
        <f>IF(A258="",NA(),IF(Статистика!$F$8="Вкл",(((IF(Статистика!$C$4="Параллельный режим (активная мощность)",H258,S258)+Статистика!$J$4))-Статистика!$C$10)/MAX(Статистика!$G$10-Статистика!$C$10,0.000001),NA()))</f>
        <v>0.79268709222222178</v>
      </c>
      <c r="BJ258" s="12">
        <f>IF(A258="",NA(),IF(Статистика!$H$8="Вкл",(((IF(Статистика!$C$4="Параллельный режим (активная мощность)",B258,M258)+Статистика!$J$4))-Статистика!$C$10)/MAX(Статистика!$G$10-Статистика!$C$10,0.000001),NA()))</f>
        <v>-1.2421512102222223</v>
      </c>
      <c r="BK258" s="12">
        <f>IF(A258="",NA(),IF(Статистика!$H$8="Вкл",(((IF(Статистика!$C$4="Параллельный режим (активная мощность)",J258,U258)+Статистика!$J$4))-Статистика!$C$10)/MAX(Статистика!$G$10-Статистика!$C$10,0.000001),NA()))</f>
        <v>0.80352943122222253</v>
      </c>
      <c r="BL258" s="12" t="e">
        <f>IF(A258="",NA(),IF(Статистика!$J$8="Вкл",(((IF(Статистика!$C$4="Параллельный режим (активная мощность)",K258,V258)+Статистика!$J$4))-Статистика!$C$10)/MAX(Статистика!$G$10-Статистика!$C$10,0.000001),NA()))</f>
        <v>#N/A</v>
      </c>
      <c r="BM258" s="12" t="e">
        <f>IF(AND(A258&lt;&gt;"",Статистика!$C$6="Вкл",Статистика!$B$6&gt;0),(Статистика!$B$6-Статистика!$C$10)/MAX(Статистика!$G$10-Статистика!$C$10,0.000001),NA())</f>
        <v>#N/A</v>
      </c>
      <c r="BN258" s="12" t="e">
        <f>IF(AND(A258&lt;&gt;"",Статистика!$F$6="Вкл",Статистика!$E$6&gt;0),(Статистика!$E$6-Статистика!$C$10)/MAX(Статистика!$G$10-Статистика!$C$10,0.000001),NA())</f>
        <v>#N/A</v>
      </c>
      <c r="BO258" s="12" t="e">
        <f>IF(AND(A258&lt;&gt;"",Статистика!$I$6="Вкл",Статистика!$H$6&gt;0),(Статистика!$H$6-Статистика!$C$10)/MAX(Статистика!$G$10-Статистика!$C$10,0.000001),NA())</f>
        <v>#N/A</v>
      </c>
      <c r="BP258" s="12" t="e">
        <f>IF(AND(A258&lt;&gt;"",Статистика!$L$6="Вкл",Статистика!$K$6&gt;0),(Статистика!$K$6-Статистика!$C$10)/MAX(Статистика!$G$10-Статистика!$C$10,0.000001),NA())</f>
        <v>#N/A</v>
      </c>
      <c r="BQ258" s="12" t="e">
        <f>IF(AND(A258&lt;&gt;"",Статистика!$M$6="Вкл",Статистика!$O$6&gt;0),(Статистика!$O$6-Статистика!$C$10)/MAX(Статистика!$G$10-Статистика!$C$10,0.000001),NA())</f>
        <v>#N/A</v>
      </c>
      <c r="BR258" s="12">
        <f t="shared" ref="BR258:BR289" si="8">IF(A258="",NA(),1)</f>
        <v>1</v>
      </c>
      <c r="BT258" s="12">
        <f>IF(Y258="","",MAX(0,MIN(1,(((IF(Статистика!$C$4="Параллельный режим (активная мощность)",Z258,AK258)+Статистика!$J$4))-Статистика!$C$10)/MAX(Статистика!$G$10-Статистика!$C$10,0.000001))))</f>
        <v>0.42395992772222235</v>
      </c>
      <c r="BU258" s="12">
        <f>IF(Y258="","",MAX(0,MAX(0,MIN(1,(((IF(Статистика!$C$4="Параллельный режим (активная мощность)",AB258,AM258)+Статистика!$J$4))-Статистика!$C$10)/MAX(Статистика!$G$10-Статистика!$C$10,0.000001)))-MAX(0,MIN(1,(((IF(Статистика!$C$4="Параллельный режим (активная мощность)",Z258,AK258)+Статистика!$J$4))-Статистика!$C$10)/MAX(Статистика!$G$10-Статистика!$C$10,0.000001)))))</f>
        <v>1.9104849500000132E-2</v>
      </c>
      <c r="BV258" s="12">
        <f>IF(Y258="","",MAX(0,MAX(0,MIN(1,(((IF(Статистика!$C$4="Параллельный режим (активная мощность)",AC258,AN258)+Статистика!$J$4))-Статистика!$C$10)/MAX(Статистика!$G$10-Статистика!$C$10,0.000001)))-MAX(0,MIN(1,(((IF(Статистика!$C$4="Параллельный режим (активная мощность)",AB258,AM258)+Статистика!$J$4))-Статистика!$C$10)/MAX(Статистика!$G$10-Статистика!$C$10,0.000001)))))</f>
        <v>0.10525737833333315</v>
      </c>
      <c r="BW258" s="12">
        <f>IF(Y258="","",MAX(0,MAX(0,MIN(1,(((IF(Статистика!$C$4="Параллельный режим (активная мощность)",AD258,AO258)+Статистика!$J$4))-Статистика!$C$10)/MAX(Статистика!$G$10-Статистика!$C$10,0.000001)))-MAX(0,MIN(1,(((IF(Статистика!$C$4="Параллельный режим (активная мощность)",AC258,AN258)+Статистика!$J$4))-Статистика!$C$10)/MAX(Статистика!$G$10-Статистика!$C$10,0.000001)))))</f>
        <v>3.6820061111110802E-2</v>
      </c>
      <c r="BX258" s="12">
        <f>IF(Y258="","",MAX(0,MAX(0,MIN(1,(((IF(Статистика!$C$4="Параллельный режим (активная мощность)",AE258,AP258)+Статистика!$J$4))-Статистика!$C$10)/MAX(Статистика!$G$10-Статистика!$C$10,0.000001)))-MAX(0,MIN(1,(((IF(Статистика!$C$4="Параллельный режим (активная мощность)",AD258,AO258)+Статистика!$J$4))-Статистика!$C$10)/MAX(Статистика!$G$10-Статистика!$C$10,0.000001)))))</f>
        <v>0.16457798333333395</v>
      </c>
      <c r="BY258" s="12">
        <f>IF(Y258="","",MAX(0,MAX(0,MIN(1,(((IF(Статистика!$C$4="Параллельный режим (активная мощность)",AF258,AQ258)+Статистика!$J$4))-Статистика!$C$10)/MAX(Статистика!$G$10-Статистика!$C$10,0.000001)))-MAX(0,MIN(1,(((IF(Статистика!$C$4="Параллельный режим (активная мощность)",AE258,AP258)+Статистика!$J$4))-Статистика!$C$10)/MAX(Статистика!$G$10-Статистика!$C$10,0.000001)))))</f>
        <v>2.9814043888888198E-2</v>
      </c>
      <c r="BZ258" s="12">
        <f>IF(Y258="","",MAX(0,MAX(0,MIN(1,(((IF(Статистика!$C$4="Параллельный режим (активная мощность)",AH258,AS258)+Статистика!$J$4))-Статистика!$C$10)/MAX(Статистика!$G$10-Статистика!$C$10,0.000001)))-MAX(0,MIN(1,(((IF(Статистика!$C$4="Параллельный режим (активная мощность)",AF258,AQ258)+Статистика!$J$4))-Статистика!$C$10)/MAX(Статистика!$G$10-Статистика!$C$10,0.000001)))))</f>
        <v>3.8323505000001923E-3</v>
      </c>
      <c r="CA258" s="12">
        <f>IF(Y258="","",MAX(0,1-MAX(0,MIN(1,(((IF(Статистика!$C$4="Параллельный режим (активная мощность)",AH258,AS258)+Статистика!$J$4))-Статистика!$C$10)/MAX(Статистика!$G$10-Статистика!$C$10,0.000001)))))</f>
        <v>0.21663340561111122</v>
      </c>
      <c r="CB258" s="12">
        <f>IF(Y258="",NA(),IF(Статистика!$B$8="Вкл",(((IF(Статистика!$C$4="Параллельный режим (активная мощность)",AD258,AO258)+Статистика!$J$4))-Статистика!$C$10)/MAX(Статистика!$G$10-Статистика!$C$10,0.000001),NA()))</f>
        <v>0.58514221666666644</v>
      </c>
      <c r="CC258" s="12">
        <f>IF(Y258="",NA(),IF(Статистика!$D$8="Вкл",(((IF(Статистика!$C$4="Параллельный режим (активная мощность)",AC258,AN258)+Статистика!$J$4))-Статистика!$C$10)/MAX(Статистика!$G$10-Статистика!$C$10,0.000001),NA()))</f>
        <v>0.54832215555555563</v>
      </c>
      <c r="CD258" s="12">
        <f>IF(Y258="",NA(),IF(Статистика!$D$8="Вкл",(((IF(Статистика!$C$4="Параллельный режим (активная мощность)",AE258,AP258)+Статистика!$J$4))-Статистика!$C$10)/MAX(Статистика!$G$10-Статистика!$C$10,0.000001),NA()))</f>
        <v>0.74972020000000039</v>
      </c>
      <c r="CE258" s="12">
        <f>IF(Y258="",NA(),IF(Статистика!$F$8="Вкл",(((IF(Статистика!$C$4="Параллельный режим (активная мощность)",AB258,AM258)+Статистика!$J$4))-Статистика!$C$10)/MAX(Статистика!$G$10-Статистика!$C$10,0.000001),NA()))</f>
        <v>0.44306477722222248</v>
      </c>
      <c r="CF258" s="12">
        <f>IF(Y258="",NA(),IF(Статистика!$F$8="Вкл",(((IF(Статистика!$C$4="Параллельный режим (активная мощность)",AF258,AQ258)+Статистика!$J$4))-Статистика!$C$10)/MAX(Статистика!$G$10-Статистика!$C$10,0.000001),NA()))</f>
        <v>0.77953424388888859</v>
      </c>
      <c r="CG258" s="12">
        <f>IF(Y258="",NA(),IF(Статистика!$H$8="Вкл",(((IF(Статистика!$C$4="Параллельный режим (активная мощность)",Z258,AK258)+Статистика!$J$4))-Статистика!$C$10)/MAX(Статистика!$G$10-Статистика!$C$10,0.000001),NA()))</f>
        <v>0.42395992772222235</v>
      </c>
      <c r="CH258" s="12">
        <f>IF(Y258="",NA(),IF(Статистика!$H$8="Вкл",(((IF(Статистика!$C$4="Параллельный режим (активная мощность)",AH258,AS258)+Статистика!$J$4))-Статистика!$C$10)/MAX(Статистика!$G$10-Статистика!$C$10,0.000001),NA()))</f>
        <v>0.78336659438888878</v>
      </c>
      <c r="CI258" s="12" t="e">
        <f>IF(Y258="",NA(),IF(Статистика!$J$8="Вкл",(((IF(Статистика!$C$4="Параллельный режим (активная мощность)",AI258,AT258)+Статистика!$J$4))-Статистика!$C$10)/MAX(Статистика!$G$10-Статистика!$C$10,0.000001),NA()))</f>
        <v>#N/A</v>
      </c>
      <c r="CJ258" s="12" t="e">
        <f>IF(AND(Y258&lt;&gt;"",Статистика!$C$6="Вкл",Статистика!$B$6&gt;0),(Статистика!$B$6-Статистика!$C$10)/MAX(Статистика!$G$10-Статистика!$C$10,0.000001),NA())</f>
        <v>#N/A</v>
      </c>
      <c r="CK258" s="12" t="e">
        <f>IF(AND(Y258&lt;&gt;"",Статистика!$F$6="Вкл",Статистика!$E$6&gt;0),(Статистика!$E$6-Статистика!$C$10)/MAX(Статистика!$G$10-Статистика!$C$10,0.000001),NA())</f>
        <v>#N/A</v>
      </c>
      <c r="CL258" s="12" t="e">
        <f>IF(AND(Y258&lt;&gt;"",Статистика!$I$6="Вкл",Статистика!$H$6&gt;0),(Статистика!$H$6-Статистика!$C$10)/MAX(Статистика!$G$10-Статистика!$C$10,0.000001),NA())</f>
        <v>#N/A</v>
      </c>
      <c r="CM258" s="12" t="e">
        <f>IF(AND(Y258&lt;&gt;"",Статистика!$L$6="Вкл",Статистика!$K$6&gt;0),(Статистика!$K$6-Статистика!$C$10)/MAX(Статистика!$G$10-Статистика!$C$10,0.000001),NA())</f>
        <v>#N/A</v>
      </c>
      <c r="CN258" s="12" t="e">
        <f>IF(AND(Y258&lt;&gt;"",Статистика!$M$6="Вкл",Статистика!$O$6&gt;0),(Статистика!$O$6-Статистика!$C$10)/MAX(Статистика!$G$10-Статистика!$C$10,0.000001),NA())</f>
        <v>#N/A</v>
      </c>
      <c r="CO258" s="12">
        <f t="shared" ref="CO258:CO289" si="9">IF(Y258="",NA(),1)</f>
        <v>1</v>
      </c>
    </row>
    <row r="259" spans="1:93" ht="15" customHeight="1">
      <c r="A259" s="12" t="s">
        <v>1082</v>
      </c>
      <c r="B259" s="12">
        <v>2297.5510184999998</v>
      </c>
      <c r="C259" s="12">
        <v>5732.3972258333324</v>
      </c>
      <c r="D259" s="12">
        <v>7393.8746699999992</v>
      </c>
      <c r="E259" s="12">
        <v>7587.2840333333334</v>
      </c>
      <c r="F259" s="12">
        <v>7899.9857333333339</v>
      </c>
      <c r="G259" s="12">
        <v>8192.2839833333346</v>
      </c>
      <c r="H259" s="12">
        <v>8376.8009416666664</v>
      </c>
      <c r="I259" s="12">
        <v>8396.4169949999996</v>
      </c>
      <c r="J259" s="12">
        <v>8434.8944656666663</v>
      </c>
      <c r="K259" s="12">
        <v>8609.2000000000007</v>
      </c>
      <c r="L259" s="12" t="s">
        <v>1083</v>
      </c>
      <c r="M259" s="12">
        <v>2848.2423329999997</v>
      </c>
      <c r="N259" s="12">
        <v>6602.3437983333333</v>
      </c>
      <c r="O259" s="12">
        <v>8408.0351399999981</v>
      </c>
      <c r="P259" s="12">
        <v>8728.0934083333341</v>
      </c>
      <c r="Q259" s="12">
        <v>8976.2398333333331</v>
      </c>
      <c r="R259" s="12">
        <v>9248.0580416666671</v>
      </c>
      <c r="S259" s="12">
        <v>9433.9877399999987</v>
      </c>
      <c r="T259" s="12">
        <v>9505.761704999999</v>
      </c>
      <c r="U259" s="12">
        <v>9549.2676209999991</v>
      </c>
      <c r="V259" s="12">
        <v>9693.52</v>
      </c>
      <c r="W259" s="12" t="s">
        <v>1084</v>
      </c>
      <c r="Y259" s="12" t="s">
        <v>1082</v>
      </c>
      <c r="Z259" s="12">
        <v>7251.2137575000006</v>
      </c>
      <c r="AA259" s="12">
        <v>7283.1943875000006</v>
      </c>
      <c r="AB259" s="12">
        <v>7323.1701750000011</v>
      </c>
      <c r="AC259" s="12">
        <v>7665.9189166666656</v>
      </c>
      <c r="AD259" s="12">
        <v>7774.9674166666664</v>
      </c>
      <c r="AE259" s="12">
        <v>8237.6737166666662</v>
      </c>
      <c r="AF259" s="12">
        <v>8336.8374583333334</v>
      </c>
      <c r="AG259" s="12">
        <v>8361.3494458333316</v>
      </c>
      <c r="AH259" s="12">
        <v>8380.9590358333317</v>
      </c>
      <c r="AI259" s="12">
        <v>8696.9500000000007</v>
      </c>
      <c r="AJ259" s="12" t="s">
        <v>1085</v>
      </c>
      <c r="AK259" s="12">
        <v>8329.6903248333329</v>
      </c>
      <c r="AL259" s="12">
        <v>8353.0892241666661</v>
      </c>
      <c r="AM259" s="12">
        <v>8382.3378483333327</v>
      </c>
      <c r="AN259" s="12">
        <v>8706.3033499999983</v>
      </c>
      <c r="AO259" s="12">
        <v>8826.8171000000002</v>
      </c>
      <c r="AP259" s="12">
        <v>9231.7596416666638</v>
      </c>
      <c r="AQ259" s="12">
        <v>9385.6734733333342</v>
      </c>
      <c r="AR259" s="12">
        <v>9423.942070000001</v>
      </c>
      <c r="AS259" s="12">
        <v>9454.5569473333344</v>
      </c>
      <c r="AT259" s="12">
        <v>9893.07</v>
      </c>
      <c r="AU259" s="12" t="s">
        <v>1085</v>
      </c>
      <c r="AW259" s="12">
        <f>IF(A259="","",MAX(0,MIN(1,(((IF(Статистика!$C$4="Параллельный режим (активная мощность)",B259,M259)+Статистика!$J$4))-Статистика!$C$10)/MAX(Статистика!$G$10-Статистика!$C$10,0.000001))))</f>
        <v>0</v>
      </c>
      <c r="AX259" s="12">
        <f>IF(A259="","",MAX(0,MAX(0,MIN(1,(((IF(Статистика!$C$4="Параллельный режим (активная мощность)",D259,O259)+Статистика!$J$4))-Статистика!$C$10)/MAX(Статистика!$G$10-Статистика!$C$10,0.000001)))-MAX(0,MIN(1,(((IF(Статистика!$C$4="Параллельный режим (активная мощность)",B259,M259)+Статистика!$J$4))-Статистика!$C$10)/MAX(Статистика!$G$10-Статистика!$C$10,0.000001)))))</f>
        <v>0.46462488999999974</v>
      </c>
      <c r="AY259" s="12">
        <f>IF(A259="","",MAX(0,MAX(0,MIN(1,(((IF(Статистика!$C$4="Параллельный режим (активная мощность)",E259,P259)+Статистика!$J$4))-Статистика!$C$10)/MAX(Статистика!$G$10-Статистика!$C$10,0.000001)))-MAX(0,MIN(1,(((IF(Статистика!$C$4="Параллельный режим (активная мощность)",D259,O259)+Статистика!$J$4))-Статистика!$C$10)/MAX(Статистика!$G$10-Статистика!$C$10,0.000001)))))</f>
        <v>6.4469787777778009E-2</v>
      </c>
      <c r="AZ259" s="12">
        <f>IF(A259="","",MAX(0,MAX(0,MIN(1,(((IF(Статистика!$C$4="Параллельный режим (активная мощность)",F259,Q259)+Статистика!$J$4))-Статистика!$C$10)/MAX(Статистика!$G$10-Статистика!$C$10,0.000001)))-MAX(0,MIN(1,(((IF(Статистика!$C$4="Параллельный режим (активная мощность)",E259,P259)+Статистика!$J$4))-Статистика!$C$10)/MAX(Статистика!$G$10-Статистика!$C$10,0.000001)))))</f>
        <v>0.10423390000000021</v>
      </c>
      <c r="BA259" s="12">
        <f>IF(A259="","",MAX(0,MAX(0,MIN(1,(((IF(Статистика!$C$4="Параллельный режим (активная мощность)",G259,R259)+Статистика!$J$4))-Статистика!$C$10)/MAX(Статистика!$G$10-Статистика!$C$10,0.000001)))-MAX(0,MIN(1,(((IF(Статистика!$C$4="Параллельный режим (активная мощность)",F259,Q259)+Статистика!$J$4))-Статистика!$C$10)/MAX(Статистика!$G$10-Статистика!$C$10,0.000001)))))</f>
        <v>9.743275000000029E-2</v>
      </c>
      <c r="BB259" s="12">
        <f>IF(A259="","",MAX(0,MAX(0,MIN(1,(((IF(Статистика!$C$4="Параллельный режим (активная мощность)",H259,S259)+Статистика!$J$4))-Статистика!$C$10)/MAX(Статистика!$G$10-Статистика!$C$10,0.000001)))-MAX(0,MIN(1,(((IF(Статистика!$C$4="Параллельный режим (активная мощность)",G259,R259)+Статистика!$J$4))-Статистика!$C$10)/MAX(Статистика!$G$10-Статистика!$C$10,0.000001)))))</f>
        <v>6.1505652777777198E-2</v>
      </c>
      <c r="BC259" s="12">
        <f>IF(A259="","",MAX(0,MAX(0,MIN(1,(((IF(Статистика!$C$4="Параллельный режим (активная мощность)",J259,U259)+Статистика!$J$4))-Статистика!$C$10)/MAX(Статистика!$G$10-Статистика!$C$10,0.000001)))-MAX(0,MIN(1,(((IF(Статистика!$C$4="Параллельный режим (активная мощность)",H259,S259)+Статистика!$J$4))-Статистика!$C$10)/MAX(Статистика!$G$10-Статистика!$C$10,0.000001)))))</f>
        <v>1.9364508000000002E-2</v>
      </c>
      <c r="BD259" s="12">
        <f>IF(A259="","",MAX(0,1-MAX(0,MIN(1,(((IF(Статистика!$C$4="Параллельный режим (активная мощность)",J259,U259)+Статистика!$J$4))-Статистика!$C$10)/MAX(Статистика!$G$10-Статистика!$C$10,0.000001)))))</f>
        <v>0.18836851144444455</v>
      </c>
      <c r="BE259" s="12">
        <f>IF(A259="",NA(),IF(Статистика!$B$8="Вкл",(((IF(Статистика!$C$4="Параллельный режим (активная мощность)",F259,Q259)+Статистика!$J$4))-Статистика!$C$10)/MAX(Статистика!$G$10-Статистика!$C$10,0.000001),NA()))</f>
        <v>0.63332857777777796</v>
      </c>
      <c r="BF259" s="12">
        <f>IF(A259="",NA(),IF(Статистика!$D$8="Вкл",(((IF(Статистика!$C$4="Параллельный режим (активная мощность)",E259,P259)+Статистика!$J$4))-Статистика!$C$10)/MAX(Статистика!$G$10-Статистика!$C$10,0.000001),NA()))</f>
        <v>0.52909467777777774</v>
      </c>
      <c r="BG259" s="12">
        <f>IF(A259="",NA(),IF(Статистика!$D$8="Вкл",(((IF(Статистика!$C$4="Параллельный режим (активная мощность)",G259,R259)+Статистика!$J$4))-Статистика!$C$10)/MAX(Статистика!$G$10-Статистика!$C$10,0.000001),NA()))</f>
        <v>0.73076132777777825</v>
      </c>
      <c r="BH259" s="12">
        <f>IF(A259="",NA(),IF(Статистика!$F$8="Вкл",(((IF(Статистика!$C$4="Параллельный режим (активная мощность)",D259,O259)+Статистика!$J$4))-Статистика!$C$10)/MAX(Статистика!$G$10-Статистика!$C$10,0.000001),NA()))</f>
        <v>0.46462488999999974</v>
      </c>
      <c r="BI259" s="12">
        <f>IF(A259="",NA(),IF(Статистика!$F$8="Вкл",(((IF(Статистика!$C$4="Параллельный режим (активная мощность)",H259,S259)+Статистика!$J$4))-Статистика!$C$10)/MAX(Статистика!$G$10-Статистика!$C$10,0.000001),NA()))</f>
        <v>0.79226698055555544</v>
      </c>
      <c r="BJ259" s="12">
        <f>IF(A259="",NA(),IF(Статистика!$H$8="Вкл",(((IF(Статистика!$C$4="Параллельный режим (активная мощность)",B259,M259)+Статистика!$J$4))-Статистика!$C$10)/MAX(Статистика!$G$10-Статистика!$C$10,0.000001),NA()))</f>
        <v>-1.2341496605</v>
      </c>
      <c r="BK259" s="12">
        <f>IF(A259="",NA(),IF(Статистика!$H$8="Вкл",(((IF(Статистика!$C$4="Параллельный режим (активная мощность)",J259,U259)+Статистика!$J$4))-Статистика!$C$10)/MAX(Статистика!$G$10-Статистика!$C$10,0.000001),NA()))</f>
        <v>0.81163148855555545</v>
      </c>
      <c r="BL259" s="12" t="e">
        <f>IF(A259="",NA(),IF(Статистика!$J$8="Вкл",(((IF(Статистика!$C$4="Параллельный режим (активная мощность)",K259,V259)+Статистика!$J$4))-Статистика!$C$10)/MAX(Статистика!$G$10-Статистика!$C$10,0.000001),NA()))</f>
        <v>#N/A</v>
      </c>
      <c r="BM259" s="12" t="e">
        <f>IF(AND(A259&lt;&gt;"",Статистика!$C$6="Вкл",Статистика!$B$6&gt;0),(Статистика!$B$6-Статистика!$C$10)/MAX(Статистика!$G$10-Статистика!$C$10,0.000001),NA())</f>
        <v>#N/A</v>
      </c>
      <c r="BN259" s="12" t="e">
        <f>IF(AND(A259&lt;&gt;"",Статистика!$F$6="Вкл",Статистика!$E$6&gt;0),(Статистика!$E$6-Статистика!$C$10)/MAX(Статистика!$G$10-Статистика!$C$10,0.000001),NA())</f>
        <v>#N/A</v>
      </c>
      <c r="BO259" s="12" t="e">
        <f>IF(AND(A259&lt;&gt;"",Статистика!$I$6="Вкл",Статистика!$H$6&gt;0),(Статистика!$H$6-Статистика!$C$10)/MAX(Статистика!$G$10-Статистика!$C$10,0.000001),NA())</f>
        <v>#N/A</v>
      </c>
      <c r="BP259" s="12" t="e">
        <f>IF(AND(A259&lt;&gt;"",Статистика!$L$6="Вкл",Статистика!$K$6&gt;0),(Статистика!$K$6-Статистика!$C$10)/MAX(Статистика!$G$10-Статистика!$C$10,0.000001),NA())</f>
        <v>#N/A</v>
      </c>
      <c r="BQ259" s="12" t="e">
        <f>IF(AND(A259&lt;&gt;"",Статистика!$M$6="Вкл",Статистика!$O$6&gt;0),(Статистика!$O$6-Статистика!$C$10)/MAX(Статистика!$G$10-Статистика!$C$10,0.000001),NA())</f>
        <v>#N/A</v>
      </c>
      <c r="BR259" s="12">
        <f t="shared" si="8"/>
        <v>1</v>
      </c>
      <c r="BT259" s="12">
        <f>IF(Y259="","",MAX(0,MIN(1,(((IF(Статистика!$C$4="Параллельный режим (активная мощность)",Z259,AK259)+Статистика!$J$4))-Статистика!$C$10)/MAX(Статистика!$G$10-Статистика!$C$10,0.000001))))</f>
        <v>0.41707125250000021</v>
      </c>
      <c r="BU259" s="12">
        <f>IF(Y259="","",MAX(0,MAX(0,MIN(1,(((IF(Статистика!$C$4="Параллельный режим (активная мощность)",AB259,AM259)+Статистика!$J$4))-Статистика!$C$10)/MAX(Статистика!$G$10-Статистика!$C$10,0.000001)))-MAX(0,MIN(1,(((IF(Статистика!$C$4="Параллельный режим (активная мощность)",Z259,AK259)+Статистика!$J$4))-Статистика!$C$10)/MAX(Статистика!$G$10-Статистика!$C$10,0.000001)))))</f>
        <v>2.398547250000016E-2</v>
      </c>
      <c r="BV259" s="12">
        <f>IF(Y259="","",MAX(0,MAX(0,MIN(1,(((IF(Статистика!$C$4="Параллельный режим (активная мощность)",AC259,AN259)+Статистика!$J$4))-Статистика!$C$10)/MAX(Статистика!$G$10-Статистика!$C$10,0.000001)))-MAX(0,MIN(1,(((IF(Статистика!$C$4="Параллельный режим (активная мощность)",AB259,AM259)+Статистика!$J$4))-Статистика!$C$10)/MAX(Статистика!$G$10-Статистика!$C$10,0.000001)))))</f>
        <v>0.11424958055555479</v>
      </c>
      <c r="BW259" s="12">
        <f>IF(Y259="","",MAX(0,MAX(0,MIN(1,(((IF(Статистика!$C$4="Параллельный режим (активная мощность)",AD259,AO259)+Статистика!$J$4))-Статистика!$C$10)/MAX(Статистика!$G$10-Статистика!$C$10,0.000001)))-MAX(0,MIN(1,(((IF(Статистика!$C$4="Параллельный режим (активная мощность)",AC259,AN259)+Статистика!$J$4))-Статистика!$C$10)/MAX(Статистика!$G$10-Статистика!$C$10,0.000001)))))</f>
        <v>3.6349500000000257E-2</v>
      </c>
      <c r="BX259" s="12">
        <f>IF(Y259="","",MAX(0,MAX(0,MIN(1,(((IF(Статистика!$C$4="Параллельный режим (активная мощность)",AE259,AP259)+Статистика!$J$4))-Статистика!$C$10)/MAX(Статистика!$G$10-Статистика!$C$10,0.000001)))-MAX(0,MIN(1,(((IF(Статистика!$C$4="Параллельный режим (активная мощность)",AD259,AO259)+Статистика!$J$4))-Статистика!$C$10)/MAX(Статистика!$G$10-Статистика!$C$10,0.000001)))))</f>
        <v>0.15423543333333334</v>
      </c>
      <c r="BY259" s="12">
        <f>IF(Y259="","",MAX(0,MAX(0,MIN(1,(((IF(Статистика!$C$4="Параллельный режим (активная мощность)",AF259,AQ259)+Статистика!$J$4))-Статистика!$C$10)/MAX(Статистика!$G$10-Статистика!$C$10,0.000001)))-MAX(0,MIN(1,(((IF(Статистика!$C$4="Параллельный режим (активная мощность)",AE259,AP259)+Статистика!$J$4))-Статистика!$C$10)/MAX(Статистика!$G$10-Статистика!$C$10,0.000001)))))</f>
        <v>3.3054580555555768E-2</v>
      </c>
      <c r="BZ259" s="12">
        <f>IF(Y259="","",MAX(0,MAX(0,MIN(1,(((IF(Статистика!$C$4="Параллельный режим (активная мощность)",AH259,AS259)+Статистика!$J$4))-Статистика!$C$10)/MAX(Статистика!$G$10-Статистика!$C$10,0.000001)))-MAX(0,MIN(1,(((IF(Статистика!$C$4="Параллельный режим (активная мощность)",AF259,AQ259)+Статистика!$J$4))-Статистика!$C$10)/MAX(Статистика!$G$10-Статистика!$C$10,0.000001)))))</f>
        <v>1.4707192499999411E-2</v>
      </c>
      <c r="CA259" s="12">
        <f>IF(Y259="","",MAX(0,1-MAX(0,MIN(1,(((IF(Статистика!$C$4="Параллельный режим (активная мощность)",AH259,AS259)+Статистика!$J$4))-Статистика!$C$10)/MAX(Статистика!$G$10-Статистика!$C$10,0.000001)))))</f>
        <v>0.20634698805555607</v>
      </c>
      <c r="CB259" s="12">
        <f>IF(Y259="",NA(),IF(Статистика!$B$8="Вкл",(((IF(Статистика!$C$4="Параллельный режим (активная мощность)",AD259,AO259)+Статистика!$J$4))-Статистика!$C$10)/MAX(Статистика!$G$10-Статистика!$C$10,0.000001),NA()))</f>
        <v>0.59165580555555541</v>
      </c>
      <c r="CC259" s="12">
        <f>IF(Y259="",NA(),IF(Статистика!$D$8="Вкл",(((IF(Статистика!$C$4="Параллельный режим (активная мощность)",AC259,AN259)+Статистика!$J$4))-Статистика!$C$10)/MAX(Статистика!$G$10-Статистика!$C$10,0.000001),NA()))</f>
        <v>0.55530630555555516</v>
      </c>
      <c r="CD259" s="12">
        <f>IF(Y259="",NA(),IF(Статистика!$D$8="Вкл",(((IF(Статистика!$C$4="Параллельный режим (активная мощность)",AE259,AP259)+Статистика!$J$4))-Статистика!$C$10)/MAX(Статистика!$G$10-Статистика!$C$10,0.000001),NA()))</f>
        <v>0.74589123888888875</v>
      </c>
      <c r="CE259" s="12">
        <f>IF(Y259="",NA(),IF(Статистика!$F$8="Вкл",(((IF(Статистика!$C$4="Параллельный режим (активная мощность)",AB259,AM259)+Статистика!$J$4))-Статистика!$C$10)/MAX(Статистика!$G$10-Статистика!$C$10,0.000001),NA()))</f>
        <v>0.44105672500000037</v>
      </c>
      <c r="CF259" s="12">
        <f>IF(Y259="",NA(),IF(Статистика!$F$8="Вкл",(((IF(Статистика!$C$4="Параллельный режим (активная мощность)",AF259,AQ259)+Статистика!$J$4))-Статистика!$C$10)/MAX(Статистика!$G$10-Статистика!$C$10,0.000001),NA()))</f>
        <v>0.77894581944444452</v>
      </c>
      <c r="CG259" s="12">
        <f>IF(Y259="",NA(),IF(Статистика!$H$8="Вкл",(((IF(Статистика!$C$4="Параллельный режим (активная мощность)",Z259,AK259)+Статистика!$J$4))-Статистика!$C$10)/MAX(Статистика!$G$10-Статистика!$C$10,0.000001),NA()))</f>
        <v>0.41707125250000021</v>
      </c>
      <c r="CH259" s="12">
        <f>IF(Y259="",NA(),IF(Статистика!$H$8="Вкл",(((IF(Статистика!$C$4="Параллельный режим (активная мощность)",AH259,AS259)+Статистика!$J$4))-Статистика!$C$10)/MAX(Статистика!$G$10-Статистика!$C$10,0.000001),NA()))</f>
        <v>0.79365301194444393</v>
      </c>
      <c r="CI259" s="12" t="e">
        <f>IF(Y259="",NA(),IF(Статистика!$J$8="Вкл",(((IF(Статистика!$C$4="Параллельный режим (активная мощность)",AI259,AT259)+Статистика!$J$4))-Статистика!$C$10)/MAX(Статистика!$G$10-Статистика!$C$10,0.000001),NA()))</f>
        <v>#N/A</v>
      </c>
      <c r="CJ259" s="12" t="e">
        <f>IF(AND(Y259&lt;&gt;"",Статистика!$C$6="Вкл",Статистика!$B$6&gt;0),(Статистика!$B$6-Статистика!$C$10)/MAX(Статистика!$G$10-Статистика!$C$10,0.000001),NA())</f>
        <v>#N/A</v>
      </c>
      <c r="CK259" s="12" t="e">
        <f>IF(AND(Y259&lt;&gt;"",Статистика!$F$6="Вкл",Статистика!$E$6&gt;0),(Статистика!$E$6-Статистика!$C$10)/MAX(Статистика!$G$10-Статистика!$C$10,0.000001),NA())</f>
        <v>#N/A</v>
      </c>
      <c r="CL259" s="12" t="e">
        <f>IF(AND(Y259&lt;&gt;"",Статистика!$I$6="Вкл",Статистика!$H$6&gt;0),(Статистика!$H$6-Статистика!$C$10)/MAX(Статистика!$G$10-Статистика!$C$10,0.000001),NA())</f>
        <v>#N/A</v>
      </c>
      <c r="CM259" s="12" t="e">
        <f>IF(AND(Y259&lt;&gt;"",Статистика!$L$6="Вкл",Статистика!$K$6&gt;0),(Статистика!$K$6-Статистика!$C$10)/MAX(Статистика!$G$10-Статистика!$C$10,0.000001),NA())</f>
        <v>#N/A</v>
      </c>
      <c r="CN259" s="12" t="e">
        <f>IF(AND(Y259&lt;&gt;"",Статистика!$M$6="Вкл",Статистика!$O$6&gt;0),(Статистика!$O$6-Статистика!$C$10)/MAX(Статистика!$G$10-Статистика!$C$10,0.000001),NA())</f>
        <v>#N/A</v>
      </c>
      <c r="CO259" s="12">
        <f t="shared" si="9"/>
        <v>1</v>
      </c>
    </row>
    <row r="260" spans="1:93" ht="15" customHeight="1">
      <c r="A260" s="12" t="s">
        <v>1086</v>
      </c>
      <c r="B260" s="12">
        <v>2320.7841353333333</v>
      </c>
      <c r="C260" s="12">
        <v>5775.071343333334</v>
      </c>
      <c r="D260" s="12">
        <v>7418.1166283333332</v>
      </c>
      <c r="E260" s="12">
        <v>7640.0550333333331</v>
      </c>
      <c r="F260" s="12">
        <v>7871.6068333333342</v>
      </c>
      <c r="G260" s="12">
        <v>8186.571366666667</v>
      </c>
      <c r="H260" s="12">
        <v>8391.2081433333333</v>
      </c>
      <c r="I260" s="12">
        <v>8401.9845399999995</v>
      </c>
      <c r="J260" s="12">
        <v>8404.0649613333353</v>
      </c>
      <c r="K260" s="12">
        <v>8642.19</v>
      </c>
      <c r="L260" s="12" t="s">
        <v>1087</v>
      </c>
      <c r="M260" s="12">
        <v>2864.2959451666666</v>
      </c>
      <c r="N260" s="12">
        <v>6609.8605258333346</v>
      </c>
      <c r="O260" s="12">
        <v>8410.0310266666675</v>
      </c>
      <c r="P260" s="12">
        <v>8757.0445083333343</v>
      </c>
      <c r="Q260" s="12">
        <v>8984.4334666666673</v>
      </c>
      <c r="R260" s="12">
        <v>9260.3199000000004</v>
      </c>
      <c r="S260" s="12">
        <v>9470.6088299999992</v>
      </c>
      <c r="T260" s="12">
        <v>9537.5745774999996</v>
      </c>
      <c r="U260" s="12">
        <v>9568.830835499999</v>
      </c>
      <c r="V260" s="12">
        <v>9860.15</v>
      </c>
      <c r="W260" s="12" t="s">
        <v>1087</v>
      </c>
      <c r="Y260" s="12" t="s">
        <v>1086</v>
      </c>
      <c r="Z260" s="12">
        <v>7321.4151936666685</v>
      </c>
      <c r="AA260" s="12">
        <v>7339.1057016666682</v>
      </c>
      <c r="AB260" s="12">
        <v>7361.2188366666678</v>
      </c>
      <c r="AC260" s="12">
        <v>7682.2649583333332</v>
      </c>
      <c r="AD260" s="12">
        <v>7781.8034500000003</v>
      </c>
      <c r="AE260" s="12">
        <v>8272.0352500000008</v>
      </c>
      <c r="AF260" s="12">
        <v>8345.8379916666654</v>
      </c>
      <c r="AG260" s="12">
        <v>8370.7023458333333</v>
      </c>
      <c r="AH260" s="12">
        <v>8390.5938291666662</v>
      </c>
      <c r="AI260" s="12">
        <v>8485.75</v>
      </c>
      <c r="AJ260" s="12" t="s">
        <v>1088</v>
      </c>
      <c r="AK260" s="12">
        <v>8392.9875734999987</v>
      </c>
      <c r="AL260" s="12">
        <v>8408.4354674999995</v>
      </c>
      <c r="AM260" s="12">
        <v>8427.7453349999996</v>
      </c>
      <c r="AN260" s="12">
        <v>8739.7837583333348</v>
      </c>
      <c r="AO260" s="12">
        <v>8829.1209333333318</v>
      </c>
      <c r="AP260" s="12">
        <v>9291.6977000000006</v>
      </c>
      <c r="AQ260" s="12">
        <v>9387.3993966666676</v>
      </c>
      <c r="AR260" s="12">
        <v>9433.3458650000011</v>
      </c>
      <c r="AS260" s="12">
        <v>9470.1030396666683</v>
      </c>
      <c r="AT260" s="12">
        <v>9568.1</v>
      </c>
      <c r="AU260" s="12" t="s">
        <v>1088</v>
      </c>
      <c r="AW260" s="12">
        <f>IF(A260="","",MAX(0,MIN(1,(((IF(Статистика!$C$4="Параллельный режим (активная мощность)",B260,M260)+Статистика!$J$4))-Статистика!$C$10)/MAX(Статистика!$G$10-Статистика!$C$10,0.000001))))</f>
        <v>0</v>
      </c>
      <c r="AX260" s="12">
        <f>IF(A260="","",MAX(0,MAX(0,MIN(1,(((IF(Статистика!$C$4="Параллельный режим (активная мощность)",D260,O260)+Статистика!$J$4))-Статистика!$C$10)/MAX(Статистика!$G$10-Статистика!$C$10,0.000001)))-MAX(0,MIN(1,(((IF(Статистика!$C$4="Параллельный режим (активная мощность)",B260,M260)+Статистика!$J$4))-Статистика!$C$10)/MAX(Статистика!$G$10-Статистика!$C$10,0.000001)))))</f>
        <v>0.47270554277777771</v>
      </c>
      <c r="AY260" s="12">
        <f>IF(A260="","",MAX(0,MAX(0,MIN(1,(((IF(Статистика!$C$4="Параллельный режим (активная мощность)",E260,P260)+Статистика!$J$4))-Статистика!$C$10)/MAX(Статистика!$G$10-Статистика!$C$10,0.000001)))-MAX(0,MIN(1,(((IF(Статистика!$C$4="Параллельный режим (активная мощность)",D260,O260)+Статистика!$J$4))-Статистика!$C$10)/MAX(Статистика!$G$10-Статистика!$C$10,0.000001)))))</f>
        <v>7.3979468333333298E-2</v>
      </c>
      <c r="AZ260" s="12">
        <f>IF(A260="","",MAX(0,MAX(0,MIN(1,(((IF(Статистика!$C$4="Параллельный режим (активная мощность)",F260,Q260)+Статистика!$J$4))-Статистика!$C$10)/MAX(Статистика!$G$10-Статистика!$C$10,0.000001)))-MAX(0,MIN(1,(((IF(Статистика!$C$4="Параллельный режим (активная мощность)",E260,P260)+Статистика!$J$4))-Статистика!$C$10)/MAX(Статистика!$G$10-Статистика!$C$10,0.000001)))))</f>
        <v>7.7183933333333732E-2</v>
      </c>
      <c r="BA260" s="12">
        <f>IF(A260="","",MAX(0,MAX(0,MIN(1,(((IF(Статистика!$C$4="Параллельный режим (активная мощность)",G260,R260)+Статистика!$J$4))-Статистика!$C$10)/MAX(Статистика!$G$10-Статистика!$C$10,0.000001)))-MAX(0,MIN(1,(((IF(Статистика!$C$4="Параллельный режим (активная мощность)",F260,Q260)+Статистика!$J$4))-Статистика!$C$10)/MAX(Статистика!$G$10-Статистика!$C$10,0.000001)))))</f>
        <v>0.10498817777777758</v>
      </c>
      <c r="BB260" s="12">
        <f>IF(A260="","",MAX(0,MAX(0,MIN(1,(((IF(Статистика!$C$4="Параллельный режим (активная мощность)",H260,S260)+Статистика!$J$4))-Статистика!$C$10)/MAX(Статистика!$G$10-Статистика!$C$10,0.000001)))-MAX(0,MIN(1,(((IF(Статистика!$C$4="Параллельный режим (активная мощность)",G260,R260)+Статистика!$J$4))-Статистика!$C$10)/MAX(Статистика!$G$10-Статистика!$C$10,0.000001)))))</f>
        <v>6.8212258888888821E-2</v>
      </c>
      <c r="BC260" s="12">
        <f>IF(A260="","",MAX(0,MAX(0,MIN(1,(((IF(Статистика!$C$4="Параллельный режим (активная мощность)",J260,U260)+Статистика!$J$4))-Статистика!$C$10)/MAX(Статистика!$G$10-Статистика!$C$10,0.000001)))-MAX(0,MIN(1,(((IF(Статистика!$C$4="Параллельный режим (активная мощность)",H260,S260)+Статистика!$J$4))-Статистика!$C$10)/MAX(Статистика!$G$10-Статистика!$C$10,0.000001)))))</f>
        <v>4.285606000000608E-3</v>
      </c>
      <c r="BD260" s="12">
        <f>IF(A260="","",MAX(0,1-MAX(0,MIN(1,(((IF(Статистика!$C$4="Параллельный режим (активная мощность)",J260,U260)+Статистика!$J$4))-Статистика!$C$10)/MAX(Статистика!$G$10-Статистика!$C$10,0.000001)))))</f>
        <v>0.19864501288888825</v>
      </c>
      <c r="BE260" s="12">
        <f>IF(A260="",NA(),IF(Статистика!$B$8="Вкл",(((IF(Статистика!$C$4="Параллельный режим (активная мощность)",F260,Q260)+Статистика!$J$4))-Статистика!$C$10)/MAX(Статистика!$G$10-Статистика!$C$10,0.000001),NA()))</f>
        <v>0.62386894444444474</v>
      </c>
      <c r="BF260" s="12">
        <f>IF(A260="",NA(),IF(Статистика!$D$8="Вкл",(((IF(Статистика!$C$4="Параллельный режим (активная мощность)",E260,P260)+Статистика!$J$4))-Статистика!$C$10)/MAX(Статистика!$G$10-Статистика!$C$10,0.000001),NA()))</f>
        <v>0.54668501111111101</v>
      </c>
      <c r="BG260" s="12">
        <f>IF(A260="",NA(),IF(Статистика!$D$8="Вкл",(((IF(Статистика!$C$4="Параллельный режим (активная мощность)",G260,R260)+Статистика!$J$4))-Статистика!$C$10)/MAX(Статистика!$G$10-Статистика!$C$10,0.000001),NA()))</f>
        <v>0.72885712222222232</v>
      </c>
      <c r="BH260" s="12">
        <f>IF(A260="",NA(),IF(Статистика!$F$8="Вкл",(((IF(Статистика!$C$4="Параллельный режим (активная мощность)",D260,O260)+Статистика!$J$4))-Статистика!$C$10)/MAX(Статистика!$G$10-Статистика!$C$10,0.000001),NA()))</f>
        <v>0.47270554277777771</v>
      </c>
      <c r="BI260" s="12">
        <f>IF(A260="",NA(),IF(Статистика!$F$8="Вкл",(((IF(Статистика!$C$4="Параллельный режим (активная мощность)",H260,S260)+Статистика!$J$4))-Статистика!$C$10)/MAX(Статистика!$G$10-Статистика!$C$10,0.000001),NA()))</f>
        <v>0.79706938111111114</v>
      </c>
      <c r="BJ260" s="12">
        <f>IF(A260="",NA(),IF(Статистика!$H$8="Вкл",(((IF(Статистика!$C$4="Параллельный режим (активная мощность)",B260,M260)+Статистика!$J$4))-Статистика!$C$10)/MAX(Статистика!$G$10-Статистика!$C$10,0.000001),NA()))</f>
        <v>-1.2264052882222223</v>
      </c>
      <c r="BK260" s="12">
        <f>IF(A260="",NA(),IF(Статистика!$H$8="Вкл",(((IF(Статистика!$C$4="Параллельный режим (активная мощность)",J260,U260)+Статистика!$J$4))-Статистика!$C$10)/MAX(Статистика!$G$10-Статистика!$C$10,0.000001),NA()))</f>
        <v>0.80135498711111175</v>
      </c>
      <c r="BL260" s="12" t="e">
        <f>IF(A260="",NA(),IF(Статистика!$J$8="Вкл",(((IF(Статистика!$C$4="Параллельный режим (активная мощность)",K260,V260)+Статистика!$J$4))-Статистика!$C$10)/MAX(Статистика!$G$10-Статистика!$C$10,0.000001),NA()))</f>
        <v>#N/A</v>
      </c>
      <c r="BM260" s="12" t="e">
        <f>IF(AND(A260&lt;&gt;"",Статистика!$C$6="Вкл",Статистика!$B$6&gt;0),(Статистика!$B$6-Статистика!$C$10)/MAX(Статистика!$G$10-Статистика!$C$10,0.000001),NA())</f>
        <v>#N/A</v>
      </c>
      <c r="BN260" s="12" t="e">
        <f>IF(AND(A260&lt;&gt;"",Статистика!$F$6="Вкл",Статистика!$E$6&gt;0),(Статистика!$E$6-Статистика!$C$10)/MAX(Статистика!$G$10-Статистика!$C$10,0.000001),NA())</f>
        <v>#N/A</v>
      </c>
      <c r="BO260" s="12" t="e">
        <f>IF(AND(A260&lt;&gt;"",Статистика!$I$6="Вкл",Статистика!$H$6&gt;0),(Статистика!$H$6-Статистика!$C$10)/MAX(Статистика!$G$10-Статистика!$C$10,0.000001),NA())</f>
        <v>#N/A</v>
      </c>
      <c r="BP260" s="12" t="e">
        <f>IF(AND(A260&lt;&gt;"",Статистика!$L$6="Вкл",Статистика!$K$6&gt;0),(Статистика!$K$6-Статистика!$C$10)/MAX(Статистика!$G$10-Статистика!$C$10,0.000001),NA())</f>
        <v>#N/A</v>
      </c>
      <c r="BQ260" s="12" t="e">
        <f>IF(AND(A260&lt;&gt;"",Статистика!$M$6="Вкл",Статистика!$O$6&gt;0),(Статистика!$O$6-Статистика!$C$10)/MAX(Статистика!$G$10-Статистика!$C$10,0.000001),NA())</f>
        <v>#N/A</v>
      </c>
      <c r="BR260" s="12">
        <f t="shared" si="8"/>
        <v>1</v>
      </c>
      <c r="BT260" s="12">
        <f>IF(Y260="","",MAX(0,MIN(1,(((IF(Статистика!$C$4="Параллельный режим (активная мощность)",Z260,AK260)+Статистика!$J$4))-Статистика!$C$10)/MAX(Статистика!$G$10-Статистика!$C$10,0.000001))))</f>
        <v>0.44047173122222283</v>
      </c>
      <c r="BU260" s="12">
        <f>IF(Y260="","",MAX(0,MAX(0,MIN(1,(((IF(Статистика!$C$4="Параллельный режим (активная мощность)",AB260,AM260)+Статистика!$J$4))-Статистика!$C$10)/MAX(Статистика!$G$10-Статистика!$C$10,0.000001)))-MAX(0,MIN(1,(((IF(Статистика!$C$4="Параллельный режим (активная мощность)",Z260,AK260)+Статистика!$J$4))-Статистика!$C$10)/MAX(Статистика!$G$10-Статистика!$C$10,0.000001)))))</f>
        <v>1.3267880999999759E-2</v>
      </c>
      <c r="BV260" s="12">
        <f>IF(Y260="","",MAX(0,MAX(0,MIN(1,(((IF(Статистика!$C$4="Параллельный режим (активная мощность)",AC260,AN260)+Статистика!$J$4))-Статистика!$C$10)/MAX(Статистика!$G$10-Статистика!$C$10,0.000001)))-MAX(0,MIN(1,(((IF(Статистика!$C$4="Параллельный режим (активная мощность)",AB260,AM260)+Статистика!$J$4))-Статистика!$C$10)/MAX(Статистика!$G$10-Статистика!$C$10,0.000001)))))</f>
        <v>0.10701537388888849</v>
      </c>
      <c r="BW260" s="12">
        <f>IF(Y260="","",MAX(0,MAX(0,MIN(1,(((IF(Статистика!$C$4="Параллельный режим (активная мощность)",AD260,AO260)+Статистика!$J$4))-Статистика!$C$10)/MAX(Статистика!$G$10-Статистика!$C$10,0.000001)))-MAX(0,MIN(1,(((IF(Статистика!$C$4="Параллельный режим (активная мощность)",AC260,AN260)+Статистика!$J$4))-Статистика!$C$10)/MAX(Статистика!$G$10-Статистика!$C$10,0.000001)))))</f>
        <v>3.3179497222222354E-2</v>
      </c>
      <c r="BX260" s="12">
        <f>IF(Y260="","",MAX(0,MAX(0,MIN(1,(((IF(Статистика!$C$4="Параллельный режим (активная мощность)",AE260,AP260)+Статистика!$J$4))-Статистика!$C$10)/MAX(Статистика!$G$10-Статистика!$C$10,0.000001)))-MAX(0,MIN(1,(((IF(Статистика!$C$4="Параллельный режим (активная мощность)",AD260,AO260)+Статистика!$J$4))-Статистика!$C$10)/MAX(Статистика!$G$10-Статистика!$C$10,0.000001)))))</f>
        <v>0.16341060000000018</v>
      </c>
      <c r="BY260" s="12">
        <f>IF(Y260="","",MAX(0,MAX(0,MIN(1,(((IF(Статистика!$C$4="Параллельный режим (активная мощность)",AF260,AQ260)+Статистика!$J$4))-Статистика!$C$10)/MAX(Статистика!$G$10-Статистика!$C$10,0.000001)))-MAX(0,MIN(1,(((IF(Статистика!$C$4="Параллельный режим (активная мощность)",AE260,AP260)+Статистика!$J$4))-Статистика!$C$10)/MAX(Статистика!$G$10-Статистика!$C$10,0.000001)))))</f>
        <v>2.4600913888888187E-2</v>
      </c>
      <c r="BZ260" s="12">
        <f>IF(Y260="","",MAX(0,MAX(0,MIN(1,(((IF(Статистика!$C$4="Параллельный режим (активная мощность)",AH260,AS260)+Статистика!$J$4))-Статистика!$C$10)/MAX(Статистика!$G$10-Статистика!$C$10,0.000001)))-MAX(0,MIN(1,(((IF(Статистика!$C$4="Параллельный режим (активная мощность)",AF260,AQ260)+Статистика!$J$4))-Статистика!$C$10)/MAX(Статистика!$G$10-Статистика!$C$10,0.000001)))))</f>
        <v>1.4918612500000261E-2</v>
      </c>
      <c r="CA260" s="12">
        <f>IF(Y260="","",MAX(0,1-MAX(0,MIN(1,(((IF(Статистика!$C$4="Параллельный режим (активная мощность)",AH260,AS260)+Статистика!$J$4))-Статистика!$C$10)/MAX(Статистика!$G$10-Статистика!$C$10,0.000001)))))</f>
        <v>0.20313539027777794</v>
      </c>
      <c r="CB260" s="12">
        <f>IF(Y260="",NA(),IF(Статистика!$B$8="Вкл",(((IF(Статистика!$C$4="Параллельный режим (активная мощность)",AD260,AO260)+Статистика!$J$4))-Статистика!$C$10)/MAX(Статистика!$G$10-Статистика!$C$10,0.000001),NA()))</f>
        <v>0.59393448333333343</v>
      </c>
      <c r="CC260" s="12">
        <f>IF(Y260="",NA(),IF(Статистика!$D$8="Вкл",(((IF(Статистика!$C$4="Параллельный режим (активная мощность)",AC260,AN260)+Статистика!$J$4))-Статистика!$C$10)/MAX(Статистика!$G$10-Статистика!$C$10,0.000001),NA()))</f>
        <v>0.56075498611111108</v>
      </c>
      <c r="CD260" s="12">
        <f>IF(Y260="",NA(),IF(Статистика!$D$8="Вкл",(((IF(Статистика!$C$4="Параллельный режим (активная мощность)",AE260,AP260)+Статистика!$J$4))-Статистика!$C$10)/MAX(Статистика!$G$10-Статистика!$C$10,0.000001),NA()))</f>
        <v>0.75734508333333361</v>
      </c>
      <c r="CE260" s="12">
        <f>IF(Y260="",NA(),IF(Статистика!$F$8="Вкл",(((IF(Статистика!$C$4="Параллельный режим (активная мощность)",AB260,AM260)+Статистика!$J$4))-Статистика!$C$10)/MAX(Статистика!$G$10-Статистика!$C$10,0.000001),NA()))</f>
        <v>0.45373961222222259</v>
      </c>
      <c r="CF260" s="12">
        <f>IF(Y260="",NA(),IF(Статистика!$F$8="Вкл",(((IF(Статистика!$C$4="Параллельный режим (активная мощность)",AF260,AQ260)+Статистика!$J$4))-Статистика!$C$10)/MAX(Статистика!$G$10-Статистика!$C$10,0.000001),NA()))</f>
        <v>0.7819459972222218</v>
      </c>
      <c r="CG260" s="12">
        <f>IF(Y260="",NA(),IF(Статистика!$H$8="Вкл",(((IF(Статистика!$C$4="Параллельный режим (активная мощность)",Z260,AK260)+Статистика!$J$4))-Статистика!$C$10)/MAX(Статистика!$G$10-Статистика!$C$10,0.000001),NA()))</f>
        <v>0.44047173122222283</v>
      </c>
      <c r="CH260" s="12">
        <f>IF(Y260="",NA(),IF(Статистика!$H$8="Вкл",(((IF(Статистика!$C$4="Параллельный режим (активная мощность)",AH260,AS260)+Статистика!$J$4))-Статистика!$C$10)/MAX(Статистика!$G$10-Статистика!$C$10,0.000001),NA()))</f>
        <v>0.79686460972222206</v>
      </c>
      <c r="CI260" s="12" t="e">
        <f>IF(Y260="",NA(),IF(Статистика!$J$8="Вкл",(((IF(Статистика!$C$4="Параллельный режим (активная мощность)",AI260,AT260)+Статистика!$J$4))-Статистика!$C$10)/MAX(Статистика!$G$10-Статистика!$C$10,0.000001),NA()))</f>
        <v>#N/A</v>
      </c>
      <c r="CJ260" s="12" t="e">
        <f>IF(AND(Y260&lt;&gt;"",Статистика!$C$6="Вкл",Статистика!$B$6&gt;0),(Статистика!$B$6-Статистика!$C$10)/MAX(Статистика!$G$10-Статистика!$C$10,0.000001),NA())</f>
        <v>#N/A</v>
      </c>
      <c r="CK260" s="12" t="e">
        <f>IF(AND(Y260&lt;&gt;"",Статистика!$F$6="Вкл",Статистика!$E$6&gt;0),(Статистика!$E$6-Статистика!$C$10)/MAX(Статистика!$G$10-Статистика!$C$10,0.000001),NA())</f>
        <v>#N/A</v>
      </c>
      <c r="CL260" s="12" t="e">
        <f>IF(AND(Y260&lt;&gt;"",Статистика!$I$6="Вкл",Статистика!$H$6&gt;0),(Статистика!$H$6-Статистика!$C$10)/MAX(Статистика!$G$10-Статистика!$C$10,0.000001),NA())</f>
        <v>#N/A</v>
      </c>
      <c r="CM260" s="12" t="e">
        <f>IF(AND(Y260&lt;&gt;"",Статистика!$L$6="Вкл",Статистика!$K$6&gt;0),(Статистика!$K$6-Статистика!$C$10)/MAX(Статистика!$G$10-Статистика!$C$10,0.000001),NA())</f>
        <v>#N/A</v>
      </c>
      <c r="CN260" s="12" t="e">
        <f>IF(AND(Y260&lt;&gt;"",Статистика!$M$6="Вкл",Статистика!$O$6&gt;0),(Статистика!$O$6-Статистика!$C$10)/MAX(Статистика!$G$10-Статистика!$C$10,0.000001),NA())</f>
        <v>#N/A</v>
      </c>
      <c r="CO260" s="12">
        <f t="shared" si="9"/>
        <v>1</v>
      </c>
    </row>
    <row r="261" spans="1:93" ht="15" customHeight="1">
      <c r="A261" s="12" t="s">
        <v>1089</v>
      </c>
      <c r="B261" s="12">
        <v>2321.8064888333333</v>
      </c>
      <c r="C261" s="12">
        <v>5797.7769774999997</v>
      </c>
      <c r="D261" s="12">
        <v>7460.3970533333331</v>
      </c>
      <c r="E261" s="12">
        <v>7688.7291166666664</v>
      </c>
      <c r="F261" s="12">
        <v>7937.531116666667</v>
      </c>
      <c r="G261" s="12">
        <v>8175.1800416666665</v>
      </c>
      <c r="H261" s="12">
        <v>8425.9160716666665</v>
      </c>
      <c r="I261" s="12">
        <v>8528.2945233333321</v>
      </c>
      <c r="J261" s="12">
        <v>8651.1947446666654</v>
      </c>
      <c r="K261" s="12">
        <v>8837.83</v>
      </c>
      <c r="L261" s="12" t="s">
        <v>1090</v>
      </c>
      <c r="M261" s="12">
        <v>2852.6325805000001</v>
      </c>
      <c r="N261" s="12">
        <v>6637.7730358333347</v>
      </c>
      <c r="O261" s="12">
        <v>8463.3877150000008</v>
      </c>
      <c r="P261" s="12">
        <v>8806.9392083333332</v>
      </c>
      <c r="Q261" s="12">
        <v>9034.7178833333328</v>
      </c>
      <c r="R261" s="12">
        <v>9252.6145166666684</v>
      </c>
      <c r="S261" s="12">
        <v>9546.0360266666667</v>
      </c>
      <c r="T261" s="12">
        <v>9653.9321749999999</v>
      </c>
      <c r="U261" s="12">
        <v>9714.1406216666674</v>
      </c>
      <c r="V261" s="12">
        <v>9866.07</v>
      </c>
      <c r="W261" s="12" t="s">
        <v>1090</v>
      </c>
      <c r="Y261" s="12" t="s">
        <v>1089</v>
      </c>
      <c r="Z261" s="12">
        <v>7305.4467264999985</v>
      </c>
      <c r="AA261" s="12">
        <v>7328.1922991666652</v>
      </c>
      <c r="AB261" s="12">
        <v>7356.6242649999995</v>
      </c>
      <c r="AC261" s="12">
        <v>7697.8490583333332</v>
      </c>
      <c r="AD261" s="12">
        <v>7785.5239666666666</v>
      </c>
      <c r="AE261" s="12">
        <v>8286.9370000000017</v>
      </c>
      <c r="AF261" s="12">
        <v>8404.5629216666675</v>
      </c>
      <c r="AG261" s="12">
        <v>8410.4213108333352</v>
      </c>
      <c r="AH261" s="12">
        <v>8415.1080221666671</v>
      </c>
      <c r="AI261" s="12">
        <v>8550.4</v>
      </c>
      <c r="AJ261" s="12" t="s">
        <v>1091</v>
      </c>
      <c r="AK261" s="12">
        <v>8354.8076528333349</v>
      </c>
      <c r="AL261" s="12">
        <v>8379.6474641666682</v>
      </c>
      <c r="AM261" s="12">
        <v>8410.6972283333344</v>
      </c>
      <c r="AN261" s="12">
        <v>8750.4305166666672</v>
      </c>
      <c r="AO261" s="12">
        <v>8867.8616666666676</v>
      </c>
      <c r="AP261" s="12">
        <v>9305.6359749999992</v>
      </c>
      <c r="AQ261" s="12">
        <v>9447.2500049999999</v>
      </c>
      <c r="AR261" s="12">
        <v>9461.3916691666655</v>
      </c>
      <c r="AS261" s="12">
        <v>9472.7050005000001</v>
      </c>
      <c r="AT261" s="12">
        <v>9557.33</v>
      </c>
      <c r="AU261" s="12" t="s">
        <v>1092</v>
      </c>
      <c r="AW261" s="12">
        <f>IF(A261="","",MAX(0,MIN(1,(((IF(Статистика!$C$4="Параллельный режим (активная мощность)",B261,M261)+Статистика!$J$4))-Статистика!$C$10)/MAX(Статистика!$G$10-Статистика!$C$10,0.000001))))</f>
        <v>0</v>
      </c>
      <c r="AX261" s="12">
        <f>IF(A261="","",MAX(0,MAX(0,MIN(1,(((IF(Статистика!$C$4="Параллельный режим (активная мощность)",D261,O261)+Статистика!$J$4))-Статистика!$C$10)/MAX(Статистика!$G$10-Статистика!$C$10,0.000001)))-MAX(0,MIN(1,(((IF(Статистика!$C$4="Параллельный режим (активная мощность)",B261,M261)+Статистика!$J$4))-Статистика!$C$10)/MAX(Статистика!$G$10-Статистика!$C$10,0.000001)))))</f>
        <v>0.48679901777777773</v>
      </c>
      <c r="AY261" s="12">
        <f>IF(A261="","",MAX(0,MAX(0,MIN(1,(((IF(Статистика!$C$4="Параллельный режим (активная мощность)",E261,P261)+Статистика!$J$4))-Статистика!$C$10)/MAX(Статистика!$G$10-Статистика!$C$10,0.000001)))-MAX(0,MIN(1,(((IF(Статистика!$C$4="Параллельный режим (активная мощность)",D261,O261)+Статистика!$J$4))-Статистика!$C$10)/MAX(Статистика!$G$10-Статистика!$C$10,0.000001)))))</f>
        <v>7.6110687777777686E-2</v>
      </c>
      <c r="AZ261" s="12">
        <f>IF(A261="","",MAX(0,MAX(0,MIN(1,(((IF(Статистика!$C$4="Параллельный режим (активная мощность)",F261,Q261)+Статистика!$J$4))-Статистика!$C$10)/MAX(Статистика!$G$10-Статистика!$C$10,0.000001)))-MAX(0,MIN(1,(((IF(Статистика!$C$4="Параллельный режим (активная мощность)",E261,P261)+Статистика!$J$4))-Статистика!$C$10)/MAX(Статистика!$G$10-Статистика!$C$10,0.000001)))))</f>
        <v>8.2934000000000285E-2</v>
      </c>
      <c r="BA261" s="12">
        <f>IF(A261="","",MAX(0,MAX(0,MIN(1,(((IF(Статистика!$C$4="Параллельный режим (активная мощность)",G261,R261)+Статистика!$J$4))-Статистика!$C$10)/MAX(Статистика!$G$10-Статистика!$C$10,0.000001)))-MAX(0,MIN(1,(((IF(Статистика!$C$4="Параллельный режим (активная мощность)",F261,Q261)+Статистика!$J$4))-Статистика!$C$10)/MAX(Статистика!$G$10-Статистика!$C$10,0.000001)))))</f>
        <v>7.9216308333333152E-2</v>
      </c>
      <c r="BB261" s="12">
        <f>IF(A261="","",MAX(0,MAX(0,MIN(1,(((IF(Статистика!$C$4="Параллельный режим (активная мощность)",H261,S261)+Статистика!$J$4))-Статистика!$C$10)/MAX(Статистика!$G$10-Статистика!$C$10,0.000001)))-MAX(0,MIN(1,(((IF(Статистика!$C$4="Параллельный режим (активная мощность)",G261,R261)+Статистика!$J$4))-Статистика!$C$10)/MAX(Статистика!$G$10-Статистика!$C$10,0.000001)))))</f>
        <v>8.3578676666666629E-2</v>
      </c>
      <c r="BC261" s="12">
        <f>IF(A261="","",MAX(0,MAX(0,MIN(1,(((IF(Статистика!$C$4="Параллельный режим (активная мощность)",J261,U261)+Статистика!$J$4))-Статистика!$C$10)/MAX(Статистика!$G$10-Статистика!$C$10,0.000001)))-MAX(0,MIN(1,(((IF(Статистика!$C$4="Параллельный режим (активная мощность)",H261,S261)+Статистика!$J$4))-Статистика!$C$10)/MAX(Статистика!$G$10-Статистика!$C$10,0.000001)))))</f>
        <v>7.5092890999999606E-2</v>
      </c>
      <c r="BD261" s="12">
        <f>IF(A261="","",MAX(0,1-MAX(0,MIN(1,(((IF(Статистика!$C$4="Параллельный режим (активная мощность)",J261,U261)+Статистика!$J$4))-Статистика!$C$10)/MAX(Статистика!$G$10-Статистика!$C$10,0.000001)))))</f>
        <v>0.11626841844444491</v>
      </c>
      <c r="BE261" s="12">
        <f>IF(A261="",NA(),IF(Статистика!$B$8="Вкл",(((IF(Статистика!$C$4="Параллельный режим (активная мощность)",F261,Q261)+Статистика!$J$4))-Статистика!$C$10)/MAX(Статистика!$G$10-Статистика!$C$10,0.000001),NA()))</f>
        <v>0.6458437055555557</v>
      </c>
      <c r="BF261" s="12">
        <f>IF(A261="",NA(),IF(Статистика!$D$8="Вкл",(((IF(Статистика!$C$4="Параллельный режим (активная мощность)",E261,P261)+Статистика!$J$4))-Статистика!$C$10)/MAX(Статистика!$G$10-Статистика!$C$10,0.000001),NA()))</f>
        <v>0.56290970555555542</v>
      </c>
      <c r="BG261" s="12">
        <f>IF(A261="",NA(),IF(Статистика!$D$8="Вкл",(((IF(Статистика!$C$4="Параллельный режим (активная мощность)",G261,R261)+Статистика!$J$4))-Статистика!$C$10)/MAX(Статистика!$G$10-Статистика!$C$10,0.000001),NA()))</f>
        <v>0.72506001388888885</v>
      </c>
      <c r="BH261" s="12">
        <f>IF(A261="",NA(),IF(Статистика!$F$8="Вкл",(((IF(Статистика!$C$4="Параллельный режим (активная мощность)",D261,O261)+Статистика!$J$4))-Статистика!$C$10)/MAX(Статистика!$G$10-Статистика!$C$10,0.000001),NA()))</f>
        <v>0.48679901777777773</v>
      </c>
      <c r="BI261" s="12">
        <f>IF(A261="",NA(),IF(Статистика!$F$8="Вкл",(((IF(Статистика!$C$4="Параллельный режим (активная мощность)",H261,S261)+Статистика!$J$4))-Статистика!$C$10)/MAX(Статистика!$G$10-Статистика!$C$10,0.000001),NA()))</f>
        <v>0.80863869055555548</v>
      </c>
      <c r="BJ261" s="12">
        <f>IF(A261="",NA(),IF(Статистика!$H$8="Вкл",(((IF(Статистика!$C$4="Параллельный режим (активная мощность)",B261,M261)+Статистика!$J$4))-Статистика!$C$10)/MAX(Статистика!$G$10-Статистика!$C$10,0.000001),NA()))</f>
        <v>-1.2260645037222222</v>
      </c>
      <c r="BK261" s="12">
        <f>IF(A261="",NA(),IF(Статистика!$H$8="Вкл",(((IF(Статистика!$C$4="Параллельный режим (активная мощность)",J261,U261)+Статистика!$J$4))-Статистика!$C$10)/MAX(Статистика!$G$10-Статистика!$C$10,0.000001),NA()))</f>
        <v>0.88373158155555509</v>
      </c>
      <c r="BL261" s="12" t="e">
        <f>IF(A261="",NA(),IF(Статистика!$J$8="Вкл",(((IF(Статистика!$C$4="Параллельный режим (активная мощность)",K261,V261)+Статистика!$J$4))-Статистика!$C$10)/MAX(Статистика!$G$10-Статистика!$C$10,0.000001),NA()))</f>
        <v>#N/A</v>
      </c>
      <c r="BM261" s="12" t="e">
        <f>IF(AND(A261&lt;&gt;"",Статистика!$C$6="Вкл",Статистика!$B$6&gt;0),(Статистика!$B$6-Статистика!$C$10)/MAX(Статистика!$G$10-Статистика!$C$10,0.000001),NA())</f>
        <v>#N/A</v>
      </c>
      <c r="BN261" s="12" t="e">
        <f>IF(AND(A261&lt;&gt;"",Статистика!$F$6="Вкл",Статистика!$E$6&gt;0),(Статистика!$E$6-Статистика!$C$10)/MAX(Статистика!$G$10-Статистика!$C$10,0.000001),NA())</f>
        <v>#N/A</v>
      </c>
      <c r="BO261" s="12" t="e">
        <f>IF(AND(A261&lt;&gt;"",Статистика!$I$6="Вкл",Статистика!$H$6&gt;0),(Статистика!$H$6-Статистика!$C$10)/MAX(Статистика!$G$10-Статистика!$C$10,0.000001),NA())</f>
        <v>#N/A</v>
      </c>
      <c r="BP261" s="12" t="e">
        <f>IF(AND(A261&lt;&gt;"",Статистика!$L$6="Вкл",Статистика!$K$6&gt;0),(Статистика!$K$6-Статистика!$C$10)/MAX(Статистика!$G$10-Статистика!$C$10,0.000001),NA())</f>
        <v>#N/A</v>
      </c>
      <c r="BQ261" s="12" t="e">
        <f>IF(AND(A261&lt;&gt;"",Статистика!$M$6="Вкл",Статистика!$O$6&gt;0),(Статистика!$O$6-Статистика!$C$10)/MAX(Статистика!$G$10-Статистика!$C$10,0.000001),NA())</f>
        <v>#N/A</v>
      </c>
      <c r="BR261" s="12">
        <f t="shared" si="8"/>
        <v>1</v>
      </c>
      <c r="BT261" s="12">
        <f>IF(Y261="","",MAX(0,MIN(1,(((IF(Статистика!$C$4="Параллельный режим (активная мощность)",Z261,AK261)+Статистика!$J$4))-Статистика!$C$10)/MAX(Статистика!$G$10-Статистика!$C$10,0.000001))))</f>
        <v>0.43514890883333285</v>
      </c>
      <c r="BU261" s="12">
        <f>IF(Y261="","",MAX(0,MAX(0,MIN(1,(((IF(Статистика!$C$4="Параллельный режим (активная мощность)",AB261,AM261)+Статистика!$J$4))-Статистика!$C$10)/MAX(Статистика!$G$10-Статистика!$C$10,0.000001)))-MAX(0,MIN(1,(((IF(Статистика!$C$4="Параллельный режим (активная мощность)",Z261,AK261)+Статистика!$J$4))-Статистика!$C$10)/MAX(Статистика!$G$10-Статистика!$C$10,0.000001)))))</f>
        <v>1.7059179500000299E-2</v>
      </c>
      <c r="BV261" s="12">
        <f>IF(Y261="","",MAX(0,MAX(0,MIN(1,(((IF(Статистика!$C$4="Параллельный режим (активная мощность)",AC261,AN261)+Статистика!$J$4))-Статистика!$C$10)/MAX(Статистика!$G$10-Статистика!$C$10,0.000001)))-MAX(0,MIN(1,(((IF(Статистика!$C$4="Параллельный режим (активная мощность)",AB261,AM261)+Статистика!$J$4))-Статистика!$C$10)/MAX(Статистика!$G$10-Статистика!$C$10,0.000001)))))</f>
        <v>0.11374159777777793</v>
      </c>
      <c r="BW261" s="12">
        <f>IF(Y261="","",MAX(0,MAX(0,MIN(1,(((IF(Статистика!$C$4="Параллельный режим (активная мощность)",AD261,AO261)+Статистика!$J$4))-Статистика!$C$10)/MAX(Статистика!$G$10-Статистика!$C$10,0.000001)))-MAX(0,MIN(1,(((IF(Статистика!$C$4="Параллельный режим (активная мощность)",AC261,AN261)+Статистика!$J$4))-Статистика!$C$10)/MAX(Статистика!$G$10-Статистика!$C$10,0.000001)))))</f>
        <v>2.9224969444444526E-2</v>
      </c>
      <c r="BX261" s="12">
        <f>IF(Y261="","",MAX(0,MAX(0,MIN(1,(((IF(Статистика!$C$4="Параллельный режим (активная мощность)",AE261,AP261)+Статистика!$J$4))-Статистика!$C$10)/MAX(Статистика!$G$10-Статистика!$C$10,0.000001)))-MAX(0,MIN(1,(((IF(Статистика!$C$4="Параллельный режим (активная мощность)",AD261,AO261)+Статистика!$J$4))-Статистика!$C$10)/MAX(Статистика!$G$10-Статистика!$C$10,0.000001)))))</f>
        <v>0.16713767777777833</v>
      </c>
      <c r="BY261" s="12">
        <f>IF(Y261="","",MAX(0,MAX(0,MIN(1,(((IF(Статистика!$C$4="Параллельный режим (активная мощность)",AF261,AQ261)+Статистика!$J$4))-Статистика!$C$10)/MAX(Статистика!$G$10-Статистика!$C$10,0.000001)))-MAX(0,MIN(1,(((IF(Статистика!$C$4="Параллельный режим (активная мощность)",AE261,AP261)+Статистика!$J$4))-Статистика!$C$10)/MAX(Статистика!$G$10-Статистика!$C$10,0.000001)))))</f>
        <v>3.9208640555555285E-2</v>
      </c>
      <c r="BZ261" s="12">
        <f>IF(Y261="","",MAX(0,MAX(0,MIN(1,(((IF(Статистика!$C$4="Параллельный режим (активная мощность)",AH261,AS261)+Статистика!$J$4))-Статистика!$C$10)/MAX(Статистика!$G$10-Статистика!$C$10,0.000001)))-MAX(0,MIN(1,(((IF(Статистика!$C$4="Параллельный режим (активная мощность)",AF261,AQ261)+Статистика!$J$4))-Статистика!$C$10)/MAX(Статистика!$G$10-Статистика!$C$10,0.000001)))))</f>
        <v>3.5150334999998201E-3</v>
      </c>
      <c r="CA261" s="12">
        <f>IF(Y261="","",MAX(0,1-MAX(0,MIN(1,(((IF(Статистика!$C$4="Параллельный режим (активная мощность)",AH261,AS261)+Статистика!$J$4))-Статистика!$C$10)/MAX(Статистика!$G$10-Статистика!$C$10,0.000001)))))</f>
        <v>0.19496399261111097</v>
      </c>
      <c r="CB261" s="12">
        <f>IF(Y261="",NA(),IF(Статистика!$B$8="Вкл",(((IF(Статистика!$C$4="Параллельный режим (активная мощность)",AD261,AO261)+Статистика!$J$4))-Статистика!$C$10)/MAX(Статистика!$G$10-Статистика!$C$10,0.000001),NA()))</f>
        <v>0.5951746555555556</v>
      </c>
      <c r="CC261" s="12">
        <f>IF(Y261="",NA(),IF(Статистика!$D$8="Вкл",(((IF(Статистика!$C$4="Параллельный режим (активная мощность)",AC261,AN261)+Статистика!$J$4))-Статистика!$C$10)/MAX(Статистика!$G$10-Статистика!$C$10,0.000001),NA()))</f>
        <v>0.56594968611111107</v>
      </c>
      <c r="CD261" s="12">
        <f>IF(Y261="",NA(),IF(Статистика!$D$8="Вкл",(((IF(Статистика!$C$4="Параллельный режим (активная мощность)",AE261,AP261)+Статистика!$J$4))-Статистика!$C$10)/MAX(Статистика!$G$10-Статистика!$C$10,0.000001),NA()))</f>
        <v>0.76231233333333392</v>
      </c>
      <c r="CE261" s="12">
        <f>IF(Y261="",NA(),IF(Статистика!$F$8="Вкл",(((IF(Статистика!$C$4="Параллельный режим (активная мощность)",AB261,AM261)+Статистика!$J$4))-Статистика!$C$10)/MAX(Статистика!$G$10-Статистика!$C$10,0.000001),NA()))</f>
        <v>0.45220808833333315</v>
      </c>
      <c r="CF261" s="12">
        <f>IF(Y261="",NA(),IF(Статистика!$F$8="Вкл",(((IF(Статистика!$C$4="Параллельный режим (активная мощность)",AF261,AQ261)+Статистика!$J$4))-Статистика!$C$10)/MAX(Статистика!$G$10-Статистика!$C$10,0.000001),NA()))</f>
        <v>0.80152097388888921</v>
      </c>
      <c r="CG261" s="12">
        <f>IF(Y261="",NA(),IF(Статистика!$H$8="Вкл",(((IF(Статистика!$C$4="Параллельный режим (активная мощность)",Z261,AK261)+Статистика!$J$4))-Статистика!$C$10)/MAX(Статистика!$G$10-Статистика!$C$10,0.000001),NA()))</f>
        <v>0.43514890883333285</v>
      </c>
      <c r="CH261" s="12">
        <f>IF(Y261="",NA(),IF(Статистика!$H$8="Вкл",(((IF(Статистика!$C$4="Параллельный режим (активная мощность)",AH261,AS261)+Статистика!$J$4))-Статистика!$C$10)/MAX(Статистика!$G$10-Статистика!$C$10,0.000001),NA()))</f>
        <v>0.80503600738888903</v>
      </c>
      <c r="CI261" s="12" t="e">
        <f>IF(Y261="",NA(),IF(Статистика!$J$8="Вкл",(((IF(Статистика!$C$4="Параллельный режим (активная мощность)",AI261,AT261)+Статистика!$J$4))-Статистика!$C$10)/MAX(Статистика!$G$10-Статистика!$C$10,0.000001),NA()))</f>
        <v>#N/A</v>
      </c>
      <c r="CJ261" s="12" t="e">
        <f>IF(AND(Y261&lt;&gt;"",Статистика!$C$6="Вкл",Статистика!$B$6&gt;0),(Статистика!$B$6-Статистика!$C$10)/MAX(Статистика!$G$10-Статистика!$C$10,0.000001),NA())</f>
        <v>#N/A</v>
      </c>
      <c r="CK261" s="12" t="e">
        <f>IF(AND(Y261&lt;&gt;"",Статистика!$F$6="Вкл",Статистика!$E$6&gt;0),(Статистика!$E$6-Статистика!$C$10)/MAX(Статистика!$G$10-Статистика!$C$10,0.000001),NA())</f>
        <v>#N/A</v>
      </c>
      <c r="CL261" s="12" t="e">
        <f>IF(AND(Y261&lt;&gt;"",Статистика!$I$6="Вкл",Статистика!$H$6&gt;0),(Статистика!$H$6-Статистика!$C$10)/MAX(Статистика!$G$10-Статистика!$C$10,0.000001),NA())</f>
        <v>#N/A</v>
      </c>
      <c r="CM261" s="12" t="e">
        <f>IF(AND(Y261&lt;&gt;"",Статистика!$L$6="Вкл",Статистика!$K$6&gt;0),(Статистика!$K$6-Статистика!$C$10)/MAX(Статистика!$G$10-Статистика!$C$10,0.000001),NA())</f>
        <v>#N/A</v>
      </c>
      <c r="CN261" s="12" t="e">
        <f>IF(AND(Y261&lt;&gt;"",Статистика!$M$6="Вкл",Статистика!$O$6&gt;0),(Статистика!$O$6-Статистика!$C$10)/MAX(Статистика!$G$10-Статистика!$C$10,0.000001),NA())</f>
        <v>#N/A</v>
      </c>
      <c r="CO261" s="12">
        <f t="shared" si="9"/>
        <v>1</v>
      </c>
    </row>
    <row r="262" spans="1:93" ht="15" customHeight="1">
      <c r="A262" s="12" t="s">
        <v>1093</v>
      </c>
      <c r="B262" s="12">
        <v>2339.1400229999999</v>
      </c>
      <c r="C262" s="12">
        <v>5798.5485150000004</v>
      </c>
      <c r="D262" s="12">
        <v>7452.7190850000006</v>
      </c>
      <c r="E262" s="12">
        <v>7709.4659333333339</v>
      </c>
      <c r="F262" s="12">
        <v>7955.1765500000001</v>
      </c>
      <c r="G262" s="12">
        <v>8188.3399499999996</v>
      </c>
      <c r="H262" s="12">
        <v>8445.1391983333324</v>
      </c>
      <c r="I262" s="12">
        <v>8542.2161899999992</v>
      </c>
      <c r="J262" s="12">
        <v>8680.2428113333335</v>
      </c>
      <c r="K262" s="12">
        <v>8820.7099999999991</v>
      </c>
      <c r="L262" s="12" t="s">
        <v>1094</v>
      </c>
      <c r="M262" s="12">
        <v>2883.7437738333333</v>
      </c>
      <c r="N262" s="12">
        <v>6660.8732691666673</v>
      </c>
      <c r="O262" s="12">
        <v>8461.0104183333333</v>
      </c>
      <c r="P262" s="12">
        <v>8814.7065500000008</v>
      </c>
      <c r="Q262" s="12">
        <v>9056.2951166666644</v>
      </c>
      <c r="R262" s="12">
        <v>9277.0227166666664</v>
      </c>
      <c r="S262" s="12">
        <v>9558.8167866666663</v>
      </c>
      <c r="T262" s="12">
        <v>9666.5453849999994</v>
      </c>
      <c r="U262" s="12">
        <v>9747.9936636666662</v>
      </c>
      <c r="V262" s="12">
        <v>9870.5</v>
      </c>
      <c r="W262" s="12" t="s">
        <v>1095</v>
      </c>
      <c r="Y262" s="12" t="s">
        <v>1093</v>
      </c>
      <c r="Z262" s="12">
        <v>7306.1373948333321</v>
      </c>
      <c r="AA262" s="12">
        <v>7335.2857741666658</v>
      </c>
      <c r="AB262" s="12">
        <v>7371.7212483333333</v>
      </c>
      <c r="AC262" s="12">
        <v>7725.3045416666682</v>
      </c>
      <c r="AD262" s="12">
        <v>7807.3311166666663</v>
      </c>
      <c r="AE262" s="12">
        <v>8286.2582833333345</v>
      </c>
      <c r="AF262" s="12">
        <v>8409.9687849999991</v>
      </c>
      <c r="AG262" s="12">
        <v>8418.4149424999996</v>
      </c>
      <c r="AH262" s="12">
        <v>8425.1718684999996</v>
      </c>
      <c r="AI262" s="12">
        <v>8662.51</v>
      </c>
      <c r="AJ262" s="12" t="s">
        <v>1096</v>
      </c>
      <c r="AK262" s="12">
        <v>8352.0951153333335</v>
      </c>
      <c r="AL262" s="12">
        <v>8385.3163766666676</v>
      </c>
      <c r="AM262" s="12">
        <v>8426.8429533333347</v>
      </c>
      <c r="AN262" s="12">
        <v>8783.3553666666667</v>
      </c>
      <c r="AO262" s="12">
        <v>8872.159866666665</v>
      </c>
      <c r="AP262" s="12">
        <v>9298.6653499999993</v>
      </c>
      <c r="AQ262" s="12">
        <v>9454.4434066666672</v>
      </c>
      <c r="AR262" s="12">
        <v>9465.1740533333341</v>
      </c>
      <c r="AS262" s="12">
        <v>9473.7585706666669</v>
      </c>
      <c r="AT262" s="12">
        <v>9914.86</v>
      </c>
      <c r="AU262" s="12" t="s">
        <v>1096</v>
      </c>
      <c r="AW262" s="12">
        <f>IF(A262="","",MAX(0,MIN(1,(((IF(Статистика!$C$4="Параллельный режим (активная мощность)",B262,M262)+Статистика!$J$4))-Статистика!$C$10)/MAX(Статистика!$G$10-Статистика!$C$10,0.000001))))</f>
        <v>0</v>
      </c>
      <c r="AX262" s="12">
        <f>IF(A262="","",MAX(0,MAX(0,MIN(1,(((IF(Статистика!$C$4="Параллельный режим (активная мощность)",D262,O262)+Статистика!$J$4))-Статистика!$C$10)/MAX(Статистика!$G$10-Статистика!$C$10,0.000001)))-MAX(0,MIN(1,(((IF(Статистика!$C$4="Параллельный режим (активная мощность)",B262,M262)+Статистика!$J$4))-Статистика!$C$10)/MAX(Статистика!$G$10-Статистика!$C$10,0.000001)))))</f>
        <v>0.48423969500000019</v>
      </c>
      <c r="AY262" s="12">
        <f>IF(A262="","",MAX(0,MAX(0,MIN(1,(((IF(Статистика!$C$4="Параллельный режим (активная мощность)",E262,P262)+Статистика!$J$4))-Статистика!$C$10)/MAX(Статистика!$G$10-Статистика!$C$10,0.000001)))-MAX(0,MIN(1,(((IF(Статистика!$C$4="Параллельный режим (активная мощность)",D262,O262)+Статистика!$J$4))-Статистика!$C$10)/MAX(Статистика!$G$10-Статистика!$C$10,0.000001)))))</f>
        <v>8.5582282777777796E-2</v>
      </c>
      <c r="AZ262" s="12">
        <f>IF(A262="","",MAX(0,MAX(0,MIN(1,(((IF(Статистика!$C$4="Параллельный режим (активная мощность)",F262,Q262)+Статистика!$J$4))-Статистика!$C$10)/MAX(Статистика!$G$10-Статистика!$C$10,0.000001)))-MAX(0,MIN(1,(((IF(Статистика!$C$4="Параллельный режим (активная мощность)",E262,P262)+Статистика!$J$4))-Статистика!$C$10)/MAX(Статистика!$G$10-Статистика!$C$10,0.000001)))))</f>
        <v>8.1903538888888683E-2</v>
      </c>
      <c r="BA262" s="12">
        <f>IF(A262="","",MAX(0,MAX(0,MIN(1,(((IF(Статистика!$C$4="Параллельный режим (активная мощность)",G262,R262)+Статистика!$J$4))-Статистика!$C$10)/MAX(Статистика!$G$10-Статистика!$C$10,0.000001)))-MAX(0,MIN(1,(((IF(Статистика!$C$4="Параллельный режим (активная мощность)",F262,Q262)+Статистика!$J$4))-Статистика!$C$10)/MAX(Статистика!$G$10-Статистика!$C$10,0.000001)))))</f>
        <v>7.7721133333333192E-2</v>
      </c>
      <c r="BB262" s="12">
        <f>IF(A262="","",MAX(0,MAX(0,MIN(1,(((IF(Статистика!$C$4="Параллельный режим (активная мощность)",H262,S262)+Статистика!$J$4))-Статистика!$C$10)/MAX(Статистика!$G$10-Статистика!$C$10,0.000001)))-MAX(0,MIN(1,(((IF(Статистика!$C$4="Параллельный режим (активная мощность)",G262,R262)+Статистика!$J$4))-Статистика!$C$10)/MAX(Статистика!$G$10-Статистика!$C$10,0.000001)))))</f>
        <v>8.5599749444444262E-2</v>
      </c>
      <c r="BC262" s="12">
        <f>IF(A262="","",MAX(0,MAX(0,MIN(1,(((IF(Статистика!$C$4="Параллельный режим (активная мощность)",J262,U262)+Статистика!$J$4))-Статистика!$C$10)/MAX(Статистика!$G$10-Статистика!$C$10,0.000001)))-MAX(0,MIN(1,(((IF(Статистика!$C$4="Параллельный режим (активная мощность)",H262,S262)+Статистика!$J$4))-Статистика!$C$10)/MAX(Статистика!$G$10-Статистика!$C$10,0.000001)))))</f>
        <v>7.8367871000000422E-2</v>
      </c>
      <c r="BD262" s="12">
        <f>IF(A262="","",MAX(0,1-MAX(0,MIN(1,(((IF(Статистика!$C$4="Параллельный режим (активная мощность)",J262,U262)+Статистика!$J$4))-Статистика!$C$10)/MAX(Статистика!$G$10-Статистика!$C$10,0.000001)))))</f>
        <v>0.10658572955555545</v>
      </c>
      <c r="BE262" s="12">
        <f>IF(A262="",NA(),IF(Статистика!$B$8="Вкл",(((IF(Статистика!$C$4="Параллельный режим (активная мощность)",F262,Q262)+Статистика!$J$4))-Статистика!$C$10)/MAX(Статистика!$G$10-Статистика!$C$10,0.000001),NA()))</f>
        <v>0.65172551666666667</v>
      </c>
      <c r="BF262" s="12">
        <f>IF(A262="",NA(),IF(Статистика!$D$8="Вкл",(((IF(Статистика!$C$4="Параллельный режим (активная мощность)",E262,P262)+Статистика!$J$4))-Статистика!$C$10)/MAX(Статистика!$G$10-Статистика!$C$10,0.000001),NA()))</f>
        <v>0.56982197777777799</v>
      </c>
      <c r="BG262" s="12">
        <f>IF(A262="",NA(),IF(Статистика!$D$8="Вкл",(((IF(Статистика!$C$4="Параллельный режим (активная мощность)",G262,R262)+Статистика!$J$4))-Статистика!$C$10)/MAX(Статистика!$G$10-Статистика!$C$10,0.000001),NA()))</f>
        <v>0.72944664999999986</v>
      </c>
      <c r="BH262" s="12">
        <f>IF(A262="",NA(),IF(Статистика!$F$8="Вкл",(((IF(Статистика!$C$4="Параллельный режим (активная мощность)",D262,O262)+Статистика!$J$4))-Статистика!$C$10)/MAX(Статистика!$G$10-Статистика!$C$10,0.000001),NA()))</f>
        <v>0.48423969500000019</v>
      </c>
      <c r="BI262" s="12">
        <f>IF(A262="",NA(),IF(Статистика!$F$8="Вкл",(((IF(Статистика!$C$4="Параллельный режим (активная мощность)",H262,S262)+Статистика!$J$4))-Статистика!$C$10)/MAX(Статистика!$G$10-Статистика!$C$10,0.000001),NA()))</f>
        <v>0.81504639944444413</v>
      </c>
      <c r="BJ262" s="12">
        <f>IF(A262="",NA(),IF(Статистика!$H$8="Вкл",(((IF(Статистика!$C$4="Параллельный режим (активная мощность)",B262,M262)+Статистика!$J$4))-Статистика!$C$10)/MAX(Статистика!$G$10-Статистика!$C$10,0.000001),NA()))</f>
        <v>-1.2202866590000001</v>
      </c>
      <c r="BK262" s="12">
        <f>IF(A262="",NA(),IF(Статистика!$H$8="Вкл",(((IF(Статистика!$C$4="Параллельный режим (активная мощность)",J262,U262)+Статистика!$J$4))-Статистика!$C$10)/MAX(Статистика!$G$10-Статистика!$C$10,0.000001),NA()))</f>
        <v>0.89341427044444455</v>
      </c>
      <c r="BL262" s="12" t="e">
        <f>IF(A262="",NA(),IF(Статистика!$J$8="Вкл",(((IF(Статистика!$C$4="Параллельный режим (активная мощность)",K262,V262)+Статистика!$J$4))-Статистика!$C$10)/MAX(Статистика!$G$10-Статистика!$C$10,0.000001),NA()))</f>
        <v>#N/A</v>
      </c>
      <c r="BM262" s="12" t="e">
        <f>IF(AND(A262&lt;&gt;"",Статистика!$C$6="Вкл",Статистика!$B$6&gt;0),(Статистика!$B$6-Статистика!$C$10)/MAX(Статистика!$G$10-Статистика!$C$10,0.000001),NA())</f>
        <v>#N/A</v>
      </c>
      <c r="BN262" s="12" t="e">
        <f>IF(AND(A262&lt;&gt;"",Статистика!$F$6="Вкл",Статистика!$E$6&gt;0),(Статистика!$E$6-Статистика!$C$10)/MAX(Статистика!$G$10-Статистика!$C$10,0.000001),NA())</f>
        <v>#N/A</v>
      </c>
      <c r="BO262" s="12" t="e">
        <f>IF(AND(A262&lt;&gt;"",Статистика!$I$6="Вкл",Статистика!$H$6&gt;0),(Статистика!$H$6-Статистика!$C$10)/MAX(Статистика!$G$10-Статистика!$C$10,0.000001),NA())</f>
        <v>#N/A</v>
      </c>
      <c r="BP262" s="12" t="e">
        <f>IF(AND(A262&lt;&gt;"",Статистика!$L$6="Вкл",Статистика!$K$6&gt;0),(Статистика!$K$6-Статистика!$C$10)/MAX(Статистика!$G$10-Статистика!$C$10,0.000001),NA())</f>
        <v>#N/A</v>
      </c>
      <c r="BQ262" s="12" t="e">
        <f>IF(AND(A262&lt;&gt;"",Статистика!$M$6="Вкл",Статистика!$O$6&gt;0),(Статистика!$O$6-Статистика!$C$10)/MAX(Статистика!$G$10-Статистика!$C$10,0.000001),NA())</f>
        <v>#N/A</v>
      </c>
      <c r="BR262" s="12">
        <f t="shared" si="8"/>
        <v>1</v>
      </c>
      <c r="BT262" s="12">
        <f>IF(Y262="","",MAX(0,MIN(1,(((IF(Статистика!$C$4="Параллельный режим (активная мощность)",Z262,AK262)+Статистика!$J$4))-Статистика!$C$10)/MAX(Статистика!$G$10-Статистика!$C$10,0.000001))))</f>
        <v>0.43537913161111069</v>
      </c>
      <c r="BU262" s="12">
        <f>IF(Y262="","",MAX(0,MAX(0,MIN(1,(((IF(Статистика!$C$4="Параллельный режим (активная мощность)",AB262,AM262)+Статистика!$J$4))-Статистика!$C$10)/MAX(Статистика!$G$10-Статистика!$C$10,0.000001)))-MAX(0,MIN(1,(((IF(Статистика!$C$4="Параллельный режим (активная мощность)",Z262,AK262)+Статистика!$J$4))-Статистика!$C$10)/MAX(Статистика!$G$10-Статистика!$C$10,0.000001)))))</f>
        <v>2.1861284500000411E-2</v>
      </c>
      <c r="BV262" s="12">
        <f>IF(Y262="","",MAX(0,MAX(0,MIN(1,(((IF(Статистика!$C$4="Параллельный режим (активная мощность)",AC262,AN262)+Статистика!$J$4))-Статистика!$C$10)/MAX(Статистика!$G$10-Статистика!$C$10,0.000001)))-MAX(0,MIN(1,(((IF(Статистика!$C$4="Параллельный режим (активная мощность)",AB262,AM262)+Статистика!$J$4))-Статистика!$C$10)/MAX(Статистика!$G$10-Статистика!$C$10,0.000001)))))</f>
        <v>0.11786109777777831</v>
      </c>
      <c r="BW262" s="12">
        <f>IF(Y262="","",MAX(0,MAX(0,MIN(1,(((IF(Статистика!$C$4="Параллельный режим (активная мощность)",AD262,AO262)+Статистика!$J$4))-Статистика!$C$10)/MAX(Статистика!$G$10-Статистика!$C$10,0.000001)))-MAX(0,MIN(1,(((IF(Статистика!$C$4="Параллельный режим (активная мощность)",AC262,AN262)+Статистика!$J$4))-Статистика!$C$10)/MAX(Статистика!$G$10-Статистика!$C$10,0.000001)))))</f>
        <v>2.734219166666596E-2</v>
      </c>
      <c r="BX262" s="12">
        <f>IF(Y262="","",MAX(0,MAX(0,MIN(1,(((IF(Статистика!$C$4="Параллельный режим (активная мощность)",AE262,AP262)+Статистика!$J$4))-Статистика!$C$10)/MAX(Статистика!$G$10-Статистика!$C$10,0.000001)))-MAX(0,MIN(1,(((IF(Статистика!$C$4="Параллельный режим (активная мощность)",AD262,AO262)+Статистика!$J$4))-Статистика!$C$10)/MAX(Статистика!$G$10-Статистика!$C$10,0.000001)))))</f>
        <v>0.15964238888888949</v>
      </c>
      <c r="BY262" s="12">
        <f>IF(Y262="","",MAX(0,MAX(0,MIN(1,(((IF(Статистика!$C$4="Параллельный режим (активная мощность)",AF262,AQ262)+Статистика!$J$4))-Статистика!$C$10)/MAX(Статистика!$G$10-Статистика!$C$10,0.000001)))-MAX(0,MIN(1,(((IF(Статистика!$C$4="Параллельный режим (активная мощность)",AE262,AP262)+Статистика!$J$4))-Статистика!$C$10)/MAX(Статистика!$G$10-Статистика!$C$10,0.000001)))))</f>
        <v>4.1236833888888214E-2</v>
      </c>
      <c r="BZ262" s="12">
        <f>IF(Y262="","",MAX(0,MAX(0,MIN(1,(((IF(Статистика!$C$4="Параллельный режим (активная мощность)",AH262,AS262)+Статистика!$J$4))-Статистика!$C$10)/MAX(Статистика!$G$10-Статистика!$C$10,0.000001)))-MAX(0,MIN(1,(((IF(Статистика!$C$4="Параллельный режим (активная мощность)",AF262,AQ262)+Статистика!$J$4))-Статистика!$C$10)/MAX(Статистика!$G$10-Статистика!$C$10,0.000001)))))</f>
        <v>5.0676945000001083E-3</v>
      </c>
      <c r="CA262" s="12">
        <f>IF(Y262="","",MAX(0,1-MAX(0,MIN(1,(((IF(Статистика!$C$4="Параллельный режим (активная мощность)",AH262,AS262)+Статистика!$J$4))-Статистика!$C$10)/MAX(Статистика!$G$10-Статистика!$C$10,0.000001)))))</f>
        <v>0.19160937716666682</v>
      </c>
      <c r="CB262" s="12">
        <f>IF(Y262="",NA(),IF(Статистика!$B$8="Вкл",(((IF(Статистика!$C$4="Параллельный режим (активная мощность)",AD262,AO262)+Статистика!$J$4))-Статистика!$C$10)/MAX(Статистика!$G$10-Статистика!$C$10,0.000001),NA()))</f>
        <v>0.60244370555555538</v>
      </c>
      <c r="CC262" s="12">
        <f>IF(Y262="",NA(),IF(Статистика!$D$8="Вкл",(((IF(Статистика!$C$4="Параллельный режим (активная мощность)",AC262,AN262)+Статистика!$J$4))-Статистика!$C$10)/MAX(Статистика!$G$10-Статистика!$C$10,0.000001),NA()))</f>
        <v>0.57510151388888942</v>
      </c>
      <c r="CD262" s="12">
        <f>IF(Y262="",NA(),IF(Статистика!$D$8="Вкл",(((IF(Статистика!$C$4="Параллельный режим (активная мощность)",AE262,AP262)+Статистика!$J$4))-Статистика!$C$10)/MAX(Статистика!$G$10-Статистика!$C$10,0.000001),NA()))</f>
        <v>0.76208609444444486</v>
      </c>
      <c r="CE262" s="12">
        <f>IF(Y262="",NA(),IF(Статистика!$F$8="Вкл",(((IF(Статистика!$C$4="Параллельный режим (активная мощность)",AB262,AM262)+Статистика!$J$4))-Статистика!$C$10)/MAX(Статистика!$G$10-Статистика!$C$10,0.000001),NA()))</f>
        <v>0.4572404161111111</v>
      </c>
      <c r="CF262" s="12">
        <f>IF(Y262="",NA(),IF(Статистика!$F$8="Вкл",(((IF(Статистика!$C$4="Параллельный режим (активная мощность)",AF262,AQ262)+Статистика!$J$4))-Статистика!$C$10)/MAX(Статистика!$G$10-Статистика!$C$10,0.000001),NA()))</f>
        <v>0.80332292833333308</v>
      </c>
      <c r="CG262" s="12">
        <f>IF(Y262="",NA(),IF(Статистика!$H$8="Вкл",(((IF(Статистика!$C$4="Параллельный режим (активная мощность)",Z262,AK262)+Статистика!$J$4))-Статистика!$C$10)/MAX(Статистика!$G$10-Статистика!$C$10,0.000001),NA()))</f>
        <v>0.43537913161111069</v>
      </c>
      <c r="CH262" s="12">
        <f>IF(Y262="",NA(),IF(Статистика!$H$8="Вкл",(((IF(Статистика!$C$4="Параллельный режим (активная мощность)",AH262,AS262)+Статистика!$J$4))-Статистика!$C$10)/MAX(Статистика!$G$10-Статистика!$C$10,0.000001),NA()))</f>
        <v>0.80839062283333318</v>
      </c>
      <c r="CI262" s="12" t="e">
        <f>IF(Y262="",NA(),IF(Статистика!$J$8="Вкл",(((IF(Статистика!$C$4="Параллельный режим (активная мощность)",AI262,AT262)+Статистика!$J$4))-Статистика!$C$10)/MAX(Статистика!$G$10-Статистика!$C$10,0.000001),NA()))</f>
        <v>#N/A</v>
      </c>
      <c r="CJ262" s="12" t="e">
        <f>IF(AND(Y262&lt;&gt;"",Статистика!$C$6="Вкл",Статистика!$B$6&gt;0),(Статистика!$B$6-Статистика!$C$10)/MAX(Статистика!$G$10-Статистика!$C$10,0.000001),NA())</f>
        <v>#N/A</v>
      </c>
      <c r="CK262" s="12" t="e">
        <f>IF(AND(Y262&lt;&gt;"",Статистика!$F$6="Вкл",Статистика!$E$6&gt;0),(Статистика!$E$6-Статистика!$C$10)/MAX(Статистика!$G$10-Статистика!$C$10,0.000001),NA())</f>
        <v>#N/A</v>
      </c>
      <c r="CL262" s="12" t="e">
        <f>IF(AND(Y262&lt;&gt;"",Статистика!$I$6="Вкл",Статистика!$H$6&gt;0),(Статистика!$H$6-Статистика!$C$10)/MAX(Статистика!$G$10-Статистика!$C$10,0.000001),NA())</f>
        <v>#N/A</v>
      </c>
      <c r="CM262" s="12" t="e">
        <f>IF(AND(Y262&lt;&gt;"",Статистика!$L$6="Вкл",Статистика!$K$6&gt;0),(Статистика!$K$6-Статистика!$C$10)/MAX(Статистика!$G$10-Статистика!$C$10,0.000001),NA())</f>
        <v>#N/A</v>
      </c>
      <c r="CN262" s="12" t="e">
        <f>IF(AND(Y262&lt;&gt;"",Статистика!$M$6="Вкл",Статистика!$O$6&gt;0),(Статистика!$O$6-Статистика!$C$10)/MAX(Статистика!$G$10-Статистика!$C$10,0.000001),NA())</f>
        <v>#N/A</v>
      </c>
      <c r="CO262" s="12">
        <f t="shared" si="9"/>
        <v>1</v>
      </c>
    </row>
    <row r="263" spans="1:93" ht="15" customHeight="1">
      <c r="A263" s="12" t="s">
        <v>1097</v>
      </c>
      <c r="B263" s="12">
        <v>2319.4470328333337</v>
      </c>
      <c r="C263" s="12">
        <v>5800.6494308333331</v>
      </c>
      <c r="D263" s="12">
        <v>7461.7967233333329</v>
      </c>
      <c r="E263" s="12">
        <v>7750.8344750000006</v>
      </c>
      <c r="F263" s="12">
        <v>8043.7157333333344</v>
      </c>
      <c r="G263" s="12">
        <v>8203.9899833333329</v>
      </c>
      <c r="H263" s="12">
        <v>8389.5921916666666</v>
      </c>
      <c r="I263" s="12">
        <v>8494.697568333333</v>
      </c>
      <c r="J263" s="12">
        <v>8670.1781536666676</v>
      </c>
      <c r="K263" s="12">
        <v>8913.4</v>
      </c>
      <c r="L263" s="12" t="s">
        <v>1098</v>
      </c>
      <c r="M263" s="12">
        <v>2866.4176563333331</v>
      </c>
      <c r="N263" s="12">
        <v>6680.527081666668</v>
      </c>
      <c r="O263" s="12">
        <v>8492.7187533333345</v>
      </c>
      <c r="P263" s="12">
        <v>8831.0399083333341</v>
      </c>
      <c r="Q263" s="12">
        <v>9137.3479666666663</v>
      </c>
      <c r="R263" s="12">
        <v>9266.3368583333322</v>
      </c>
      <c r="S263" s="12">
        <v>9499.1043383333326</v>
      </c>
      <c r="T263" s="12">
        <v>9609.116670833333</v>
      </c>
      <c r="U263" s="12">
        <v>9749.6486408333349</v>
      </c>
      <c r="V263" s="12">
        <v>10047.11</v>
      </c>
      <c r="W263" s="12" t="s">
        <v>1099</v>
      </c>
      <c r="Y263" s="12" t="s">
        <v>1097</v>
      </c>
      <c r="Z263" s="12">
        <v>7331.088963666668</v>
      </c>
      <c r="AA263" s="12">
        <v>7349.3472183333342</v>
      </c>
      <c r="AB263" s="12">
        <v>7372.1700366666673</v>
      </c>
      <c r="AC263" s="12">
        <v>7698.3147833333333</v>
      </c>
      <c r="AD263" s="12">
        <v>7823.2566000000006</v>
      </c>
      <c r="AE263" s="12">
        <v>8319.0584166666667</v>
      </c>
      <c r="AF263" s="12">
        <v>8412.9531299999999</v>
      </c>
      <c r="AG263" s="12">
        <v>8420.5550650000005</v>
      </c>
      <c r="AH263" s="12">
        <v>8426.6366130000006</v>
      </c>
      <c r="AI263" s="12">
        <v>8635.74</v>
      </c>
      <c r="AJ263" s="12" t="s">
        <v>1100</v>
      </c>
      <c r="AK263" s="12">
        <v>8368.1310670000003</v>
      </c>
      <c r="AL263" s="12">
        <v>8390.2717350000003</v>
      </c>
      <c r="AM263" s="12">
        <v>8417.9475700000003</v>
      </c>
      <c r="AN263" s="12">
        <v>8750.5055833333354</v>
      </c>
      <c r="AO263" s="12">
        <v>8895.1089166666661</v>
      </c>
      <c r="AP263" s="12">
        <v>9348.5189916666659</v>
      </c>
      <c r="AQ263" s="12">
        <v>9458.6314449999991</v>
      </c>
      <c r="AR263" s="12">
        <v>9473.3511225000002</v>
      </c>
      <c r="AS263" s="12">
        <v>9485.1268645</v>
      </c>
      <c r="AT263" s="12">
        <v>9726.91</v>
      </c>
      <c r="AU263" s="12" t="s">
        <v>1100</v>
      </c>
      <c r="AW263" s="12">
        <f>IF(A263="","",MAX(0,MIN(1,(((IF(Статистика!$C$4="Параллельный режим (активная мощность)",B263,M263)+Статистика!$J$4))-Статистика!$C$10)/MAX(Статистика!$G$10-Статистика!$C$10,0.000001))))</f>
        <v>0</v>
      </c>
      <c r="AX263" s="12">
        <f>IF(A263="","",MAX(0,MAX(0,MIN(1,(((IF(Статистика!$C$4="Параллельный режим (активная мощность)",D263,O263)+Статистика!$J$4))-Статистика!$C$10)/MAX(Статистика!$G$10-Статистика!$C$10,0.000001)))-MAX(0,MIN(1,(((IF(Статистика!$C$4="Параллельный режим (активная мощность)",B263,M263)+Статистика!$J$4))-Статистика!$C$10)/MAX(Статистика!$G$10-Статистика!$C$10,0.000001)))))</f>
        <v>0.48726557444444429</v>
      </c>
      <c r="AY263" s="12">
        <f>IF(A263="","",MAX(0,MAX(0,MIN(1,(((IF(Статистика!$C$4="Параллельный режим (активная мощность)",E263,P263)+Статистика!$J$4))-Статистика!$C$10)/MAX(Статистика!$G$10-Статистика!$C$10,0.000001)))-MAX(0,MIN(1,(((IF(Статистика!$C$4="Параллельный режим (активная мощность)",D263,O263)+Статистика!$J$4))-Статистика!$C$10)/MAX(Статистика!$G$10-Статистика!$C$10,0.000001)))))</f>
        <v>9.6345917222222521E-2</v>
      </c>
      <c r="AZ263" s="12">
        <f>IF(A263="","",MAX(0,MAX(0,MIN(1,(((IF(Статистика!$C$4="Параллельный режим (активная мощность)",F263,Q263)+Статистика!$J$4))-Статистика!$C$10)/MAX(Статистика!$G$10-Статистика!$C$10,0.000001)))-MAX(0,MIN(1,(((IF(Статистика!$C$4="Параллельный режим (активная мощность)",E263,P263)+Статистика!$J$4))-Статистика!$C$10)/MAX(Статистика!$G$10-Статистика!$C$10,0.000001)))))</f>
        <v>9.7627086111111261E-2</v>
      </c>
      <c r="BA263" s="12">
        <f>IF(A263="","",MAX(0,MAX(0,MIN(1,(((IF(Статистика!$C$4="Параллельный режим (активная мощность)",G263,R263)+Статистика!$J$4))-Статистика!$C$10)/MAX(Статистика!$G$10-Статистика!$C$10,0.000001)))-MAX(0,MIN(1,(((IF(Статистика!$C$4="Параллельный режим (активная мощность)",F263,Q263)+Статистика!$J$4))-Статистика!$C$10)/MAX(Статистика!$G$10-Статистика!$C$10,0.000001)))))</f>
        <v>5.3424749999999577E-2</v>
      </c>
      <c r="BB263" s="12">
        <f>IF(A263="","",MAX(0,MAX(0,MIN(1,(((IF(Статистика!$C$4="Параллельный режим (активная мощность)",H263,S263)+Статистика!$J$4))-Статистика!$C$10)/MAX(Статистика!$G$10-Статистика!$C$10,0.000001)))-MAX(0,MIN(1,(((IF(Статистика!$C$4="Параллельный режим (активная мощность)",G263,R263)+Статистика!$J$4))-Статистика!$C$10)/MAX(Статистика!$G$10-Статистика!$C$10,0.000001)))))</f>
        <v>6.1867402777777913E-2</v>
      </c>
      <c r="BC263" s="12">
        <f>IF(A263="","",MAX(0,MAX(0,MIN(1,(((IF(Статистика!$C$4="Параллельный режим (активная мощность)",J263,U263)+Статистика!$J$4))-Статистика!$C$10)/MAX(Статистика!$G$10-Статистика!$C$10,0.000001)))-MAX(0,MIN(1,(((IF(Статистика!$C$4="Параллельный режим (активная мощность)",H263,S263)+Статистика!$J$4))-Статистика!$C$10)/MAX(Статистика!$G$10-Статистика!$C$10,0.000001)))))</f>
        <v>9.3528654000000322E-2</v>
      </c>
      <c r="BD263" s="12">
        <f>IF(A263="","",MAX(0,1-MAX(0,MIN(1,(((IF(Статистика!$C$4="Параллельный режим (активная мощность)",J263,U263)+Статистика!$J$4))-Статистика!$C$10)/MAX(Статистика!$G$10-Статистика!$C$10,0.000001)))))</f>
        <v>0.10994061544444411</v>
      </c>
      <c r="BE263" s="12">
        <f>IF(A263="",NA(),IF(Статистика!$B$8="Вкл",(((IF(Статистика!$C$4="Параллельный режим (активная мощность)",F263,Q263)+Статистика!$J$4))-Статистика!$C$10)/MAX(Статистика!$G$10-Статистика!$C$10,0.000001),NA()))</f>
        <v>0.68123857777777808</v>
      </c>
      <c r="BF263" s="12">
        <f>IF(A263="",NA(),IF(Статистика!$D$8="Вкл",(((IF(Статистика!$C$4="Параллельный режим (активная мощность)",E263,P263)+Статистика!$J$4))-Статистика!$C$10)/MAX(Статистика!$G$10-Статистика!$C$10,0.000001),NA()))</f>
        <v>0.58361149166666682</v>
      </c>
      <c r="BG263" s="12">
        <f>IF(A263="",NA(),IF(Статистика!$D$8="Вкл",(((IF(Статистика!$C$4="Параллельный режим (активная мощность)",G263,R263)+Статистика!$J$4))-Статистика!$C$10)/MAX(Статистика!$G$10-Статистика!$C$10,0.000001),NA()))</f>
        <v>0.73466332777777765</v>
      </c>
      <c r="BH263" s="12">
        <f>IF(A263="",NA(),IF(Статистика!$F$8="Вкл",(((IF(Статистика!$C$4="Параллельный режим (активная мощность)",D263,O263)+Статистика!$J$4))-Статистика!$C$10)/MAX(Статистика!$G$10-Статистика!$C$10,0.000001),NA()))</f>
        <v>0.48726557444444429</v>
      </c>
      <c r="BI263" s="12">
        <f>IF(A263="",NA(),IF(Статистика!$F$8="Вкл",(((IF(Статистика!$C$4="Параллельный режим (активная мощность)",H263,S263)+Статистика!$J$4))-Статистика!$C$10)/MAX(Статистика!$G$10-Статистика!$C$10,0.000001),NA()))</f>
        <v>0.79653073055555557</v>
      </c>
      <c r="BJ263" s="12">
        <f>IF(A263="",NA(),IF(Статистика!$H$8="Вкл",(((IF(Статистика!$C$4="Параллельный режим (активная мощность)",B263,M263)+Статистика!$J$4))-Статистика!$C$10)/MAX(Статистика!$G$10-Статистика!$C$10,0.000001),NA()))</f>
        <v>-1.2268509890555555</v>
      </c>
      <c r="BK263" s="12">
        <f>IF(A263="",NA(),IF(Статистика!$H$8="Вкл",(((IF(Статистика!$C$4="Параллельный режим (активная мощность)",J263,U263)+Статистика!$J$4))-Статистика!$C$10)/MAX(Статистика!$G$10-Статистика!$C$10,0.000001),NA()))</f>
        <v>0.89005938455555589</v>
      </c>
      <c r="BL263" s="12" t="e">
        <f>IF(A263="",NA(),IF(Статистика!$J$8="Вкл",(((IF(Статистика!$C$4="Параллельный режим (активная мощность)",K263,V263)+Статистика!$J$4))-Статистика!$C$10)/MAX(Статистика!$G$10-Статистика!$C$10,0.000001),NA()))</f>
        <v>#N/A</v>
      </c>
      <c r="BM263" s="12" t="e">
        <f>IF(AND(A263&lt;&gt;"",Статистика!$C$6="Вкл",Статистика!$B$6&gt;0),(Статистика!$B$6-Статистика!$C$10)/MAX(Статистика!$G$10-Статистика!$C$10,0.000001),NA())</f>
        <v>#N/A</v>
      </c>
      <c r="BN263" s="12" t="e">
        <f>IF(AND(A263&lt;&gt;"",Статистика!$F$6="Вкл",Статистика!$E$6&gt;0),(Статистика!$E$6-Статистика!$C$10)/MAX(Статистика!$G$10-Статистика!$C$10,0.000001),NA())</f>
        <v>#N/A</v>
      </c>
      <c r="BO263" s="12" t="e">
        <f>IF(AND(A263&lt;&gt;"",Статистика!$I$6="Вкл",Статистика!$H$6&gt;0),(Статистика!$H$6-Статистика!$C$10)/MAX(Статистика!$G$10-Статистика!$C$10,0.000001),NA())</f>
        <v>#N/A</v>
      </c>
      <c r="BP263" s="12" t="e">
        <f>IF(AND(A263&lt;&gt;"",Статистика!$L$6="Вкл",Статистика!$K$6&gt;0),(Статистика!$K$6-Статистика!$C$10)/MAX(Статистика!$G$10-Статистика!$C$10,0.000001),NA())</f>
        <v>#N/A</v>
      </c>
      <c r="BQ263" s="12" t="e">
        <f>IF(AND(A263&lt;&gt;"",Статистика!$M$6="Вкл",Статистика!$O$6&gt;0),(Статистика!$O$6-Статистика!$C$10)/MAX(Статистика!$G$10-Статистика!$C$10,0.000001),NA())</f>
        <v>#N/A</v>
      </c>
      <c r="BR263" s="12">
        <f t="shared" si="8"/>
        <v>1</v>
      </c>
      <c r="BT263" s="12">
        <f>IF(Y263="","",MAX(0,MIN(1,(((IF(Статистика!$C$4="Параллельный режим (активная мощность)",Z263,AK263)+Статистика!$J$4))-Статистика!$C$10)/MAX(Статистика!$G$10-Статистика!$C$10,0.000001))))</f>
        <v>0.44369632122222263</v>
      </c>
      <c r="BU263" s="12">
        <f>IF(Y263="","",MAX(0,MAX(0,MIN(1,(((IF(Статистика!$C$4="Параллельный режим (активная мощность)",AB263,AM263)+Статистика!$J$4))-Статистика!$C$10)/MAX(Статистика!$G$10-Статистика!$C$10,0.000001)))-MAX(0,MIN(1,(((IF(Статистика!$C$4="Параллельный режим (активная мощность)",Z263,AK263)+Статистика!$J$4))-Статистика!$C$10)/MAX(Статистика!$G$10-Статистика!$C$10,0.000001)))))</f>
        <v>1.3693690999999786E-2</v>
      </c>
      <c r="BV263" s="12">
        <f>IF(Y263="","",MAX(0,MAX(0,MIN(1,(((IF(Статистика!$C$4="Параллельный режим (активная мощность)",AC263,AN263)+Статистика!$J$4))-Статистика!$C$10)/MAX(Статистика!$G$10-Статистика!$C$10,0.000001)))-MAX(0,MIN(1,(((IF(Статистика!$C$4="Параллельный режим (активная мощность)",AB263,AM263)+Статистика!$J$4))-Статистика!$C$10)/MAX(Статистика!$G$10-Статистика!$C$10,0.000001)))))</f>
        <v>0.10871491555555535</v>
      </c>
      <c r="BW263" s="12">
        <f>IF(Y263="","",MAX(0,MAX(0,MIN(1,(((IF(Статистика!$C$4="Параллельный режим (активная мощность)",AD263,AO263)+Статистика!$J$4))-Статистика!$C$10)/MAX(Статистика!$G$10-Статистика!$C$10,0.000001)))-MAX(0,MIN(1,(((IF(Статистика!$C$4="Параллельный режим (активная мощность)",AC263,AN263)+Статистика!$J$4))-Статистика!$C$10)/MAX(Статистика!$G$10-Статистика!$C$10,0.000001)))))</f>
        <v>4.164727222222242E-2</v>
      </c>
      <c r="BX263" s="12">
        <f>IF(Y263="","",MAX(0,MAX(0,MIN(1,(((IF(Статистика!$C$4="Параллельный режим (активная мощность)",AE263,AP263)+Статистика!$J$4))-Статистика!$C$10)/MAX(Статистика!$G$10-Статистика!$C$10,0.000001)))-MAX(0,MIN(1,(((IF(Статистика!$C$4="Параллельный режим (активная мощность)",AD263,AO263)+Статистика!$J$4))-Статистика!$C$10)/MAX(Статистика!$G$10-Статистика!$C$10,0.000001)))))</f>
        <v>0.16526727222222204</v>
      </c>
      <c r="BY263" s="12">
        <f>IF(Y263="","",MAX(0,MAX(0,MIN(1,(((IF(Статистика!$C$4="Параллельный режим (активная мощность)",AF263,AQ263)+Статистика!$J$4))-Статистика!$C$10)/MAX(Статистика!$G$10-Статистика!$C$10,0.000001)))-MAX(0,MIN(1,(((IF(Статистика!$C$4="Параллельный режим (активная мощность)",AE263,AP263)+Статистика!$J$4))-Статистика!$C$10)/MAX(Статистика!$G$10-Статистика!$C$10,0.000001)))))</f>
        <v>3.1298237777777738E-2</v>
      </c>
      <c r="BZ263" s="12">
        <f>IF(Y263="","",MAX(0,MAX(0,MIN(1,(((IF(Статистика!$C$4="Параллельный режим (активная мощность)",AH263,AS263)+Статистика!$J$4))-Статистика!$C$10)/MAX(Статистика!$G$10-Статистика!$C$10,0.000001)))-MAX(0,MIN(1,(((IF(Статистика!$C$4="Параллельный режим (активная мощность)",AF263,AQ263)+Статистика!$J$4))-Статистика!$C$10)/MAX(Статистика!$G$10-Статистика!$C$10,0.000001)))))</f>
        <v>4.5611610000002578E-3</v>
      </c>
      <c r="CA263" s="12">
        <f>IF(Y263="","",MAX(0,1-MAX(0,MIN(1,(((IF(Статистика!$C$4="Параллельный режим (активная мощность)",AH263,AS263)+Статистика!$J$4))-Статистика!$C$10)/MAX(Статистика!$G$10-Статистика!$C$10,0.000001)))))</f>
        <v>0.19112112899999978</v>
      </c>
      <c r="CB263" s="12">
        <f>IF(Y263="",NA(),IF(Статистика!$B$8="Вкл",(((IF(Статистика!$C$4="Параллельный режим (активная мощность)",AD263,AO263)+Статистика!$J$4))-Статистика!$C$10)/MAX(Статистика!$G$10-Статистика!$C$10,0.000001),NA()))</f>
        <v>0.60775220000000019</v>
      </c>
      <c r="CC263" s="12">
        <f>IF(Y263="",NA(),IF(Статистика!$D$8="Вкл",(((IF(Статистика!$C$4="Параллельный режим (активная мощность)",AC263,AN263)+Статистика!$J$4))-Статистика!$C$10)/MAX(Статистика!$G$10-Статистика!$C$10,0.000001),NA()))</f>
        <v>0.56610492777777777</v>
      </c>
      <c r="CD263" s="12">
        <f>IF(Y263="",NA(),IF(Статистика!$D$8="Вкл",(((IF(Статистика!$C$4="Параллельный режим (активная мощность)",AE263,AP263)+Статистика!$J$4))-Статистика!$C$10)/MAX(Статистика!$G$10-Статистика!$C$10,0.000001),NA()))</f>
        <v>0.77301947222222223</v>
      </c>
      <c r="CE263" s="12">
        <f>IF(Y263="",NA(),IF(Статистика!$F$8="Вкл",(((IF(Статистика!$C$4="Параллельный режим (активная мощность)",AB263,AM263)+Статистика!$J$4))-Статистика!$C$10)/MAX(Статистика!$G$10-Статистика!$C$10,0.000001),NA()))</f>
        <v>0.45739001222222242</v>
      </c>
      <c r="CF263" s="12">
        <f>IF(Y263="",NA(),IF(Статистика!$F$8="Вкл",(((IF(Статистика!$C$4="Параллельный режим (активная мощность)",AF263,AQ263)+Статистика!$J$4))-Статистика!$C$10)/MAX(Статистика!$G$10-Статистика!$C$10,0.000001),NA()))</f>
        <v>0.80431770999999996</v>
      </c>
      <c r="CG263" s="12">
        <f>IF(Y263="",NA(),IF(Статистика!$H$8="Вкл",(((IF(Статистика!$C$4="Параллельный режим (активная мощность)",Z263,AK263)+Статистика!$J$4))-Статистика!$C$10)/MAX(Статистика!$G$10-Статистика!$C$10,0.000001),NA()))</f>
        <v>0.44369632122222263</v>
      </c>
      <c r="CH263" s="12">
        <f>IF(Y263="",NA(),IF(Статистика!$H$8="Вкл",(((IF(Статистика!$C$4="Параллельный режим (активная мощность)",AH263,AS263)+Статистика!$J$4))-Статистика!$C$10)/MAX(Статистика!$G$10-Статистика!$C$10,0.000001),NA()))</f>
        <v>0.80887887100000022</v>
      </c>
      <c r="CI263" s="12" t="e">
        <f>IF(Y263="",NA(),IF(Статистика!$J$8="Вкл",(((IF(Статистика!$C$4="Параллельный режим (активная мощность)",AI263,AT263)+Статистика!$J$4))-Статистика!$C$10)/MAX(Статистика!$G$10-Статистика!$C$10,0.000001),NA()))</f>
        <v>#N/A</v>
      </c>
      <c r="CJ263" s="12" t="e">
        <f>IF(AND(Y263&lt;&gt;"",Статистика!$C$6="Вкл",Статистика!$B$6&gt;0),(Статистика!$B$6-Статистика!$C$10)/MAX(Статистика!$G$10-Статистика!$C$10,0.000001),NA())</f>
        <v>#N/A</v>
      </c>
      <c r="CK263" s="12" t="e">
        <f>IF(AND(Y263&lt;&gt;"",Статистика!$F$6="Вкл",Статистика!$E$6&gt;0),(Статистика!$E$6-Статистика!$C$10)/MAX(Статистика!$G$10-Статистика!$C$10,0.000001),NA())</f>
        <v>#N/A</v>
      </c>
      <c r="CL263" s="12" t="e">
        <f>IF(AND(Y263&lt;&gt;"",Статистика!$I$6="Вкл",Статистика!$H$6&gt;0),(Статистика!$H$6-Статистика!$C$10)/MAX(Статистика!$G$10-Статистика!$C$10,0.000001),NA())</f>
        <v>#N/A</v>
      </c>
      <c r="CM263" s="12" t="e">
        <f>IF(AND(Y263&lt;&gt;"",Статистика!$L$6="Вкл",Статистика!$K$6&gt;0),(Статистика!$K$6-Статистика!$C$10)/MAX(Статистика!$G$10-Статистика!$C$10,0.000001),NA())</f>
        <v>#N/A</v>
      </c>
      <c r="CN263" s="12" t="e">
        <f>IF(AND(Y263&lt;&gt;"",Статистика!$M$6="Вкл",Статистика!$O$6&gt;0),(Статистика!$O$6-Статистика!$C$10)/MAX(Статистика!$G$10-Статистика!$C$10,0.000001),NA())</f>
        <v>#N/A</v>
      </c>
      <c r="CO263" s="12">
        <f t="shared" si="9"/>
        <v>1</v>
      </c>
    </row>
    <row r="264" spans="1:93" ht="15" customHeight="1">
      <c r="A264" s="12" t="s">
        <v>1101</v>
      </c>
      <c r="B264" s="12">
        <v>2339.9196338333331</v>
      </c>
      <c r="C264" s="12">
        <v>5811.5832358333337</v>
      </c>
      <c r="D264" s="12">
        <v>7460.0457983333336</v>
      </c>
      <c r="E264" s="12">
        <v>7788.034141666667</v>
      </c>
      <c r="F264" s="12">
        <v>7963.3918666666668</v>
      </c>
      <c r="G264" s="12">
        <v>8243.390891666666</v>
      </c>
      <c r="H264" s="12">
        <v>8437.7901116666653</v>
      </c>
      <c r="I264" s="12">
        <v>8525.2537374999993</v>
      </c>
      <c r="J264" s="12">
        <v>8653.6559741666661</v>
      </c>
      <c r="K264" s="12">
        <v>8753.5300000000007</v>
      </c>
      <c r="L264" s="12" t="s">
        <v>1102</v>
      </c>
      <c r="M264" s="12">
        <v>2884.8354730000001</v>
      </c>
      <c r="N264" s="12">
        <v>6685.4096316666682</v>
      </c>
      <c r="O264" s="12">
        <v>8493.7753750000011</v>
      </c>
      <c r="P264" s="12">
        <v>8866.4348416666671</v>
      </c>
      <c r="Q264" s="12">
        <v>9089.0601499999993</v>
      </c>
      <c r="R264" s="12">
        <v>9270.5906749999995</v>
      </c>
      <c r="S264" s="12">
        <v>9549.8170549999995</v>
      </c>
      <c r="T264" s="12">
        <v>9668.2156008333332</v>
      </c>
      <c r="U264" s="12">
        <v>9748.9216534999996</v>
      </c>
      <c r="V264" s="12">
        <v>9846.81</v>
      </c>
      <c r="W264" s="12" t="s">
        <v>1103</v>
      </c>
      <c r="Y264" s="12" t="s">
        <v>1101</v>
      </c>
      <c r="Z264" s="12">
        <v>7368.7495825000005</v>
      </c>
      <c r="AA264" s="12">
        <v>7410.7347125000006</v>
      </c>
      <c r="AB264" s="12">
        <v>7463.2161250000008</v>
      </c>
      <c r="AC264" s="12">
        <v>7686.7966666666662</v>
      </c>
      <c r="AD264" s="12">
        <v>7816.3150999999998</v>
      </c>
      <c r="AE264" s="12">
        <v>8378.9659999999985</v>
      </c>
      <c r="AF264" s="12">
        <v>8430.3933650000017</v>
      </c>
      <c r="AG264" s="12">
        <v>8437.2266658333338</v>
      </c>
      <c r="AH264" s="12">
        <v>8442.6933065000012</v>
      </c>
      <c r="AI264" s="12">
        <v>8562.15</v>
      </c>
      <c r="AJ264" s="12" t="s">
        <v>1104</v>
      </c>
      <c r="AK264" s="12">
        <v>8428.8860199999999</v>
      </c>
      <c r="AL264" s="12">
        <v>8473.5028999999995</v>
      </c>
      <c r="AM264" s="12">
        <v>8529.2739999999994</v>
      </c>
      <c r="AN264" s="12">
        <v>8757.527224999998</v>
      </c>
      <c r="AO264" s="12">
        <v>8888.5946166666654</v>
      </c>
      <c r="AP264" s="12">
        <v>9419.9978833333334</v>
      </c>
      <c r="AQ264" s="12">
        <v>9464.2969099999991</v>
      </c>
      <c r="AR264" s="12">
        <v>9468.5670549999995</v>
      </c>
      <c r="AS264" s="12">
        <v>9471.9831709999999</v>
      </c>
      <c r="AT264" s="12">
        <v>9593.7199999999993</v>
      </c>
      <c r="AU264" s="12" t="s">
        <v>1105</v>
      </c>
      <c r="AW264" s="12">
        <f>IF(A264="","",MAX(0,MIN(1,(((IF(Статистика!$C$4="Параллельный режим (активная мощность)",B264,M264)+Статистика!$J$4))-Статистика!$C$10)/MAX(Статистика!$G$10-Статистика!$C$10,0.000001))))</f>
        <v>0</v>
      </c>
      <c r="AX264" s="12">
        <f>IF(A264="","",MAX(0,MAX(0,MIN(1,(((IF(Статистика!$C$4="Параллельный режим (активная мощность)",D264,O264)+Статистика!$J$4))-Статистика!$C$10)/MAX(Статистика!$G$10-Статистика!$C$10,0.000001)))-MAX(0,MIN(1,(((IF(Статистика!$C$4="Параллельный режим (активная мощность)",B264,M264)+Статистика!$J$4))-Статистика!$C$10)/MAX(Статистика!$G$10-Статистика!$C$10,0.000001)))))</f>
        <v>0.48668193277777783</v>
      </c>
      <c r="AY264" s="12">
        <f>IF(A264="","",MAX(0,MAX(0,MIN(1,(((IF(Статистика!$C$4="Параллельный режим (активная мощность)",E264,P264)+Статистика!$J$4))-Статистика!$C$10)/MAX(Статистика!$G$10-Статистика!$C$10,0.000001)))-MAX(0,MIN(1,(((IF(Статистика!$C$4="Параллельный режим (активная мощность)",D264,O264)+Статистика!$J$4))-Статистика!$C$10)/MAX(Статистика!$G$10-Статистика!$C$10,0.000001)))))</f>
        <v>0.10932944777777787</v>
      </c>
      <c r="AZ264" s="12">
        <f>IF(A264="","",MAX(0,MAX(0,MIN(1,(((IF(Статистика!$C$4="Параллельный режим (активная мощность)",F264,Q264)+Статистика!$J$4))-Статистика!$C$10)/MAX(Статистика!$G$10-Статистика!$C$10,0.000001)))-MAX(0,MIN(1,(((IF(Статистика!$C$4="Параллельный режим (активная мощность)",E264,P264)+Статистика!$J$4))-Статистика!$C$10)/MAX(Статистика!$G$10-Статистика!$C$10,0.000001)))))</f>
        <v>5.8452574999999896E-2</v>
      </c>
      <c r="BA264" s="12">
        <f>IF(A264="","",MAX(0,MAX(0,MIN(1,(((IF(Статистика!$C$4="Параллельный режим (активная мощность)",G264,R264)+Статистика!$J$4))-Статистика!$C$10)/MAX(Статистика!$G$10-Статистика!$C$10,0.000001)))-MAX(0,MIN(1,(((IF(Статистика!$C$4="Параллельный режим (активная мощность)",F264,Q264)+Статистика!$J$4))-Статистика!$C$10)/MAX(Статистика!$G$10-Статистика!$C$10,0.000001)))))</f>
        <v>9.3333008333333023E-2</v>
      </c>
      <c r="BB264" s="12">
        <f>IF(A264="","",MAX(0,MAX(0,MIN(1,(((IF(Статистика!$C$4="Параллельный режим (активная мощность)",H264,S264)+Статистика!$J$4))-Статистика!$C$10)/MAX(Статистика!$G$10-Статистика!$C$10,0.000001)))-MAX(0,MIN(1,(((IF(Статистика!$C$4="Параллельный режим (активная мощность)",G264,R264)+Статистика!$J$4))-Статистика!$C$10)/MAX(Статистика!$G$10-Статистика!$C$10,0.000001)))))</f>
        <v>6.4799739999999884E-2</v>
      </c>
      <c r="BC264" s="12">
        <f>IF(A264="","",MAX(0,MAX(0,MIN(1,(((IF(Статистика!$C$4="Параллельный режим (активная мощность)",J264,U264)+Статистика!$J$4))-Статистика!$C$10)/MAX(Статистика!$G$10-Статистика!$C$10,0.000001)))-MAX(0,MIN(1,(((IF(Статистика!$C$4="Параллельный режим (активная мощность)",H264,S264)+Статистика!$J$4))-Статистика!$C$10)/MAX(Статистика!$G$10-Статистика!$C$10,0.000001)))))</f>
        <v>7.1955287500000242E-2</v>
      </c>
      <c r="BD264" s="12">
        <f>IF(A264="","",MAX(0,1-MAX(0,MIN(1,(((IF(Статистика!$C$4="Параллельный режим (активная мощность)",J264,U264)+Статистика!$J$4))-Статистика!$C$10)/MAX(Статистика!$G$10-Статистика!$C$10,0.000001)))))</f>
        <v>0.11544800861111126</v>
      </c>
      <c r="BE264" s="12">
        <f>IF(A264="",NA(),IF(Статистика!$B$8="Вкл",(((IF(Статистика!$C$4="Параллельный режим (активная мощность)",F264,Q264)+Статистика!$J$4))-Статистика!$C$10)/MAX(Статистика!$G$10-Статистика!$C$10,0.000001),NA()))</f>
        <v>0.65446395555555559</v>
      </c>
      <c r="BF264" s="12">
        <f>IF(A264="",NA(),IF(Статистика!$D$8="Вкл",(((IF(Статистика!$C$4="Параллельный режим (активная мощность)",E264,P264)+Статистика!$J$4))-Статистика!$C$10)/MAX(Статистика!$G$10-Статистика!$C$10,0.000001),NA()))</f>
        <v>0.59601138055555569</v>
      </c>
      <c r="BG264" s="12">
        <f>IF(A264="",NA(),IF(Статистика!$D$8="Вкл",(((IF(Статистика!$C$4="Параллельный режим (активная мощность)",G264,R264)+Статистика!$J$4))-Статистика!$C$10)/MAX(Статистика!$G$10-Статистика!$C$10,0.000001),NA()))</f>
        <v>0.74779696388888861</v>
      </c>
      <c r="BH264" s="12">
        <f>IF(A264="",NA(),IF(Статистика!$F$8="Вкл",(((IF(Статистика!$C$4="Параллельный режим (активная мощность)",D264,O264)+Статистика!$J$4))-Статистика!$C$10)/MAX(Статистика!$G$10-Статистика!$C$10,0.000001),NA()))</f>
        <v>0.48668193277777783</v>
      </c>
      <c r="BI264" s="12">
        <f>IF(A264="",NA(),IF(Статистика!$F$8="Вкл",(((IF(Статистика!$C$4="Параллельный режим (активная мощность)",H264,S264)+Статистика!$J$4))-Статистика!$C$10)/MAX(Статистика!$G$10-Статистика!$C$10,0.000001),NA()))</f>
        <v>0.81259670388888849</v>
      </c>
      <c r="BJ264" s="12">
        <f>IF(A264="",NA(),IF(Статистика!$H$8="Вкл",(((IF(Статистика!$C$4="Параллельный режим (активная мощность)",B264,M264)+Статистика!$J$4))-Статистика!$C$10)/MAX(Статистика!$G$10-Статистика!$C$10,0.000001),NA()))</f>
        <v>-1.2200267887222223</v>
      </c>
      <c r="BK264" s="12">
        <f>IF(A264="",NA(),IF(Статистика!$H$8="Вкл",(((IF(Статистика!$C$4="Параллельный режим (активная мощность)",J264,U264)+Статистика!$J$4))-Статистика!$C$10)/MAX(Статистика!$G$10-Статистика!$C$10,0.000001),NA()))</f>
        <v>0.88455199138888874</v>
      </c>
      <c r="BL264" s="12" t="e">
        <f>IF(A264="",NA(),IF(Статистика!$J$8="Вкл",(((IF(Статистика!$C$4="Параллельный режим (активная мощность)",K264,V264)+Статистика!$J$4))-Статистика!$C$10)/MAX(Статистика!$G$10-Статистика!$C$10,0.000001),NA()))</f>
        <v>#N/A</v>
      </c>
      <c r="BM264" s="12" t="e">
        <f>IF(AND(A264&lt;&gt;"",Статистика!$C$6="Вкл",Статистика!$B$6&gt;0),(Статистика!$B$6-Статистика!$C$10)/MAX(Статистика!$G$10-Статистика!$C$10,0.000001),NA())</f>
        <v>#N/A</v>
      </c>
      <c r="BN264" s="12" t="e">
        <f>IF(AND(A264&lt;&gt;"",Статистика!$F$6="Вкл",Статистика!$E$6&gt;0),(Статистика!$E$6-Статистика!$C$10)/MAX(Статистика!$G$10-Статистика!$C$10,0.000001),NA())</f>
        <v>#N/A</v>
      </c>
      <c r="BO264" s="12" t="e">
        <f>IF(AND(A264&lt;&gt;"",Статистика!$I$6="Вкл",Статистика!$H$6&gt;0),(Статистика!$H$6-Статистика!$C$10)/MAX(Статистика!$G$10-Статистика!$C$10,0.000001),NA())</f>
        <v>#N/A</v>
      </c>
      <c r="BP264" s="12" t="e">
        <f>IF(AND(A264&lt;&gt;"",Статистика!$L$6="Вкл",Статистика!$K$6&gt;0),(Статистика!$K$6-Статистика!$C$10)/MAX(Статистика!$G$10-Статистика!$C$10,0.000001),NA())</f>
        <v>#N/A</v>
      </c>
      <c r="BQ264" s="12" t="e">
        <f>IF(AND(A264&lt;&gt;"",Статистика!$M$6="Вкл",Статистика!$O$6&gt;0),(Статистика!$O$6-Статистика!$C$10)/MAX(Статистика!$G$10-Статистика!$C$10,0.000001),NA())</f>
        <v>#N/A</v>
      </c>
      <c r="BR264" s="12">
        <f t="shared" si="8"/>
        <v>1</v>
      </c>
      <c r="BT264" s="12">
        <f>IF(Y264="","",MAX(0,MIN(1,(((IF(Статистика!$C$4="Параллельный режим (активная мощность)",Z264,AK264)+Статистика!$J$4))-Статистика!$C$10)/MAX(Статистика!$G$10-Статистика!$C$10,0.000001))))</f>
        <v>0.45624986083333352</v>
      </c>
      <c r="BU264" s="12">
        <f>IF(Y264="","",MAX(0,MAX(0,MIN(1,(((IF(Статистика!$C$4="Параллельный режим (активная мощность)",AB264,AM264)+Статистика!$J$4))-Статистика!$C$10)/MAX(Статистика!$G$10-Статистика!$C$10,0.000001)))-MAX(0,MIN(1,(((IF(Статистика!$C$4="Параллельный режим (активная мощность)",Z264,AK264)+Статистика!$J$4))-Статистика!$C$10)/MAX(Статистика!$G$10-Статистика!$C$10,0.000001)))))</f>
        <v>3.1488847500000083E-2</v>
      </c>
      <c r="BV264" s="12">
        <f>IF(Y264="","",MAX(0,MAX(0,MIN(1,(((IF(Статистика!$C$4="Параллельный режим (активная мощность)",AC264,AN264)+Статистика!$J$4))-Статистика!$C$10)/MAX(Статистика!$G$10-Статистика!$C$10,0.000001)))-MAX(0,MIN(1,(((IF(Статистика!$C$4="Параллельный режим (активная мощность)",AB264,AM264)+Статистика!$J$4))-Статистика!$C$10)/MAX(Статистика!$G$10-Статистика!$C$10,0.000001)))))</f>
        <v>7.4526847222221748E-2</v>
      </c>
      <c r="BW264" s="12">
        <f>IF(Y264="","",MAX(0,MAX(0,MIN(1,(((IF(Статистика!$C$4="Параллельный режим (активная мощность)",AD264,AO264)+Статистика!$J$4))-Статистика!$C$10)/MAX(Статистика!$G$10-Статистика!$C$10,0.000001)))-MAX(0,MIN(1,(((IF(Статистика!$C$4="Параллельный режим (активная мощность)",AC264,AN264)+Статистика!$J$4))-Статистика!$C$10)/MAX(Статистика!$G$10-Статистика!$C$10,0.000001)))))</f>
        <v>4.3172811111111264E-2</v>
      </c>
      <c r="BX264" s="12">
        <f>IF(Y264="","",MAX(0,MAX(0,MIN(1,(((IF(Статистика!$C$4="Параллельный режим (активная мощность)",AE264,AP264)+Статистика!$J$4))-Статистика!$C$10)/MAX(Статистика!$G$10-Статистика!$C$10,0.000001)))-MAX(0,MIN(1,(((IF(Статистика!$C$4="Параллельный режим (активная мощность)",AD264,AO264)+Статистика!$J$4))-Статистика!$C$10)/MAX(Статистика!$G$10-Статистика!$C$10,0.000001)))))</f>
        <v>0.18755029999999961</v>
      </c>
      <c r="BY264" s="12">
        <f>IF(Y264="","",MAX(0,MAX(0,MIN(1,(((IF(Статистика!$C$4="Параллельный режим (активная мощность)",AF264,AQ264)+Статистика!$J$4))-Статистика!$C$10)/MAX(Статистика!$G$10-Статистика!$C$10,0.000001)))-MAX(0,MIN(1,(((IF(Статистика!$C$4="Параллельный режим (активная мощность)",AE264,AP264)+Статистика!$J$4))-Статистика!$C$10)/MAX(Статистика!$G$10-Статистика!$C$10,0.000001)))))</f>
        <v>1.7142455000001E-2</v>
      </c>
      <c r="BZ264" s="12">
        <f>IF(Y264="","",MAX(0,MAX(0,MIN(1,(((IF(Статистика!$C$4="Параллельный режим (активная мощность)",AH264,AS264)+Статистика!$J$4))-Статистика!$C$10)/MAX(Статистика!$G$10-Статистика!$C$10,0.000001)))-MAX(0,MIN(1,(((IF(Статистика!$C$4="Параллельный режим (активная мощность)",AF264,AQ264)+Статистика!$J$4))-Статистика!$C$10)/MAX(Статистика!$G$10-Статистика!$C$10,0.000001)))))</f>
        <v>4.0999804999998224E-3</v>
      </c>
      <c r="CA264" s="12">
        <f>IF(Y264="","",MAX(0,1-MAX(0,MIN(1,(((IF(Статистика!$C$4="Параллельный режим (активная мощность)",AH264,AS264)+Статистика!$J$4))-Статистика!$C$10)/MAX(Статистика!$G$10-Статистика!$C$10,0.000001)))))</f>
        <v>0.18576889783333295</v>
      </c>
      <c r="CB264" s="12">
        <f>IF(Y264="",NA(),IF(Статистика!$B$8="Вкл",(((IF(Статистика!$C$4="Параллельный режим (активная мощность)",AD264,AO264)+Статистика!$J$4))-Статистика!$C$10)/MAX(Статистика!$G$10-Статистика!$C$10,0.000001),NA()))</f>
        <v>0.60543836666666662</v>
      </c>
      <c r="CC264" s="12">
        <f>IF(Y264="",NA(),IF(Статистика!$D$8="Вкл",(((IF(Статистика!$C$4="Параллельный режим (активная мощность)",AC264,AN264)+Статистика!$J$4))-Статистика!$C$10)/MAX(Статистика!$G$10-Статистика!$C$10,0.000001),NA()))</f>
        <v>0.56226555555555535</v>
      </c>
      <c r="CD264" s="12">
        <f>IF(Y264="",NA(),IF(Статистика!$D$8="Вкл",(((IF(Статистика!$C$4="Параллельный режим (активная мощность)",AE264,AP264)+Статистика!$J$4))-Статистика!$C$10)/MAX(Статистика!$G$10-Статистика!$C$10,0.000001),NA()))</f>
        <v>0.79298866666666623</v>
      </c>
      <c r="CE264" s="12">
        <f>IF(Y264="",NA(),IF(Статистика!$F$8="Вкл",(((IF(Статистика!$C$4="Параллельный режим (активная мощность)",AB264,AM264)+Статистика!$J$4))-Статистика!$C$10)/MAX(Статистика!$G$10-Статистика!$C$10,0.000001),NA()))</f>
        <v>0.4877387083333336</v>
      </c>
      <c r="CF264" s="12">
        <f>IF(Y264="",NA(),IF(Статистика!$F$8="Вкл",(((IF(Статистика!$C$4="Параллельный режим (активная мощность)",AF264,AQ264)+Статистика!$J$4))-Статистика!$C$10)/MAX(Статистика!$G$10-Статистика!$C$10,0.000001),NA()))</f>
        <v>0.81013112166666723</v>
      </c>
      <c r="CG264" s="12">
        <f>IF(Y264="",NA(),IF(Статистика!$H$8="Вкл",(((IF(Статистика!$C$4="Параллельный режим (активная мощность)",Z264,AK264)+Статистика!$J$4))-Статистика!$C$10)/MAX(Статистика!$G$10-Статистика!$C$10,0.000001),NA()))</f>
        <v>0.45624986083333352</v>
      </c>
      <c r="CH264" s="12">
        <f>IF(Y264="",NA(),IF(Статистика!$H$8="Вкл",(((IF(Статистика!$C$4="Параллельный режим (активная мощность)",AH264,AS264)+Статистика!$J$4))-Статистика!$C$10)/MAX(Статистика!$G$10-Статистика!$C$10,0.000001),NA()))</f>
        <v>0.81423110216666705</v>
      </c>
      <c r="CI264" s="12" t="e">
        <f>IF(Y264="",NA(),IF(Статистика!$J$8="Вкл",(((IF(Статистика!$C$4="Параллельный режим (активная мощность)",AI264,AT264)+Статистика!$J$4))-Статистика!$C$10)/MAX(Статистика!$G$10-Статистика!$C$10,0.000001),NA()))</f>
        <v>#N/A</v>
      </c>
      <c r="CJ264" s="12" t="e">
        <f>IF(AND(Y264&lt;&gt;"",Статистика!$C$6="Вкл",Статистика!$B$6&gt;0),(Статистика!$B$6-Статистика!$C$10)/MAX(Статистика!$G$10-Статистика!$C$10,0.000001),NA())</f>
        <v>#N/A</v>
      </c>
      <c r="CK264" s="12" t="e">
        <f>IF(AND(Y264&lt;&gt;"",Статистика!$F$6="Вкл",Статистика!$E$6&gt;0),(Статистика!$E$6-Статистика!$C$10)/MAX(Статистика!$G$10-Статистика!$C$10,0.000001),NA())</f>
        <v>#N/A</v>
      </c>
      <c r="CL264" s="12" t="e">
        <f>IF(AND(Y264&lt;&gt;"",Статистика!$I$6="Вкл",Статистика!$H$6&gt;0),(Статистика!$H$6-Статистика!$C$10)/MAX(Статистика!$G$10-Статистика!$C$10,0.000001),NA())</f>
        <v>#N/A</v>
      </c>
      <c r="CM264" s="12" t="e">
        <f>IF(AND(Y264&lt;&gt;"",Статистика!$L$6="Вкл",Статистика!$K$6&gt;0),(Статистика!$K$6-Статистика!$C$10)/MAX(Статистика!$G$10-Статистика!$C$10,0.000001),NA())</f>
        <v>#N/A</v>
      </c>
      <c r="CN264" s="12" t="e">
        <f>IF(AND(Y264&lt;&gt;"",Статистика!$M$6="Вкл",Статистика!$O$6&gt;0),(Статистика!$O$6-Статистика!$C$10)/MAX(Статистика!$G$10-Статистика!$C$10,0.000001),NA())</f>
        <v>#N/A</v>
      </c>
      <c r="CO264" s="12">
        <f t="shared" si="9"/>
        <v>1</v>
      </c>
    </row>
    <row r="265" spans="1:93" ht="15" customHeight="1">
      <c r="A265" s="12" t="s">
        <v>1106</v>
      </c>
      <c r="B265" s="12">
        <v>2330.3122829999998</v>
      </c>
      <c r="C265" s="12">
        <v>5755.5634150000005</v>
      </c>
      <c r="D265" s="12">
        <v>7389.2659649999996</v>
      </c>
      <c r="E265" s="12">
        <v>7746.3206</v>
      </c>
      <c r="F265" s="12">
        <v>7914.2345666666679</v>
      </c>
      <c r="G265" s="12">
        <v>8181.7009583333329</v>
      </c>
      <c r="H265" s="12">
        <v>8469.4611466666665</v>
      </c>
      <c r="I265" s="12">
        <v>8532.7758483333328</v>
      </c>
      <c r="J265" s="12">
        <v>8621.0518096666674</v>
      </c>
      <c r="K265" s="12">
        <v>8753.25</v>
      </c>
      <c r="L265" s="12" t="s">
        <v>1107</v>
      </c>
      <c r="M265" s="12">
        <v>2872.9679118333333</v>
      </c>
      <c r="N265" s="12">
        <v>6625.8520924999993</v>
      </c>
      <c r="O265" s="12">
        <v>8419.1484183333341</v>
      </c>
      <c r="P265" s="12">
        <v>8835.8067250000004</v>
      </c>
      <c r="Q265" s="12">
        <v>9050.6440500000026</v>
      </c>
      <c r="R265" s="12">
        <v>9251.3961250000011</v>
      </c>
      <c r="S265" s="12">
        <v>9583.5566016666653</v>
      </c>
      <c r="T265" s="12">
        <v>9673.3696308333328</v>
      </c>
      <c r="U265" s="12">
        <v>9716.8697661666665</v>
      </c>
      <c r="V265" s="12">
        <v>9819.11</v>
      </c>
      <c r="W265" s="12" t="s">
        <v>1107</v>
      </c>
      <c r="Y265" s="12" t="s">
        <v>1106</v>
      </c>
      <c r="Z265" s="12">
        <v>7356.3841544999996</v>
      </c>
      <c r="AA265" s="12">
        <v>7419.2701058333332</v>
      </c>
      <c r="AB265" s="12">
        <v>7497.8775450000003</v>
      </c>
      <c r="AC265" s="12">
        <v>7725.9355500000001</v>
      </c>
      <c r="AD265" s="12">
        <v>7833.2776833333337</v>
      </c>
      <c r="AE265" s="12">
        <v>8335.4919916666659</v>
      </c>
      <c r="AF265" s="12">
        <v>8426.9953433333321</v>
      </c>
      <c r="AG265" s="12">
        <v>8429.2114216666669</v>
      </c>
      <c r="AH265" s="12">
        <v>8430.9842843333336</v>
      </c>
      <c r="AI265" s="12">
        <v>8532.52</v>
      </c>
      <c r="AJ265" s="12" t="s">
        <v>1108</v>
      </c>
      <c r="AK265" s="12">
        <v>8419.9835396666658</v>
      </c>
      <c r="AL265" s="12">
        <v>8492.6836983333324</v>
      </c>
      <c r="AM265" s="12">
        <v>8583.5588966666674</v>
      </c>
      <c r="AN265" s="12">
        <v>8798.909674999999</v>
      </c>
      <c r="AO265" s="12">
        <v>8913.6787000000004</v>
      </c>
      <c r="AP265" s="12">
        <v>9370.8068333333358</v>
      </c>
      <c r="AQ265" s="12">
        <v>9454.4704233333323</v>
      </c>
      <c r="AR265" s="12">
        <v>9456.0394450000003</v>
      </c>
      <c r="AS265" s="12">
        <v>9457.2946623333337</v>
      </c>
      <c r="AT265" s="12">
        <v>9557.1299999999992</v>
      </c>
      <c r="AU265" s="12" t="s">
        <v>1108</v>
      </c>
      <c r="AW265" s="12">
        <f>IF(A265="","",MAX(0,MIN(1,(((IF(Статистика!$C$4="Параллельный режим (активная мощность)",B265,M265)+Статистика!$J$4))-Статистика!$C$10)/MAX(Статистика!$G$10-Статистика!$C$10,0.000001))))</f>
        <v>0</v>
      </c>
      <c r="AX265" s="12">
        <f>IF(A265="","",MAX(0,MAX(0,MIN(1,(((IF(Статистика!$C$4="Параллельный режим (активная мощность)",D265,O265)+Статистика!$J$4))-Статистика!$C$10)/MAX(Статистика!$G$10-Статистика!$C$10,0.000001)))-MAX(0,MIN(1,(((IF(Статистика!$C$4="Параллельный режим (активная мощность)",B265,M265)+Статистика!$J$4))-Статистика!$C$10)/MAX(Статистика!$G$10-Статистика!$C$10,0.000001)))))</f>
        <v>0.46308865499999985</v>
      </c>
      <c r="AY265" s="12">
        <f>IF(A265="","",MAX(0,MAX(0,MIN(1,(((IF(Статистика!$C$4="Параллельный режим (активная мощность)",E265,P265)+Статистика!$J$4))-Статистика!$C$10)/MAX(Статистика!$G$10-Статистика!$C$10,0.000001)))-MAX(0,MIN(1,(((IF(Статистика!$C$4="Параллельный режим (активная мощность)",D265,O265)+Статистика!$J$4))-Статистика!$C$10)/MAX(Статистика!$G$10-Статистика!$C$10,0.000001)))))</f>
        <v>0.11901821166666682</v>
      </c>
      <c r="AZ265" s="12">
        <f>IF(A265="","",MAX(0,MAX(0,MIN(1,(((IF(Статистика!$C$4="Параллельный режим (активная мощность)",F265,Q265)+Статистика!$J$4))-Статистика!$C$10)/MAX(Статистика!$G$10-Статистика!$C$10,0.000001)))-MAX(0,MIN(1,(((IF(Статистика!$C$4="Параллельный режим (активная мощность)",E265,P265)+Статистика!$J$4))-Статистика!$C$10)/MAX(Статистика!$G$10-Статистика!$C$10,0.000001)))))</f>
        <v>5.5971322222222675E-2</v>
      </c>
      <c r="BA265" s="12">
        <f>IF(A265="","",MAX(0,MAX(0,MIN(1,(((IF(Статистика!$C$4="Параллельный режим (активная мощность)",G265,R265)+Статистика!$J$4))-Статистика!$C$10)/MAX(Статистика!$G$10-Статистика!$C$10,0.000001)))-MAX(0,MIN(1,(((IF(Статистика!$C$4="Параллельный режим (активная мощность)",F265,Q265)+Статистика!$J$4))-Статистика!$C$10)/MAX(Статистика!$G$10-Статистика!$C$10,0.000001)))))</f>
        <v>8.9155463888888287E-2</v>
      </c>
      <c r="BB265" s="12">
        <f>IF(A265="","",MAX(0,MAX(0,MIN(1,(((IF(Статистика!$C$4="Параллельный режим (активная мощность)",H265,S265)+Статистика!$J$4))-Статистика!$C$10)/MAX(Статистика!$G$10-Статистика!$C$10,0.000001)))-MAX(0,MIN(1,(((IF(Статистика!$C$4="Параллельный режим (активная мощность)",G265,R265)+Статистика!$J$4))-Статистика!$C$10)/MAX(Статистика!$G$10-Статистика!$C$10,0.000001)))))</f>
        <v>9.592006277777787E-2</v>
      </c>
      <c r="BC265" s="12">
        <f>IF(A265="","",MAX(0,MAX(0,MIN(1,(((IF(Статистика!$C$4="Параллельный режим (активная мощность)",J265,U265)+Статистика!$J$4))-Статистика!$C$10)/MAX(Статистика!$G$10-Статистика!$C$10,0.000001)))-MAX(0,MIN(1,(((IF(Статистика!$C$4="Параллельный режим (активная мощность)",H265,S265)+Статистика!$J$4))-Статистика!$C$10)/MAX(Статистика!$G$10-Статистика!$C$10,0.000001)))))</f>
        <v>5.0530221000000264E-2</v>
      </c>
      <c r="BD265" s="12">
        <f>IF(A265="","",MAX(0,1-MAX(0,MIN(1,(((IF(Статистика!$C$4="Параллельный режим (активная мощность)",J265,U265)+Статистика!$J$4))-Статистика!$C$10)/MAX(Статистика!$G$10-Статистика!$C$10,0.000001)))))</f>
        <v>0.12631606344444424</v>
      </c>
      <c r="BE265" s="12">
        <f>IF(A265="",NA(),IF(Статистика!$B$8="Вкл",(((IF(Статистика!$C$4="Параллельный режим (активная мощность)",F265,Q265)+Статистика!$J$4))-Статистика!$C$10)/MAX(Статистика!$G$10-Статистика!$C$10,0.000001),NA()))</f>
        <v>0.63807818888888934</v>
      </c>
      <c r="BF265" s="12">
        <f>IF(A265="",NA(),IF(Статистика!$D$8="Вкл",(((IF(Статистика!$C$4="Параллельный режим (активная мощность)",E265,P265)+Статистика!$J$4))-Статистика!$C$10)/MAX(Статистика!$G$10-Статистика!$C$10,0.000001),NA()))</f>
        <v>0.58210686666666667</v>
      </c>
      <c r="BG265" s="12">
        <f>IF(A265="",NA(),IF(Статистика!$D$8="Вкл",(((IF(Статистика!$C$4="Параллельный режим (активная мощность)",G265,R265)+Статистика!$J$4))-Статистика!$C$10)/MAX(Статистика!$G$10-Статистика!$C$10,0.000001),NA()))</f>
        <v>0.72723365277777763</v>
      </c>
      <c r="BH265" s="12">
        <f>IF(A265="",NA(),IF(Статистика!$F$8="Вкл",(((IF(Статистика!$C$4="Параллельный режим (активная мощность)",D265,O265)+Статистика!$J$4))-Статистика!$C$10)/MAX(Статистика!$G$10-Статистика!$C$10,0.000001),NA()))</f>
        <v>0.46308865499999985</v>
      </c>
      <c r="BI265" s="12">
        <f>IF(A265="",NA(),IF(Статистика!$F$8="Вкл",(((IF(Статистика!$C$4="Параллельный режим (активная мощность)",H265,S265)+Статистика!$J$4))-Статистика!$C$10)/MAX(Статистика!$G$10-Статистика!$C$10,0.000001),NA()))</f>
        <v>0.8231537155555555</v>
      </c>
      <c r="BJ265" s="12">
        <f>IF(A265="",NA(),IF(Статистика!$H$8="Вкл",(((IF(Статистика!$C$4="Параллельный режим (активная мощность)",B265,M265)+Статистика!$J$4))-Статистика!$C$10)/MAX(Статистика!$G$10-Статистика!$C$10,0.000001),NA()))</f>
        <v>-1.2232292390000001</v>
      </c>
      <c r="BK265" s="12">
        <f>IF(A265="",NA(),IF(Статистика!$H$8="Вкл",(((IF(Статистика!$C$4="Параллельный режим (активная мощность)",J265,U265)+Статистика!$J$4))-Статистика!$C$10)/MAX(Статистика!$G$10-Статистика!$C$10,0.000001),NA()))</f>
        <v>0.87368393655555576</v>
      </c>
      <c r="BL265" s="12" t="e">
        <f>IF(A265="",NA(),IF(Статистика!$J$8="Вкл",(((IF(Статистика!$C$4="Параллельный режим (активная мощность)",K265,V265)+Статистика!$J$4))-Статистика!$C$10)/MAX(Статистика!$G$10-Статистика!$C$10,0.000001),NA()))</f>
        <v>#N/A</v>
      </c>
      <c r="BM265" s="12" t="e">
        <f>IF(AND(A265&lt;&gt;"",Статистика!$C$6="Вкл",Статистика!$B$6&gt;0),(Статистика!$B$6-Статистика!$C$10)/MAX(Статистика!$G$10-Статистика!$C$10,0.000001),NA())</f>
        <v>#N/A</v>
      </c>
      <c r="BN265" s="12" t="e">
        <f>IF(AND(A265&lt;&gt;"",Статистика!$F$6="Вкл",Статистика!$E$6&gt;0),(Статистика!$E$6-Статистика!$C$10)/MAX(Статистика!$G$10-Статистика!$C$10,0.000001),NA())</f>
        <v>#N/A</v>
      </c>
      <c r="BO265" s="12" t="e">
        <f>IF(AND(A265&lt;&gt;"",Статистика!$I$6="Вкл",Статистика!$H$6&gt;0),(Статистика!$H$6-Статистика!$C$10)/MAX(Статистика!$G$10-Статистика!$C$10,0.000001),NA())</f>
        <v>#N/A</v>
      </c>
      <c r="BP265" s="12" t="e">
        <f>IF(AND(A265&lt;&gt;"",Статистика!$L$6="Вкл",Статистика!$K$6&gt;0),(Статистика!$K$6-Статистика!$C$10)/MAX(Статистика!$G$10-Статистика!$C$10,0.000001),NA())</f>
        <v>#N/A</v>
      </c>
      <c r="BQ265" s="12" t="e">
        <f>IF(AND(A265&lt;&gt;"",Статистика!$M$6="Вкл",Статистика!$O$6&gt;0),(Статистика!$O$6-Статистика!$C$10)/MAX(Статистика!$G$10-Статистика!$C$10,0.000001),NA())</f>
        <v>#N/A</v>
      </c>
      <c r="BR265" s="12">
        <f t="shared" si="8"/>
        <v>1</v>
      </c>
      <c r="BT265" s="12">
        <f>IF(Y265="","",MAX(0,MIN(1,(((IF(Статистика!$C$4="Параллельный режим (активная мощность)",Z265,AK265)+Статистика!$J$4))-Статистика!$C$10)/MAX(Статистика!$G$10-Статистика!$C$10,0.000001))))</f>
        <v>0.45212805149999985</v>
      </c>
      <c r="BU265" s="12">
        <f>IF(Y265="","",MAX(0,MAX(0,MIN(1,(((IF(Статистика!$C$4="Параллельный режим (активная мощность)",AB265,AM265)+Статистика!$J$4))-Статистика!$C$10)/MAX(Статистика!$G$10-Статистика!$C$10,0.000001)))-MAX(0,MIN(1,(((IF(Статистика!$C$4="Параллельный режим (активная мощность)",Z265,AK265)+Статистика!$J$4))-Статистика!$C$10)/MAX(Статистика!$G$10-Статистика!$C$10,0.000001)))))</f>
        <v>4.7164463500000253E-2</v>
      </c>
      <c r="BV265" s="12">
        <f>IF(Y265="","",MAX(0,MAX(0,MIN(1,(((IF(Статистика!$C$4="Параллельный режим (активная мощность)",AC265,AN265)+Статистика!$J$4))-Статистика!$C$10)/MAX(Статистика!$G$10-Статистика!$C$10,0.000001)))-MAX(0,MIN(1,(((IF(Статистика!$C$4="Параллельный режим (активная мощность)",AB265,AM265)+Статистика!$J$4))-Статистика!$C$10)/MAX(Статистика!$G$10-Статистика!$C$10,0.000001)))))</f>
        <v>7.6019334999999966E-2</v>
      </c>
      <c r="BW265" s="12">
        <f>IF(Y265="","",MAX(0,MAX(0,MIN(1,(((IF(Статистика!$C$4="Параллельный режим (активная мощность)",AD265,AO265)+Статистика!$J$4))-Статистика!$C$10)/MAX(Статистика!$G$10-Статистика!$C$10,0.000001)))-MAX(0,MIN(1,(((IF(Статистика!$C$4="Параллельный режим (активная мощность)",AC265,AN265)+Статистика!$J$4))-Статистика!$C$10)/MAX(Статистика!$G$10-Статистика!$C$10,0.000001)))))</f>
        <v>3.5780711111111141E-2</v>
      </c>
      <c r="BX265" s="12">
        <f>IF(Y265="","",MAX(0,MAX(0,MIN(1,(((IF(Статистика!$C$4="Параллельный режим (активная мощность)",AE265,AP265)+Статистика!$J$4))-Статистика!$C$10)/MAX(Статистика!$G$10-Статистика!$C$10,0.000001)))-MAX(0,MIN(1,(((IF(Статистика!$C$4="Параллельный режим (активная мощность)",AD265,AO265)+Статистика!$J$4))-Статистика!$C$10)/MAX(Статистика!$G$10-Статистика!$C$10,0.000001)))))</f>
        <v>0.16740476944444405</v>
      </c>
      <c r="BY265" s="12">
        <f>IF(Y265="","",MAX(0,MAX(0,MIN(1,(((IF(Статистика!$C$4="Параллельный режим (активная мощность)",AF265,AQ265)+Статистика!$J$4))-Статистика!$C$10)/MAX(Статистика!$G$10-Статистика!$C$10,0.000001)))-MAX(0,MIN(1,(((IF(Статистика!$C$4="Параллельный режим (активная мощность)",AE265,AP265)+Статистика!$J$4))-Статистика!$C$10)/MAX(Статистика!$G$10-Статистика!$C$10,0.000001)))))</f>
        <v>3.0501117222222152E-2</v>
      </c>
      <c r="BZ265" s="12">
        <f>IF(Y265="","",MAX(0,MAX(0,MIN(1,(((IF(Статистика!$C$4="Параллельный режим (активная мощность)",AH265,AS265)+Статистика!$J$4))-Статистика!$C$10)/MAX(Статистика!$G$10-Статистика!$C$10,0.000001)))-MAX(0,MIN(1,(((IF(Статистика!$C$4="Параллельный режим (активная мощность)",AF265,AQ265)+Статистика!$J$4))-Статистика!$C$10)/MAX(Статистика!$G$10-Статистика!$C$10,0.000001)))))</f>
        <v>1.329647000000489E-3</v>
      </c>
      <c r="CA265" s="12">
        <f>IF(Y265="","",MAX(0,1-MAX(0,MIN(1,(((IF(Статистика!$C$4="Параллельный режим (активная мощность)",AH265,AS265)+Статистика!$J$4))-Статистика!$C$10)/MAX(Статистика!$G$10-Статистика!$C$10,0.000001)))))</f>
        <v>0.1896719052222221</v>
      </c>
      <c r="CB265" s="12">
        <f>IF(Y265="",NA(),IF(Статистика!$B$8="Вкл",(((IF(Статистика!$C$4="Параллельный режим (активная мощность)",AD265,AO265)+Статистика!$J$4))-Статистика!$C$10)/MAX(Статистика!$G$10-Статистика!$C$10,0.000001),NA()))</f>
        <v>0.61109256111111121</v>
      </c>
      <c r="CC265" s="12">
        <f>IF(Y265="",NA(),IF(Статистика!$D$8="Вкл",(((IF(Статистика!$C$4="Параллельный режим (активная мощность)",AC265,AN265)+Статистика!$J$4))-Статистика!$C$10)/MAX(Статистика!$G$10-Статистика!$C$10,0.000001),NA()))</f>
        <v>0.57531185000000007</v>
      </c>
      <c r="CD265" s="12">
        <f>IF(Y265="",NA(),IF(Статистика!$D$8="Вкл",(((IF(Статистика!$C$4="Параллельный режим (активная мощность)",AE265,AP265)+Статистика!$J$4))-Статистика!$C$10)/MAX(Статистика!$G$10-Статистика!$C$10,0.000001),NA()))</f>
        <v>0.77849733055555526</v>
      </c>
      <c r="CE265" s="12">
        <f>IF(Y265="",NA(),IF(Статистика!$F$8="Вкл",(((IF(Статистика!$C$4="Параллельный режим (активная мощность)",AB265,AM265)+Статистика!$J$4))-Статистика!$C$10)/MAX(Статистика!$G$10-Статистика!$C$10,0.000001),NA()))</f>
        <v>0.4992925150000001</v>
      </c>
      <c r="CF265" s="12">
        <f>IF(Y265="",NA(),IF(Статистика!$F$8="Вкл",(((IF(Статистика!$C$4="Параллельный режим (активная мощность)",AF265,AQ265)+Статистика!$J$4))-Статистика!$C$10)/MAX(Статистика!$G$10-Статистика!$C$10,0.000001),NA()))</f>
        <v>0.80899844777777741</v>
      </c>
      <c r="CG265" s="12">
        <f>IF(Y265="",NA(),IF(Статистика!$H$8="Вкл",(((IF(Статистика!$C$4="Параллельный режим (активная мощность)",Z265,AK265)+Статистика!$J$4))-Статистика!$C$10)/MAX(Статистика!$G$10-Статистика!$C$10,0.000001),NA()))</f>
        <v>0.45212805149999985</v>
      </c>
      <c r="CH265" s="12">
        <f>IF(Y265="",NA(),IF(Статистика!$H$8="Вкл",(((IF(Статистика!$C$4="Параллельный режим (активная мощность)",AH265,AS265)+Статистика!$J$4))-Статистика!$C$10)/MAX(Статистика!$G$10-Статистика!$C$10,0.000001),NA()))</f>
        <v>0.8103280947777779</v>
      </c>
      <c r="CI265" s="12" t="e">
        <f>IF(Y265="",NA(),IF(Статистика!$J$8="Вкл",(((IF(Статистика!$C$4="Параллельный режим (активная мощность)",AI265,AT265)+Статистика!$J$4))-Статистика!$C$10)/MAX(Статистика!$G$10-Статистика!$C$10,0.000001),NA()))</f>
        <v>#N/A</v>
      </c>
      <c r="CJ265" s="12" t="e">
        <f>IF(AND(Y265&lt;&gt;"",Статистика!$C$6="Вкл",Статистика!$B$6&gt;0),(Статистика!$B$6-Статистика!$C$10)/MAX(Статистика!$G$10-Статистика!$C$10,0.000001),NA())</f>
        <v>#N/A</v>
      </c>
      <c r="CK265" s="12" t="e">
        <f>IF(AND(Y265&lt;&gt;"",Статистика!$F$6="Вкл",Статистика!$E$6&gt;0),(Статистика!$E$6-Статистика!$C$10)/MAX(Статистика!$G$10-Статистика!$C$10,0.000001),NA())</f>
        <v>#N/A</v>
      </c>
      <c r="CL265" s="12" t="e">
        <f>IF(AND(Y265&lt;&gt;"",Статистика!$I$6="Вкл",Статистика!$H$6&gt;0),(Статистика!$H$6-Статистика!$C$10)/MAX(Статистика!$G$10-Статистика!$C$10,0.000001),NA())</f>
        <v>#N/A</v>
      </c>
      <c r="CM265" s="12" t="e">
        <f>IF(AND(Y265&lt;&gt;"",Статистика!$L$6="Вкл",Статистика!$K$6&gt;0),(Статистика!$K$6-Статистика!$C$10)/MAX(Статистика!$G$10-Статистика!$C$10,0.000001),NA())</f>
        <v>#N/A</v>
      </c>
      <c r="CN265" s="12" t="e">
        <f>IF(AND(Y265&lt;&gt;"",Статистика!$M$6="Вкл",Статистика!$O$6&gt;0),(Статистика!$O$6-Статистика!$C$10)/MAX(Статистика!$G$10-Статистика!$C$10,0.000001),NA())</f>
        <v>#N/A</v>
      </c>
      <c r="CO265" s="12">
        <f t="shared" si="9"/>
        <v>1</v>
      </c>
    </row>
    <row r="266" spans="1:93" ht="15" customHeight="1">
      <c r="A266" s="12" t="s">
        <v>1109</v>
      </c>
      <c r="B266" s="12">
        <v>2328.5315868333332</v>
      </c>
      <c r="C266" s="12">
        <v>5778.1424674999998</v>
      </c>
      <c r="D266" s="12">
        <v>7419.9934233333333</v>
      </c>
      <c r="E266" s="12">
        <v>7697.4509666666663</v>
      </c>
      <c r="F266" s="12">
        <v>7891.9845333333342</v>
      </c>
      <c r="G266" s="12">
        <v>8195.6275500000011</v>
      </c>
      <c r="H266" s="12">
        <v>8428.6463283333323</v>
      </c>
      <c r="I266" s="12">
        <v>8505.5597266666646</v>
      </c>
      <c r="J266" s="12">
        <v>8649.3284253333331</v>
      </c>
      <c r="K266" s="12">
        <v>8858.6299999999992</v>
      </c>
      <c r="L266" s="12" t="s">
        <v>1110</v>
      </c>
      <c r="M266" s="12">
        <v>2871.9128393333335</v>
      </c>
      <c r="N266" s="12">
        <v>6650.8696633333348</v>
      </c>
      <c r="O266" s="12">
        <v>8443.1843483333341</v>
      </c>
      <c r="P266" s="12">
        <v>8766.0994833333316</v>
      </c>
      <c r="Q266" s="12">
        <v>9037.0472999999984</v>
      </c>
      <c r="R266" s="12">
        <v>9275.1929916666668</v>
      </c>
      <c r="S266" s="12">
        <v>9540.7668049999993</v>
      </c>
      <c r="T266" s="12">
        <v>9632.8970325000009</v>
      </c>
      <c r="U266" s="12">
        <v>9742.4209265000009</v>
      </c>
      <c r="V266" s="12">
        <v>9970.68</v>
      </c>
      <c r="W266" s="12" t="s">
        <v>1110</v>
      </c>
      <c r="Y266" s="12" t="s">
        <v>1109</v>
      </c>
      <c r="Z266" s="12">
        <v>7305.0957616666665</v>
      </c>
      <c r="AA266" s="12">
        <v>7373.2464083333334</v>
      </c>
      <c r="AB266" s="12">
        <v>7458.4347166666666</v>
      </c>
      <c r="AC266" s="12">
        <v>7692.093233333334</v>
      </c>
      <c r="AD266" s="12">
        <v>7833.1734333333325</v>
      </c>
      <c r="AE266" s="12">
        <v>8317.6696416666655</v>
      </c>
      <c r="AF266" s="12">
        <v>8363.7608166666669</v>
      </c>
      <c r="AG266" s="12">
        <v>8369.7524249999988</v>
      </c>
      <c r="AH266" s="12">
        <v>8374.5457116666657</v>
      </c>
      <c r="AI266" s="12">
        <v>8514.35</v>
      </c>
      <c r="AJ266" s="12" t="s">
        <v>1111</v>
      </c>
      <c r="AK266" s="12">
        <v>8375.2724626666659</v>
      </c>
      <c r="AL266" s="12">
        <v>8449.1647133333336</v>
      </c>
      <c r="AM266" s="12">
        <v>8541.5300266666673</v>
      </c>
      <c r="AN266" s="12">
        <v>8773.7095333333345</v>
      </c>
      <c r="AO266" s="12">
        <v>8916.9854166666664</v>
      </c>
      <c r="AP266" s="12">
        <v>9351.5435666666672</v>
      </c>
      <c r="AQ266" s="12">
        <v>9395.1493749999991</v>
      </c>
      <c r="AR266" s="12">
        <v>9395.9188708333313</v>
      </c>
      <c r="AS266" s="12">
        <v>9396.5344674999978</v>
      </c>
      <c r="AT266" s="12">
        <v>9546.9500000000007</v>
      </c>
      <c r="AU266" s="12" t="s">
        <v>1111</v>
      </c>
      <c r="AW266" s="12">
        <f>IF(A266="","",MAX(0,MIN(1,(((IF(Статистика!$C$4="Параллельный режим (активная мощность)",B266,M266)+Статистика!$J$4))-Статистика!$C$10)/MAX(Статистика!$G$10-Статистика!$C$10,0.000001))))</f>
        <v>0</v>
      </c>
      <c r="AX266" s="12">
        <f>IF(A266="","",MAX(0,MAX(0,MIN(1,(((IF(Статистика!$C$4="Параллельный режим (активная мощность)",D266,O266)+Статистика!$J$4))-Статистика!$C$10)/MAX(Статистика!$G$10-Статистика!$C$10,0.000001)))-MAX(0,MIN(1,(((IF(Статистика!$C$4="Параллельный режим (активная мощность)",B266,M266)+Статистика!$J$4))-Статистика!$C$10)/MAX(Статистика!$G$10-Статистика!$C$10,0.000001)))))</f>
        <v>0.47333114111111113</v>
      </c>
      <c r="AY266" s="12">
        <f>IF(A266="","",MAX(0,MAX(0,MIN(1,(((IF(Статистика!$C$4="Параллельный режим (активная мощность)",E266,P266)+Статистика!$J$4))-Статистика!$C$10)/MAX(Статистика!$G$10-Статистика!$C$10,0.000001)))-MAX(0,MIN(1,(((IF(Статистика!$C$4="Параллельный режим (активная мощность)",D266,O266)+Статистика!$J$4))-Статистика!$C$10)/MAX(Статистика!$G$10-Статистика!$C$10,0.000001)))))</f>
        <v>9.248584777777763E-2</v>
      </c>
      <c r="AZ266" s="12">
        <f>IF(A266="","",MAX(0,MAX(0,MIN(1,(((IF(Статистика!$C$4="Параллельный режим (активная мощность)",F266,Q266)+Статистика!$J$4))-Статистика!$C$10)/MAX(Статистика!$G$10-Статистика!$C$10,0.000001)))-MAX(0,MIN(1,(((IF(Статистика!$C$4="Параллельный режим (активная мощность)",E266,P266)+Статистика!$J$4))-Статистика!$C$10)/MAX(Статистика!$G$10-Статистика!$C$10,0.000001)))))</f>
        <v>6.4844522222222589E-2</v>
      </c>
      <c r="BA266" s="12">
        <f>IF(A266="","",MAX(0,MAX(0,MIN(1,(((IF(Статистика!$C$4="Параллельный режим (активная мощность)",G266,R266)+Статистика!$J$4))-Статистика!$C$10)/MAX(Статистика!$G$10-Статистика!$C$10,0.000001)))-MAX(0,MIN(1,(((IF(Статистика!$C$4="Параллельный режим (активная мощность)",F266,Q266)+Статистика!$J$4))-Статистика!$C$10)/MAX(Статистика!$G$10-Статистика!$C$10,0.000001)))))</f>
        <v>0.10121433888888898</v>
      </c>
      <c r="BB266" s="12">
        <f>IF(A266="","",MAX(0,MAX(0,MIN(1,(((IF(Статистика!$C$4="Параллельный режим (активная мощность)",H266,S266)+Статистика!$J$4))-Статистика!$C$10)/MAX(Статистика!$G$10-Статистика!$C$10,0.000001)))-MAX(0,MIN(1,(((IF(Статистика!$C$4="Параллельный режим (активная мощность)",G266,R266)+Статистика!$J$4))-Статистика!$C$10)/MAX(Статистика!$G$10-Статистика!$C$10,0.000001)))))</f>
        <v>7.767292611111043E-2</v>
      </c>
      <c r="BC266" s="12">
        <f>IF(A266="","",MAX(0,MAX(0,MIN(1,(((IF(Статистика!$C$4="Параллельный режим (активная мощность)",J266,U266)+Статистика!$J$4))-Статистика!$C$10)/MAX(Статистика!$G$10-Статистика!$C$10,0.000001)))-MAX(0,MIN(1,(((IF(Статистика!$C$4="Параллельный режим (активная мощность)",H266,S266)+Статистика!$J$4))-Статистика!$C$10)/MAX(Статистика!$G$10-Статистика!$C$10,0.000001)))))</f>
        <v>7.3560699000000285E-2</v>
      </c>
      <c r="BD266" s="12">
        <f>IF(A266="","",MAX(0,1-MAX(0,MIN(1,(((IF(Статистика!$C$4="Параллельный режим (активная мощность)",J266,U266)+Статистика!$J$4))-Статистика!$C$10)/MAX(Статистика!$G$10-Статистика!$C$10,0.000001)))))</f>
        <v>0.11689052488888896</v>
      </c>
      <c r="BE266" s="12">
        <f>IF(A266="",NA(),IF(Статистика!$B$8="Вкл",(((IF(Статистика!$C$4="Параллельный режим (активная мощность)",F266,Q266)+Статистика!$J$4))-Статистика!$C$10)/MAX(Статистика!$G$10-Статистика!$C$10,0.000001),NA()))</f>
        <v>0.63066151111111135</v>
      </c>
      <c r="BF266" s="12">
        <f>IF(A266="",NA(),IF(Статистика!$D$8="Вкл",(((IF(Статистика!$C$4="Параллельный режим (активная мощность)",E266,P266)+Статистика!$J$4))-Статистика!$C$10)/MAX(Статистика!$G$10-Статистика!$C$10,0.000001),NA()))</f>
        <v>0.56581698888888876</v>
      </c>
      <c r="BG266" s="12">
        <f>IF(A266="",NA(),IF(Статистика!$D$8="Вкл",(((IF(Статистика!$C$4="Параллельный режим (активная мощность)",G266,R266)+Статистика!$J$4))-Статистика!$C$10)/MAX(Статистика!$G$10-Статистика!$C$10,0.000001),NA()))</f>
        <v>0.73187585000000033</v>
      </c>
      <c r="BH266" s="12">
        <f>IF(A266="",NA(),IF(Статистика!$F$8="Вкл",(((IF(Статистика!$C$4="Параллельный режим (активная мощность)",D266,O266)+Статистика!$J$4))-Статистика!$C$10)/MAX(Статистика!$G$10-Статистика!$C$10,0.000001),NA()))</f>
        <v>0.47333114111111113</v>
      </c>
      <c r="BI266" s="12">
        <f>IF(A266="",NA(),IF(Статистика!$F$8="Вкл",(((IF(Статистика!$C$4="Параллельный режим (активная мощность)",H266,S266)+Статистика!$J$4))-Статистика!$C$10)/MAX(Статистика!$G$10-Статистика!$C$10,0.000001),NA()))</f>
        <v>0.80954877611111076</v>
      </c>
      <c r="BJ266" s="12">
        <f>IF(A266="",NA(),IF(Статистика!$H$8="Вкл",(((IF(Статистика!$C$4="Параллельный режим (активная мощность)",B266,M266)+Статистика!$J$4))-Статистика!$C$10)/MAX(Статистика!$G$10-Статистика!$C$10,0.000001),NA()))</f>
        <v>-1.223822804388889</v>
      </c>
      <c r="BK266" s="12">
        <f>IF(A266="",NA(),IF(Статистика!$H$8="Вкл",(((IF(Статистика!$C$4="Параллельный режим (активная мощность)",J266,U266)+Статистика!$J$4))-Статистика!$C$10)/MAX(Статистика!$G$10-Статистика!$C$10,0.000001),NA()))</f>
        <v>0.88310947511111104</v>
      </c>
      <c r="BL266" s="12" t="e">
        <f>IF(A266="",NA(),IF(Статистика!$J$8="Вкл",(((IF(Статистика!$C$4="Параллельный режим (активная мощность)",K266,V266)+Статистика!$J$4))-Статистика!$C$10)/MAX(Статистика!$G$10-Статистика!$C$10,0.000001),NA()))</f>
        <v>#N/A</v>
      </c>
      <c r="BM266" s="12" t="e">
        <f>IF(AND(A266&lt;&gt;"",Статистика!$C$6="Вкл",Статистика!$B$6&gt;0),(Статистика!$B$6-Статистика!$C$10)/MAX(Статистика!$G$10-Статистика!$C$10,0.000001),NA())</f>
        <v>#N/A</v>
      </c>
      <c r="BN266" s="12" t="e">
        <f>IF(AND(A266&lt;&gt;"",Статистика!$F$6="Вкл",Статистика!$E$6&gt;0),(Статистика!$E$6-Статистика!$C$10)/MAX(Статистика!$G$10-Статистика!$C$10,0.000001),NA())</f>
        <v>#N/A</v>
      </c>
      <c r="BO266" s="12" t="e">
        <f>IF(AND(A266&lt;&gt;"",Статистика!$I$6="Вкл",Статистика!$H$6&gt;0),(Статистика!$H$6-Статистика!$C$10)/MAX(Статистика!$G$10-Статистика!$C$10,0.000001),NA())</f>
        <v>#N/A</v>
      </c>
      <c r="BP266" s="12" t="e">
        <f>IF(AND(A266&lt;&gt;"",Статистика!$L$6="Вкл",Статистика!$K$6&gt;0),(Статистика!$K$6-Статистика!$C$10)/MAX(Статистика!$G$10-Статистика!$C$10,0.000001),NA())</f>
        <v>#N/A</v>
      </c>
      <c r="BQ266" s="12" t="e">
        <f>IF(AND(A266&lt;&gt;"",Статистика!$M$6="Вкл",Статистика!$O$6&gt;0),(Статистика!$O$6-Статистика!$C$10)/MAX(Статистика!$G$10-Статистика!$C$10,0.000001),NA())</f>
        <v>#N/A</v>
      </c>
      <c r="BR266" s="12">
        <f t="shared" si="8"/>
        <v>1</v>
      </c>
      <c r="BT266" s="12">
        <f>IF(Y266="","",MAX(0,MIN(1,(((IF(Статистика!$C$4="Параллельный режим (активная мощность)",Z266,AK266)+Статистика!$J$4))-Статистика!$C$10)/MAX(Статистика!$G$10-Статистика!$C$10,0.000001))))</f>
        <v>0.43503192055555551</v>
      </c>
      <c r="BU266" s="12">
        <f>IF(Y266="","",MAX(0,MAX(0,MIN(1,(((IF(Статистика!$C$4="Параллельный режим (активная мощность)",AB266,AM266)+Статистика!$J$4))-Статистика!$C$10)/MAX(Статистика!$G$10-Статистика!$C$10,0.000001)))-MAX(0,MIN(1,(((IF(Статистика!$C$4="Параллельный режим (активная мощность)",Z266,AK266)+Статистика!$J$4))-Статистика!$C$10)/MAX(Статистика!$G$10-Статистика!$C$10,0.000001)))))</f>
        <v>5.1112985000000055E-2</v>
      </c>
      <c r="BV266" s="12">
        <f>IF(Y266="","",MAX(0,MAX(0,MIN(1,(((IF(Статистика!$C$4="Параллельный режим (активная мощность)",AC266,AN266)+Статистика!$J$4))-Статистика!$C$10)/MAX(Статистика!$G$10-Статистика!$C$10,0.000001)))-MAX(0,MIN(1,(((IF(Статистика!$C$4="Параллельный режим (активная мощность)",AB266,AM266)+Статистика!$J$4))-Статистика!$C$10)/MAX(Статистика!$G$10-Статистика!$C$10,0.000001)))))</f>
        <v>7.7886172222222383E-2</v>
      </c>
      <c r="BW266" s="12">
        <f>IF(Y266="","",MAX(0,MAX(0,MIN(1,(((IF(Статистика!$C$4="Параллельный режим (активная мощность)",AD266,AO266)+Статистика!$J$4))-Статистика!$C$10)/MAX(Статистика!$G$10-Статистика!$C$10,0.000001)))-MAX(0,MIN(1,(((IF(Статистика!$C$4="Параллельный режим (активная мощность)",AC266,AN266)+Статистика!$J$4))-Статистика!$C$10)/MAX(Статистика!$G$10-Статистика!$C$10,0.000001)))))</f>
        <v>4.7026733333332849E-2</v>
      </c>
      <c r="BX266" s="12">
        <f>IF(Y266="","",MAX(0,MAX(0,MIN(1,(((IF(Статистика!$C$4="Параллельный режим (активная мощность)",AE266,AP266)+Статистика!$J$4))-Статистика!$C$10)/MAX(Статистика!$G$10-Статистика!$C$10,0.000001)))-MAX(0,MIN(1,(((IF(Статистика!$C$4="Параллельный режим (активная мощность)",AD266,AO266)+Статистика!$J$4))-Статистика!$C$10)/MAX(Статистика!$G$10-Статистика!$C$10,0.000001)))))</f>
        <v>0.16149873611111099</v>
      </c>
      <c r="BY266" s="12">
        <f>IF(Y266="","",MAX(0,MAX(0,MIN(1,(((IF(Статистика!$C$4="Параллельный режим (активная мощность)",AF266,AQ266)+Статистика!$J$4))-Статистика!$C$10)/MAX(Статистика!$G$10-Статистика!$C$10,0.000001)))-MAX(0,MIN(1,(((IF(Статистика!$C$4="Параллельный режим (активная мощность)",AE266,AP266)+Статистика!$J$4))-Статистика!$C$10)/MAX(Статистика!$G$10-Статистика!$C$10,0.000001)))))</f>
        <v>1.5363725000000494E-2</v>
      </c>
      <c r="BZ266" s="12">
        <f>IF(Y266="","",MAX(0,MAX(0,MIN(1,(((IF(Статистика!$C$4="Параллельный режим (активная мощность)",AH266,AS266)+Статистика!$J$4))-Статистика!$C$10)/MAX(Статистика!$G$10-Статистика!$C$10,0.000001)))-MAX(0,MIN(1,(((IF(Статистика!$C$4="Параллельный режим (активная мощность)",AF266,AQ266)+Статистика!$J$4))-Статистика!$C$10)/MAX(Статистика!$G$10-Статистика!$C$10,0.000001)))))</f>
        <v>3.5949649999996725E-3</v>
      </c>
      <c r="CA266" s="12">
        <f>IF(Y266="","",MAX(0,1-MAX(0,MIN(1,(((IF(Статистика!$C$4="Параллельный режим (активная мощность)",AH266,AS266)+Статистика!$J$4))-Статистика!$C$10)/MAX(Статистика!$G$10-Статистика!$C$10,0.000001)))))</f>
        <v>0.20848476277777805</v>
      </c>
      <c r="CB266" s="12">
        <f>IF(Y266="",NA(),IF(Статистика!$B$8="Вкл",(((IF(Статистика!$C$4="Параллельный режим (активная мощность)",AD266,AO266)+Статистика!$J$4))-Статистика!$C$10)/MAX(Статистика!$G$10-Статистика!$C$10,0.000001),NA()))</f>
        <v>0.61105781111111079</v>
      </c>
      <c r="CC266" s="12">
        <f>IF(Y266="",NA(),IF(Статистика!$D$8="Вкл",(((IF(Статистика!$C$4="Параллельный режим (активная мощность)",AC266,AN266)+Статистика!$J$4))-Статистика!$C$10)/MAX(Статистика!$G$10-Статистика!$C$10,0.000001),NA()))</f>
        <v>0.56403107777777794</v>
      </c>
      <c r="CD266" s="12">
        <f>IF(Y266="",NA(),IF(Статистика!$D$8="Вкл",(((IF(Статистика!$C$4="Параллельный режим (активная мощность)",AE266,AP266)+Статистика!$J$4))-Статистика!$C$10)/MAX(Статистика!$G$10-Статистика!$C$10,0.000001),NA()))</f>
        <v>0.77255654722222178</v>
      </c>
      <c r="CE266" s="12">
        <f>IF(Y266="",NA(),IF(Статистика!$F$8="Вкл",(((IF(Статистика!$C$4="Параллельный режим (активная мощность)",AB266,AM266)+Статистика!$J$4))-Статистика!$C$10)/MAX(Статистика!$G$10-Статистика!$C$10,0.000001),NA()))</f>
        <v>0.48614490555555556</v>
      </c>
      <c r="CF266" s="12">
        <f>IF(Y266="",NA(),IF(Статистика!$F$8="Вкл",(((IF(Статистика!$C$4="Параллельный режим (активная мощность)",AF266,AQ266)+Статистика!$J$4))-Статистика!$C$10)/MAX(Статистика!$G$10-Статистика!$C$10,0.000001),NA()))</f>
        <v>0.78792027222222227</v>
      </c>
      <c r="CG266" s="12">
        <f>IF(Y266="",NA(),IF(Статистика!$H$8="Вкл",(((IF(Статистика!$C$4="Параллельный режим (активная мощность)",Z266,AK266)+Статистика!$J$4))-Статистика!$C$10)/MAX(Статистика!$G$10-Статистика!$C$10,0.000001),NA()))</f>
        <v>0.43503192055555551</v>
      </c>
      <c r="CH266" s="12">
        <f>IF(Y266="",NA(),IF(Статистика!$H$8="Вкл",(((IF(Статистика!$C$4="Параллельный режим (активная мощность)",AH266,AS266)+Статистика!$J$4))-Статистика!$C$10)/MAX(Статистика!$G$10-Статистика!$C$10,0.000001),NA()))</f>
        <v>0.79151523722222195</v>
      </c>
      <c r="CI266" s="12" t="e">
        <f>IF(Y266="",NA(),IF(Статистика!$J$8="Вкл",(((IF(Статистика!$C$4="Параллельный режим (активная мощность)",AI266,AT266)+Статистика!$J$4))-Статистика!$C$10)/MAX(Статистика!$G$10-Статистика!$C$10,0.000001),NA()))</f>
        <v>#N/A</v>
      </c>
      <c r="CJ266" s="12" t="e">
        <f>IF(AND(Y266&lt;&gt;"",Статистика!$C$6="Вкл",Статистика!$B$6&gt;0),(Статистика!$B$6-Статистика!$C$10)/MAX(Статистика!$G$10-Статистика!$C$10,0.000001),NA())</f>
        <v>#N/A</v>
      </c>
      <c r="CK266" s="12" t="e">
        <f>IF(AND(Y266&lt;&gt;"",Статистика!$F$6="Вкл",Статистика!$E$6&gt;0),(Статистика!$E$6-Статистика!$C$10)/MAX(Статистика!$G$10-Статистика!$C$10,0.000001),NA())</f>
        <v>#N/A</v>
      </c>
      <c r="CL266" s="12" t="e">
        <f>IF(AND(Y266&lt;&gt;"",Статистика!$I$6="Вкл",Статистика!$H$6&gt;0),(Статистика!$H$6-Статистика!$C$10)/MAX(Статистика!$G$10-Статистика!$C$10,0.000001),NA())</f>
        <v>#N/A</v>
      </c>
      <c r="CM266" s="12" t="e">
        <f>IF(AND(Y266&lt;&gt;"",Статистика!$L$6="Вкл",Статистика!$K$6&gt;0),(Статистика!$K$6-Статистика!$C$10)/MAX(Статистика!$G$10-Статистика!$C$10,0.000001),NA())</f>
        <v>#N/A</v>
      </c>
      <c r="CN266" s="12" t="e">
        <f>IF(AND(Y266&lt;&gt;"",Статистика!$M$6="Вкл",Статистика!$O$6&gt;0),(Статистика!$O$6-Статистика!$C$10)/MAX(Статистика!$G$10-Статистика!$C$10,0.000001),NA())</f>
        <v>#N/A</v>
      </c>
      <c r="CO266" s="12">
        <f t="shared" si="9"/>
        <v>1</v>
      </c>
    </row>
    <row r="267" spans="1:93" ht="15" customHeight="1">
      <c r="A267" s="12" t="s">
        <v>1112</v>
      </c>
      <c r="B267" s="12">
        <v>2317.3191575000001</v>
      </c>
      <c r="C267" s="12">
        <v>5759.5457875000002</v>
      </c>
      <c r="D267" s="12">
        <v>7405.5274399999998</v>
      </c>
      <c r="E267" s="12">
        <v>7708.8317500000003</v>
      </c>
      <c r="F267" s="12">
        <v>7913.9192666666668</v>
      </c>
      <c r="G267" s="12">
        <v>8217.1469083333341</v>
      </c>
      <c r="H267" s="12">
        <v>8403.9113550000002</v>
      </c>
      <c r="I267" s="12">
        <v>8508.8458708333328</v>
      </c>
      <c r="J267" s="12">
        <v>8650.0336274999991</v>
      </c>
      <c r="K267" s="12">
        <v>8798.7900000000009</v>
      </c>
      <c r="L267" s="12" t="s">
        <v>1113</v>
      </c>
      <c r="M267" s="12">
        <v>2860.3721555000002</v>
      </c>
      <c r="N267" s="12">
        <v>6611.5023775000009</v>
      </c>
      <c r="O267" s="12">
        <v>8425.8737149999997</v>
      </c>
      <c r="P267" s="12">
        <v>8809.3498833333324</v>
      </c>
      <c r="Q267" s="12">
        <v>9044.0638333333336</v>
      </c>
      <c r="R267" s="12">
        <v>9319.132333333333</v>
      </c>
      <c r="S267" s="12">
        <v>9542.3725583333326</v>
      </c>
      <c r="T267" s="12">
        <v>9663.2059224999994</v>
      </c>
      <c r="U267" s="12">
        <v>9752.2981178333321</v>
      </c>
      <c r="V267" s="12">
        <v>9876.57</v>
      </c>
      <c r="W267" s="12" t="s">
        <v>1114</v>
      </c>
      <c r="Y267" s="12" t="s">
        <v>1112</v>
      </c>
      <c r="Z267" s="12">
        <v>7315.3638531666656</v>
      </c>
      <c r="AA267" s="12">
        <v>7374.7229991666663</v>
      </c>
      <c r="AB267" s="12">
        <v>7448.9219316666658</v>
      </c>
      <c r="AC267" s="12">
        <v>7743.5000250000012</v>
      </c>
      <c r="AD267" s="12">
        <v>7958.313783333333</v>
      </c>
      <c r="AE267" s="12">
        <v>8338.6973583333329</v>
      </c>
      <c r="AF267" s="12">
        <v>8397.2110166666662</v>
      </c>
      <c r="AG267" s="12">
        <v>8410.6664916666668</v>
      </c>
      <c r="AH267" s="12">
        <v>8421.4308716666656</v>
      </c>
      <c r="AI267" s="12">
        <v>8497.23</v>
      </c>
      <c r="AJ267" s="12" t="s">
        <v>1115</v>
      </c>
      <c r="AK267" s="12">
        <v>8391.1064600000009</v>
      </c>
      <c r="AL267" s="12">
        <v>8453.3984333333337</v>
      </c>
      <c r="AM267" s="12">
        <v>8531.2633999999998</v>
      </c>
      <c r="AN267" s="12">
        <v>8854.691925000001</v>
      </c>
      <c r="AO267" s="12">
        <v>9061.4747499999994</v>
      </c>
      <c r="AP267" s="12">
        <v>9368.9791583333335</v>
      </c>
      <c r="AQ267" s="12">
        <v>9456.0537116666674</v>
      </c>
      <c r="AR267" s="12">
        <v>9461.2286891666663</v>
      </c>
      <c r="AS267" s="12">
        <v>9465.3686711666651</v>
      </c>
      <c r="AT267" s="12">
        <v>9589.2099999999991</v>
      </c>
      <c r="AU267" s="12" t="s">
        <v>1116</v>
      </c>
      <c r="AW267" s="12">
        <f>IF(A267="","",MAX(0,MIN(1,(((IF(Статистика!$C$4="Параллельный режим (активная мощность)",B267,M267)+Статистика!$J$4))-Статистика!$C$10)/MAX(Статистика!$G$10-Статистика!$C$10,0.000001))))</f>
        <v>0</v>
      </c>
      <c r="AX267" s="12">
        <f>IF(A267="","",MAX(0,MAX(0,MIN(1,(((IF(Статистика!$C$4="Параллельный режим (активная мощность)",D267,O267)+Статистика!$J$4))-Статистика!$C$10)/MAX(Статистика!$G$10-Статистика!$C$10,0.000001)))-MAX(0,MIN(1,(((IF(Статистика!$C$4="Параллельный режим (активная мощность)",B267,M267)+Статистика!$J$4))-Статистика!$C$10)/MAX(Статистика!$G$10-Статистика!$C$10,0.000001)))))</f>
        <v>0.4685091466666666</v>
      </c>
      <c r="AY267" s="12">
        <f>IF(A267="","",MAX(0,MAX(0,MIN(1,(((IF(Статистика!$C$4="Параллельный режим (активная мощность)",E267,P267)+Статистика!$J$4))-Статистика!$C$10)/MAX(Статистика!$G$10-Статистика!$C$10,0.000001)))-MAX(0,MIN(1,(((IF(Статистика!$C$4="Параллельный режим (активная мощность)",D267,O267)+Статистика!$J$4))-Статистика!$C$10)/MAX(Статистика!$G$10-Статистика!$C$10,0.000001)))))</f>
        <v>0.10110143666666688</v>
      </c>
      <c r="AZ267" s="12">
        <f>IF(A267="","",MAX(0,MAX(0,MIN(1,(((IF(Статистика!$C$4="Параллельный режим (активная мощность)",F267,Q267)+Статистика!$J$4))-Статистика!$C$10)/MAX(Статистика!$G$10-Статистика!$C$10,0.000001)))-MAX(0,MIN(1,(((IF(Статистика!$C$4="Параллельный режим (активная мощность)",E267,P267)+Статистика!$J$4))-Статистика!$C$10)/MAX(Статистика!$G$10-Статистика!$C$10,0.000001)))))</f>
        <v>6.8362505555555453E-2</v>
      </c>
      <c r="BA267" s="12">
        <f>IF(A267="","",MAX(0,MAX(0,MIN(1,(((IF(Статистика!$C$4="Параллельный режим (активная мощность)",G267,R267)+Статистика!$J$4))-Статистика!$C$10)/MAX(Статистика!$G$10-Статистика!$C$10,0.000001)))-MAX(0,MIN(1,(((IF(Статистика!$C$4="Параллельный режим (активная мощность)",F267,Q267)+Статистика!$J$4))-Статистика!$C$10)/MAX(Статистика!$G$10-Статистика!$C$10,0.000001)))))</f>
        <v>0.10107588055555572</v>
      </c>
      <c r="BB267" s="12">
        <f>IF(A267="","",MAX(0,MAX(0,MIN(1,(((IF(Статистика!$C$4="Параллельный режим (активная мощность)",H267,S267)+Статистика!$J$4))-Статистика!$C$10)/MAX(Статистика!$G$10-Статистика!$C$10,0.000001)))-MAX(0,MIN(1,(((IF(Статистика!$C$4="Параллельный режим (активная мощность)",G267,R267)+Статистика!$J$4))-Статистика!$C$10)/MAX(Статистика!$G$10-Статистика!$C$10,0.000001)))))</f>
        <v>6.2254815555555454E-2</v>
      </c>
      <c r="BC267" s="12">
        <f>IF(A267="","",MAX(0,MAX(0,MIN(1,(((IF(Статистика!$C$4="Параллельный режим (активная мощность)",J267,U267)+Статистика!$J$4))-Статистика!$C$10)/MAX(Статистика!$G$10-Статистика!$C$10,0.000001)))-MAX(0,MIN(1,(((IF(Статистика!$C$4="Параллельный режим (активная мощность)",H267,S267)+Статистика!$J$4))-Статистика!$C$10)/MAX(Статистика!$G$10-Статистика!$C$10,0.000001)))))</f>
        <v>8.2040757499999617E-2</v>
      </c>
      <c r="BD267" s="12">
        <f>IF(A267="","",MAX(0,1-MAX(0,MIN(1,(((IF(Статистика!$C$4="Параллельный режим (активная мощность)",J267,U267)+Статистика!$J$4))-Статистика!$C$10)/MAX(Статистика!$G$10-Статистика!$C$10,0.000001)))))</f>
        <v>0.11665545750000028</v>
      </c>
      <c r="BE267" s="12">
        <f>IF(A267="",NA(),IF(Статистика!$B$8="Вкл",(((IF(Статистика!$C$4="Параллельный режим (активная мощность)",F267,Q267)+Статистика!$J$4))-Статистика!$C$10)/MAX(Статистика!$G$10-Статистика!$C$10,0.000001),NA()))</f>
        <v>0.63797308888888893</v>
      </c>
      <c r="BF267" s="12">
        <f>IF(A267="",NA(),IF(Статистика!$D$8="Вкл",(((IF(Статистика!$C$4="Параллельный режим (активная мощность)",E267,P267)+Статистика!$J$4))-Статистика!$C$10)/MAX(Статистика!$G$10-Статистика!$C$10,0.000001),NA()))</f>
        <v>0.56961058333333348</v>
      </c>
      <c r="BG267" s="12">
        <f>IF(A267="",NA(),IF(Статистика!$D$8="Вкл",(((IF(Статистика!$C$4="Параллельный режим (активная мощность)",G267,R267)+Статистика!$J$4))-Статистика!$C$10)/MAX(Статистика!$G$10-Статистика!$C$10,0.000001),NA()))</f>
        <v>0.73904896944444465</v>
      </c>
      <c r="BH267" s="12">
        <f>IF(A267="",NA(),IF(Статистика!$F$8="Вкл",(((IF(Статистика!$C$4="Параллельный режим (активная мощность)",D267,O267)+Статистика!$J$4))-Статистика!$C$10)/MAX(Статистика!$G$10-Статистика!$C$10,0.000001),NA()))</f>
        <v>0.4685091466666666</v>
      </c>
      <c r="BI267" s="12">
        <f>IF(A267="",NA(),IF(Статистика!$F$8="Вкл",(((IF(Статистика!$C$4="Параллельный режим (активная мощность)",H267,S267)+Статистика!$J$4))-Статистика!$C$10)/MAX(Статистика!$G$10-Статистика!$C$10,0.000001),NA()))</f>
        <v>0.8013037850000001</v>
      </c>
      <c r="BJ267" s="12">
        <f>IF(A267="",NA(),IF(Статистика!$H$8="Вкл",(((IF(Статистика!$C$4="Параллельный режим (активная мощность)",B267,M267)+Статистика!$J$4))-Статистика!$C$10)/MAX(Статистика!$G$10-Статистика!$C$10,0.000001),NA()))</f>
        <v>-1.2275602808333332</v>
      </c>
      <c r="BK267" s="12">
        <f>IF(A267="",NA(),IF(Статистика!$H$8="Вкл",(((IF(Статистика!$C$4="Параллельный режим (активная мощность)",J267,U267)+Статистика!$J$4))-Статистика!$C$10)/MAX(Статистика!$G$10-Статистика!$C$10,0.000001),NA()))</f>
        <v>0.88334454249999972</v>
      </c>
      <c r="BL267" s="12" t="e">
        <f>IF(A267="",NA(),IF(Статистика!$J$8="Вкл",(((IF(Статистика!$C$4="Параллельный режим (активная мощность)",K267,V267)+Статистика!$J$4))-Статистика!$C$10)/MAX(Статистика!$G$10-Статистика!$C$10,0.000001),NA()))</f>
        <v>#N/A</v>
      </c>
      <c r="BM267" s="12" t="e">
        <f>IF(AND(A267&lt;&gt;"",Статистика!$C$6="Вкл",Статистика!$B$6&gt;0),(Статистика!$B$6-Статистика!$C$10)/MAX(Статистика!$G$10-Статистика!$C$10,0.000001),NA())</f>
        <v>#N/A</v>
      </c>
      <c r="BN267" s="12" t="e">
        <f>IF(AND(A267&lt;&gt;"",Статистика!$F$6="Вкл",Статистика!$E$6&gt;0),(Статистика!$E$6-Статистика!$C$10)/MAX(Статистика!$G$10-Статистика!$C$10,0.000001),NA())</f>
        <v>#N/A</v>
      </c>
      <c r="BO267" s="12" t="e">
        <f>IF(AND(A267&lt;&gt;"",Статистика!$I$6="Вкл",Статистика!$H$6&gt;0),(Статистика!$H$6-Статистика!$C$10)/MAX(Статистика!$G$10-Статистика!$C$10,0.000001),NA())</f>
        <v>#N/A</v>
      </c>
      <c r="BP267" s="12" t="e">
        <f>IF(AND(A267&lt;&gt;"",Статистика!$L$6="Вкл",Статистика!$K$6&gt;0),(Статистика!$K$6-Статистика!$C$10)/MAX(Статистика!$G$10-Статистика!$C$10,0.000001),NA())</f>
        <v>#N/A</v>
      </c>
      <c r="BQ267" s="12" t="e">
        <f>IF(AND(A267&lt;&gt;"",Статистика!$M$6="Вкл",Статистика!$O$6&gt;0),(Статистика!$O$6-Статистика!$C$10)/MAX(Статистика!$G$10-Статистика!$C$10,0.000001),NA())</f>
        <v>#N/A</v>
      </c>
      <c r="BR267" s="12">
        <f t="shared" si="8"/>
        <v>1</v>
      </c>
      <c r="BT267" s="12">
        <f>IF(Y267="","",MAX(0,MIN(1,(((IF(Статистика!$C$4="Параллельный режим (активная мощность)",Z267,AK267)+Статистика!$J$4))-Статистика!$C$10)/MAX(Статистика!$G$10-Статистика!$C$10,0.000001))))</f>
        <v>0.43845461772222188</v>
      </c>
      <c r="BU267" s="12">
        <f>IF(Y267="","",MAX(0,MAX(0,MIN(1,(((IF(Статистика!$C$4="Параллельный режим (активная мощность)",AB267,AM267)+Статистика!$J$4))-Статистика!$C$10)/MAX(Статистика!$G$10-Статистика!$C$10,0.000001)))-MAX(0,MIN(1,(((IF(Статистика!$C$4="Параллельный режим (активная мощность)",Z267,AK267)+Статистика!$J$4))-Статистика!$C$10)/MAX(Статистика!$G$10-Статистика!$C$10,0.000001)))))</f>
        <v>4.4519359500000077E-2</v>
      </c>
      <c r="BV267" s="12">
        <f>IF(Y267="","",MAX(0,MAX(0,MIN(1,(((IF(Статистика!$C$4="Параллельный режим (активная мощность)",AC267,AN267)+Статистика!$J$4))-Статистика!$C$10)/MAX(Статистика!$G$10-Статистика!$C$10,0.000001)))-MAX(0,MIN(1,(((IF(Статистика!$C$4="Параллельный режим (активная мощность)",AB267,AM267)+Статистика!$J$4))-Статистика!$C$10)/MAX(Статистика!$G$10-Статистика!$C$10,0.000001)))))</f>
        <v>9.8192697777778448E-2</v>
      </c>
      <c r="BW267" s="12">
        <f>IF(Y267="","",MAX(0,MAX(0,MIN(1,(((IF(Статистика!$C$4="Параллельный режим (активная мощность)",AD267,AO267)+Статистика!$J$4))-Статистика!$C$10)/MAX(Статистика!$G$10-Статистика!$C$10,0.000001)))-MAX(0,MIN(1,(((IF(Статистика!$C$4="Параллельный режим (активная мощность)",AC267,AN267)+Статистика!$J$4))-Статистика!$C$10)/MAX(Статистика!$G$10-Статистика!$C$10,0.000001)))))</f>
        <v>7.1604586111110646E-2</v>
      </c>
      <c r="BX267" s="12">
        <f>IF(Y267="","",MAX(0,MAX(0,MIN(1,(((IF(Статистика!$C$4="Параллельный режим (активная мощность)",AE267,AP267)+Статистика!$J$4))-Статистика!$C$10)/MAX(Статистика!$G$10-Статистика!$C$10,0.000001)))-MAX(0,MIN(1,(((IF(Статистика!$C$4="Параллельный режим (активная мощность)",AD267,AO267)+Статистика!$J$4))-Статистика!$C$10)/MAX(Статистика!$G$10-Статистика!$C$10,0.000001)))))</f>
        <v>0.12679452499999988</v>
      </c>
      <c r="BY267" s="12">
        <f>IF(Y267="","",MAX(0,MAX(0,MIN(1,(((IF(Статистика!$C$4="Параллельный режим (активная мощность)",AF267,AQ267)+Статистика!$J$4))-Статистика!$C$10)/MAX(Статистика!$G$10-Статистика!$C$10,0.000001)))-MAX(0,MIN(1,(((IF(Статистика!$C$4="Параллельный режим (активная мощность)",AE267,AP267)+Статистика!$J$4))-Статистика!$C$10)/MAX(Статистика!$G$10-Статистика!$C$10,0.000001)))))</f>
        <v>1.9504552777777739E-2</v>
      </c>
      <c r="BZ267" s="12">
        <f>IF(Y267="","",MAX(0,MAX(0,MIN(1,(((IF(Статистика!$C$4="Параллельный режим (активная мощность)",AH267,AS267)+Статистика!$J$4))-Статистика!$C$10)/MAX(Статистика!$G$10-Статистика!$C$10,0.000001)))-MAX(0,MIN(1,(((IF(Статистика!$C$4="Параллельный режим (активная мощность)",AF267,AQ267)+Статистика!$J$4))-Статистика!$C$10)/MAX(Статистика!$G$10-Статистика!$C$10,0.000001)))))</f>
        <v>8.0732849999998191E-3</v>
      </c>
      <c r="CA267" s="12">
        <f>IF(Y267="","",MAX(0,1-MAX(0,MIN(1,(((IF(Статистика!$C$4="Параллельный режим (активная мощность)",AH267,AS267)+Статистика!$J$4))-Статистика!$C$10)/MAX(Статистика!$G$10-Статистика!$C$10,0.000001)))))</f>
        <v>0.1928563761111115</v>
      </c>
      <c r="CB267" s="12">
        <f>IF(Y267="",NA(),IF(Статистика!$B$8="Вкл",(((IF(Статистика!$C$4="Параллельный режим (активная мощность)",AD267,AO267)+Статистика!$J$4))-Статистика!$C$10)/MAX(Статистика!$G$10-Статистика!$C$10,0.000001),NA()))</f>
        <v>0.65277126111111106</v>
      </c>
      <c r="CC267" s="12">
        <f>IF(Y267="",NA(),IF(Статистика!$D$8="Вкл",(((IF(Статистика!$C$4="Параллельный режим (активная мощность)",AC267,AN267)+Статистика!$J$4))-Статистика!$C$10)/MAX(Статистика!$G$10-Статистика!$C$10,0.000001),NA()))</f>
        <v>0.58116667500000041</v>
      </c>
      <c r="CD267" s="12">
        <f>IF(Y267="",NA(),IF(Статистика!$D$8="Вкл",(((IF(Статистика!$C$4="Параллельный режим (активная мощность)",AE267,AP267)+Статистика!$J$4))-Статистика!$C$10)/MAX(Статистика!$G$10-Статистика!$C$10,0.000001),NA()))</f>
        <v>0.77956578611111094</v>
      </c>
      <c r="CE267" s="12">
        <f>IF(Y267="",NA(),IF(Статистика!$F$8="Вкл",(((IF(Статистика!$C$4="Параллельный режим (активная мощность)",AB267,AM267)+Статистика!$J$4))-Статистика!$C$10)/MAX(Статистика!$G$10-Статистика!$C$10,0.000001),NA()))</f>
        <v>0.48297397722222196</v>
      </c>
      <c r="CF267" s="12">
        <f>IF(Y267="",NA(),IF(Статистика!$F$8="Вкл",(((IF(Статистика!$C$4="Параллельный режим (активная мощность)",AF267,AQ267)+Статистика!$J$4))-Статистика!$C$10)/MAX(Статистика!$G$10-Статистика!$C$10,0.000001),NA()))</f>
        <v>0.79907033888888868</v>
      </c>
      <c r="CG267" s="12">
        <f>IF(Y267="",NA(),IF(Статистика!$H$8="Вкл",(((IF(Статистика!$C$4="Параллельный режим (активная мощность)",Z267,AK267)+Статистика!$J$4))-Статистика!$C$10)/MAX(Статистика!$G$10-Статистика!$C$10,0.000001),NA()))</f>
        <v>0.43845461772222188</v>
      </c>
      <c r="CH267" s="12">
        <f>IF(Y267="",NA(),IF(Статистика!$H$8="Вкл",(((IF(Статистика!$C$4="Параллельный режим (активная мощность)",AH267,AS267)+Статистика!$J$4))-Статистика!$C$10)/MAX(Статистика!$G$10-Статистика!$C$10,0.000001),NA()))</f>
        <v>0.8071436238888885</v>
      </c>
      <c r="CI267" s="12" t="e">
        <f>IF(Y267="",NA(),IF(Статистика!$J$8="Вкл",(((IF(Статистика!$C$4="Параллельный режим (активная мощность)",AI267,AT267)+Статистика!$J$4))-Статистика!$C$10)/MAX(Статистика!$G$10-Статистика!$C$10,0.000001),NA()))</f>
        <v>#N/A</v>
      </c>
      <c r="CJ267" s="12" t="e">
        <f>IF(AND(Y267&lt;&gt;"",Статистика!$C$6="Вкл",Статистика!$B$6&gt;0),(Статистика!$B$6-Статистика!$C$10)/MAX(Статистика!$G$10-Статистика!$C$10,0.000001),NA())</f>
        <v>#N/A</v>
      </c>
      <c r="CK267" s="12" t="e">
        <f>IF(AND(Y267&lt;&gt;"",Статистика!$F$6="Вкл",Статистика!$E$6&gt;0),(Статистика!$E$6-Статистика!$C$10)/MAX(Статистика!$G$10-Статистика!$C$10,0.000001),NA())</f>
        <v>#N/A</v>
      </c>
      <c r="CL267" s="12" t="e">
        <f>IF(AND(Y267&lt;&gt;"",Статистика!$I$6="Вкл",Статистика!$H$6&gt;0),(Статистика!$H$6-Статистика!$C$10)/MAX(Статистика!$G$10-Статистика!$C$10,0.000001),NA())</f>
        <v>#N/A</v>
      </c>
      <c r="CM267" s="12" t="e">
        <f>IF(AND(Y267&lt;&gt;"",Статистика!$L$6="Вкл",Статистика!$K$6&gt;0),(Статистика!$K$6-Статистика!$C$10)/MAX(Статистика!$G$10-Статистика!$C$10,0.000001),NA())</f>
        <v>#N/A</v>
      </c>
      <c r="CN267" s="12" t="e">
        <f>IF(AND(Y267&lt;&gt;"",Статистика!$M$6="Вкл",Статистика!$O$6&gt;0),(Статистика!$O$6-Статистика!$C$10)/MAX(Статистика!$G$10-Статистика!$C$10,0.000001),NA())</f>
        <v>#N/A</v>
      </c>
      <c r="CO267" s="12">
        <f t="shared" si="9"/>
        <v>1</v>
      </c>
    </row>
    <row r="268" spans="1:93" ht="15" customHeight="1">
      <c r="A268" s="12" t="s">
        <v>1117</v>
      </c>
      <c r="B268" s="12">
        <v>2326.9503869999999</v>
      </c>
      <c r="C268" s="12">
        <v>5765.6122016666668</v>
      </c>
      <c r="D268" s="12">
        <v>7456.0212900000006</v>
      </c>
      <c r="E268" s="12">
        <v>7722.5855000000001</v>
      </c>
      <c r="F268" s="12">
        <v>7929.8792333333331</v>
      </c>
      <c r="G268" s="12">
        <v>8222.9312500000015</v>
      </c>
      <c r="H268" s="12">
        <v>8422.7732166666665</v>
      </c>
      <c r="I268" s="12">
        <v>8517.0071816666659</v>
      </c>
      <c r="J268" s="12">
        <v>8654.5707696666686</v>
      </c>
      <c r="K268" s="12">
        <v>8773.76</v>
      </c>
      <c r="L268" s="12" t="s">
        <v>1118</v>
      </c>
      <c r="M268" s="12">
        <v>2871.9368843333332</v>
      </c>
      <c r="N268" s="12">
        <v>6619.3074883333338</v>
      </c>
      <c r="O268" s="12">
        <v>8464.9016183333333</v>
      </c>
      <c r="P268" s="12">
        <v>8802.7074499999999</v>
      </c>
      <c r="Q268" s="12">
        <v>9068.6075166666669</v>
      </c>
      <c r="R268" s="12">
        <v>9307.5767166666665</v>
      </c>
      <c r="S268" s="12">
        <v>9562.792061666667</v>
      </c>
      <c r="T268" s="12">
        <v>9673.2162958333338</v>
      </c>
      <c r="U268" s="12">
        <v>9765.8775791666667</v>
      </c>
      <c r="V268" s="12">
        <v>9870.06</v>
      </c>
      <c r="W268" s="12" t="s">
        <v>1118</v>
      </c>
      <c r="Y268" s="12" t="s">
        <v>1117</v>
      </c>
      <c r="Z268" s="12">
        <v>7326.3276570000016</v>
      </c>
      <c r="AA268" s="12">
        <v>7380.0540183333342</v>
      </c>
      <c r="AB268" s="12">
        <v>7447.2119700000012</v>
      </c>
      <c r="AC268" s="12">
        <v>7754.7566999999999</v>
      </c>
      <c r="AD268" s="12">
        <v>7952.9411500000006</v>
      </c>
      <c r="AE268" s="12">
        <v>8280.1363000000001</v>
      </c>
      <c r="AF268" s="12">
        <v>8401.7309550000009</v>
      </c>
      <c r="AG268" s="12">
        <v>8410.6990441666658</v>
      </c>
      <c r="AH268" s="12">
        <v>8417.8735154999995</v>
      </c>
      <c r="AI268" s="12">
        <v>8529.93</v>
      </c>
      <c r="AJ268" s="12" t="s">
        <v>1119</v>
      </c>
      <c r="AK268" s="12">
        <v>8402.0291043333327</v>
      </c>
      <c r="AL268" s="12">
        <v>8456.7149883333332</v>
      </c>
      <c r="AM268" s="12">
        <v>8525.0723433333333</v>
      </c>
      <c r="AN268" s="12">
        <v>8876.6085583333333</v>
      </c>
      <c r="AO268" s="12">
        <v>9043.9908166666683</v>
      </c>
      <c r="AP268" s="12">
        <v>9310.349458333334</v>
      </c>
      <c r="AQ268" s="12">
        <v>9466.9283699999996</v>
      </c>
      <c r="AR268" s="12">
        <v>9480.6096016666652</v>
      </c>
      <c r="AS268" s="12">
        <v>9491.5545869999987</v>
      </c>
      <c r="AT268" s="12">
        <v>9703.0400000000009</v>
      </c>
      <c r="AU268" s="12" t="s">
        <v>1119</v>
      </c>
      <c r="AW268" s="12">
        <f>IF(A268="","",MAX(0,MIN(1,(((IF(Статистика!$C$4="Параллельный режим (активная мощность)",B268,M268)+Статистика!$J$4))-Статистика!$C$10)/MAX(Статистика!$G$10-Статистика!$C$10,0.000001))))</f>
        <v>0</v>
      </c>
      <c r="AX268" s="12">
        <f>IF(A268="","",MAX(0,MAX(0,MIN(1,(((IF(Статистика!$C$4="Параллельный режим (активная мощность)",D268,O268)+Статистика!$J$4))-Статистика!$C$10)/MAX(Статистика!$G$10-Статистика!$C$10,0.000001)))-MAX(0,MIN(1,(((IF(Статистика!$C$4="Параллельный режим (активная мощность)",B268,M268)+Статистика!$J$4))-Статистика!$C$10)/MAX(Статистика!$G$10-Статистика!$C$10,0.000001)))))</f>
        <v>0.48534043000000021</v>
      </c>
      <c r="AY268" s="12">
        <f>IF(A268="","",MAX(0,MAX(0,MIN(1,(((IF(Статистика!$C$4="Параллельный режим (активная мощность)",E268,P268)+Статистика!$J$4))-Статистика!$C$10)/MAX(Статистика!$G$10-Статистика!$C$10,0.000001)))-MAX(0,MIN(1,(((IF(Статистика!$C$4="Параллельный режим (активная мощность)",D268,O268)+Статистика!$J$4))-Статистика!$C$10)/MAX(Статистика!$G$10-Статистика!$C$10,0.000001)))))</f>
        <v>8.885473666666649E-2</v>
      </c>
      <c r="AZ268" s="12">
        <f>IF(A268="","",MAX(0,MAX(0,MIN(1,(((IF(Статистика!$C$4="Параллельный режим (активная мощность)",F268,Q268)+Статистика!$J$4))-Статистика!$C$10)/MAX(Статистика!$G$10-Статистика!$C$10,0.000001)))-MAX(0,MIN(1,(((IF(Статистика!$C$4="Параллельный режим (активная мощность)",E268,P268)+Статистика!$J$4))-Статистика!$C$10)/MAX(Статистика!$G$10-Статистика!$C$10,0.000001)))))</f>
        <v>6.9097911111110966E-2</v>
      </c>
      <c r="BA268" s="12">
        <f>IF(A268="","",MAX(0,MAX(0,MIN(1,(((IF(Статистика!$C$4="Параллельный режим (активная мощность)",G268,R268)+Статистика!$J$4))-Статистика!$C$10)/MAX(Статистика!$G$10-Статистика!$C$10,0.000001)))-MAX(0,MIN(1,(((IF(Статистика!$C$4="Параллельный режим (активная мощность)",F268,Q268)+Статистика!$J$4))-Статистика!$C$10)/MAX(Статистика!$G$10-Статистика!$C$10,0.000001)))))</f>
        <v>9.7684005555556119E-2</v>
      </c>
      <c r="BB268" s="12">
        <f>IF(A268="","",MAX(0,MAX(0,MIN(1,(((IF(Статистика!$C$4="Параллельный режим (активная мощность)",H268,S268)+Статистика!$J$4))-Статистика!$C$10)/MAX(Статистика!$G$10-Статистика!$C$10,0.000001)))-MAX(0,MIN(1,(((IF(Статистика!$C$4="Параллельный режим (активная мощность)",G268,R268)+Статистика!$J$4))-Статистика!$C$10)/MAX(Статистика!$G$10-Статистика!$C$10,0.000001)))))</f>
        <v>6.6613988888888365E-2</v>
      </c>
      <c r="BC268" s="12">
        <f>IF(A268="","",MAX(0,MAX(0,MIN(1,(((IF(Статистика!$C$4="Параллельный режим (активная мощность)",J268,U268)+Статистика!$J$4))-Статистика!$C$10)/MAX(Статистика!$G$10-Статистика!$C$10,0.000001)))-MAX(0,MIN(1,(((IF(Статистика!$C$4="Параллельный режим (активная мощность)",H268,S268)+Статистика!$J$4))-Статистика!$C$10)/MAX(Статистика!$G$10-Статистика!$C$10,0.000001)))))</f>
        <v>7.7265851000000718E-2</v>
      </c>
      <c r="BD268" s="12">
        <f>IF(A268="","",MAX(0,1-MAX(0,MIN(1,(((IF(Статистика!$C$4="Параллельный режим (активная мощность)",J268,U268)+Статистика!$J$4))-Статистика!$C$10)/MAX(Статистика!$G$10-Статистика!$C$10,0.000001)))))</f>
        <v>0.11514307677777713</v>
      </c>
      <c r="BE268" s="12">
        <f>IF(A268="",NA(),IF(Статистика!$B$8="Вкл",(((IF(Статистика!$C$4="Параллельный режим (активная мощность)",F268,Q268)+Статистика!$J$4))-Статистика!$C$10)/MAX(Статистика!$G$10-Статистика!$C$10,0.000001),NA()))</f>
        <v>0.64329307777777767</v>
      </c>
      <c r="BF268" s="12">
        <f>IF(A268="",NA(),IF(Статистика!$D$8="Вкл",(((IF(Статистика!$C$4="Параллельный режим (активная мощность)",E268,P268)+Статистика!$J$4))-Статистика!$C$10)/MAX(Статистика!$G$10-Статистика!$C$10,0.000001),NA()))</f>
        <v>0.5741951666666667</v>
      </c>
      <c r="BG268" s="12">
        <f>IF(A268="",NA(),IF(Статистика!$D$8="Вкл",(((IF(Статистика!$C$4="Параллельный режим (активная мощность)",G268,R268)+Статистика!$J$4))-Статистика!$C$10)/MAX(Статистика!$G$10-Статистика!$C$10,0.000001),NA()))</f>
        <v>0.74097708333333379</v>
      </c>
      <c r="BH268" s="12">
        <f>IF(A268="",NA(),IF(Статистика!$F$8="Вкл",(((IF(Статистика!$C$4="Параллельный режим (активная мощность)",D268,O268)+Статистика!$J$4))-Статистика!$C$10)/MAX(Статистика!$G$10-Статистика!$C$10,0.000001),NA()))</f>
        <v>0.48534043000000021</v>
      </c>
      <c r="BI268" s="12">
        <f>IF(A268="",NA(),IF(Статистика!$F$8="Вкл",(((IF(Статистика!$C$4="Параллельный режим (активная мощность)",H268,S268)+Статистика!$J$4))-Статистика!$C$10)/MAX(Статистика!$G$10-Статистика!$C$10,0.000001),NA()))</f>
        <v>0.80759107222222215</v>
      </c>
      <c r="BJ268" s="12">
        <f>IF(A268="",NA(),IF(Статистика!$H$8="Вкл",(((IF(Статистика!$C$4="Параллельный режим (активная мощность)",B268,M268)+Статистика!$J$4))-Статистика!$C$10)/MAX(Статистика!$G$10-Статистика!$C$10,0.000001),NA()))</f>
        <v>-1.224349871</v>
      </c>
      <c r="BK268" s="12">
        <f>IF(A268="",NA(),IF(Статистика!$H$8="Вкл",(((IF(Статистика!$C$4="Параллельный режим (активная мощность)",J268,U268)+Статистика!$J$4))-Статистика!$C$10)/MAX(Статистика!$G$10-Статистика!$C$10,0.000001),NA()))</f>
        <v>0.88485692322222287</v>
      </c>
      <c r="BL268" s="12" t="e">
        <f>IF(A268="",NA(),IF(Статистика!$J$8="Вкл",(((IF(Статистика!$C$4="Параллельный режим (активная мощность)",K268,V268)+Статистика!$J$4))-Статистика!$C$10)/MAX(Статистика!$G$10-Статистика!$C$10,0.000001),NA()))</f>
        <v>#N/A</v>
      </c>
      <c r="BM268" s="12" t="e">
        <f>IF(AND(A268&lt;&gt;"",Статистика!$C$6="Вкл",Статистика!$B$6&gt;0),(Статистика!$B$6-Статистика!$C$10)/MAX(Статистика!$G$10-Статистика!$C$10,0.000001),NA())</f>
        <v>#N/A</v>
      </c>
      <c r="BN268" s="12" t="e">
        <f>IF(AND(A268&lt;&gt;"",Статистика!$F$6="Вкл",Статистика!$E$6&gt;0),(Статистика!$E$6-Статистика!$C$10)/MAX(Статистика!$G$10-Статистика!$C$10,0.000001),NA())</f>
        <v>#N/A</v>
      </c>
      <c r="BO268" s="12" t="e">
        <f>IF(AND(A268&lt;&gt;"",Статистика!$I$6="Вкл",Статистика!$H$6&gt;0),(Статистика!$H$6-Статистика!$C$10)/MAX(Статистика!$G$10-Статистика!$C$10,0.000001),NA())</f>
        <v>#N/A</v>
      </c>
      <c r="BP268" s="12" t="e">
        <f>IF(AND(A268&lt;&gt;"",Статистика!$L$6="Вкл",Статистика!$K$6&gt;0),(Статистика!$K$6-Статистика!$C$10)/MAX(Статистика!$G$10-Статистика!$C$10,0.000001),NA())</f>
        <v>#N/A</v>
      </c>
      <c r="BQ268" s="12" t="e">
        <f>IF(AND(A268&lt;&gt;"",Статистика!$M$6="Вкл",Статистика!$O$6&gt;0),(Статистика!$O$6-Статистика!$C$10)/MAX(Статистика!$G$10-Статистика!$C$10,0.000001),NA())</f>
        <v>#N/A</v>
      </c>
      <c r="BR268" s="12">
        <f t="shared" si="8"/>
        <v>1</v>
      </c>
      <c r="BT268" s="12">
        <f>IF(Y268="","",MAX(0,MIN(1,(((IF(Статистика!$C$4="Параллельный режим (активная мощность)",Z268,AK268)+Статистика!$J$4))-Статистика!$C$10)/MAX(Статистика!$G$10-Статистика!$C$10,0.000001))))</f>
        <v>0.44210921900000055</v>
      </c>
      <c r="BU268" s="12">
        <f>IF(Y268="","",MAX(0,MAX(0,MIN(1,(((IF(Статистика!$C$4="Параллельный режим (активная мощность)",AB268,AM268)+Статистика!$J$4))-Статистика!$C$10)/MAX(Статистика!$G$10-Статистика!$C$10,0.000001)))-MAX(0,MIN(1,(((IF(Статистика!$C$4="Параллельный режим (активная мощность)",Z268,AK268)+Статистика!$J$4))-Статистика!$C$10)/MAX(Статистика!$G$10-Статистика!$C$10,0.000001)))))</f>
        <v>4.029477099999984E-2</v>
      </c>
      <c r="BV268" s="12">
        <f>IF(Y268="","",MAX(0,MAX(0,MIN(1,(((IF(Статистика!$C$4="Параллельный режим (активная мощность)",AC268,AN268)+Статистика!$J$4))-Статистика!$C$10)/MAX(Статистика!$G$10-Статистика!$C$10,0.000001)))-MAX(0,MIN(1,(((IF(Статистика!$C$4="Параллельный режим (активная мощность)",AB268,AM268)+Статистика!$J$4))-Статистика!$C$10)/MAX(Статистика!$G$10-Статистика!$C$10,0.000001)))))</f>
        <v>0.10251490999999963</v>
      </c>
      <c r="BW268" s="12">
        <f>IF(Y268="","",MAX(0,MAX(0,MIN(1,(((IF(Статистика!$C$4="Параллельный режим (активная мощность)",AD268,AO268)+Статистика!$J$4))-Статистика!$C$10)/MAX(Статистика!$G$10-Статистика!$C$10,0.000001)))-MAX(0,MIN(1,(((IF(Статистика!$C$4="Параллельный режим (активная мощность)",AC268,AN268)+Статистика!$J$4))-Статистика!$C$10)/MAX(Статистика!$G$10-Статистика!$C$10,0.000001)))))</f>
        <v>6.6061483333333504E-2</v>
      </c>
      <c r="BX268" s="12">
        <f>IF(Y268="","",MAX(0,MAX(0,MIN(1,(((IF(Статистика!$C$4="Параллельный режим (активная мощность)",AE268,AP268)+Статистика!$J$4))-Статистика!$C$10)/MAX(Статистика!$G$10-Статистика!$C$10,0.000001)))-MAX(0,MIN(1,(((IF(Статистика!$C$4="Параллельный режим (активная мощность)",AD268,AO268)+Статистика!$J$4))-Статистика!$C$10)/MAX(Статистика!$G$10-Статистика!$C$10,0.000001)))))</f>
        <v>0.10906504999999989</v>
      </c>
      <c r="BY268" s="12">
        <f>IF(Y268="","",MAX(0,MAX(0,MIN(1,(((IF(Статистика!$C$4="Параллельный режим (активная мощность)",AF268,AQ268)+Статистика!$J$4))-Статистика!$C$10)/MAX(Статистика!$G$10-Статистика!$C$10,0.000001)))-MAX(0,MIN(1,(((IF(Статистика!$C$4="Параллельный режим (активная мощность)",AE268,AP268)+Статистика!$J$4))-Статистика!$C$10)/MAX(Статистика!$G$10-Статистика!$C$10,0.000001)))))</f>
        <v>4.0531551666666887E-2</v>
      </c>
      <c r="BZ268" s="12">
        <f>IF(Y268="","",MAX(0,MAX(0,MIN(1,(((IF(Статистика!$C$4="Параллельный режим (активная мощность)",AH268,AS268)+Статистика!$J$4))-Статистика!$C$10)/MAX(Статистика!$G$10-Статистика!$C$10,0.000001)))-MAX(0,MIN(1,(((IF(Статистика!$C$4="Параллельный режим (активная мощность)",AF268,AQ268)+Статистика!$J$4))-Статистика!$C$10)/MAX(Статистика!$G$10-Статистика!$C$10,0.000001)))))</f>
        <v>5.380853499999505E-3</v>
      </c>
      <c r="CA268" s="12">
        <f>IF(Y268="","",MAX(0,1-MAX(0,MIN(1,(((IF(Статистика!$C$4="Параллельный режим (активная мощность)",AH268,AS268)+Статистика!$J$4))-Статистика!$C$10)/MAX(Статистика!$G$10-Статистика!$C$10,0.000001)))))</f>
        <v>0.1940421615000002</v>
      </c>
      <c r="CB268" s="12">
        <f>IF(Y268="",NA(),IF(Статистика!$B$8="Вкл",(((IF(Статистика!$C$4="Параллельный режим (активная мощность)",AD268,AO268)+Статистика!$J$4))-Статистика!$C$10)/MAX(Статистика!$G$10-Статистика!$C$10,0.000001),NA()))</f>
        <v>0.65098038333333352</v>
      </c>
      <c r="CC268" s="12">
        <f>IF(Y268="",NA(),IF(Статистика!$D$8="Вкл",(((IF(Статистика!$C$4="Параллельный режим (активная мощность)",AC268,AN268)+Статистика!$J$4))-Статистика!$C$10)/MAX(Статистика!$G$10-Статистика!$C$10,0.000001),NA()))</f>
        <v>0.58491890000000002</v>
      </c>
      <c r="CD268" s="12">
        <f>IF(Y268="",NA(),IF(Статистика!$D$8="Вкл",(((IF(Статистика!$C$4="Параллельный режим (активная мощность)",AE268,AP268)+Статистика!$J$4))-Статистика!$C$10)/MAX(Статистика!$G$10-Статистика!$C$10,0.000001),NA()))</f>
        <v>0.76004543333333341</v>
      </c>
      <c r="CE268" s="12">
        <f>IF(Y268="",NA(),IF(Статистика!$F$8="Вкл",(((IF(Статистика!$C$4="Параллельный режим (активная мощность)",AB268,AM268)+Статистика!$J$4))-Статистика!$C$10)/MAX(Статистика!$G$10-Статистика!$C$10,0.000001),NA()))</f>
        <v>0.48240399000000039</v>
      </c>
      <c r="CF268" s="12">
        <f>IF(Y268="",NA(),IF(Статистика!$F$8="Вкл",(((IF(Статистика!$C$4="Параллельный режим (активная мощность)",AF268,AQ268)+Статистика!$J$4))-Статистика!$C$10)/MAX(Статистика!$G$10-Статистика!$C$10,0.000001),NA()))</f>
        <v>0.8005769850000003</v>
      </c>
      <c r="CG268" s="12">
        <f>IF(Y268="",NA(),IF(Статистика!$H$8="Вкл",(((IF(Статистика!$C$4="Параллельный режим (активная мощность)",Z268,AK268)+Статистика!$J$4))-Статистика!$C$10)/MAX(Статистика!$G$10-Статистика!$C$10,0.000001),NA()))</f>
        <v>0.44210921900000055</v>
      </c>
      <c r="CH268" s="12">
        <f>IF(Y268="",NA(),IF(Статистика!$H$8="Вкл",(((IF(Статистика!$C$4="Параллельный режим (активная мощность)",AH268,AS268)+Статистика!$J$4))-Статистика!$C$10)/MAX(Статистика!$G$10-Статистика!$C$10,0.000001),NA()))</f>
        <v>0.8059578384999998</v>
      </c>
      <c r="CI268" s="12" t="e">
        <f>IF(Y268="",NA(),IF(Статистика!$J$8="Вкл",(((IF(Статистика!$C$4="Параллельный режим (активная мощность)",AI268,AT268)+Статистика!$J$4))-Статистика!$C$10)/MAX(Статистика!$G$10-Статистика!$C$10,0.000001),NA()))</f>
        <v>#N/A</v>
      </c>
      <c r="CJ268" s="12" t="e">
        <f>IF(AND(Y268&lt;&gt;"",Статистика!$C$6="Вкл",Статистика!$B$6&gt;0),(Статистика!$B$6-Статистика!$C$10)/MAX(Статистика!$G$10-Статистика!$C$10,0.000001),NA())</f>
        <v>#N/A</v>
      </c>
      <c r="CK268" s="12" t="e">
        <f>IF(AND(Y268&lt;&gt;"",Статистика!$F$6="Вкл",Статистика!$E$6&gt;0),(Статистика!$E$6-Статистика!$C$10)/MAX(Статистика!$G$10-Статистика!$C$10,0.000001),NA())</f>
        <v>#N/A</v>
      </c>
      <c r="CL268" s="12" t="e">
        <f>IF(AND(Y268&lt;&gt;"",Статистика!$I$6="Вкл",Статистика!$H$6&gt;0),(Статистика!$H$6-Статистика!$C$10)/MAX(Статистика!$G$10-Статистика!$C$10,0.000001),NA())</f>
        <v>#N/A</v>
      </c>
      <c r="CM268" s="12" t="e">
        <f>IF(AND(Y268&lt;&gt;"",Статистика!$L$6="Вкл",Статистика!$K$6&gt;0),(Статистика!$K$6-Статистика!$C$10)/MAX(Статистика!$G$10-Статистика!$C$10,0.000001),NA())</f>
        <v>#N/A</v>
      </c>
      <c r="CN268" s="12" t="e">
        <f>IF(AND(Y268&lt;&gt;"",Статистика!$M$6="Вкл",Статистика!$O$6&gt;0),(Статистика!$O$6-Статистика!$C$10)/MAX(Статистика!$G$10-Статистика!$C$10,0.000001),NA())</f>
        <v>#N/A</v>
      </c>
      <c r="CO268" s="12">
        <f t="shared" si="9"/>
        <v>1</v>
      </c>
    </row>
    <row r="269" spans="1:93" ht="15" customHeight="1">
      <c r="A269" s="12" t="s">
        <v>1120</v>
      </c>
      <c r="B269" s="12">
        <v>2325.1867876666665</v>
      </c>
      <c r="C269" s="12">
        <v>5748.4182050000009</v>
      </c>
      <c r="D269" s="12">
        <v>7452.1830016666672</v>
      </c>
      <c r="E269" s="12">
        <v>7741.9655249999996</v>
      </c>
      <c r="F269" s="12">
        <v>7936.100966666666</v>
      </c>
      <c r="G269" s="12">
        <v>8221.1621416666676</v>
      </c>
      <c r="H269" s="12">
        <v>8432.6557016666666</v>
      </c>
      <c r="I269" s="12">
        <v>8518.9866399999992</v>
      </c>
      <c r="J269" s="12">
        <v>8669.2601546666647</v>
      </c>
      <c r="K269" s="12">
        <v>8800.17</v>
      </c>
      <c r="L269" s="12" t="s">
        <v>1121</v>
      </c>
      <c r="M269" s="12">
        <v>2843.0220101666664</v>
      </c>
      <c r="N269" s="12">
        <v>6588.797517500001</v>
      </c>
      <c r="O269" s="12">
        <v>8453.1302966666663</v>
      </c>
      <c r="P269" s="12">
        <v>8815.7684000000008</v>
      </c>
      <c r="Q269" s="12">
        <v>9042.7911166666672</v>
      </c>
      <c r="R269" s="12">
        <v>9331.3401749999994</v>
      </c>
      <c r="S269" s="12">
        <v>9577.3532099999993</v>
      </c>
      <c r="T269" s="12">
        <v>9679.7824391666654</v>
      </c>
      <c r="U269" s="12">
        <v>9787.7165144999999</v>
      </c>
      <c r="V269" s="12">
        <v>9928.06</v>
      </c>
      <c r="W269" s="12" t="s">
        <v>1121</v>
      </c>
      <c r="Y269" s="12" t="s">
        <v>1120</v>
      </c>
      <c r="Z269" s="12">
        <v>7522.9144650000007</v>
      </c>
      <c r="AA269" s="12">
        <v>7548.5231250000006</v>
      </c>
      <c r="AB269" s="12">
        <v>7580.53395</v>
      </c>
      <c r="AC269" s="12">
        <v>7875.8288916666661</v>
      </c>
      <c r="AD269" s="12">
        <v>8036.0717999999997</v>
      </c>
      <c r="AE269" s="12">
        <v>8193.3716499999991</v>
      </c>
      <c r="AF269" s="12">
        <v>8425.3036933333333</v>
      </c>
      <c r="AG269" s="12">
        <v>8446.8094633333349</v>
      </c>
      <c r="AH269" s="12">
        <v>8464.0140793333339</v>
      </c>
      <c r="AI269" s="12">
        <v>8775.6</v>
      </c>
      <c r="AJ269" s="12" t="s">
        <v>1122</v>
      </c>
      <c r="AK269" s="12">
        <v>8573.2469358333346</v>
      </c>
      <c r="AL269" s="12">
        <v>8607.1369458333338</v>
      </c>
      <c r="AM269" s="12">
        <v>8649.4994583333337</v>
      </c>
      <c r="AN269" s="12">
        <v>8998.1872583333334</v>
      </c>
      <c r="AO269" s="12">
        <v>9104.1726500000004</v>
      </c>
      <c r="AP269" s="12">
        <v>9261.9416999999994</v>
      </c>
      <c r="AQ269" s="12">
        <v>9510.7601250000007</v>
      </c>
      <c r="AR269" s="12">
        <v>9518.7438791666682</v>
      </c>
      <c r="AS269" s="12">
        <v>9525.1308825000015</v>
      </c>
      <c r="AT269" s="12">
        <v>9958.5300000000007</v>
      </c>
      <c r="AU269" s="12" t="s">
        <v>1122</v>
      </c>
      <c r="AW269" s="12">
        <f>IF(A269="","",MAX(0,MIN(1,(((IF(Статистика!$C$4="Параллельный режим (активная мощность)",B269,M269)+Статистика!$J$4))-Статистика!$C$10)/MAX(Статистика!$G$10-Статистика!$C$10,0.000001))))</f>
        <v>0</v>
      </c>
      <c r="AX269" s="12">
        <f>IF(A269="","",MAX(0,MAX(0,MIN(1,(((IF(Статистика!$C$4="Параллельный режим (активная мощность)",D269,O269)+Статистика!$J$4))-Статистика!$C$10)/MAX(Статистика!$G$10-Статистика!$C$10,0.000001)))-MAX(0,MIN(1,(((IF(Статистика!$C$4="Параллельный режим (активная мощность)",B269,M269)+Статистика!$J$4))-Статистика!$C$10)/MAX(Статистика!$G$10-Статистика!$C$10,0.000001)))))</f>
        <v>0.48406100055555573</v>
      </c>
      <c r="AY269" s="12">
        <f>IF(A269="","",MAX(0,MAX(0,MIN(1,(((IF(Статистика!$C$4="Параллельный режим (активная мощность)",E269,P269)+Статистика!$J$4))-Статистика!$C$10)/MAX(Статистика!$G$10-Статистика!$C$10,0.000001)))-MAX(0,MIN(1,(((IF(Статистика!$C$4="Параллельный режим (активная мощность)",D269,O269)+Статистика!$J$4))-Статистика!$C$10)/MAX(Статистика!$G$10-Статистика!$C$10,0.000001)))))</f>
        <v>9.6594174444444125E-2</v>
      </c>
      <c r="AZ269" s="12">
        <f>IF(A269="","",MAX(0,MAX(0,MIN(1,(((IF(Статистика!$C$4="Параллельный режим (активная мощность)",F269,Q269)+Статистика!$J$4))-Статистика!$C$10)/MAX(Статистика!$G$10-Статистика!$C$10,0.000001)))-MAX(0,MIN(1,(((IF(Статистика!$C$4="Параллельный режим (активная мощность)",E269,P269)+Статистика!$J$4))-Статистика!$C$10)/MAX(Статистика!$G$10-Статистика!$C$10,0.000001)))))</f>
        <v>6.4711813888888803E-2</v>
      </c>
      <c r="BA269" s="12">
        <f>IF(A269="","",MAX(0,MAX(0,MIN(1,(((IF(Статистика!$C$4="Параллельный режим (активная мощность)",G269,R269)+Статистика!$J$4))-Статистика!$C$10)/MAX(Статистика!$G$10-Статистика!$C$10,0.000001)))-MAX(0,MIN(1,(((IF(Статистика!$C$4="Параллельный режим (активная мощность)",F269,Q269)+Статистика!$J$4))-Статистика!$C$10)/MAX(Статистика!$G$10-Статистика!$C$10,0.000001)))))</f>
        <v>9.5020391666667203E-2</v>
      </c>
      <c r="BB269" s="12">
        <f>IF(A269="","",MAX(0,MAX(0,MIN(1,(((IF(Статистика!$C$4="Параллельный режим (активная мощность)",H269,S269)+Статистика!$J$4))-Статистика!$C$10)/MAX(Статистика!$G$10-Статистика!$C$10,0.000001)))-MAX(0,MIN(1,(((IF(Статистика!$C$4="Параллельный режим (активная мощность)",G269,R269)+Статистика!$J$4))-Статистика!$C$10)/MAX(Статистика!$G$10-Статистика!$C$10,0.000001)))))</f>
        <v>7.0497853333333027E-2</v>
      </c>
      <c r="BC269" s="12">
        <f>IF(A269="","",MAX(0,MAX(0,MIN(1,(((IF(Статистика!$C$4="Параллельный режим (активная мощность)",J269,U269)+Статистика!$J$4))-Статистика!$C$10)/MAX(Статистика!$G$10-Статистика!$C$10,0.000001)))-MAX(0,MIN(1,(((IF(Статистика!$C$4="Параллельный режим (активная мощность)",H269,S269)+Статистика!$J$4))-Статистика!$C$10)/MAX(Статистика!$G$10-Статистика!$C$10,0.000001)))))</f>
        <v>7.8868150999999331E-2</v>
      </c>
      <c r="BD269" s="12">
        <f>IF(A269="","",MAX(0,1-MAX(0,MIN(1,(((IF(Статистика!$C$4="Параллельный режим (активная мощность)",J269,U269)+Статистика!$J$4))-Статистика!$C$10)/MAX(Статистика!$G$10-Статистика!$C$10,0.000001)))))</f>
        <v>0.11024661511111178</v>
      </c>
      <c r="BE269" s="12">
        <f>IF(A269="",NA(),IF(Статистика!$B$8="Вкл",(((IF(Статистика!$C$4="Параллельный режим (активная мощность)",F269,Q269)+Статистика!$J$4))-Статистика!$C$10)/MAX(Статистика!$G$10-Статистика!$C$10,0.000001),NA()))</f>
        <v>0.64536698888888866</v>
      </c>
      <c r="BF269" s="12">
        <f>IF(A269="",NA(),IF(Статистика!$D$8="Вкл",(((IF(Статистика!$C$4="Параллельный режим (активная мощность)",E269,P269)+Статистика!$J$4))-Статистика!$C$10)/MAX(Статистика!$G$10-Статистика!$C$10,0.000001),NA()))</f>
        <v>0.58065517499999986</v>
      </c>
      <c r="BG269" s="12">
        <f>IF(A269="",NA(),IF(Статистика!$D$8="Вкл",(((IF(Статистика!$C$4="Параллельный режим (активная мощность)",G269,R269)+Статистика!$J$4))-Статистика!$C$10)/MAX(Статистика!$G$10-Статистика!$C$10,0.000001),NA()))</f>
        <v>0.74038738055555586</v>
      </c>
      <c r="BH269" s="12">
        <f>IF(A269="",NA(),IF(Статистика!$F$8="Вкл",(((IF(Статистика!$C$4="Параллельный режим (активная мощность)",D269,O269)+Статистика!$J$4))-Статистика!$C$10)/MAX(Статистика!$G$10-Статистика!$C$10,0.000001),NA()))</f>
        <v>0.48406100055555573</v>
      </c>
      <c r="BI269" s="12">
        <f>IF(A269="",NA(),IF(Статистика!$F$8="Вкл",(((IF(Статистика!$C$4="Параллельный режим (активная мощность)",H269,S269)+Статистика!$J$4))-Статистика!$C$10)/MAX(Статистика!$G$10-Статистика!$C$10,0.000001),NA()))</f>
        <v>0.81088523388888889</v>
      </c>
      <c r="BJ269" s="12">
        <f>IF(A269="",NA(),IF(Статистика!$H$8="Вкл",(((IF(Статистика!$C$4="Параллельный режим (активная мощность)",B269,M269)+Статистика!$J$4))-Статистика!$C$10)/MAX(Статистика!$G$10-Статистика!$C$10,0.000001),NA()))</f>
        <v>-1.2249377374444446</v>
      </c>
      <c r="BK269" s="12">
        <f>IF(A269="",NA(),IF(Статистика!$H$8="Вкл",(((IF(Статистика!$C$4="Параллельный режим (активная мощность)",J269,U269)+Статистика!$J$4))-Статистика!$C$10)/MAX(Статистика!$G$10-Статистика!$C$10,0.000001),NA()))</f>
        <v>0.88975338488888822</v>
      </c>
      <c r="BL269" s="12" t="e">
        <f>IF(A269="",NA(),IF(Статистика!$J$8="Вкл",(((IF(Статистика!$C$4="Параллельный режим (активная мощность)",K269,V269)+Статистика!$J$4))-Статистика!$C$10)/MAX(Статистика!$G$10-Статистика!$C$10,0.000001),NA()))</f>
        <v>#N/A</v>
      </c>
      <c r="BM269" s="12" t="e">
        <f>IF(AND(A269&lt;&gt;"",Статистика!$C$6="Вкл",Статистика!$B$6&gt;0),(Статистика!$B$6-Статистика!$C$10)/MAX(Статистика!$G$10-Статистика!$C$10,0.000001),NA())</f>
        <v>#N/A</v>
      </c>
      <c r="BN269" s="12" t="e">
        <f>IF(AND(A269&lt;&gt;"",Статистика!$F$6="Вкл",Статистика!$E$6&gt;0),(Статистика!$E$6-Статистика!$C$10)/MAX(Статистика!$G$10-Статистика!$C$10,0.000001),NA())</f>
        <v>#N/A</v>
      </c>
      <c r="BO269" s="12" t="e">
        <f>IF(AND(A269&lt;&gt;"",Статистика!$I$6="Вкл",Статистика!$H$6&gt;0),(Статистика!$H$6-Статистика!$C$10)/MAX(Статистика!$G$10-Статистика!$C$10,0.000001),NA())</f>
        <v>#N/A</v>
      </c>
      <c r="BP269" s="12" t="e">
        <f>IF(AND(A269&lt;&gt;"",Статистика!$L$6="Вкл",Статистика!$K$6&gt;0),(Статистика!$K$6-Статистика!$C$10)/MAX(Статистика!$G$10-Статистика!$C$10,0.000001),NA())</f>
        <v>#N/A</v>
      </c>
      <c r="BQ269" s="12" t="e">
        <f>IF(AND(A269&lt;&gt;"",Статистика!$M$6="Вкл",Статистика!$O$6&gt;0),(Статистика!$O$6-Статистика!$C$10)/MAX(Статистика!$G$10-Статистика!$C$10,0.000001),NA())</f>
        <v>#N/A</v>
      </c>
      <c r="BR269" s="12">
        <f t="shared" si="8"/>
        <v>1</v>
      </c>
      <c r="BT269" s="12">
        <f>IF(Y269="","",MAX(0,MIN(1,(((IF(Статистика!$C$4="Параллельный режим (активная мощность)",Z269,AK269)+Статистика!$J$4))-Статистика!$C$10)/MAX(Статистика!$G$10-Статистика!$C$10,0.000001))))</f>
        <v>0.5076381550000002</v>
      </c>
      <c r="BU269" s="12">
        <f>IF(Y269="","",MAX(0,MAX(0,MIN(1,(((IF(Статистика!$C$4="Параллельный режим (активная мощность)",AB269,AM269)+Статистика!$J$4))-Статистика!$C$10)/MAX(Статистика!$G$10-Статистика!$C$10,0.000001)))-MAX(0,MIN(1,(((IF(Статистика!$C$4="Параллельный режим (активная мощность)",Z269,AK269)+Статистика!$J$4))-Статистика!$C$10)/MAX(Статистика!$G$10-Статистика!$C$10,0.000001)))))</f>
        <v>1.9206494999999824E-2</v>
      </c>
      <c r="BV269" s="12">
        <f>IF(Y269="","",MAX(0,MAX(0,MIN(1,(((IF(Статистика!$C$4="Параллельный режим (активная мощность)",AC269,AN269)+Статистика!$J$4))-Статистика!$C$10)/MAX(Статистика!$G$10-Статистика!$C$10,0.000001)))-MAX(0,MIN(1,(((IF(Статистика!$C$4="Параллельный режим (активная мощность)",AB269,AM269)+Статистика!$J$4))-Статистика!$C$10)/MAX(Статистика!$G$10-Статистика!$C$10,0.000001)))))</f>
        <v>9.8431647222221974E-2</v>
      </c>
      <c r="BW269" s="12">
        <f>IF(Y269="","",MAX(0,MAX(0,MIN(1,(((IF(Статистика!$C$4="Параллельный режим (активная мощность)",AD269,AO269)+Статистика!$J$4))-Статистика!$C$10)/MAX(Статистика!$G$10-Статистика!$C$10,0.000001)))-MAX(0,MIN(1,(((IF(Статистика!$C$4="Параллельный режим (активная мощность)",AC269,AN269)+Статистика!$J$4))-Статистика!$C$10)/MAX(Статистика!$G$10-Статистика!$C$10,0.000001)))))</f>
        <v>5.3414302777777922E-2</v>
      </c>
      <c r="BX269" s="12">
        <f>IF(Y269="","",MAX(0,MAX(0,MIN(1,(((IF(Статистика!$C$4="Параллельный режим (активная мощность)",AE269,AP269)+Статистика!$J$4))-Статистика!$C$10)/MAX(Статистика!$G$10-Статистика!$C$10,0.000001)))-MAX(0,MIN(1,(((IF(Статистика!$C$4="Параллельный режим (активная мощность)",AD269,AO269)+Статистика!$J$4))-Статистика!$C$10)/MAX(Статистика!$G$10-Статистика!$C$10,0.000001)))))</f>
        <v>5.2433283333333081E-2</v>
      </c>
      <c r="BY269" s="12">
        <f>IF(Y269="","",MAX(0,MAX(0,MIN(1,(((IF(Статистика!$C$4="Параллельный режим (активная мощность)",AF269,AQ269)+Статистика!$J$4))-Статистика!$C$10)/MAX(Статистика!$G$10-Статистика!$C$10,0.000001)))-MAX(0,MIN(1,(((IF(Статистика!$C$4="Параллельный режим (активная мощность)",AE269,AP269)+Статистика!$J$4))-Статистика!$C$10)/MAX(Статистика!$G$10-Статистика!$C$10,0.000001)))))</f>
        <v>7.731068111111139E-2</v>
      </c>
      <c r="BZ269" s="12">
        <f>IF(Y269="","",MAX(0,MAX(0,MIN(1,(((IF(Статистика!$C$4="Параллельный режим (активная мощность)",AH269,AS269)+Статистика!$J$4))-Статистика!$C$10)/MAX(Статистика!$G$10-Статистика!$C$10,0.000001)))-MAX(0,MIN(1,(((IF(Статистика!$C$4="Параллельный режим (активная мощность)",AF269,AQ269)+Статистика!$J$4))-Статистика!$C$10)/MAX(Статистика!$G$10-Статистика!$C$10,0.000001)))))</f>
        <v>1.2903462000000254E-2</v>
      </c>
      <c r="CA269" s="12">
        <f>IF(Y269="","",MAX(0,1-MAX(0,MIN(1,(((IF(Статистика!$C$4="Параллельный режим (активная мощность)",AH269,AS269)+Статистика!$J$4))-Статистика!$C$10)/MAX(Статистика!$G$10-Статистика!$C$10,0.000001)))))</f>
        <v>0.17866197355555535</v>
      </c>
      <c r="CB269" s="12">
        <f>IF(Y269="",NA(),IF(Статистика!$B$8="Вкл",(((IF(Статистика!$C$4="Параллельный режим (активная мощность)",AD269,AO269)+Статистика!$J$4))-Статистика!$C$10)/MAX(Статистика!$G$10-Статистика!$C$10,0.000001),NA()))</f>
        <v>0.67869059999999992</v>
      </c>
      <c r="CC269" s="12">
        <f>IF(Y269="",NA(),IF(Статистика!$D$8="Вкл",(((IF(Статистика!$C$4="Параллельный режим (активная мощность)",AC269,AN269)+Статистика!$J$4))-Статистика!$C$10)/MAX(Статистика!$G$10-Статистика!$C$10,0.000001),NA()))</f>
        <v>0.625276297222222</v>
      </c>
      <c r="CD269" s="12">
        <f>IF(Y269="",NA(),IF(Статистика!$D$8="Вкл",(((IF(Статистика!$C$4="Параллельный режим (активная мощность)",AE269,AP269)+Статистика!$J$4))-Статистика!$C$10)/MAX(Статистика!$G$10-Статистика!$C$10,0.000001),NA()))</f>
        <v>0.731123883333333</v>
      </c>
      <c r="CE269" s="12">
        <f>IF(Y269="",NA(),IF(Статистика!$F$8="Вкл",(((IF(Статистика!$C$4="Параллельный режим (активная мощность)",AB269,AM269)+Статистика!$J$4))-Статистика!$C$10)/MAX(Статистика!$G$10-Статистика!$C$10,0.000001),NA()))</f>
        <v>0.52684465000000003</v>
      </c>
      <c r="CF269" s="12">
        <f>IF(Y269="",NA(),IF(Статистика!$F$8="Вкл",(((IF(Статистика!$C$4="Параллельный режим (активная мощность)",AF269,AQ269)+Статистика!$J$4))-Статистика!$C$10)/MAX(Статистика!$G$10-Статистика!$C$10,0.000001),NA()))</f>
        <v>0.80843456444444439</v>
      </c>
      <c r="CG269" s="12">
        <f>IF(Y269="",NA(),IF(Статистика!$H$8="Вкл",(((IF(Статистика!$C$4="Параллельный режим (активная мощность)",Z269,AK269)+Статистика!$J$4))-Статистика!$C$10)/MAX(Статистика!$G$10-Статистика!$C$10,0.000001),NA()))</f>
        <v>0.5076381550000002</v>
      </c>
      <c r="CH269" s="12">
        <f>IF(Y269="",NA(),IF(Статистика!$H$8="Вкл",(((IF(Статистика!$C$4="Параллельный режим (активная мощность)",AH269,AS269)+Статистика!$J$4))-Статистика!$C$10)/MAX(Статистика!$G$10-Статистика!$C$10,0.000001),NA()))</f>
        <v>0.82133802644444465</v>
      </c>
      <c r="CI269" s="12" t="e">
        <f>IF(Y269="",NA(),IF(Статистика!$J$8="Вкл",(((IF(Статистика!$C$4="Параллельный режим (активная мощность)",AI269,AT269)+Статистика!$J$4))-Статистика!$C$10)/MAX(Статистика!$G$10-Статистика!$C$10,0.000001),NA()))</f>
        <v>#N/A</v>
      </c>
      <c r="CJ269" s="12" t="e">
        <f>IF(AND(Y269&lt;&gt;"",Статистика!$C$6="Вкл",Статистика!$B$6&gt;0),(Статистика!$B$6-Статистика!$C$10)/MAX(Статистика!$G$10-Статистика!$C$10,0.000001),NA())</f>
        <v>#N/A</v>
      </c>
      <c r="CK269" s="12" t="e">
        <f>IF(AND(Y269&lt;&gt;"",Статистика!$F$6="Вкл",Статистика!$E$6&gt;0),(Статистика!$E$6-Статистика!$C$10)/MAX(Статистика!$G$10-Статистика!$C$10,0.000001),NA())</f>
        <v>#N/A</v>
      </c>
      <c r="CL269" s="12" t="e">
        <f>IF(AND(Y269&lt;&gt;"",Статистика!$I$6="Вкл",Статистика!$H$6&gt;0),(Статистика!$H$6-Статистика!$C$10)/MAX(Статистика!$G$10-Статистика!$C$10,0.000001),NA())</f>
        <v>#N/A</v>
      </c>
      <c r="CM269" s="12" t="e">
        <f>IF(AND(Y269&lt;&gt;"",Статистика!$L$6="Вкл",Статистика!$K$6&gt;0),(Статистика!$K$6-Статистика!$C$10)/MAX(Статистика!$G$10-Статистика!$C$10,0.000001),NA())</f>
        <v>#N/A</v>
      </c>
      <c r="CN269" s="12" t="e">
        <f>IF(AND(Y269&lt;&gt;"",Статистика!$M$6="Вкл",Статистика!$O$6&gt;0),(Статистика!$O$6-Статистика!$C$10)/MAX(Статистика!$G$10-Статистика!$C$10,0.000001),NA())</f>
        <v>#N/A</v>
      </c>
      <c r="CO269" s="12">
        <f t="shared" si="9"/>
        <v>1</v>
      </c>
    </row>
    <row r="270" spans="1:93" ht="15" customHeight="1">
      <c r="A270" s="12" t="s">
        <v>1123</v>
      </c>
      <c r="B270" s="12">
        <v>2315.6723000000002</v>
      </c>
      <c r="C270" s="12">
        <v>5797.1068333333342</v>
      </c>
      <c r="D270" s="12">
        <v>7510.1384300000009</v>
      </c>
      <c r="E270" s="12">
        <v>7793.8984083333335</v>
      </c>
      <c r="F270" s="12">
        <v>7978.5443000000005</v>
      </c>
      <c r="G270" s="12">
        <v>8247.765583333332</v>
      </c>
      <c r="H270" s="12">
        <v>8568.7963233333321</v>
      </c>
      <c r="I270" s="12">
        <v>8657.0959066666655</v>
      </c>
      <c r="J270" s="12">
        <v>8692.1953413333322</v>
      </c>
      <c r="K270" s="12">
        <v>8798.4599999999991</v>
      </c>
      <c r="L270" s="12" t="s">
        <v>1124</v>
      </c>
      <c r="M270" s="12">
        <v>2825.823054</v>
      </c>
      <c r="N270" s="12">
        <v>6658.0136700000021</v>
      </c>
      <c r="O270" s="12">
        <v>8531.4613200000022</v>
      </c>
      <c r="P270" s="12">
        <v>8844.7526000000016</v>
      </c>
      <c r="Q270" s="12">
        <v>9107.9544333333324</v>
      </c>
      <c r="R270" s="12">
        <v>9341.1192499999997</v>
      </c>
      <c r="S270" s="12">
        <v>9712.8183599999993</v>
      </c>
      <c r="T270" s="12">
        <v>9813.8969925000001</v>
      </c>
      <c r="U270" s="12">
        <v>9822.0521984999996</v>
      </c>
      <c r="V270" s="12">
        <v>9925.4699999999993</v>
      </c>
      <c r="W270" s="12" t="s">
        <v>1124</v>
      </c>
      <c r="Y270" s="12" t="s">
        <v>1123</v>
      </c>
      <c r="Z270" s="12">
        <v>7639.1703894999991</v>
      </c>
      <c r="AA270" s="12">
        <v>7647.3446141666664</v>
      </c>
      <c r="AB270" s="12">
        <v>7657.562394999999</v>
      </c>
      <c r="AC270" s="12">
        <v>7856.3635999999997</v>
      </c>
      <c r="AD270" s="12">
        <v>8046.6066166666669</v>
      </c>
      <c r="AE270" s="12">
        <v>8190.3550500000001</v>
      </c>
      <c r="AF270" s="12">
        <v>8438.2631633333349</v>
      </c>
      <c r="AG270" s="12">
        <v>8484.0162150000015</v>
      </c>
      <c r="AH270" s="12">
        <v>8520.618656333334</v>
      </c>
      <c r="AI270" s="12">
        <v>8624.4</v>
      </c>
      <c r="AJ270" s="12" t="s">
        <v>1125</v>
      </c>
      <c r="AK270" s="12">
        <v>8703.62032</v>
      </c>
      <c r="AL270" s="12">
        <v>8718.981600000001</v>
      </c>
      <c r="AM270" s="12">
        <v>8738.1832000000013</v>
      </c>
      <c r="AN270" s="12">
        <v>8977.0585333333329</v>
      </c>
      <c r="AO270" s="12">
        <v>9113.759916666666</v>
      </c>
      <c r="AP270" s="12">
        <v>9285.6460083333332</v>
      </c>
      <c r="AQ270" s="12">
        <v>9536.8642383333336</v>
      </c>
      <c r="AR270" s="12">
        <v>9575.0394358333324</v>
      </c>
      <c r="AS270" s="12">
        <v>9605.5795938333322</v>
      </c>
      <c r="AT270" s="12">
        <v>9715.9599999999991</v>
      </c>
      <c r="AU270" s="12" t="s">
        <v>1125</v>
      </c>
      <c r="AW270" s="12">
        <f>IF(A270="","",MAX(0,MIN(1,(((IF(Статистика!$C$4="Параллельный режим (активная мощность)",B270,M270)+Статистика!$J$4))-Статистика!$C$10)/MAX(Статистика!$G$10-Статистика!$C$10,0.000001))))</f>
        <v>0</v>
      </c>
      <c r="AX270" s="12">
        <f>IF(A270="","",MAX(0,MAX(0,MIN(1,(((IF(Статистика!$C$4="Параллельный режим (активная мощность)",D270,O270)+Статистика!$J$4))-Статистика!$C$10)/MAX(Статистика!$G$10-Статистика!$C$10,0.000001)))-MAX(0,MIN(1,(((IF(Статистика!$C$4="Параллельный режим (активная мощность)",B270,M270)+Статистика!$J$4))-Статистика!$C$10)/MAX(Статистика!$G$10-Статистика!$C$10,0.000001)))))</f>
        <v>0.50337947666666694</v>
      </c>
      <c r="AY270" s="12">
        <f>IF(A270="","",MAX(0,MAX(0,MIN(1,(((IF(Статистика!$C$4="Параллельный режим (активная мощность)",E270,P270)+Статистика!$J$4))-Статистика!$C$10)/MAX(Статистика!$G$10-Статистика!$C$10,0.000001)))-MAX(0,MIN(1,(((IF(Статистика!$C$4="Параллельный режим (активная мощность)",D270,O270)+Статистика!$J$4))-Статистика!$C$10)/MAX(Статистика!$G$10-Статистика!$C$10,0.000001)))))</f>
        <v>9.4586659444444221E-2</v>
      </c>
      <c r="AZ270" s="12">
        <f>IF(A270="","",MAX(0,MAX(0,MIN(1,(((IF(Статистика!$C$4="Параллельный режим (активная мощность)",F270,Q270)+Статистика!$J$4))-Статистика!$C$10)/MAX(Статистика!$G$10-Статистика!$C$10,0.000001)))-MAX(0,MIN(1,(((IF(Статистика!$C$4="Параллельный режим (активная мощность)",E270,P270)+Статистика!$J$4))-Статистика!$C$10)/MAX(Статистика!$G$10-Статистика!$C$10,0.000001)))))</f>
        <v>6.1548630555555706E-2</v>
      </c>
      <c r="BA270" s="12">
        <f>IF(A270="","",MAX(0,MAX(0,MIN(1,(((IF(Статистика!$C$4="Параллельный режим (активная мощность)",G270,R270)+Статистика!$J$4))-Статистика!$C$10)/MAX(Статистика!$G$10-Статистика!$C$10,0.000001)))-MAX(0,MIN(1,(((IF(Статистика!$C$4="Параллельный режим (активная мощность)",F270,Q270)+Статистика!$J$4))-Статистика!$C$10)/MAX(Статистика!$G$10-Статистика!$C$10,0.000001)))))</f>
        <v>8.9740427777777132E-2</v>
      </c>
      <c r="BB270" s="12">
        <f>IF(A270="","",MAX(0,MAX(0,MIN(1,(((IF(Статистика!$C$4="Параллельный режим (активная мощность)",H270,S270)+Статистика!$J$4))-Статистика!$C$10)/MAX(Статистика!$G$10-Статистика!$C$10,0.000001)))-MAX(0,MIN(1,(((IF(Статистика!$C$4="Параллельный режим (активная мощность)",G270,R270)+Статистика!$J$4))-Статистика!$C$10)/MAX(Статистика!$G$10-Статистика!$C$10,0.000001)))))</f>
        <v>0.1070102466666667</v>
      </c>
      <c r="BC270" s="12">
        <f>IF(A270="","",MAX(0,MAX(0,MIN(1,(((IF(Статистика!$C$4="Параллельный режим (активная мощность)",J270,U270)+Статистика!$J$4))-Статистика!$C$10)/MAX(Статистика!$G$10-Статистика!$C$10,0.000001)))-MAX(0,MIN(1,(((IF(Статистика!$C$4="Параллельный режим (активная мощность)",H270,S270)+Статистика!$J$4))-Статистика!$C$10)/MAX(Статистика!$G$10-Статистика!$C$10,0.000001)))))</f>
        <v>4.1133006000000027E-2</v>
      </c>
      <c r="BD270" s="12">
        <f>IF(A270="","",MAX(0,1-MAX(0,MIN(1,(((IF(Статистика!$C$4="Параллельный режим (активная мощность)",J270,U270)+Статистика!$J$4))-Статистика!$C$10)/MAX(Статистика!$G$10-Статистика!$C$10,0.000001)))))</f>
        <v>0.10260155288888928</v>
      </c>
      <c r="BE270" s="12">
        <f>IF(A270="",NA(),IF(Статистика!$B$8="Вкл",(((IF(Статистика!$C$4="Параллельный режим (активная мощность)",F270,Q270)+Статистика!$J$4))-Статистика!$C$10)/MAX(Статистика!$G$10-Статистика!$C$10,0.000001),NA()))</f>
        <v>0.65951476666666686</v>
      </c>
      <c r="BF270" s="12">
        <f>IF(A270="",NA(),IF(Статистика!$D$8="Вкл",(((IF(Статистика!$C$4="Параллельный режим (активная мощность)",E270,P270)+Статистика!$J$4))-Статистика!$C$10)/MAX(Статистика!$G$10-Статистика!$C$10,0.000001),NA()))</f>
        <v>0.59796613611111116</v>
      </c>
      <c r="BG270" s="12">
        <f>IF(A270="",NA(),IF(Статистика!$D$8="Вкл",(((IF(Статистика!$C$4="Параллельный режим (активная мощность)",G270,R270)+Статистика!$J$4))-Статистика!$C$10)/MAX(Статистика!$G$10-Статистика!$C$10,0.000001),NA()))</f>
        <v>0.74925519444444399</v>
      </c>
      <c r="BH270" s="12">
        <f>IF(A270="",NA(),IF(Статистика!$F$8="Вкл",(((IF(Статистика!$C$4="Параллельный режим (активная мощность)",D270,O270)+Статистика!$J$4))-Статистика!$C$10)/MAX(Статистика!$G$10-Статистика!$C$10,0.000001),NA()))</f>
        <v>0.50337947666666694</v>
      </c>
      <c r="BI270" s="12">
        <f>IF(A270="",NA(),IF(Статистика!$F$8="Вкл",(((IF(Статистика!$C$4="Параллельный режим (активная мощность)",H270,S270)+Статистика!$J$4))-Статистика!$C$10)/MAX(Статистика!$G$10-Статистика!$C$10,0.000001),NA()))</f>
        <v>0.85626544111111069</v>
      </c>
      <c r="BJ270" s="12">
        <f>IF(A270="",NA(),IF(Статистика!$H$8="Вкл",(((IF(Статистика!$C$4="Параллельный режим (активная мощность)",B270,M270)+Статистика!$J$4))-Статистика!$C$10)/MAX(Статистика!$G$10-Статистика!$C$10,0.000001),NA()))</f>
        <v>-1.2281092333333332</v>
      </c>
      <c r="BK270" s="12">
        <f>IF(A270="",NA(),IF(Статистика!$H$8="Вкл",(((IF(Статистика!$C$4="Параллельный режим (активная мощность)",J270,U270)+Статистика!$J$4))-Статистика!$C$10)/MAX(Статистика!$G$10-Статистика!$C$10,0.000001),NA()))</f>
        <v>0.89739844711111072</v>
      </c>
      <c r="BL270" s="12" t="e">
        <f>IF(A270="",NA(),IF(Статистика!$J$8="Вкл",(((IF(Статистика!$C$4="Параллельный режим (активная мощность)",K270,V270)+Статистика!$J$4))-Статистика!$C$10)/MAX(Статистика!$G$10-Статистика!$C$10,0.000001),NA()))</f>
        <v>#N/A</v>
      </c>
      <c r="BM270" s="12" t="e">
        <f>IF(AND(A270&lt;&gt;"",Статистика!$C$6="Вкл",Статистика!$B$6&gt;0),(Статистика!$B$6-Статистика!$C$10)/MAX(Статистика!$G$10-Статистика!$C$10,0.000001),NA())</f>
        <v>#N/A</v>
      </c>
      <c r="BN270" s="12" t="e">
        <f>IF(AND(A270&lt;&gt;"",Статистика!$F$6="Вкл",Статистика!$E$6&gt;0),(Статистика!$E$6-Статистика!$C$10)/MAX(Статистика!$G$10-Статистика!$C$10,0.000001),NA())</f>
        <v>#N/A</v>
      </c>
      <c r="BO270" s="12" t="e">
        <f>IF(AND(A270&lt;&gt;"",Статистика!$I$6="Вкл",Статистика!$H$6&gt;0),(Статистика!$H$6-Статистика!$C$10)/MAX(Статистика!$G$10-Статистика!$C$10,0.000001),NA())</f>
        <v>#N/A</v>
      </c>
      <c r="BP270" s="12" t="e">
        <f>IF(AND(A270&lt;&gt;"",Статистика!$L$6="Вкл",Статистика!$K$6&gt;0),(Статистика!$K$6-Статистика!$C$10)/MAX(Статистика!$G$10-Статистика!$C$10,0.000001),NA())</f>
        <v>#N/A</v>
      </c>
      <c r="BQ270" s="12" t="e">
        <f>IF(AND(A270&lt;&gt;"",Статистика!$M$6="Вкл",Статистика!$O$6&gt;0),(Статистика!$O$6-Статистика!$C$10)/MAX(Статистика!$G$10-Статистика!$C$10,0.000001),NA())</f>
        <v>#N/A</v>
      </c>
      <c r="BR270" s="12">
        <f t="shared" si="8"/>
        <v>1</v>
      </c>
      <c r="BT270" s="12">
        <f>IF(Y270="","",MAX(0,MIN(1,(((IF(Статистика!$C$4="Параллельный режим (активная мощность)",Z270,AK270)+Статистика!$J$4))-Статистика!$C$10)/MAX(Статистика!$G$10-Статистика!$C$10,0.000001))))</f>
        <v>0.54639012983333302</v>
      </c>
      <c r="BU270" s="12">
        <f>IF(Y270="","",MAX(0,MAX(0,MIN(1,(((IF(Статистика!$C$4="Параллельный режим (активная мощность)",AB270,AM270)+Статистика!$J$4))-Статистика!$C$10)/MAX(Статистика!$G$10-Статистика!$C$10,0.000001)))-MAX(0,MIN(1,(((IF(Статистика!$C$4="Параллельный режим (активная мощность)",Z270,AK270)+Статистика!$J$4))-Статистика!$C$10)/MAX(Статистика!$G$10-Статистика!$C$10,0.000001)))))</f>
        <v>6.1306684999999916E-3</v>
      </c>
      <c r="BV270" s="12">
        <f>IF(Y270="","",MAX(0,MAX(0,MIN(1,(((IF(Статистика!$C$4="Параллельный режим (активная мощность)",AC270,AN270)+Статистика!$J$4))-Статистика!$C$10)/MAX(Статистика!$G$10-Статистика!$C$10,0.000001)))-MAX(0,MIN(1,(((IF(Статистика!$C$4="Параллельный режим (активная мощность)",AB270,AM270)+Статистика!$J$4))-Статистика!$C$10)/MAX(Статистика!$G$10-Статистика!$C$10,0.000001)))))</f>
        <v>6.6267068333333512E-2</v>
      </c>
      <c r="BW270" s="12">
        <f>IF(Y270="","",MAX(0,MAX(0,MIN(1,(((IF(Статистика!$C$4="Параллельный режим (активная мощность)",AD270,AO270)+Статистика!$J$4))-Статистика!$C$10)/MAX(Статистика!$G$10-Статистика!$C$10,0.000001)))-MAX(0,MIN(1,(((IF(Статистика!$C$4="Параллельный режим (активная мощность)",AC270,AN270)+Статистика!$J$4))-Статистика!$C$10)/MAX(Статистика!$G$10-Статистика!$C$10,0.000001)))))</f>
        <v>6.3414338888889143E-2</v>
      </c>
      <c r="BX270" s="12">
        <f>IF(Y270="","",MAX(0,MAX(0,MIN(1,(((IF(Статистика!$C$4="Параллельный режим (активная мощность)",AE270,AP270)+Статистика!$J$4))-Статистика!$C$10)/MAX(Статистика!$G$10-Статистика!$C$10,0.000001)))-MAX(0,MIN(1,(((IF(Статистика!$C$4="Параллельный режим (активная мощность)",AD270,AO270)+Статистика!$J$4))-Статистика!$C$10)/MAX(Статистика!$G$10-Статистика!$C$10,0.000001)))))</f>
        <v>4.7916144444444364E-2</v>
      </c>
      <c r="BY270" s="12">
        <f>IF(Y270="","",MAX(0,MAX(0,MIN(1,(((IF(Статистика!$C$4="Параллельный режим (активная мощность)",AF270,AQ270)+Статистика!$J$4))-Статистика!$C$10)/MAX(Статистика!$G$10-Статистика!$C$10,0.000001)))-MAX(0,MIN(1,(((IF(Статистика!$C$4="Параллельный режим (активная мощность)",AE270,AP270)+Статистика!$J$4))-Статистика!$C$10)/MAX(Статистика!$G$10-Статистика!$C$10,0.000001)))))</f>
        <v>8.2636037777778282E-2</v>
      </c>
      <c r="BZ270" s="12">
        <f>IF(Y270="","",MAX(0,MAX(0,MIN(1,(((IF(Статистика!$C$4="Параллельный режим (активная мощность)",AH270,AS270)+Статистика!$J$4))-Статистика!$C$10)/MAX(Статистика!$G$10-Статистика!$C$10,0.000001)))-MAX(0,MIN(1,(((IF(Статистика!$C$4="Параллельный режим (активная мощность)",AF270,AQ270)+Статистика!$J$4))-Статистика!$C$10)/MAX(Статистика!$G$10-Статистика!$C$10,0.000001)))))</f>
        <v>2.7451830999999705E-2</v>
      </c>
      <c r="CA270" s="12">
        <f>IF(Y270="","",MAX(0,1-MAX(0,MIN(1,(((IF(Статистика!$C$4="Параллельный режим (активная мощность)",AH270,AS270)+Статистика!$J$4))-Статистика!$C$10)/MAX(Статистика!$G$10-Статистика!$C$10,0.000001)))))</f>
        <v>0.15979378122222199</v>
      </c>
      <c r="CB270" s="12">
        <f>IF(Y270="",NA(),IF(Статистика!$B$8="Вкл",(((IF(Статистика!$C$4="Параллельный режим (активная мощность)",AD270,AO270)+Статистика!$J$4))-Статистика!$C$10)/MAX(Статистика!$G$10-Статистика!$C$10,0.000001),NA()))</f>
        <v>0.68220220555555566</v>
      </c>
      <c r="CC270" s="12">
        <f>IF(Y270="",NA(),IF(Статистика!$D$8="Вкл",(((IF(Статистика!$C$4="Параллельный режим (активная мощность)",AC270,AN270)+Статистика!$J$4))-Статистика!$C$10)/MAX(Статистика!$G$10-Статистика!$C$10,0.000001),NA()))</f>
        <v>0.61878786666666652</v>
      </c>
      <c r="CD270" s="12">
        <f>IF(Y270="",NA(),IF(Статистика!$D$8="Вкл",(((IF(Статистика!$C$4="Параллельный режим (активная мощность)",AE270,AP270)+Статистика!$J$4))-Статистика!$C$10)/MAX(Статистика!$G$10-Статистика!$C$10,0.000001),NA()))</f>
        <v>0.73011835000000003</v>
      </c>
      <c r="CE270" s="12">
        <f>IF(Y270="",NA(),IF(Статистика!$F$8="Вкл",(((IF(Статистика!$C$4="Параллельный режим (активная мощность)",AB270,AM270)+Статистика!$J$4))-Статистика!$C$10)/MAX(Статистика!$G$10-Статистика!$C$10,0.000001),NA()))</f>
        <v>0.55252079833333301</v>
      </c>
      <c r="CF270" s="12">
        <f>IF(Y270="",NA(),IF(Статистика!$F$8="Вкл",(((IF(Статистика!$C$4="Параллельный режим (активная мощность)",AF270,AQ270)+Статистика!$J$4))-Статистика!$C$10)/MAX(Статистика!$G$10-Статистика!$C$10,0.000001),NA()))</f>
        <v>0.81275438777777831</v>
      </c>
      <c r="CG270" s="12">
        <f>IF(Y270="",NA(),IF(Статистика!$H$8="Вкл",(((IF(Статистика!$C$4="Параллельный режим (активная мощность)",Z270,AK270)+Статистика!$J$4))-Статистика!$C$10)/MAX(Статистика!$G$10-Статистика!$C$10,0.000001),NA()))</f>
        <v>0.54639012983333302</v>
      </c>
      <c r="CH270" s="12">
        <f>IF(Y270="",NA(),IF(Статистика!$H$8="Вкл",(((IF(Статистика!$C$4="Параллельный режим (активная мощность)",AH270,AS270)+Статистика!$J$4))-Статистика!$C$10)/MAX(Статистика!$G$10-Статистика!$C$10,0.000001),NA()))</f>
        <v>0.84020621877777801</v>
      </c>
      <c r="CI270" s="12" t="e">
        <f>IF(Y270="",NA(),IF(Статистика!$J$8="Вкл",(((IF(Статистика!$C$4="Параллельный режим (активная мощность)",AI270,AT270)+Статистика!$J$4))-Статистика!$C$10)/MAX(Статистика!$G$10-Статистика!$C$10,0.000001),NA()))</f>
        <v>#N/A</v>
      </c>
      <c r="CJ270" s="12" t="e">
        <f>IF(AND(Y270&lt;&gt;"",Статистика!$C$6="Вкл",Статистика!$B$6&gt;0),(Статистика!$B$6-Статистика!$C$10)/MAX(Статистика!$G$10-Статистика!$C$10,0.000001),NA())</f>
        <v>#N/A</v>
      </c>
      <c r="CK270" s="12" t="e">
        <f>IF(AND(Y270&lt;&gt;"",Статистика!$F$6="Вкл",Статистика!$E$6&gt;0),(Статистика!$E$6-Статистика!$C$10)/MAX(Статистика!$G$10-Статистика!$C$10,0.000001),NA())</f>
        <v>#N/A</v>
      </c>
      <c r="CL270" s="12" t="e">
        <f>IF(AND(Y270&lt;&gt;"",Статистика!$I$6="Вкл",Статистика!$H$6&gt;0),(Статистика!$H$6-Статистика!$C$10)/MAX(Статистика!$G$10-Статистика!$C$10,0.000001),NA())</f>
        <v>#N/A</v>
      </c>
      <c r="CM270" s="12" t="e">
        <f>IF(AND(Y270&lt;&gt;"",Статистика!$L$6="Вкл",Статистика!$K$6&gt;0),(Статистика!$K$6-Статистика!$C$10)/MAX(Статистика!$G$10-Статистика!$C$10,0.000001),NA())</f>
        <v>#N/A</v>
      </c>
      <c r="CN270" s="12" t="e">
        <f>IF(AND(Y270&lt;&gt;"",Статистика!$M$6="Вкл",Статистика!$O$6&gt;0),(Статистика!$O$6-Статистика!$C$10)/MAX(Статистика!$G$10-Статистика!$C$10,0.000001),NA())</f>
        <v>#N/A</v>
      </c>
      <c r="CO270" s="12">
        <f t="shared" si="9"/>
        <v>1</v>
      </c>
    </row>
    <row r="271" spans="1:93" ht="15" customHeight="1">
      <c r="A271" s="12" t="s">
        <v>1126</v>
      </c>
      <c r="B271" s="12">
        <v>2318.5098134999998</v>
      </c>
      <c r="C271" s="12">
        <v>5804.8857341666671</v>
      </c>
      <c r="D271" s="12">
        <v>7512.8091599999998</v>
      </c>
      <c r="E271" s="12">
        <v>7791.9446916666666</v>
      </c>
      <c r="F271" s="12">
        <v>7983.5306333333338</v>
      </c>
      <c r="G271" s="12">
        <v>8240.9283833333338</v>
      </c>
      <c r="H271" s="12">
        <v>8534.4964366666663</v>
      </c>
      <c r="I271" s="12">
        <v>8635.0001208333324</v>
      </c>
      <c r="J271" s="12">
        <v>8686.9680241666665</v>
      </c>
      <c r="K271" s="12">
        <v>8806.7999999999993</v>
      </c>
      <c r="L271" s="12" t="s">
        <v>1127</v>
      </c>
      <c r="M271" s="12">
        <v>2828.4081655</v>
      </c>
      <c r="N271" s="12">
        <v>6675.0168274999996</v>
      </c>
      <c r="O271" s="12">
        <v>8537.6141949999983</v>
      </c>
      <c r="P271" s="12">
        <v>8882.5014750000009</v>
      </c>
      <c r="Q271" s="12">
        <v>9125.7345666666679</v>
      </c>
      <c r="R271" s="12">
        <v>9308.8660916666668</v>
      </c>
      <c r="S271" s="12">
        <v>9675.7137566666661</v>
      </c>
      <c r="T271" s="12">
        <v>9796.2635708333328</v>
      </c>
      <c r="U271" s="12">
        <v>9823.3854341666647</v>
      </c>
      <c r="V271" s="12">
        <v>9931.0300000000007</v>
      </c>
      <c r="W271" s="12" t="s">
        <v>1127</v>
      </c>
      <c r="Y271" s="12" t="s">
        <v>1126</v>
      </c>
      <c r="Z271" s="12">
        <v>7661.8213151666669</v>
      </c>
      <c r="AA271" s="12">
        <v>7672.607775833334</v>
      </c>
      <c r="AB271" s="12">
        <v>7686.0908516666668</v>
      </c>
      <c r="AC271" s="12">
        <v>7938.0240916666662</v>
      </c>
      <c r="AD271" s="12">
        <v>8043.1994500000001</v>
      </c>
      <c r="AE271" s="12">
        <v>8188.8775333333342</v>
      </c>
      <c r="AF271" s="12">
        <v>8462.7916233333326</v>
      </c>
      <c r="AG271" s="12">
        <v>8510.4627450000007</v>
      </c>
      <c r="AH271" s="12">
        <v>8548.5996423333345</v>
      </c>
      <c r="AI271" s="12">
        <v>8619.19</v>
      </c>
      <c r="AJ271" s="12" t="s">
        <v>1128</v>
      </c>
      <c r="AK271" s="12">
        <v>8725.3259651666649</v>
      </c>
      <c r="AL271" s="12">
        <v>8743.1854258333315</v>
      </c>
      <c r="AM271" s="12">
        <v>8765.5097516666647</v>
      </c>
      <c r="AN271" s="12">
        <v>9065.5662083333336</v>
      </c>
      <c r="AO271" s="12">
        <v>9102.4313833333326</v>
      </c>
      <c r="AP271" s="12">
        <v>9285.274033333335</v>
      </c>
      <c r="AQ271" s="12">
        <v>9570.6049666666677</v>
      </c>
      <c r="AR271" s="12">
        <v>9613.2015500000016</v>
      </c>
      <c r="AS271" s="12">
        <v>9647.2788166666687</v>
      </c>
      <c r="AT271" s="12">
        <v>9716.2099999999991</v>
      </c>
      <c r="AU271" s="12" t="s">
        <v>1128</v>
      </c>
      <c r="AW271" s="12">
        <f>IF(A271="","",MAX(0,MIN(1,(((IF(Статистика!$C$4="Параллельный режим (активная мощность)",B271,M271)+Статистика!$J$4))-Статистика!$C$10)/MAX(Статистика!$G$10-Статистика!$C$10,0.000001))))</f>
        <v>0</v>
      </c>
      <c r="AX271" s="12">
        <f>IF(A271="","",MAX(0,MAX(0,MIN(1,(((IF(Статистика!$C$4="Параллельный режим (активная мощность)",D271,O271)+Статистика!$J$4))-Статистика!$C$10)/MAX(Статистика!$G$10-Статистика!$C$10,0.000001)))-MAX(0,MIN(1,(((IF(Статистика!$C$4="Параллельный режим (активная мощность)",B271,M271)+Статистика!$J$4))-Статистика!$C$10)/MAX(Статистика!$G$10-Статистика!$C$10,0.000001)))))</f>
        <v>0.50426971999999992</v>
      </c>
      <c r="AY271" s="12">
        <f>IF(A271="","",MAX(0,MAX(0,MIN(1,(((IF(Статистика!$C$4="Параллельный режим (активная мощность)",E271,P271)+Статистика!$J$4))-Статистика!$C$10)/MAX(Статистика!$G$10-Статистика!$C$10,0.000001)))-MAX(0,MIN(1,(((IF(Статистика!$C$4="Параллельный режим (активная мощность)",D271,O271)+Статистика!$J$4))-Статистика!$C$10)/MAX(Статистика!$G$10-Статистика!$C$10,0.000001)))))</f>
        <v>9.3045177222222275E-2</v>
      </c>
      <c r="AZ271" s="12">
        <f>IF(A271="","",MAX(0,MAX(0,MIN(1,(((IF(Статистика!$C$4="Параллельный режим (активная мощность)",F271,Q271)+Статистика!$J$4))-Статистика!$C$10)/MAX(Статистика!$G$10-Статистика!$C$10,0.000001)))-MAX(0,MIN(1,(((IF(Статистика!$C$4="Параллельный режим (активная мощность)",E271,P271)+Статистика!$J$4))-Статистика!$C$10)/MAX(Статистика!$G$10-Статистика!$C$10,0.000001)))))</f>
        <v>6.3861980555555697E-2</v>
      </c>
      <c r="BA271" s="12">
        <f>IF(A271="","",MAX(0,MAX(0,MIN(1,(((IF(Статистика!$C$4="Параллельный режим (активная мощность)",G271,R271)+Статистика!$J$4))-Статистика!$C$10)/MAX(Статистика!$G$10-Статистика!$C$10,0.000001)))-MAX(0,MIN(1,(((IF(Статистика!$C$4="Параллельный режим (активная мощность)",F271,Q271)+Статистика!$J$4))-Статистика!$C$10)/MAX(Статистика!$G$10-Статистика!$C$10,0.000001)))))</f>
        <v>8.5799250000000105E-2</v>
      </c>
      <c r="BB271" s="12">
        <f>IF(A271="","",MAX(0,MAX(0,MIN(1,(((IF(Статистика!$C$4="Параллельный режим (активная мощность)",H271,S271)+Статистика!$J$4))-Статистика!$C$10)/MAX(Статистика!$G$10-Статистика!$C$10,0.000001)))-MAX(0,MIN(1,(((IF(Статистика!$C$4="Параллельный режим (активная мощность)",G271,R271)+Статистика!$J$4))-Статистика!$C$10)/MAX(Статистика!$G$10-Статистика!$C$10,0.000001)))))</f>
        <v>9.7856017777777415E-2</v>
      </c>
      <c r="BC271" s="12">
        <f>IF(A271="","",MAX(0,MAX(0,MIN(1,(((IF(Статистика!$C$4="Параллельный режим (активная мощность)",J271,U271)+Статистика!$J$4))-Статистика!$C$10)/MAX(Статистика!$G$10-Статистика!$C$10,0.000001)))-MAX(0,MIN(1,(((IF(Статистика!$C$4="Параллельный режим (активная мощность)",H271,S271)+Статистика!$J$4))-Статистика!$C$10)/MAX(Статистика!$G$10-Статистика!$C$10,0.000001)))))</f>
        <v>5.0823862500000039E-2</v>
      </c>
      <c r="BD271" s="12">
        <f>IF(A271="","",MAX(0,1-MAX(0,MIN(1,(((IF(Статистика!$C$4="Параллельный режим (активная мощность)",J271,U271)+Статистика!$J$4))-Статистика!$C$10)/MAX(Статистика!$G$10-Статистика!$C$10,0.000001)))))</f>
        <v>0.10434399194444455</v>
      </c>
      <c r="BE271" s="12">
        <f>IF(A271="",NA(),IF(Статистика!$B$8="Вкл",(((IF(Статистика!$C$4="Параллельный режим (активная мощность)",F271,Q271)+Статистика!$J$4))-Статистика!$C$10)/MAX(Статистика!$G$10-Статистика!$C$10,0.000001),NA()))</f>
        <v>0.66117687777777789</v>
      </c>
      <c r="BF271" s="12">
        <f>IF(A271="",NA(),IF(Статистика!$D$8="Вкл",(((IF(Статистика!$C$4="Параллельный режим (активная мощность)",E271,P271)+Статистика!$J$4))-Статистика!$C$10)/MAX(Статистика!$G$10-Статистика!$C$10,0.000001),NA()))</f>
        <v>0.5973148972222222</v>
      </c>
      <c r="BG271" s="12">
        <f>IF(A271="",NA(),IF(Статистика!$D$8="Вкл",(((IF(Статистика!$C$4="Параллельный режим (активная мощность)",G271,R271)+Статистика!$J$4))-Статистика!$C$10)/MAX(Статистика!$G$10-Статистика!$C$10,0.000001),NA()))</f>
        <v>0.746976127777778</v>
      </c>
      <c r="BH271" s="12">
        <f>IF(A271="",NA(),IF(Статистика!$F$8="Вкл",(((IF(Статистика!$C$4="Параллельный режим (активная мощность)",D271,O271)+Статистика!$J$4))-Статистика!$C$10)/MAX(Статистика!$G$10-Статистика!$C$10,0.000001),NA()))</f>
        <v>0.50426971999999992</v>
      </c>
      <c r="BI271" s="12">
        <f>IF(A271="",NA(),IF(Статистика!$F$8="Вкл",(((IF(Статистика!$C$4="Параллельный режим (активная мощность)",H271,S271)+Статистика!$J$4))-Статистика!$C$10)/MAX(Статистика!$G$10-Статистика!$C$10,0.000001),NA()))</f>
        <v>0.84483214555555541</v>
      </c>
      <c r="BJ271" s="12">
        <f>IF(A271="",NA(),IF(Статистика!$H$8="Вкл",(((IF(Статистика!$C$4="Параллельный режим (активная мощность)",B271,M271)+Статистика!$J$4))-Статистика!$C$10)/MAX(Статистика!$G$10-Статистика!$C$10,0.000001),NA()))</f>
        <v>-1.2271633955000001</v>
      </c>
      <c r="BK271" s="12">
        <f>IF(A271="",NA(),IF(Статистика!$H$8="Вкл",(((IF(Статистика!$C$4="Параллельный режим (активная мощность)",J271,U271)+Статистика!$J$4))-Статистика!$C$10)/MAX(Статистика!$G$10-Статистика!$C$10,0.000001),NA()))</f>
        <v>0.89565600805555545</v>
      </c>
      <c r="BL271" s="12" t="e">
        <f>IF(A271="",NA(),IF(Статистика!$J$8="Вкл",(((IF(Статистика!$C$4="Параллельный режим (активная мощность)",K271,V271)+Статистика!$J$4))-Статистика!$C$10)/MAX(Статистика!$G$10-Статистика!$C$10,0.000001),NA()))</f>
        <v>#N/A</v>
      </c>
      <c r="BM271" s="12" t="e">
        <f>IF(AND(A271&lt;&gt;"",Статистика!$C$6="Вкл",Статистика!$B$6&gt;0),(Статистика!$B$6-Статистика!$C$10)/MAX(Статистика!$G$10-Статистика!$C$10,0.000001),NA())</f>
        <v>#N/A</v>
      </c>
      <c r="BN271" s="12" t="e">
        <f>IF(AND(A271&lt;&gt;"",Статистика!$F$6="Вкл",Статистика!$E$6&gt;0),(Статистика!$E$6-Статистика!$C$10)/MAX(Статистика!$G$10-Статистика!$C$10,0.000001),NA())</f>
        <v>#N/A</v>
      </c>
      <c r="BO271" s="12" t="e">
        <f>IF(AND(A271&lt;&gt;"",Статистика!$I$6="Вкл",Статистика!$H$6&gt;0),(Статистика!$H$6-Статистика!$C$10)/MAX(Статистика!$G$10-Статистика!$C$10,0.000001),NA())</f>
        <v>#N/A</v>
      </c>
      <c r="BP271" s="12" t="e">
        <f>IF(AND(A271&lt;&gt;"",Статистика!$L$6="Вкл",Статистика!$K$6&gt;0),(Статистика!$K$6-Статистика!$C$10)/MAX(Статистика!$G$10-Статистика!$C$10,0.000001),NA())</f>
        <v>#N/A</v>
      </c>
      <c r="BQ271" s="12" t="e">
        <f>IF(AND(A271&lt;&gt;"",Статистика!$M$6="Вкл",Статистика!$O$6&gt;0),(Статистика!$O$6-Статистика!$C$10)/MAX(Статистика!$G$10-Статистика!$C$10,0.000001),NA())</f>
        <v>#N/A</v>
      </c>
      <c r="BR271" s="12">
        <f t="shared" si="8"/>
        <v>1</v>
      </c>
      <c r="BT271" s="12">
        <f>IF(Y271="","",MAX(0,MIN(1,(((IF(Статистика!$C$4="Параллельный режим (активная мощность)",Z271,AK271)+Статистика!$J$4))-Статистика!$C$10)/MAX(Статистика!$G$10-Статистика!$C$10,0.000001))))</f>
        <v>0.55394043838888896</v>
      </c>
      <c r="BU271" s="12">
        <f>IF(Y271="","",MAX(0,MAX(0,MIN(1,(((IF(Статистика!$C$4="Параллельный режим (активная мощность)",AB271,AM271)+Статистика!$J$4))-Статистика!$C$10)/MAX(Статистика!$G$10-Статистика!$C$10,0.000001)))-MAX(0,MIN(1,(((IF(Статистика!$C$4="Параллельный режим (активная мощность)",Z271,AK271)+Статистика!$J$4))-Статистика!$C$10)/MAX(Статистика!$G$10-Статистика!$C$10,0.000001)))))</f>
        <v>8.0898455000000258E-3</v>
      </c>
      <c r="BV271" s="12">
        <f>IF(Y271="","",MAX(0,MAX(0,MIN(1,(((IF(Статистика!$C$4="Параллельный режим (активная мощность)",AC271,AN271)+Статистика!$J$4))-Статистика!$C$10)/MAX(Статистика!$G$10-Статистика!$C$10,0.000001)))-MAX(0,MIN(1,(((IF(Статистика!$C$4="Параллельный режим (активная мощность)",AB271,AM271)+Статистика!$J$4))-Статистика!$C$10)/MAX(Статистика!$G$10-Статистика!$C$10,0.000001)))))</f>
        <v>8.3977746666666464E-2</v>
      </c>
      <c r="BW271" s="12">
        <f>IF(Y271="","",MAX(0,MAX(0,MIN(1,(((IF(Статистика!$C$4="Параллельный режим (активная мощность)",AD271,AO271)+Статистика!$J$4))-Статистика!$C$10)/MAX(Статистика!$G$10-Статистика!$C$10,0.000001)))-MAX(0,MIN(1,(((IF(Статистика!$C$4="Параллельный режим (активная мощность)",AC271,AN271)+Статистика!$J$4))-Статистика!$C$10)/MAX(Статистика!$G$10-Статистика!$C$10,0.000001)))))</f>
        <v>3.505845277777786E-2</v>
      </c>
      <c r="BX271" s="12">
        <f>IF(Y271="","",MAX(0,MAX(0,MIN(1,(((IF(Статистика!$C$4="Параллельный режим (активная мощность)",AE271,AP271)+Статистика!$J$4))-Статистика!$C$10)/MAX(Статистика!$G$10-Статистика!$C$10,0.000001)))-MAX(0,MIN(1,(((IF(Статистика!$C$4="Параллельный режим (активная мощность)",AD271,AO271)+Статистика!$J$4))-Статистика!$C$10)/MAX(Статистика!$G$10-Статистика!$C$10,0.000001)))))</f>
        <v>4.8559361111111476E-2</v>
      </c>
      <c r="BY271" s="12">
        <f>IF(Y271="","",MAX(0,MAX(0,MIN(1,(((IF(Статистика!$C$4="Параллельный режим (активная мощность)",AF271,AQ271)+Статистика!$J$4))-Статистика!$C$10)/MAX(Статистика!$G$10-Статистика!$C$10,0.000001)))-MAX(0,MIN(1,(((IF(Статистика!$C$4="Параллельный режим (активная мощность)",AE271,AP271)+Статистика!$J$4))-Статистика!$C$10)/MAX(Статистика!$G$10-Статистика!$C$10,0.000001)))))</f>
        <v>9.1304696666666074E-2</v>
      </c>
      <c r="BZ271" s="12">
        <f>IF(Y271="","",MAX(0,MAX(0,MIN(1,(((IF(Статистика!$C$4="Параллельный режим (активная мощность)",AH271,AS271)+Статистика!$J$4))-Статистика!$C$10)/MAX(Статистика!$G$10-Статистика!$C$10,0.000001)))-MAX(0,MIN(1,(((IF(Статистика!$C$4="Параллельный режим (активная мощность)",AF271,AQ271)+Статистика!$J$4))-Статистика!$C$10)/MAX(Статистика!$G$10-Статистика!$C$10,0.000001)))))</f>
        <v>2.8602673000000634E-2</v>
      </c>
      <c r="CA271" s="12">
        <f>IF(Y271="","",MAX(0,1-MAX(0,MIN(1,(((IF(Статистика!$C$4="Параллельный режим (активная мощность)",AH271,AS271)+Статистика!$J$4))-Статистика!$C$10)/MAX(Статистика!$G$10-Статистика!$C$10,0.000001)))))</f>
        <v>0.15046678588888851</v>
      </c>
      <c r="CB271" s="12">
        <f>IF(Y271="",NA(),IF(Статистика!$B$8="Вкл",(((IF(Статистика!$C$4="Параллельный режим (активная мощность)",AD271,AO271)+Статистика!$J$4))-Статистика!$C$10)/MAX(Статистика!$G$10-Статистика!$C$10,0.000001),NA()))</f>
        <v>0.68106648333333331</v>
      </c>
      <c r="CC271" s="12">
        <f>IF(Y271="",NA(),IF(Статистика!$D$8="Вкл",(((IF(Статистика!$C$4="Параллельный режим (активная мощность)",AC271,AN271)+Статистика!$J$4))-Статистика!$C$10)/MAX(Статистика!$G$10-Статистика!$C$10,0.000001),NA()))</f>
        <v>0.64600803055555545</v>
      </c>
      <c r="CD271" s="12">
        <f>IF(Y271="",NA(),IF(Статистика!$D$8="Вкл",(((IF(Статистика!$C$4="Параллельный режим (активная мощность)",AE271,AP271)+Статистика!$J$4))-Статистика!$C$10)/MAX(Статистика!$G$10-Статистика!$C$10,0.000001),NA()))</f>
        <v>0.72962584444444478</v>
      </c>
      <c r="CE271" s="12">
        <f>IF(Y271="",NA(),IF(Статистика!$F$8="Вкл",(((IF(Статистика!$C$4="Параллельный режим (активная мощность)",AB271,AM271)+Статистика!$J$4))-Статистика!$C$10)/MAX(Статистика!$G$10-Статистика!$C$10,0.000001),NA()))</f>
        <v>0.56203028388888898</v>
      </c>
      <c r="CF271" s="12">
        <f>IF(Y271="",NA(),IF(Статистика!$F$8="Вкл",(((IF(Статистика!$C$4="Параллельный режим (активная мощность)",AF271,AQ271)+Статистика!$J$4))-Статистика!$C$10)/MAX(Статистика!$G$10-Статистика!$C$10,0.000001),NA()))</f>
        <v>0.82093054111111086</v>
      </c>
      <c r="CG271" s="12">
        <f>IF(Y271="",NA(),IF(Статистика!$H$8="Вкл",(((IF(Статистика!$C$4="Параллельный режим (активная мощность)",Z271,AK271)+Статистика!$J$4))-Статистика!$C$10)/MAX(Статистика!$G$10-Статистика!$C$10,0.000001),NA()))</f>
        <v>0.55394043838888896</v>
      </c>
      <c r="CH271" s="12">
        <f>IF(Y271="",NA(),IF(Статистика!$H$8="Вкл",(((IF(Статистика!$C$4="Параллельный режим (активная мощность)",AH271,AS271)+Статистика!$J$4))-Статистика!$C$10)/MAX(Статистика!$G$10-Статистика!$C$10,0.000001),NA()))</f>
        <v>0.84953321411111149</v>
      </c>
      <c r="CI271" s="12" t="e">
        <f>IF(Y271="",NA(),IF(Статистика!$J$8="Вкл",(((IF(Статистика!$C$4="Параллельный режим (активная мощность)",AI271,AT271)+Статистика!$J$4))-Статистика!$C$10)/MAX(Статистика!$G$10-Статистика!$C$10,0.000001),NA()))</f>
        <v>#N/A</v>
      </c>
      <c r="CJ271" s="12" t="e">
        <f>IF(AND(Y271&lt;&gt;"",Статистика!$C$6="Вкл",Статистика!$B$6&gt;0),(Статистика!$B$6-Статистика!$C$10)/MAX(Статистика!$G$10-Статистика!$C$10,0.000001),NA())</f>
        <v>#N/A</v>
      </c>
      <c r="CK271" s="12" t="e">
        <f>IF(AND(Y271&lt;&gt;"",Статистика!$F$6="Вкл",Статистика!$E$6&gt;0),(Статистика!$E$6-Статистика!$C$10)/MAX(Статистика!$G$10-Статистика!$C$10,0.000001),NA())</f>
        <v>#N/A</v>
      </c>
      <c r="CL271" s="12" t="e">
        <f>IF(AND(Y271&lt;&gt;"",Статистика!$I$6="Вкл",Статистика!$H$6&gt;0),(Статистика!$H$6-Статистика!$C$10)/MAX(Статистика!$G$10-Статистика!$C$10,0.000001),NA())</f>
        <v>#N/A</v>
      </c>
      <c r="CM271" s="12" t="e">
        <f>IF(AND(Y271&lt;&gt;"",Статистика!$L$6="Вкл",Статистика!$K$6&gt;0),(Статистика!$K$6-Статистика!$C$10)/MAX(Статистика!$G$10-Статистика!$C$10,0.000001),NA())</f>
        <v>#N/A</v>
      </c>
      <c r="CN271" s="12" t="e">
        <f>IF(AND(Y271&lt;&gt;"",Статистика!$M$6="Вкл",Статистика!$O$6&gt;0),(Статистика!$O$6-Статистика!$C$10)/MAX(Статистика!$G$10-Статистика!$C$10,0.000001),NA())</f>
        <v>#N/A</v>
      </c>
      <c r="CO271" s="12">
        <f t="shared" si="9"/>
        <v>1</v>
      </c>
    </row>
    <row r="272" spans="1:93" ht="15" customHeight="1">
      <c r="A272" s="12" t="s">
        <v>1129</v>
      </c>
      <c r="B272" s="12">
        <v>2304.5399226666668</v>
      </c>
      <c r="C272" s="12">
        <v>5787.9848133333344</v>
      </c>
      <c r="D272" s="12">
        <v>7492.0313316666661</v>
      </c>
      <c r="E272" s="12">
        <v>7798.2307166666669</v>
      </c>
      <c r="F272" s="12">
        <v>7961.6177333333335</v>
      </c>
      <c r="G272" s="12">
        <v>8224.6942999999992</v>
      </c>
      <c r="H272" s="12">
        <v>8417.5476866666668</v>
      </c>
      <c r="I272" s="12">
        <v>8504.3783108333337</v>
      </c>
      <c r="J272" s="12">
        <v>8637.1237421666665</v>
      </c>
      <c r="K272" s="12">
        <v>8757.18</v>
      </c>
      <c r="L272" s="12" t="s">
        <v>1130</v>
      </c>
      <c r="M272" s="12">
        <v>2811.8362008333329</v>
      </c>
      <c r="N272" s="12">
        <v>6651.3152708333328</v>
      </c>
      <c r="O272" s="12">
        <v>8517.7735833333336</v>
      </c>
      <c r="P272" s="12">
        <v>8843.3297333333321</v>
      </c>
      <c r="Q272" s="12">
        <v>9100.8050999999996</v>
      </c>
      <c r="R272" s="12">
        <v>9320.4527833333323</v>
      </c>
      <c r="S272" s="12">
        <v>9543.1507099999999</v>
      </c>
      <c r="T272" s="12">
        <v>9619.6701408333338</v>
      </c>
      <c r="U272" s="12">
        <v>9760.5440015000004</v>
      </c>
      <c r="V272" s="12">
        <v>9890.51</v>
      </c>
      <c r="W272" s="12" t="s">
        <v>1130</v>
      </c>
      <c r="Y272" s="12" t="s">
        <v>1129</v>
      </c>
      <c r="Z272" s="12">
        <v>7659.069501500001</v>
      </c>
      <c r="AA272" s="12">
        <v>7663.3743075000011</v>
      </c>
      <c r="AB272" s="12">
        <v>7668.7553150000022</v>
      </c>
      <c r="AC272" s="12">
        <v>7913.4104583333328</v>
      </c>
      <c r="AD272" s="12">
        <v>8048.7161333333333</v>
      </c>
      <c r="AE272" s="12">
        <v>8212.060433333334</v>
      </c>
      <c r="AF272" s="12">
        <v>8425.1269049999992</v>
      </c>
      <c r="AG272" s="12">
        <v>8475.0798025000004</v>
      </c>
      <c r="AH272" s="12">
        <v>8515.0421205000002</v>
      </c>
      <c r="AI272" s="12">
        <v>8633.58</v>
      </c>
      <c r="AJ272" s="12" t="s">
        <v>1131</v>
      </c>
      <c r="AK272" s="12">
        <v>8711.013499333334</v>
      </c>
      <c r="AL272" s="12">
        <v>8724.7754966666671</v>
      </c>
      <c r="AM272" s="12">
        <v>8741.9779933333339</v>
      </c>
      <c r="AN272" s="12">
        <v>9050.180475000001</v>
      </c>
      <c r="AO272" s="12">
        <v>9109.3852166666657</v>
      </c>
      <c r="AP272" s="12">
        <v>9305.4714583333334</v>
      </c>
      <c r="AQ272" s="12">
        <v>9530.5112983333329</v>
      </c>
      <c r="AR272" s="12">
        <v>9578.4926658333334</v>
      </c>
      <c r="AS272" s="12">
        <v>9616.8777598333345</v>
      </c>
      <c r="AT272" s="12">
        <v>9741.2199999999993</v>
      </c>
      <c r="AU272" s="12" t="s">
        <v>1132</v>
      </c>
      <c r="AW272" s="12">
        <f>IF(A272="","",MAX(0,MIN(1,(((IF(Статистика!$C$4="Параллельный режим (активная мощность)",B272,M272)+Статистика!$J$4))-Статистика!$C$10)/MAX(Статистика!$G$10-Статистика!$C$10,0.000001))))</f>
        <v>0</v>
      </c>
      <c r="AX272" s="12">
        <f>IF(A272="","",MAX(0,MAX(0,MIN(1,(((IF(Статистика!$C$4="Параллельный режим (активная мощность)",D272,O272)+Статистика!$J$4))-Статистика!$C$10)/MAX(Статистика!$G$10-Статистика!$C$10,0.000001)))-MAX(0,MIN(1,(((IF(Статистика!$C$4="Параллельный режим (активная мощность)",B272,M272)+Статистика!$J$4))-Статистика!$C$10)/MAX(Статистика!$G$10-Статистика!$C$10,0.000001)))))</f>
        <v>0.49734377722222206</v>
      </c>
      <c r="AY272" s="12">
        <f>IF(A272="","",MAX(0,MAX(0,MIN(1,(((IF(Статистика!$C$4="Параллельный режим (активная мощность)",E272,P272)+Статистика!$J$4))-Статистика!$C$10)/MAX(Статистика!$G$10-Статистика!$C$10,0.000001)))-MAX(0,MIN(1,(((IF(Статистика!$C$4="Параллельный режим (активная мощность)",D272,O272)+Статистика!$J$4))-Статистика!$C$10)/MAX(Статистика!$G$10-Статистика!$C$10,0.000001)))))</f>
        <v>0.10206646166666694</v>
      </c>
      <c r="AZ272" s="12">
        <f>IF(A272="","",MAX(0,MAX(0,MIN(1,(((IF(Статистика!$C$4="Параллельный режим (активная мощность)",F272,Q272)+Статистика!$J$4))-Статистика!$C$10)/MAX(Статистика!$G$10-Статистика!$C$10,0.000001)))-MAX(0,MIN(1,(((IF(Статистика!$C$4="Параллельный режим (активная мощность)",E272,P272)+Статистика!$J$4))-Статистика!$C$10)/MAX(Статистика!$G$10-Статистика!$C$10,0.000001)))))</f>
        <v>5.446233888888885E-2</v>
      </c>
      <c r="BA272" s="12">
        <f>IF(A272="","",MAX(0,MAX(0,MIN(1,(((IF(Статистика!$C$4="Параллельный режим (активная мощность)",G272,R272)+Статистика!$J$4))-Статистика!$C$10)/MAX(Статистика!$G$10-Статистика!$C$10,0.000001)))-MAX(0,MIN(1,(((IF(Статистика!$C$4="Параллельный режим (активная мощность)",F272,Q272)+Статистика!$J$4))-Статистика!$C$10)/MAX(Статистика!$G$10-Статистика!$C$10,0.000001)))))</f>
        <v>8.7692188888888523E-2</v>
      </c>
      <c r="BB272" s="12">
        <f>IF(A272="","",MAX(0,MAX(0,MIN(1,(((IF(Статистика!$C$4="Параллельный режим (активная мощность)",H272,S272)+Статистика!$J$4))-Статистика!$C$10)/MAX(Статистика!$G$10-Статистика!$C$10,0.000001)))-MAX(0,MIN(1,(((IF(Статистика!$C$4="Параллельный режим (активная мощность)",G272,R272)+Статистика!$J$4))-Статистика!$C$10)/MAX(Статистика!$G$10-Статистика!$C$10,0.000001)))))</f>
        <v>6.4284462222222505E-2</v>
      </c>
      <c r="BC272" s="12">
        <f>IF(A272="","",MAX(0,MAX(0,MIN(1,(((IF(Статистика!$C$4="Параллельный режим (активная мощность)",J272,U272)+Статистика!$J$4))-Статистика!$C$10)/MAX(Статистика!$G$10-Статистика!$C$10,0.000001)))-MAX(0,MIN(1,(((IF(Статистика!$C$4="Параллельный режим (активная мощность)",H272,S272)+Статистика!$J$4))-Статистика!$C$10)/MAX(Статистика!$G$10-Статистика!$C$10,0.000001)))))</f>
        <v>7.31920184999999E-2</v>
      </c>
      <c r="BD272" s="12">
        <f>IF(A272="","",MAX(0,1-MAX(0,MIN(1,(((IF(Статистика!$C$4="Параллельный режим (активная мощность)",J272,U272)+Статистика!$J$4))-Статистика!$C$10)/MAX(Статистика!$G$10-Статистика!$C$10,0.000001)))))</f>
        <v>0.12095875261111122</v>
      </c>
      <c r="BE272" s="12">
        <f>IF(A272="",NA(),IF(Статистика!$B$8="Вкл",(((IF(Статистика!$C$4="Параллельный режим (активная мощность)",F272,Q272)+Статистика!$J$4))-Статистика!$C$10)/MAX(Статистика!$G$10-Статистика!$C$10,0.000001),NA()))</f>
        <v>0.65387257777777785</v>
      </c>
      <c r="BF272" s="12">
        <f>IF(A272="",NA(),IF(Статистика!$D$8="Вкл",(((IF(Статистика!$C$4="Параллельный режим (активная мощность)",E272,P272)+Статистика!$J$4))-Статистика!$C$10)/MAX(Статистика!$G$10-Статистика!$C$10,0.000001),NA()))</f>
        <v>0.599410238888889</v>
      </c>
      <c r="BG272" s="12">
        <f>IF(A272="",NA(),IF(Статистика!$D$8="Вкл",(((IF(Статистика!$C$4="Параллельный режим (активная мощность)",G272,R272)+Статистика!$J$4))-Статистика!$C$10)/MAX(Статистика!$G$10-Статистика!$C$10,0.000001),NA()))</f>
        <v>0.74156476666666638</v>
      </c>
      <c r="BH272" s="12">
        <f>IF(A272="",NA(),IF(Статистика!$F$8="Вкл",(((IF(Статистика!$C$4="Параллельный режим (активная мощность)",D272,O272)+Статистика!$J$4))-Статистика!$C$10)/MAX(Статистика!$G$10-Статистика!$C$10,0.000001),NA()))</f>
        <v>0.49734377722222206</v>
      </c>
      <c r="BI272" s="12">
        <f>IF(A272="",NA(),IF(Статистика!$F$8="Вкл",(((IF(Статистика!$C$4="Параллельный режим (активная мощность)",H272,S272)+Статистика!$J$4))-Статистика!$C$10)/MAX(Статистика!$G$10-Статистика!$C$10,0.000001),NA()))</f>
        <v>0.80584922888888888</v>
      </c>
      <c r="BJ272" s="12">
        <f>IF(A272="",NA(),IF(Статистика!$H$8="Вкл",(((IF(Статистика!$C$4="Параллельный режим (активная мощность)",B272,M272)+Статистика!$J$4))-Статистика!$C$10)/MAX(Статистика!$G$10-Статистика!$C$10,0.000001),NA()))</f>
        <v>-1.2318200257777778</v>
      </c>
      <c r="BK272" s="12">
        <f>IF(A272="",NA(),IF(Статистика!$H$8="Вкл",(((IF(Статистика!$C$4="Параллельный режим (активная мощность)",J272,U272)+Статистика!$J$4))-Статистика!$C$10)/MAX(Статистика!$G$10-Статистика!$C$10,0.000001),NA()))</f>
        <v>0.87904124738888878</v>
      </c>
      <c r="BL272" s="12" t="e">
        <f>IF(A272="",NA(),IF(Статистика!$J$8="Вкл",(((IF(Статистика!$C$4="Параллельный режим (активная мощность)",K272,V272)+Статистика!$J$4))-Статистика!$C$10)/MAX(Статистика!$G$10-Статистика!$C$10,0.000001),NA()))</f>
        <v>#N/A</v>
      </c>
      <c r="BM272" s="12" t="e">
        <f>IF(AND(A272&lt;&gt;"",Статистика!$C$6="Вкл",Статистика!$B$6&gt;0),(Статистика!$B$6-Статистика!$C$10)/MAX(Статистика!$G$10-Статистика!$C$10,0.000001),NA())</f>
        <v>#N/A</v>
      </c>
      <c r="BN272" s="12" t="e">
        <f>IF(AND(A272&lt;&gt;"",Статистика!$F$6="Вкл",Статистика!$E$6&gt;0),(Статистика!$E$6-Статистика!$C$10)/MAX(Статистика!$G$10-Статистика!$C$10,0.000001),NA())</f>
        <v>#N/A</v>
      </c>
      <c r="BO272" s="12" t="e">
        <f>IF(AND(A272&lt;&gt;"",Статистика!$I$6="Вкл",Статистика!$H$6&gt;0),(Статистика!$H$6-Статистика!$C$10)/MAX(Статистика!$G$10-Статистика!$C$10,0.000001),NA())</f>
        <v>#N/A</v>
      </c>
      <c r="BP272" s="12" t="e">
        <f>IF(AND(A272&lt;&gt;"",Статистика!$L$6="Вкл",Статистика!$K$6&gt;0),(Статистика!$K$6-Статистика!$C$10)/MAX(Статистика!$G$10-Статистика!$C$10,0.000001),NA())</f>
        <v>#N/A</v>
      </c>
      <c r="BQ272" s="12" t="e">
        <f>IF(AND(A272&lt;&gt;"",Статистика!$M$6="Вкл",Статистика!$O$6&gt;0),(Статистика!$O$6-Статистика!$C$10)/MAX(Статистика!$G$10-Статистика!$C$10,0.000001),NA())</f>
        <v>#N/A</v>
      </c>
      <c r="BR272" s="12">
        <f t="shared" si="8"/>
        <v>1</v>
      </c>
      <c r="BT272" s="12">
        <f>IF(Y272="","",MAX(0,MIN(1,(((IF(Статистика!$C$4="Параллельный режим (активная мощность)",Z272,AK272)+Статистика!$J$4))-Статистика!$C$10)/MAX(Статистика!$G$10-Статистика!$C$10,0.000001))))</f>
        <v>0.553023167166667</v>
      </c>
      <c r="BU272" s="12">
        <f>IF(Y272="","",MAX(0,MAX(0,MIN(1,(((IF(Статистика!$C$4="Параллельный режим (активная мощность)",AB272,AM272)+Статистика!$J$4))-Статистика!$C$10)/MAX(Статистика!$G$10-Статистика!$C$10,0.000001)))-MAX(0,MIN(1,(((IF(Статистика!$C$4="Параллельный режим (активная мощность)",Z272,AK272)+Статистика!$J$4))-Статистика!$C$10)/MAX(Статистика!$G$10-Статистика!$C$10,0.000001)))))</f>
        <v>3.2286045000003982E-3</v>
      </c>
      <c r="BV272" s="12">
        <f>IF(Y272="","",MAX(0,MAX(0,MIN(1,(((IF(Статистика!$C$4="Параллельный режим (активная мощность)",AC272,AN272)+Статистика!$J$4))-Статистика!$C$10)/MAX(Статистика!$G$10-Статистика!$C$10,0.000001)))-MAX(0,MIN(1,(((IF(Статистика!$C$4="Параллельный режим (активная мощность)",AB272,AM272)+Статистика!$J$4))-Статистика!$C$10)/MAX(Статистика!$G$10-Статистика!$C$10,0.000001)))))</f>
        <v>8.1551714444443535E-2</v>
      </c>
      <c r="BW272" s="12">
        <f>IF(Y272="","",MAX(0,MAX(0,MIN(1,(((IF(Статистика!$C$4="Параллельный режим (активная мощность)",AD272,AO272)+Статистика!$J$4))-Статистика!$C$10)/MAX(Статистика!$G$10-Статистика!$C$10,0.000001)))-MAX(0,MIN(1,(((IF(Статистика!$C$4="Параллельный режим (активная мощность)",AC272,AN272)+Статистика!$J$4))-Статистика!$C$10)/MAX(Статистика!$G$10-Статистика!$C$10,0.000001)))))</f>
        <v>4.5101891666666893E-2</v>
      </c>
      <c r="BX272" s="12">
        <f>IF(Y272="","",MAX(0,MAX(0,MIN(1,(((IF(Статистика!$C$4="Параллельный режим (активная мощность)",AE272,AP272)+Статистика!$J$4))-Статистика!$C$10)/MAX(Статистика!$G$10-Статистика!$C$10,0.000001)))-MAX(0,MIN(1,(((IF(Статистика!$C$4="Параллельный режим (активная мощность)",AD272,AO272)+Статистика!$J$4))-Статистика!$C$10)/MAX(Статистика!$G$10-Статистика!$C$10,0.000001)))))</f>
        <v>5.4448100000000221E-2</v>
      </c>
      <c r="BY272" s="12">
        <f>IF(Y272="","",MAX(0,MAX(0,MIN(1,(((IF(Статистика!$C$4="Параллельный режим (активная мощность)",AF272,AQ272)+Статистика!$J$4))-Статистика!$C$10)/MAX(Статистика!$G$10-Статистика!$C$10,0.000001)))-MAX(0,MIN(1,(((IF(Статистика!$C$4="Параллельный режим (активная мощность)",AE272,AP272)+Статистика!$J$4))-Статистика!$C$10)/MAX(Статистика!$G$10-Статистика!$C$10,0.000001)))))</f>
        <v>7.1022157222221716E-2</v>
      </c>
      <c r="BZ272" s="12">
        <f>IF(Y272="","",MAX(0,MAX(0,MIN(1,(((IF(Статистика!$C$4="Параллельный режим (активная мощность)",AH272,AS272)+Статистика!$J$4))-Статистика!$C$10)/MAX(Статистика!$G$10-Статистика!$C$10,0.000001)))-MAX(0,MIN(1,(((IF(Статистика!$C$4="Параллельный режим (активная мощность)",AF272,AQ272)+Статистика!$J$4))-Статистика!$C$10)/MAX(Статистика!$G$10-Статистика!$C$10,0.000001)))))</f>
        <v>2.9971738500000344E-2</v>
      </c>
      <c r="CA272" s="12">
        <f>IF(Y272="","",MAX(0,1-MAX(0,MIN(1,(((IF(Статистика!$C$4="Параллельный режим (активная мощность)",AH272,AS272)+Статистика!$J$4))-Статистика!$C$10)/MAX(Статистика!$G$10-Статистика!$C$10,0.000001)))))</f>
        <v>0.1616526264999999</v>
      </c>
      <c r="CB272" s="12">
        <f>IF(Y272="",NA(),IF(Статистика!$B$8="Вкл",(((IF(Статистика!$C$4="Параллельный режим (активная мощность)",AD272,AO272)+Статистика!$J$4))-Статистика!$C$10)/MAX(Статистика!$G$10-Статистика!$C$10,0.000001),NA()))</f>
        <v>0.68290537777777782</v>
      </c>
      <c r="CC272" s="12">
        <f>IF(Y272="",NA(),IF(Статистика!$D$8="Вкл",(((IF(Статистика!$C$4="Параллельный режим (активная мощность)",AC272,AN272)+Статистика!$J$4))-Статистика!$C$10)/MAX(Статистика!$G$10-Статистика!$C$10,0.000001),NA()))</f>
        <v>0.63780348611111093</v>
      </c>
      <c r="CD272" s="12">
        <f>IF(Y272="",NA(),IF(Статистика!$D$8="Вкл",(((IF(Статистика!$C$4="Параллельный режим (активная мощность)",AE272,AP272)+Статистика!$J$4))-Статистика!$C$10)/MAX(Статистика!$G$10-Статистика!$C$10,0.000001),NA()))</f>
        <v>0.73735347777777804</v>
      </c>
      <c r="CE272" s="12">
        <f>IF(Y272="",NA(),IF(Статистика!$F$8="Вкл",(((IF(Статистика!$C$4="Параллельный режим (активная мощность)",AB272,AM272)+Статистика!$J$4))-Статистика!$C$10)/MAX(Статистика!$G$10-Статистика!$C$10,0.000001),NA()))</f>
        <v>0.55625177166666739</v>
      </c>
      <c r="CF272" s="12">
        <f>IF(Y272="",NA(),IF(Статистика!$F$8="Вкл",(((IF(Статистика!$C$4="Параллельный режим (активная мощность)",AF272,AQ272)+Статистика!$J$4))-Статистика!$C$10)/MAX(Статистика!$G$10-Статистика!$C$10,0.000001),NA()))</f>
        <v>0.80837563499999976</v>
      </c>
      <c r="CG272" s="12">
        <f>IF(Y272="",NA(),IF(Статистика!$H$8="Вкл",(((IF(Статистика!$C$4="Параллельный режим (активная мощность)",Z272,AK272)+Статистика!$J$4))-Статистика!$C$10)/MAX(Статистика!$G$10-Статистика!$C$10,0.000001),NA()))</f>
        <v>0.553023167166667</v>
      </c>
      <c r="CH272" s="12">
        <f>IF(Y272="",NA(),IF(Статистика!$H$8="Вкл",(((IF(Статистика!$C$4="Параллельный режим (активная мощность)",AH272,AS272)+Статистика!$J$4))-Статистика!$C$10)/MAX(Статистика!$G$10-Статистика!$C$10,0.000001),NA()))</f>
        <v>0.8383473735000001</v>
      </c>
      <c r="CI272" s="12" t="e">
        <f>IF(Y272="",NA(),IF(Статистика!$J$8="Вкл",(((IF(Статистика!$C$4="Параллельный режим (активная мощность)",AI272,AT272)+Статистика!$J$4))-Статистика!$C$10)/MAX(Статистика!$G$10-Статистика!$C$10,0.000001),NA()))</f>
        <v>#N/A</v>
      </c>
      <c r="CJ272" s="12" t="e">
        <f>IF(AND(Y272&lt;&gt;"",Статистика!$C$6="Вкл",Статистика!$B$6&gt;0),(Статистика!$B$6-Статистика!$C$10)/MAX(Статистика!$G$10-Статистика!$C$10,0.000001),NA())</f>
        <v>#N/A</v>
      </c>
      <c r="CK272" s="12" t="e">
        <f>IF(AND(Y272&lt;&gt;"",Статистика!$F$6="Вкл",Статистика!$E$6&gt;0),(Статистика!$E$6-Статистика!$C$10)/MAX(Статистика!$G$10-Статистика!$C$10,0.000001),NA())</f>
        <v>#N/A</v>
      </c>
      <c r="CL272" s="12" t="e">
        <f>IF(AND(Y272&lt;&gt;"",Статистика!$I$6="Вкл",Статистика!$H$6&gt;0),(Статистика!$H$6-Статистика!$C$10)/MAX(Статистика!$G$10-Статистика!$C$10,0.000001),NA())</f>
        <v>#N/A</v>
      </c>
      <c r="CM272" s="12" t="e">
        <f>IF(AND(Y272&lt;&gt;"",Статистика!$L$6="Вкл",Статистика!$K$6&gt;0),(Статистика!$K$6-Статистика!$C$10)/MAX(Статистика!$G$10-Статистика!$C$10,0.000001),NA())</f>
        <v>#N/A</v>
      </c>
      <c r="CN272" s="12" t="e">
        <f>IF(AND(Y272&lt;&gt;"",Статистика!$M$6="Вкл",Статистика!$O$6&gt;0),(Статистика!$O$6-Статистика!$C$10)/MAX(Статистика!$G$10-Статистика!$C$10,0.000001),NA())</f>
        <v>#N/A</v>
      </c>
      <c r="CO272" s="12">
        <f t="shared" si="9"/>
        <v>1</v>
      </c>
    </row>
    <row r="273" spans="1:93" ht="15" customHeight="1">
      <c r="A273" s="12" t="s">
        <v>1133</v>
      </c>
      <c r="B273" s="12">
        <v>2314.9175791666667</v>
      </c>
      <c r="C273" s="12">
        <v>5768.7397625000003</v>
      </c>
      <c r="D273" s="12">
        <v>7478.3870116666667</v>
      </c>
      <c r="E273" s="12">
        <v>7797.7654750000011</v>
      </c>
      <c r="F273" s="12">
        <v>7926.8136833333338</v>
      </c>
      <c r="G273" s="12">
        <v>8210.4734499999995</v>
      </c>
      <c r="H273" s="12">
        <v>8414.1640416666669</v>
      </c>
      <c r="I273" s="12">
        <v>8500.9458858333328</v>
      </c>
      <c r="J273" s="12">
        <v>8630.0494971666667</v>
      </c>
      <c r="K273" s="12">
        <v>8756.16</v>
      </c>
      <c r="L273" s="12" t="s">
        <v>1134</v>
      </c>
      <c r="M273" s="12">
        <v>2822.2694386666672</v>
      </c>
      <c r="N273" s="12">
        <v>6626.7022600000009</v>
      </c>
      <c r="O273" s="12">
        <v>8498.8559116666675</v>
      </c>
      <c r="P273" s="12">
        <v>8872.8009249999996</v>
      </c>
      <c r="Q273" s="12">
        <v>9097.4082833333341</v>
      </c>
      <c r="R273" s="12">
        <v>9298.0241583333336</v>
      </c>
      <c r="S273" s="12">
        <v>9542.302583333334</v>
      </c>
      <c r="T273" s="12">
        <v>9614.0614658333325</v>
      </c>
      <c r="U273" s="12">
        <v>9755.4018398333337</v>
      </c>
      <c r="V273" s="12">
        <v>9877.2800000000007</v>
      </c>
      <c r="W273" s="12" t="s">
        <v>1134</v>
      </c>
      <c r="Y273" s="12" t="s">
        <v>1133</v>
      </c>
      <c r="Z273" s="12">
        <v>7663.0492533333336</v>
      </c>
      <c r="AA273" s="12">
        <v>7665.8588</v>
      </c>
      <c r="AB273" s="12">
        <v>7669.3707333333332</v>
      </c>
      <c r="AC273" s="12">
        <v>7883.5951333333333</v>
      </c>
      <c r="AD273" s="12">
        <v>8030.2909</v>
      </c>
      <c r="AE273" s="12">
        <v>8221.8135500000008</v>
      </c>
      <c r="AF273" s="12">
        <v>8454.3006999999998</v>
      </c>
      <c r="AG273" s="12">
        <v>8505.4186166666677</v>
      </c>
      <c r="AH273" s="12">
        <v>8546.3129500000014</v>
      </c>
      <c r="AI273" s="12">
        <v>8608.32</v>
      </c>
      <c r="AJ273" s="12" t="s">
        <v>1135</v>
      </c>
      <c r="AK273" s="12">
        <v>8729.3731593333341</v>
      </c>
      <c r="AL273" s="12">
        <v>8738.7231300000003</v>
      </c>
      <c r="AM273" s="12">
        <v>8750.4105933333321</v>
      </c>
      <c r="AN273" s="12">
        <v>9017.5896833333318</v>
      </c>
      <c r="AO273" s="12">
        <v>9088.1150500000003</v>
      </c>
      <c r="AP273" s="12">
        <v>9293.1662916666664</v>
      </c>
      <c r="AQ273" s="12">
        <v>9567.2090883333349</v>
      </c>
      <c r="AR273" s="12">
        <v>9615.6059441666675</v>
      </c>
      <c r="AS273" s="12">
        <v>9654.3234288333333</v>
      </c>
      <c r="AT273" s="12">
        <v>9715.68</v>
      </c>
      <c r="AU273" s="12" t="s">
        <v>1135</v>
      </c>
      <c r="AW273" s="12">
        <f>IF(A273="","",MAX(0,MIN(1,(((IF(Статистика!$C$4="Параллельный режим (активная мощность)",B273,M273)+Статистика!$J$4))-Статистика!$C$10)/MAX(Статистика!$G$10-Статистика!$C$10,0.000001))))</f>
        <v>0</v>
      </c>
      <c r="AX273" s="12">
        <f>IF(A273="","",MAX(0,MAX(0,MIN(1,(((IF(Статистика!$C$4="Параллельный режим (активная мощность)",D273,O273)+Статистика!$J$4))-Статистика!$C$10)/MAX(Статистика!$G$10-Статистика!$C$10,0.000001)))-MAX(0,MIN(1,(((IF(Статистика!$C$4="Параллельный режим (активная мощность)",B273,M273)+Статистика!$J$4))-Статистика!$C$10)/MAX(Статистика!$G$10-Статистика!$C$10,0.000001)))))</f>
        <v>0.49279567055555556</v>
      </c>
      <c r="AY273" s="12">
        <f>IF(A273="","",MAX(0,MAX(0,MIN(1,(((IF(Статистика!$C$4="Параллельный режим (активная мощность)",E273,P273)+Статистика!$J$4))-Статистика!$C$10)/MAX(Статистика!$G$10-Статистика!$C$10,0.000001)))-MAX(0,MIN(1,(((IF(Статистика!$C$4="Параллельный режим (активная мощность)",D273,O273)+Статистика!$J$4))-Статистика!$C$10)/MAX(Статистика!$G$10-Статистика!$C$10,0.000001)))))</f>
        <v>0.10645948777777808</v>
      </c>
      <c r="AZ273" s="12">
        <f>IF(A273="","",MAX(0,MAX(0,MIN(1,(((IF(Статистика!$C$4="Параллельный режим (активная мощность)",F273,Q273)+Статистика!$J$4))-Статистика!$C$10)/MAX(Статистика!$G$10-Статистика!$C$10,0.000001)))-MAX(0,MIN(1,(((IF(Статистика!$C$4="Параллельный режим (активная мощность)",E273,P273)+Статистика!$J$4))-Статистика!$C$10)/MAX(Статистика!$G$10-Статистика!$C$10,0.000001)))))</f>
        <v>4.3016069444444249E-2</v>
      </c>
      <c r="BA273" s="12">
        <f>IF(A273="","",MAX(0,MAX(0,MIN(1,(((IF(Статистика!$C$4="Параллельный режим (активная мощность)",G273,R273)+Статистика!$J$4))-Статистика!$C$10)/MAX(Статистика!$G$10-Статистика!$C$10,0.000001)))-MAX(0,MIN(1,(((IF(Статистика!$C$4="Параллельный режим (активная мощность)",F273,Q273)+Статистика!$J$4))-Статистика!$C$10)/MAX(Статистика!$G$10-Статистика!$C$10,0.000001)))))</f>
        <v>9.4553255555555271E-2</v>
      </c>
      <c r="BB273" s="12">
        <f>IF(A273="","",MAX(0,MAX(0,MIN(1,(((IF(Статистика!$C$4="Параллельный режим (активная мощность)",H273,S273)+Статистика!$J$4))-Статистика!$C$10)/MAX(Статистика!$G$10-Статистика!$C$10,0.000001)))-MAX(0,MIN(1,(((IF(Статистика!$C$4="Параллельный режим (активная мощность)",G273,R273)+Статистика!$J$4))-Статистика!$C$10)/MAX(Статистика!$G$10-Статистика!$C$10,0.000001)))))</f>
        <v>6.7896863888889158E-2</v>
      </c>
      <c r="BC273" s="12">
        <f>IF(A273="","",MAX(0,MAX(0,MIN(1,(((IF(Статистика!$C$4="Параллельный режим (активная мощность)",J273,U273)+Статистика!$J$4))-Статистика!$C$10)/MAX(Статистика!$G$10-Статистика!$C$10,0.000001)))-MAX(0,MIN(1,(((IF(Статистика!$C$4="Параллельный режим (активная мощность)",H273,S273)+Статистика!$J$4))-Статистика!$C$10)/MAX(Статистика!$G$10-Статистика!$C$10,0.000001)))))</f>
        <v>7.1961818499999941E-2</v>
      </c>
      <c r="BD273" s="12">
        <f>IF(A273="","",MAX(0,1-MAX(0,MIN(1,(((IF(Статистика!$C$4="Параллельный режим (активная мощность)",J273,U273)+Статистика!$J$4))-Статистика!$C$10)/MAX(Статистика!$G$10-Статистика!$C$10,0.000001)))))</f>
        <v>0.12331683427777773</v>
      </c>
      <c r="BE273" s="12">
        <f>IF(A273="",NA(),IF(Статистика!$B$8="Вкл",(((IF(Статистика!$C$4="Параллельный режим (активная мощность)",F273,Q273)+Статистика!$J$4))-Статистика!$C$10)/MAX(Статистика!$G$10-Статистика!$C$10,0.000001),NA()))</f>
        <v>0.6422712277777779</v>
      </c>
      <c r="BF273" s="12">
        <f>IF(A273="",NA(),IF(Статистика!$D$8="Вкл",(((IF(Статистика!$C$4="Параллельный режим (активная мощность)",E273,P273)+Статистика!$J$4))-Статистика!$C$10)/MAX(Статистика!$G$10-Статистика!$C$10,0.000001),NA()))</f>
        <v>0.59925515833333365</v>
      </c>
      <c r="BG273" s="12">
        <f>IF(A273="",NA(),IF(Статистика!$D$8="Вкл",(((IF(Статистика!$C$4="Параллельный режим (активная мощность)",G273,R273)+Статистика!$J$4))-Статистика!$C$10)/MAX(Статистика!$G$10-Статистика!$C$10,0.000001),NA()))</f>
        <v>0.73682448333333317</v>
      </c>
      <c r="BH273" s="12">
        <f>IF(A273="",NA(),IF(Статистика!$F$8="Вкл",(((IF(Статистика!$C$4="Параллельный режим (активная мощность)",D273,O273)+Статистика!$J$4))-Статистика!$C$10)/MAX(Статистика!$G$10-Статистика!$C$10,0.000001),NA()))</f>
        <v>0.49279567055555556</v>
      </c>
      <c r="BI273" s="12">
        <f>IF(A273="",NA(),IF(Статистика!$F$8="Вкл",(((IF(Статистика!$C$4="Параллельный режим (активная мощность)",H273,S273)+Статистика!$J$4))-Статистика!$C$10)/MAX(Статистика!$G$10-Статистика!$C$10,0.000001),NA()))</f>
        <v>0.80472134722222233</v>
      </c>
      <c r="BJ273" s="12">
        <f>IF(A273="",NA(),IF(Статистика!$H$8="Вкл",(((IF(Статистика!$C$4="Параллельный режим (активная мощность)",B273,M273)+Статистика!$J$4))-Статистика!$C$10)/MAX(Статистика!$G$10-Статистика!$C$10,0.000001),NA()))</f>
        <v>-1.2283608069444445</v>
      </c>
      <c r="BK273" s="12">
        <f>IF(A273="",NA(),IF(Статистика!$H$8="Вкл",(((IF(Статистика!$C$4="Параллельный режим (активная мощность)",J273,U273)+Статистика!$J$4))-Статистика!$C$10)/MAX(Статистика!$G$10-Статистика!$C$10,0.000001),NA()))</f>
        <v>0.87668316572222227</v>
      </c>
      <c r="BL273" s="12" t="e">
        <f>IF(A273="",NA(),IF(Статистика!$J$8="Вкл",(((IF(Статистика!$C$4="Параллельный режим (активная мощность)",K273,V273)+Статистика!$J$4))-Статистика!$C$10)/MAX(Статистика!$G$10-Статистика!$C$10,0.000001),NA()))</f>
        <v>#N/A</v>
      </c>
      <c r="BM273" s="12" t="e">
        <f>IF(AND(A273&lt;&gt;"",Статистика!$C$6="Вкл",Статистика!$B$6&gt;0),(Статистика!$B$6-Статистика!$C$10)/MAX(Статистика!$G$10-Статистика!$C$10,0.000001),NA())</f>
        <v>#N/A</v>
      </c>
      <c r="BN273" s="12" t="e">
        <f>IF(AND(A273&lt;&gt;"",Статистика!$F$6="Вкл",Статистика!$E$6&gt;0),(Статистика!$E$6-Статистика!$C$10)/MAX(Статистика!$G$10-Статистика!$C$10,0.000001),NA())</f>
        <v>#N/A</v>
      </c>
      <c r="BO273" s="12" t="e">
        <f>IF(AND(A273&lt;&gt;"",Статистика!$I$6="Вкл",Статистика!$H$6&gt;0),(Статистика!$H$6-Статистика!$C$10)/MAX(Статистика!$G$10-Статистика!$C$10,0.000001),NA())</f>
        <v>#N/A</v>
      </c>
      <c r="BP273" s="12" t="e">
        <f>IF(AND(A273&lt;&gt;"",Статистика!$L$6="Вкл",Статистика!$K$6&gt;0),(Статистика!$K$6-Статистика!$C$10)/MAX(Статистика!$G$10-Статистика!$C$10,0.000001),NA())</f>
        <v>#N/A</v>
      </c>
      <c r="BQ273" s="12" t="e">
        <f>IF(AND(A273&lt;&gt;"",Статистика!$M$6="Вкл",Статистика!$O$6&gt;0),(Статистика!$O$6-Статистика!$C$10)/MAX(Статистика!$G$10-Статистика!$C$10,0.000001),NA())</f>
        <v>#N/A</v>
      </c>
      <c r="BR273" s="12">
        <f t="shared" si="8"/>
        <v>1</v>
      </c>
      <c r="BT273" s="12">
        <f>IF(Y273="","",MAX(0,MIN(1,(((IF(Статистика!$C$4="Параллельный режим (активная мощность)",Z273,AK273)+Статистика!$J$4))-Статистика!$C$10)/MAX(Статистика!$G$10-Статистика!$C$10,0.000001))))</f>
        <v>0.55434975111111118</v>
      </c>
      <c r="BU273" s="12">
        <f>IF(Y273="","",MAX(0,MAX(0,MIN(1,(((IF(Статистика!$C$4="Параллельный режим (активная мощность)",AB273,AM273)+Статистика!$J$4))-Статистика!$C$10)/MAX(Статистика!$G$10-Статистика!$C$10,0.000001)))-MAX(0,MIN(1,(((IF(Статистика!$C$4="Параллельный режим (активная мощность)",Z273,AK273)+Статистика!$J$4))-Статистика!$C$10)/MAX(Статистика!$G$10-Статистика!$C$10,0.000001)))))</f>
        <v>2.1071599999998858E-3</v>
      </c>
      <c r="BV273" s="12">
        <f>IF(Y273="","",MAX(0,MAX(0,MIN(1,(((IF(Статистика!$C$4="Параллельный режим (активная мощность)",AC273,AN273)+Статистика!$J$4))-Статистика!$C$10)/MAX(Статистика!$G$10-Статистика!$C$10,0.000001)))-MAX(0,MIN(1,(((IF(Статистика!$C$4="Параллельный режим (активная мощность)",AB273,AM273)+Статистика!$J$4))-Статистика!$C$10)/MAX(Статистика!$G$10-Статистика!$C$10,0.000001)))))</f>
        <v>7.1408133333333401E-2</v>
      </c>
      <c r="BW273" s="12">
        <f>IF(Y273="","",MAX(0,MAX(0,MIN(1,(((IF(Статистика!$C$4="Параллельный режим (активная мощность)",AD273,AO273)+Статистика!$J$4))-Статистика!$C$10)/MAX(Статистика!$G$10-Статистика!$C$10,0.000001)))-MAX(0,MIN(1,(((IF(Статистика!$C$4="Параллельный режим (активная мощность)",AC273,AN273)+Статистика!$J$4))-Статистика!$C$10)/MAX(Статистика!$G$10-Статистика!$C$10,0.000001)))))</f>
        <v>4.8898588888888872E-2</v>
      </c>
      <c r="BX273" s="12">
        <f>IF(Y273="","",MAX(0,MAX(0,MIN(1,(((IF(Статистика!$C$4="Параллельный режим (активная мощность)",AE273,AP273)+Статистика!$J$4))-Статистика!$C$10)/MAX(Статистика!$G$10-Статистика!$C$10,0.000001)))-MAX(0,MIN(1,(((IF(Статистика!$C$4="Параллельный режим (активная мощность)",AD273,AO273)+Статистика!$J$4))-Статистика!$C$10)/MAX(Статистика!$G$10-Статистика!$C$10,0.000001)))))</f>
        <v>6.3840883333333598E-2</v>
      </c>
      <c r="BY273" s="12">
        <f>IF(Y273="","",MAX(0,MAX(0,MIN(1,(((IF(Статистика!$C$4="Параллельный режим (активная мощность)",AF273,AQ273)+Статистика!$J$4))-Статистика!$C$10)/MAX(Статистика!$G$10-Статистика!$C$10,0.000001)))-MAX(0,MIN(1,(((IF(Статистика!$C$4="Параллельный режим (активная мощность)",AE273,AP273)+Статистика!$J$4))-Статистика!$C$10)/MAX(Статистика!$G$10-Статистика!$C$10,0.000001)))))</f>
        <v>7.7495716666666326E-2</v>
      </c>
      <c r="BZ273" s="12">
        <f>IF(Y273="","",MAX(0,MAX(0,MIN(1,(((IF(Статистика!$C$4="Параллельный режим (активная мощность)",AH273,AS273)+Статистика!$J$4))-Статистика!$C$10)/MAX(Статистика!$G$10-Статистика!$C$10,0.000001)))-MAX(0,MIN(1,(((IF(Статистика!$C$4="Параллельный режим (активная мощность)",AF273,AQ273)+Статистика!$J$4))-Статистика!$C$10)/MAX(Статистика!$G$10-Статистика!$C$10,0.000001)))))</f>
        <v>3.0670750000000524E-2</v>
      </c>
      <c r="CA273" s="12">
        <f>IF(Y273="","",MAX(0,1-MAX(0,MIN(1,(((IF(Статистика!$C$4="Параллельный режим (активная мощность)",AH273,AS273)+Статистика!$J$4))-Статистика!$C$10)/MAX(Статистика!$G$10-Статистика!$C$10,0.000001)))))</f>
        <v>0.15122901666666622</v>
      </c>
      <c r="CB273" s="12">
        <f>IF(Y273="",NA(),IF(Статистика!$B$8="Вкл",(((IF(Статистика!$C$4="Параллельный режим (активная мощность)",AD273,AO273)+Статистика!$J$4))-Статистика!$C$10)/MAX(Статистика!$G$10-Статистика!$C$10,0.000001),NA()))</f>
        <v>0.67676363333333334</v>
      </c>
      <c r="CC273" s="12">
        <f>IF(Y273="",NA(),IF(Статистика!$D$8="Вкл",(((IF(Статистика!$C$4="Параллельный режим (активная мощность)",AC273,AN273)+Статистика!$J$4))-Статистика!$C$10)/MAX(Статистика!$G$10-Статистика!$C$10,0.000001),NA()))</f>
        <v>0.62786504444444446</v>
      </c>
      <c r="CD273" s="12">
        <f>IF(Y273="",NA(),IF(Статистика!$D$8="Вкл",(((IF(Статистика!$C$4="Параллельный режим (активная мощность)",AE273,AP273)+Статистика!$J$4))-Статистика!$C$10)/MAX(Статистика!$G$10-Статистика!$C$10,0.000001),NA()))</f>
        <v>0.74060451666666693</v>
      </c>
      <c r="CE273" s="12">
        <f>IF(Y273="",NA(),IF(Статистика!$F$8="Вкл",(((IF(Статистика!$C$4="Параллельный режим (активная мощность)",AB273,AM273)+Статистика!$J$4))-Статистика!$C$10)/MAX(Статистика!$G$10-Статистика!$C$10,0.000001),NA()))</f>
        <v>0.55645691111111106</v>
      </c>
      <c r="CF273" s="12">
        <f>IF(Y273="",NA(),IF(Статистика!$F$8="Вкл",(((IF(Статистика!$C$4="Параллельный режим (активная мощность)",AF273,AQ273)+Статистика!$J$4))-Статистика!$C$10)/MAX(Статистика!$G$10-Статистика!$C$10,0.000001),NA()))</f>
        <v>0.81810023333333326</v>
      </c>
      <c r="CG273" s="12">
        <f>IF(Y273="",NA(),IF(Статистика!$H$8="Вкл",(((IF(Статистика!$C$4="Параллельный режим (активная мощность)",Z273,AK273)+Статистика!$J$4))-Статистика!$C$10)/MAX(Статистика!$G$10-Статистика!$C$10,0.000001),NA()))</f>
        <v>0.55434975111111118</v>
      </c>
      <c r="CH273" s="12">
        <f>IF(Y273="",NA(),IF(Статистика!$H$8="Вкл",(((IF(Статистика!$C$4="Параллельный режим (активная мощность)",AH273,AS273)+Статистика!$J$4))-Статистика!$C$10)/MAX(Статистика!$G$10-Статистика!$C$10,0.000001),NA()))</f>
        <v>0.84877098333333378</v>
      </c>
      <c r="CI273" s="12" t="e">
        <f>IF(Y273="",NA(),IF(Статистика!$J$8="Вкл",(((IF(Статистика!$C$4="Параллельный режим (активная мощность)",AI273,AT273)+Статистика!$J$4))-Статистика!$C$10)/MAX(Статистика!$G$10-Статистика!$C$10,0.000001),NA()))</f>
        <v>#N/A</v>
      </c>
      <c r="CJ273" s="12" t="e">
        <f>IF(AND(Y273&lt;&gt;"",Статистика!$C$6="Вкл",Статистика!$B$6&gt;0),(Статистика!$B$6-Статистика!$C$10)/MAX(Статистика!$G$10-Статистика!$C$10,0.000001),NA())</f>
        <v>#N/A</v>
      </c>
      <c r="CK273" s="12" t="e">
        <f>IF(AND(Y273&lt;&gt;"",Статистика!$F$6="Вкл",Статистика!$E$6&gt;0),(Статистика!$E$6-Статистика!$C$10)/MAX(Статистика!$G$10-Статистика!$C$10,0.000001),NA())</f>
        <v>#N/A</v>
      </c>
      <c r="CL273" s="12" t="e">
        <f>IF(AND(Y273&lt;&gt;"",Статистика!$I$6="Вкл",Статистика!$H$6&gt;0),(Статистика!$H$6-Статистика!$C$10)/MAX(Статистика!$G$10-Статистика!$C$10,0.000001),NA())</f>
        <v>#N/A</v>
      </c>
      <c r="CM273" s="12" t="e">
        <f>IF(AND(Y273&lt;&gt;"",Статистика!$L$6="Вкл",Статистика!$K$6&gt;0),(Статистика!$K$6-Статистика!$C$10)/MAX(Статистика!$G$10-Статистика!$C$10,0.000001),NA())</f>
        <v>#N/A</v>
      </c>
      <c r="CN273" s="12" t="e">
        <f>IF(AND(Y273&lt;&gt;"",Статистика!$M$6="Вкл",Статистика!$O$6&gt;0),(Статистика!$O$6-Статистика!$C$10)/MAX(Статистика!$G$10-Статистика!$C$10,0.000001),NA())</f>
        <v>#N/A</v>
      </c>
      <c r="CO273" s="12">
        <f t="shared" si="9"/>
        <v>1</v>
      </c>
    </row>
    <row r="274" spans="1:93" ht="15" customHeight="1">
      <c r="A274" s="12" t="s">
        <v>1136</v>
      </c>
      <c r="B274" s="12">
        <v>2295.0307271666666</v>
      </c>
      <c r="C274" s="12">
        <v>5755.976702500001</v>
      </c>
      <c r="D274" s="12">
        <v>7498.902191666667</v>
      </c>
      <c r="E274" s="12">
        <v>7840.3229500000007</v>
      </c>
      <c r="F274" s="12">
        <v>8003.0982166666663</v>
      </c>
      <c r="G274" s="12">
        <v>8201.6290166666658</v>
      </c>
      <c r="H274" s="12">
        <v>8400.2974149999991</v>
      </c>
      <c r="I274" s="12">
        <v>8485.4394100000009</v>
      </c>
      <c r="J274" s="12">
        <v>8608.9425220000012</v>
      </c>
      <c r="K274" s="12">
        <v>8739.81</v>
      </c>
      <c r="L274" s="12" t="s">
        <v>1137</v>
      </c>
      <c r="M274" s="12">
        <v>2796.1773346666669</v>
      </c>
      <c r="N274" s="12">
        <v>6607.789473333336</v>
      </c>
      <c r="O274" s="12">
        <v>8525.2354216666681</v>
      </c>
      <c r="P274" s="12">
        <v>8881.735775000001</v>
      </c>
      <c r="Q274" s="12">
        <v>9123.1198000000004</v>
      </c>
      <c r="R274" s="12">
        <v>9269.216816666667</v>
      </c>
      <c r="S274" s="12">
        <v>9532.9470816666671</v>
      </c>
      <c r="T274" s="12">
        <v>9600.1588850000007</v>
      </c>
      <c r="U274" s="12">
        <v>9729.0279636666673</v>
      </c>
      <c r="V274" s="12">
        <v>9872.23</v>
      </c>
      <c r="W274" s="12" t="s">
        <v>1137</v>
      </c>
      <c r="Y274" s="12" t="s">
        <v>1136</v>
      </c>
      <c r="Z274" s="12">
        <v>7655.2543619999997</v>
      </c>
      <c r="AA274" s="12">
        <v>7661.3648766666665</v>
      </c>
      <c r="AB274" s="12">
        <v>7669.0030200000001</v>
      </c>
      <c r="AC274" s="12">
        <v>7871.3023583333343</v>
      </c>
      <c r="AD274" s="12">
        <v>8008.4746500000001</v>
      </c>
      <c r="AE274" s="12">
        <v>8223.9509416666679</v>
      </c>
      <c r="AF274" s="12">
        <v>8442.8208466666656</v>
      </c>
      <c r="AG274" s="12">
        <v>8486.290023333333</v>
      </c>
      <c r="AH274" s="12">
        <v>8521.0653646666651</v>
      </c>
      <c r="AI274" s="12">
        <v>8595.09</v>
      </c>
      <c r="AJ274" s="12" t="s">
        <v>1138</v>
      </c>
      <c r="AK274" s="12">
        <v>8739.8334436666664</v>
      </c>
      <c r="AL274" s="12">
        <v>8748.5765516666652</v>
      </c>
      <c r="AM274" s="12">
        <v>8759.5054366666664</v>
      </c>
      <c r="AN274" s="12">
        <v>8973.9597499999982</v>
      </c>
      <c r="AO274" s="12">
        <v>9070.9255833333336</v>
      </c>
      <c r="AP274" s="12">
        <v>9304.3268250000001</v>
      </c>
      <c r="AQ274" s="12">
        <v>9551.9376166666661</v>
      </c>
      <c r="AR274" s="12">
        <v>9589.8706583333333</v>
      </c>
      <c r="AS274" s="12">
        <v>9620.2170916666673</v>
      </c>
      <c r="AT274" s="12">
        <v>9689.11</v>
      </c>
      <c r="AU274" s="12" t="s">
        <v>1139</v>
      </c>
      <c r="AW274" s="12">
        <f>IF(A274="","",MAX(0,MIN(1,(((IF(Статистика!$C$4="Параллельный режим (активная мощность)",B274,M274)+Статистика!$J$4))-Статистика!$C$10)/MAX(Статистика!$G$10-Статистика!$C$10,0.000001))))</f>
        <v>0</v>
      </c>
      <c r="AX274" s="12">
        <f>IF(A274="","",MAX(0,MAX(0,MIN(1,(((IF(Статистика!$C$4="Параллельный режим (активная мощность)",D274,O274)+Статистика!$J$4))-Статистика!$C$10)/MAX(Статистика!$G$10-Статистика!$C$10,0.000001)))-MAX(0,MIN(1,(((IF(Статистика!$C$4="Параллельный режим (активная мощность)",B274,M274)+Статистика!$J$4))-Статистика!$C$10)/MAX(Статистика!$G$10-Статистика!$C$10,0.000001)))))</f>
        <v>0.49963406388888904</v>
      </c>
      <c r="AY274" s="12">
        <f>IF(A274="","",MAX(0,MAX(0,MIN(1,(((IF(Статистика!$C$4="Параллельный режим (активная мощность)",E274,P274)+Статистика!$J$4))-Статистика!$C$10)/MAX(Статистика!$G$10-Статистика!$C$10,0.000001)))-MAX(0,MIN(1,(((IF(Статистика!$C$4="Параллельный режим (активная мощность)",D274,O274)+Статистика!$J$4))-Статистика!$C$10)/MAX(Статистика!$G$10-Статистика!$C$10,0.000001)))))</f>
        <v>0.11380691944444449</v>
      </c>
      <c r="AZ274" s="12">
        <f>IF(A274="","",MAX(0,MAX(0,MIN(1,(((IF(Статистика!$C$4="Параллельный режим (активная мощность)",F274,Q274)+Статистика!$J$4))-Статистика!$C$10)/MAX(Статистика!$G$10-Статистика!$C$10,0.000001)))-MAX(0,MIN(1,(((IF(Статистика!$C$4="Параллельный режим (активная мощность)",E274,P274)+Статистика!$J$4))-Статистика!$C$10)/MAX(Статистика!$G$10-Статистика!$C$10,0.000001)))))</f>
        <v>5.425842222222188E-2</v>
      </c>
      <c r="BA274" s="12">
        <f>IF(A274="","",MAX(0,MAX(0,MIN(1,(((IF(Статистика!$C$4="Параллельный режим (активная мощность)",G274,R274)+Статистика!$J$4))-Статистика!$C$10)/MAX(Статистика!$G$10-Статистика!$C$10,0.000001)))-MAX(0,MIN(1,(((IF(Статистика!$C$4="Параллельный режим (активная мощность)",F274,Q274)+Статистика!$J$4))-Статистика!$C$10)/MAX(Статистика!$G$10-Статистика!$C$10,0.000001)))))</f>
        <v>6.6176933333333188E-2</v>
      </c>
      <c r="BB274" s="12">
        <f>IF(A274="","",MAX(0,MAX(0,MIN(1,(((IF(Статистика!$C$4="Параллельный режим (активная мощность)",H274,S274)+Статистика!$J$4))-Статистика!$C$10)/MAX(Статистика!$G$10-Статистика!$C$10,0.000001)))-MAX(0,MIN(1,(((IF(Статистика!$C$4="Параллельный режим (активная мощность)",G274,R274)+Статистика!$J$4))-Статистика!$C$10)/MAX(Статистика!$G$10-Статистика!$C$10,0.000001)))))</f>
        <v>6.6222799444444425E-2</v>
      </c>
      <c r="BC274" s="12">
        <f>IF(A274="","",MAX(0,MAX(0,MIN(1,(((IF(Статистика!$C$4="Параллельный режим (активная мощность)",J274,U274)+Статистика!$J$4))-Статистика!$C$10)/MAX(Статистика!$G$10-Статистика!$C$10,0.000001)))-MAX(0,MIN(1,(((IF(Статистика!$C$4="Параллельный режим (активная мощность)",H274,S274)+Статистика!$J$4))-Статистика!$C$10)/MAX(Статистика!$G$10-Статистика!$C$10,0.000001)))))</f>
        <v>6.954836900000072E-2</v>
      </c>
      <c r="BD274" s="12">
        <f>IF(A274="","",MAX(0,1-MAX(0,MIN(1,(((IF(Статистика!$C$4="Параллельный режим (активная мощность)",J274,U274)+Статистика!$J$4))-Статистика!$C$10)/MAX(Статистика!$G$10-Статистика!$C$10,0.000001)))))</f>
        <v>0.13035249266666626</v>
      </c>
      <c r="BE274" s="12">
        <f>IF(A274="",NA(),IF(Статистика!$B$8="Вкл",(((IF(Статистика!$C$4="Параллельный режим (активная мощность)",F274,Q274)+Статистика!$J$4))-Статистика!$C$10)/MAX(Статистика!$G$10-Статистика!$C$10,0.000001),NA()))</f>
        <v>0.6676994055555554</v>
      </c>
      <c r="BF274" s="12">
        <f>IF(A274="",NA(),IF(Статистика!$D$8="Вкл",(((IF(Статистика!$C$4="Параллельный режим (активная мощность)",E274,P274)+Статистика!$J$4))-Статистика!$C$10)/MAX(Статистика!$G$10-Статистика!$C$10,0.000001),NA()))</f>
        <v>0.61344098333333352</v>
      </c>
      <c r="BG274" s="12">
        <f>IF(A274="",NA(),IF(Статистика!$D$8="Вкл",(((IF(Статистика!$C$4="Параллельный режим (активная мощность)",G274,R274)+Статистика!$J$4))-Статистика!$C$10)/MAX(Статистика!$G$10-Статистика!$C$10,0.000001),NA()))</f>
        <v>0.73387633888888859</v>
      </c>
      <c r="BH274" s="12">
        <f>IF(A274="",NA(),IF(Статистика!$F$8="Вкл",(((IF(Статистика!$C$4="Параллельный режим (активная мощность)",D274,O274)+Статистика!$J$4))-Статистика!$C$10)/MAX(Статистика!$G$10-Статистика!$C$10,0.000001),NA()))</f>
        <v>0.49963406388888904</v>
      </c>
      <c r="BI274" s="12">
        <f>IF(A274="",NA(),IF(Статистика!$F$8="Вкл",(((IF(Статистика!$C$4="Параллельный режим (активная мощность)",H274,S274)+Статистика!$J$4))-Статистика!$C$10)/MAX(Статистика!$G$10-Статистика!$C$10,0.000001),NA()))</f>
        <v>0.80009913833333302</v>
      </c>
      <c r="BJ274" s="12">
        <f>IF(A274="",NA(),IF(Статистика!$H$8="Вкл",(((IF(Статистика!$C$4="Параллельный режим (активная мощность)",B274,M274)+Статистика!$J$4))-Статистика!$C$10)/MAX(Статистика!$G$10-Статистика!$C$10,0.000001),NA()))</f>
        <v>-1.2349897576111111</v>
      </c>
      <c r="BK274" s="12">
        <f>IF(A274="",NA(),IF(Статистика!$H$8="Вкл",(((IF(Статистика!$C$4="Параллельный режим (активная мощность)",J274,U274)+Статистика!$J$4))-Статистика!$C$10)/MAX(Статистика!$G$10-Статистика!$C$10,0.000001),NA()))</f>
        <v>0.86964750733333374</v>
      </c>
      <c r="BL274" s="12" t="e">
        <f>IF(A274="",NA(),IF(Статистика!$J$8="Вкл",(((IF(Статистика!$C$4="Параллельный режим (активная мощность)",K274,V274)+Статистика!$J$4))-Статистика!$C$10)/MAX(Статистика!$G$10-Статистика!$C$10,0.000001),NA()))</f>
        <v>#N/A</v>
      </c>
      <c r="BM274" s="12" t="e">
        <f>IF(AND(A274&lt;&gt;"",Статистика!$C$6="Вкл",Статистика!$B$6&gt;0),(Статистика!$B$6-Статистика!$C$10)/MAX(Статистика!$G$10-Статистика!$C$10,0.000001),NA())</f>
        <v>#N/A</v>
      </c>
      <c r="BN274" s="12" t="e">
        <f>IF(AND(A274&lt;&gt;"",Статистика!$F$6="Вкл",Статистика!$E$6&gt;0),(Статистика!$E$6-Статистика!$C$10)/MAX(Статистика!$G$10-Статистика!$C$10,0.000001),NA())</f>
        <v>#N/A</v>
      </c>
      <c r="BO274" s="12" t="e">
        <f>IF(AND(A274&lt;&gt;"",Статистика!$I$6="Вкл",Статистика!$H$6&gt;0),(Статистика!$H$6-Статистика!$C$10)/MAX(Статистика!$G$10-Статистика!$C$10,0.000001),NA())</f>
        <v>#N/A</v>
      </c>
      <c r="BP274" s="12" t="e">
        <f>IF(AND(A274&lt;&gt;"",Статистика!$L$6="Вкл",Статистика!$K$6&gt;0),(Статистика!$K$6-Статистика!$C$10)/MAX(Статистика!$G$10-Статистика!$C$10,0.000001),NA())</f>
        <v>#N/A</v>
      </c>
      <c r="BQ274" s="12" t="e">
        <f>IF(AND(A274&lt;&gt;"",Статистика!$M$6="Вкл",Статистика!$O$6&gt;0),(Статистика!$O$6-Статистика!$C$10)/MAX(Статистика!$G$10-Статистика!$C$10,0.000001),NA())</f>
        <v>#N/A</v>
      </c>
      <c r="BR274" s="12">
        <f t="shared" si="8"/>
        <v>1</v>
      </c>
      <c r="BT274" s="12">
        <f>IF(Y274="","",MAX(0,MIN(1,(((IF(Статистика!$C$4="Параллельный режим (активная мощность)",Z274,AK274)+Статистика!$J$4))-Статистика!$C$10)/MAX(Статистика!$G$10-Статистика!$C$10,0.000001))))</f>
        <v>0.55175145399999992</v>
      </c>
      <c r="BU274" s="12">
        <f>IF(Y274="","",MAX(0,MAX(0,MIN(1,(((IF(Статистика!$C$4="Параллельный режим (активная мощность)",AB274,AM274)+Статистика!$J$4))-Статистика!$C$10)/MAX(Статистика!$G$10-Статистика!$C$10,0.000001)))-MAX(0,MIN(1,(((IF(Статистика!$C$4="Параллельный режим (активная мощность)",Z274,AK274)+Статистика!$J$4))-Статистика!$C$10)/MAX(Статистика!$G$10-Статистика!$C$10,0.000001)))))</f>
        <v>4.5828860000001193E-3</v>
      </c>
      <c r="BV274" s="12">
        <f>IF(Y274="","",MAX(0,MAX(0,MIN(1,(((IF(Статистика!$C$4="Параллельный режим (активная мощность)",AC274,AN274)+Статистика!$J$4))-Статистика!$C$10)/MAX(Статистика!$G$10-Статистика!$C$10,0.000001)))-MAX(0,MIN(1,(((IF(Статистика!$C$4="Параллельный режим (активная мощность)",AB274,AM274)+Статистика!$J$4))-Статистика!$C$10)/MAX(Статистика!$G$10-Статистика!$C$10,0.000001)))))</f>
        <v>6.7433112777778081E-2</v>
      </c>
      <c r="BW274" s="12">
        <f>IF(Y274="","",MAX(0,MAX(0,MIN(1,(((IF(Статистика!$C$4="Параллельный режим (активная мощность)",AD274,AO274)+Статистика!$J$4))-Статистика!$C$10)/MAX(Статистика!$G$10-Статистика!$C$10,0.000001)))-MAX(0,MIN(1,(((IF(Статистика!$C$4="Параллельный режим (активная мощность)",AC274,AN274)+Статистика!$J$4))-Статистика!$C$10)/MAX(Статистика!$G$10-Статистика!$C$10,0.000001)))))</f>
        <v>4.5724097222221927E-2</v>
      </c>
      <c r="BX274" s="12">
        <f>IF(Y274="","",MAX(0,MAX(0,MIN(1,(((IF(Статистика!$C$4="Параллельный режим (активная мощность)",AE274,AP274)+Статистика!$J$4))-Статистика!$C$10)/MAX(Статистика!$G$10-Статистика!$C$10,0.000001)))-MAX(0,MIN(1,(((IF(Статистика!$C$4="Параллельный режим (активная мощность)",AD274,AO274)+Статистика!$J$4))-Статистика!$C$10)/MAX(Статистика!$G$10-Статистика!$C$10,0.000001)))))</f>
        <v>7.1825430555555903E-2</v>
      </c>
      <c r="BY274" s="12">
        <f>IF(Y274="","",MAX(0,MAX(0,MIN(1,(((IF(Статистика!$C$4="Параллельный режим (активная мощность)",AF274,AQ274)+Статистика!$J$4))-Статистика!$C$10)/MAX(Статистика!$G$10-Статистика!$C$10,0.000001)))-MAX(0,MIN(1,(((IF(Статистика!$C$4="Параллельный режим (активная мощность)",AE274,AP274)+Статистика!$J$4))-Статистика!$C$10)/MAX(Статистика!$G$10-Статистика!$C$10,0.000001)))))</f>
        <v>7.295663499999927E-2</v>
      </c>
      <c r="BZ274" s="12">
        <f>IF(Y274="","",MAX(0,MAX(0,MIN(1,(((IF(Статистика!$C$4="Параллельный режим (активная мощность)",AH274,AS274)+Статистика!$J$4))-Статистика!$C$10)/MAX(Статистика!$G$10-Статистика!$C$10,0.000001)))-MAX(0,MIN(1,(((IF(Статистика!$C$4="Параллельный режим (активная мощность)",AF274,AQ274)+Статистика!$J$4))-Статистика!$C$10)/MAX(Статистика!$G$10-Статистика!$C$10,0.000001)))))</f>
        <v>2.608150599999981E-2</v>
      </c>
      <c r="CA274" s="12">
        <f>IF(Y274="","",MAX(0,1-MAX(0,MIN(1,(((IF(Статистика!$C$4="Параллельный режим (активная мощность)",AH274,AS274)+Статистика!$J$4))-Статистика!$C$10)/MAX(Статистика!$G$10-Статистика!$C$10,0.000001)))))</f>
        <v>0.15964487844444497</v>
      </c>
      <c r="CB274" s="12">
        <f>IF(Y274="",NA(),IF(Статистика!$B$8="Вкл",(((IF(Статистика!$C$4="Параллельный режим (активная мощность)",AD274,AO274)+Статистика!$J$4))-Статистика!$C$10)/MAX(Статистика!$G$10-Статистика!$C$10,0.000001),NA()))</f>
        <v>0.66949155000000005</v>
      </c>
      <c r="CC274" s="12">
        <f>IF(Y274="",NA(),IF(Статистика!$D$8="Вкл",(((IF(Статистика!$C$4="Параллельный режим (активная мощность)",AC274,AN274)+Статистика!$J$4))-Статистика!$C$10)/MAX(Статистика!$G$10-Статистика!$C$10,0.000001),NA()))</f>
        <v>0.62376745277777812</v>
      </c>
      <c r="CD274" s="12">
        <f>IF(Y274="",NA(),IF(Статистика!$D$8="Вкл",(((IF(Статистика!$C$4="Параллельный режим (активная мощность)",AE274,AP274)+Статистика!$J$4))-Статистика!$C$10)/MAX(Статистика!$G$10-Статистика!$C$10,0.000001),NA()))</f>
        <v>0.74131698055555595</v>
      </c>
      <c r="CE274" s="12">
        <f>IF(Y274="",NA(),IF(Статистика!$F$8="Вкл",(((IF(Статистика!$C$4="Параллельный режим (активная мощность)",AB274,AM274)+Статистика!$J$4))-Статистика!$C$10)/MAX(Статистика!$G$10-Статистика!$C$10,0.000001),NA()))</f>
        <v>0.55633434000000004</v>
      </c>
      <c r="CF274" s="12">
        <f>IF(Y274="",NA(),IF(Статистика!$F$8="Вкл",(((IF(Статистика!$C$4="Параллельный режим (активная мощность)",AF274,AQ274)+Статистика!$J$4))-Статистика!$C$10)/MAX(Статистика!$G$10-Статистика!$C$10,0.000001),NA()))</f>
        <v>0.81427361555555522</v>
      </c>
      <c r="CG274" s="12">
        <f>IF(Y274="",NA(),IF(Статистика!$H$8="Вкл",(((IF(Статистика!$C$4="Параллельный режим (активная мощность)",Z274,AK274)+Статистика!$J$4))-Статистика!$C$10)/MAX(Статистика!$G$10-Статистика!$C$10,0.000001),NA()))</f>
        <v>0.55175145399999992</v>
      </c>
      <c r="CH274" s="12">
        <f>IF(Y274="",NA(),IF(Статистика!$H$8="Вкл",(((IF(Статистика!$C$4="Параллельный режим (активная мощность)",AH274,AS274)+Статистика!$J$4))-Статистика!$C$10)/MAX(Статистика!$G$10-Статистика!$C$10,0.000001),NA()))</f>
        <v>0.84035512155555503</v>
      </c>
      <c r="CI274" s="12" t="e">
        <f>IF(Y274="",NA(),IF(Статистика!$J$8="Вкл",(((IF(Статистика!$C$4="Параллельный режим (активная мощность)",AI274,AT274)+Статистика!$J$4))-Статистика!$C$10)/MAX(Статистика!$G$10-Статистика!$C$10,0.000001),NA()))</f>
        <v>#N/A</v>
      </c>
      <c r="CJ274" s="12" t="e">
        <f>IF(AND(Y274&lt;&gt;"",Статистика!$C$6="Вкл",Статистика!$B$6&gt;0),(Статистика!$B$6-Статистика!$C$10)/MAX(Статистика!$G$10-Статистика!$C$10,0.000001),NA())</f>
        <v>#N/A</v>
      </c>
      <c r="CK274" s="12" t="e">
        <f>IF(AND(Y274&lt;&gt;"",Статистика!$F$6="Вкл",Статистика!$E$6&gt;0),(Статистика!$E$6-Статистика!$C$10)/MAX(Статистика!$G$10-Статистика!$C$10,0.000001),NA())</f>
        <v>#N/A</v>
      </c>
      <c r="CL274" s="12" t="e">
        <f>IF(AND(Y274&lt;&gt;"",Статистика!$I$6="Вкл",Статистика!$H$6&gt;0),(Статистика!$H$6-Статистика!$C$10)/MAX(Статистика!$G$10-Статистика!$C$10,0.000001),NA())</f>
        <v>#N/A</v>
      </c>
      <c r="CM274" s="12" t="e">
        <f>IF(AND(Y274&lt;&gt;"",Статистика!$L$6="Вкл",Статистика!$K$6&gt;0),(Статистика!$K$6-Статистика!$C$10)/MAX(Статистика!$G$10-Статистика!$C$10,0.000001),NA())</f>
        <v>#N/A</v>
      </c>
      <c r="CN274" s="12" t="e">
        <f>IF(AND(Y274&lt;&gt;"",Статистика!$M$6="Вкл",Статистика!$O$6&gt;0),(Статистика!$O$6-Статистика!$C$10)/MAX(Статистика!$G$10-Статистика!$C$10,0.000001),NA())</f>
        <v>#N/A</v>
      </c>
      <c r="CO274" s="12">
        <f t="shared" si="9"/>
        <v>1</v>
      </c>
    </row>
    <row r="275" spans="1:93" ht="15" customHeight="1">
      <c r="A275" s="12" t="s">
        <v>1140</v>
      </c>
      <c r="B275" s="12">
        <v>2316.5652796666668</v>
      </c>
      <c r="C275" s="12">
        <v>5809.5414650000002</v>
      </c>
      <c r="D275" s="12">
        <v>7515.6784666666672</v>
      </c>
      <c r="E275" s="12">
        <v>7837.7173250000014</v>
      </c>
      <c r="F275" s="12">
        <v>8027.9763666666659</v>
      </c>
      <c r="G275" s="12">
        <v>8202.5451000000012</v>
      </c>
      <c r="H275" s="12">
        <v>8395.3551183333329</v>
      </c>
      <c r="I275" s="12">
        <v>8490.0724699999992</v>
      </c>
      <c r="J275" s="12">
        <v>8621.0713473333344</v>
      </c>
      <c r="K275" s="12">
        <v>8776.2099999999991</v>
      </c>
      <c r="L275" s="12" t="s">
        <v>1141</v>
      </c>
      <c r="M275" s="12">
        <v>2828.6292169999997</v>
      </c>
      <c r="N275" s="12">
        <v>6677.386218333334</v>
      </c>
      <c r="O275" s="12">
        <v>8546.7209750000002</v>
      </c>
      <c r="P275" s="12">
        <v>8893.9679583333345</v>
      </c>
      <c r="Q275" s="12">
        <v>9145.9267666666674</v>
      </c>
      <c r="R275" s="12">
        <v>9285.0534666666663</v>
      </c>
      <c r="S275" s="12">
        <v>9535.0173366666659</v>
      </c>
      <c r="T275" s="12">
        <v>9607.8316741666658</v>
      </c>
      <c r="U275" s="12">
        <v>9742.0200681666684</v>
      </c>
      <c r="V275" s="12">
        <v>9911.9599999999991</v>
      </c>
      <c r="W275" s="12" t="s">
        <v>1141</v>
      </c>
      <c r="Y275" s="12" t="s">
        <v>1140</v>
      </c>
      <c r="Z275" s="12">
        <v>7662.2059531666673</v>
      </c>
      <c r="AA275" s="12">
        <v>7682.4461658333339</v>
      </c>
      <c r="AB275" s="12">
        <v>7707.7464316666674</v>
      </c>
      <c r="AC275" s="12">
        <v>7866.133499999999</v>
      </c>
      <c r="AD275" s="12">
        <v>8015.0698666666676</v>
      </c>
      <c r="AE275" s="12">
        <v>8192.2946083333318</v>
      </c>
      <c r="AF275" s="12">
        <v>8461.5606649999991</v>
      </c>
      <c r="AG275" s="12">
        <v>8502.9114158333323</v>
      </c>
      <c r="AH275" s="12">
        <v>8535.9920164999985</v>
      </c>
      <c r="AI275" s="12">
        <v>8671.2900000000009</v>
      </c>
      <c r="AJ275" s="12" t="s">
        <v>1142</v>
      </c>
      <c r="AK275" s="12">
        <v>8788.2330960000018</v>
      </c>
      <c r="AL275" s="12">
        <v>8794.2069466666671</v>
      </c>
      <c r="AM275" s="12">
        <v>8801.6742599999998</v>
      </c>
      <c r="AN275" s="12">
        <v>8963.3025499999985</v>
      </c>
      <c r="AO275" s="12">
        <v>9100.6186333333335</v>
      </c>
      <c r="AP275" s="12">
        <v>9285.7277666666669</v>
      </c>
      <c r="AQ275" s="12">
        <v>9573.5505583333343</v>
      </c>
      <c r="AR275" s="12">
        <v>9607.0466125000021</v>
      </c>
      <c r="AS275" s="12">
        <v>9633.8434558333356</v>
      </c>
      <c r="AT275" s="12">
        <v>9798.9</v>
      </c>
      <c r="AU275" s="12" t="s">
        <v>1142</v>
      </c>
      <c r="AW275" s="12">
        <f>IF(A275="","",MAX(0,MIN(1,(((IF(Статистика!$C$4="Параллельный режим (активная мощность)",B275,M275)+Статистика!$J$4))-Статистика!$C$10)/MAX(Статистика!$G$10-Статистика!$C$10,0.000001))))</f>
        <v>0</v>
      </c>
      <c r="AX275" s="12">
        <f>IF(A275="","",MAX(0,MAX(0,MIN(1,(((IF(Статистика!$C$4="Параллельный режим (активная мощность)",D275,O275)+Статистика!$J$4))-Статистика!$C$10)/MAX(Статистика!$G$10-Статистика!$C$10,0.000001)))-MAX(0,MIN(1,(((IF(Статистика!$C$4="Параллельный режим (активная мощность)",B275,M275)+Статистика!$J$4))-Статистика!$C$10)/MAX(Статистика!$G$10-Статистика!$C$10,0.000001)))))</f>
        <v>0.50522615555555572</v>
      </c>
      <c r="AY275" s="12">
        <f>IF(A275="","",MAX(0,MAX(0,MIN(1,(((IF(Статистика!$C$4="Параллельный режим (активная мощность)",E275,P275)+Статистика!$J$4))-Статистика!$C$10)/MAX(Статистика!$G$10-Статистика!$C$10,0.000001)))-MAX(0,MIN(1,(((IF(Статистика!$C$4="Параллельный режим (активная мощность)",D275,O275)+Статистика!$J$4))-Статистика!$C$10)/MAX(Статистика!$G$10-Статистика!$C$10,0.000001)))))</f>
        <v>0.10734628611111141</v>
      </c>
      <c r="AZ275" s="12">
        <f>IF(A275="","",MAX(0,MAX(0,MIN(1,(((IF(Статистика!$C$4="Параллельный режим (активная мощность)",F275,Q275)+Статистика!$J$4))-Статистика!$C$10)/MAX(Статистика!$G$10-Статистика!$C$10,0.000001)))-MAX(0,MIN(1,(((IF(Статистика!$C$4="Параллельный режим (активная мощность)",E275,P275)+Статистика!$J$4))-Статистика!$C$10)/MAX(Статистика!$G$10-Статистика!$C$10,0.000001)))))</f>
        <v>6.3419680555554803E-2</v>
      </c>
      <c r="BA275" s="12">
        <f>IF(A275="","",MAX(0,MAX(0,MIN(1,(((IF(Статистика!$C$4="Параллельный режим (активная мощность)",G275,R275)+Статистика!$J$4))-Статистика!$C$10)/MAX(Статистика!$G$10-Статистика!$C$10,0.000001)))-MAX(0,MIN(1,(((IF(Статистика!$C$4="Параллельный режим (активная мощность)",F275,Q275)+Статистика!$J$4))-Статистика!$C$10)/MAX(Статистика!$G$10-Статистика!$C$10,0.000001)))))</f>
        <v>5.8189577777778445E-2</v>
      </c>
      <c r="BB275" s="12">
        <f>IF(A275="","",MAX(0,MAX(0,MIN(1,(((IF(Статистика!$C$4="Параллельный режим (активная мощность)",H275,S275)+Статистика!$J$4))-Статистика!$C$10)/MAX(Статистика!$G$10-Статистика!$C$10,0.000001)))-MAX(0,MIN(1,(((IF(Статистика!$C$4="Параллельный режим (активная мощность)",G275,R275)+Статистика!$J$4))-Статистика!$C$10)/MAX(Статистика!$G$10-Статистика!$C$10,0.000001)))))</f>
        <v>6.4270006111110556E-2</v>
      </c>
      <c r="BC275" s="12">
        <f>IF(A275="","",MAX(0,MAX(0,MIN(1,(((IF(Статистика!$C$4="Параллельный режим (активная мощность)",J275,U275)+Статистика!$J$4))-Статистика!$C$10)/MAX(Статистика!$G$10-Статистика!$C$10,0.000001)))-MAX(0,MIN(1,(((IF(Статистика!$C$4="Параллельный режим (активная мощность)",H275,S275)+Статистика!$J$4))-Статистика!$C$10)/MAX(Статистика!$G$10-Статистика!$C$10,0.000001)))))</f>
        <v>7.5238743000000552E-2</v>
      </c>
      <c r="BD275" s="12">
        <f>IF(A275="","",MAX(0,1-MAX(0,MIN(1,(((IF(Статистика!$C$4="Параллельный режим (активная мощность)",J275,U275)+Статистика!$J$4))-Статистика!$C$10)/MAX(Статистика!$G$10-Статистика!$C$10,0.000001)))))</f>
        <v>0.12630955088888851</v>
      </c>
      <c r="BE275" s="12">
        <f>IF(A275="",NA(),IF(Статистика!$B$8="Вкл",(((IF(Статистика!$C$4="Параллельный режим (активная мощность)",F275,Q275)+Статистика!$J$4))-Статистика!$C$10)/MAX(Статистика!$G$10-Статистика!$C$10,0.000001),NA()))</f>
        <v>0.67599212222222194</v>
      </c>
      <c r="BF275" s="12">
        <f>IF(A275="",NA(),IF(Статистика!$D$8="Вкл",(((IF(Статистика!$C$4="Параллельный режим (активная мощность)",E275,P275)+Статистика!$J$4))-Статистика!$C$10)/MAX(Статистика!$G$10-Статистика!$C$10,0.000001),NA()))</f>
        <v>0.61257244166666713</v>
      </c>
      <c r="BG275" s="12">
        <f>IF(A275="",NA(),IF(Статистика!$D$8="Вкл",(((IF(Статистика!$C$4="Параллельный режим (активная мощность)",G275,R275)+Статистика!$J$4))-Статистика!$C$10)/MAX(Статистика!$G$10-Статистика!$C$10,0.000001),NA()))</f>
        <v>0.73418170000000038</v>
      </c>
      <c r="BH275" s="12">
        <f>IF(A275="",NA(),IF(Статистика!$F$8="Вкл",(((IF(Статистика!$C$4="Параллельный режим (активная мощность)",D275,O275)+Статистика!$J$4))-Статистика!$C$10)/MAX(Статистика!$G$10-Статистика!$C$10,0.000001),NA()))</f>
        <v>0.50522615555555572</v>
      </c>
      <c r="BI275" s="12">
        <f>IF(A275="",NA(),IF(Статистика!$F$8="Вкл",(((IF(Статистика!$C$4="Параллельный режим (активная мощность)",H275,S275)+Статистика!$J$4))-Статистика!$C$10)/MAX(Статистика!$G$10-Статистика!$C$10,0.000001),NA()))</f>
        <v>0.79845170611111094</v>
      </c>
      <c r="BJ275" s="12">
        <f>IF(A275="",NA(),IF(Статистика!$H$8="Вкл",(((IF(Статистика!$C$4="Параллельный режим (активная мощность)",B275,M275)+Статистика!$J$4))-Статистика!$C$10)/MAX(Статистика!$G$10-Статистика!$C$10,0.000001),NA()))</f>
        <v>-1.2278115734444444</v>
      </c>
      <c r="BK275" s="12">
        <f>IF(A275="",NA(),IF(Статистика!$H$8="Вкл",(((IF(Статистика!$C$4="Параллельный режим (активная мощность)",J275,U275)+Статистика!$J$4))-Статистика!$C$10)/MAX(Статистика!$G$10-Статистика!$C$10,0.000001),NA()))</f>
        <v>0.87369044911111149</v>
      </c>
      <c r="BL275" s="12" t="e">
        <f>IF(A275="",NA(),IF(Статистика!$J$8="Вкл",(((IF(Статистика!$C$4="Параллельный режим (активная мощность)",K275,V275)+Статистика!$J$4))-Статистика!$C$10)/MAX(Статистика!$G$10-Статистика!$C$10,0.000001),NA()))</f>
        <v>#N/A</v>
      </c>
      <c r="BM275" s="12" t="e">
        <f>IF(AND(A275&lt;&gt;"",Статистика!$C$6="Вкл",Статистика!$B$6&gt;0),(Статистика!$B$6-Статистика!$C$10)/MAX(Статистика!$G$10-Статистика!$C$10,0.000001),NA())</f>
        <v>#N/A</v>
      </c>
      <c r="BN275" s="12" t="e">
        <f>IF(AND(A275&lt;&gt;"",Статистика!$F$6="Вкл",Статистика!$E$6&gt;0),(Статистика!$E$6-Статистика!$C$10)/MAX(Статистика!$G$10-Статистика!$C$10,0.000001),NA())</f>
        <v>#N/A</v>
      </c>
      <c r="BO275" s="12" t="e">
        <f>IF(AND(A275&lt;&gt;"",Статистика!$I$6="Вкл",Статистика!$H$6&gt;0),(Статистика!$H$6-Статистика!$C$10)/MAX(Статистика!$G$10-Статистика!$C$10,0.000001),NA())</f>
        <v>#N/A</v>
      </c>
      <c r="BP275" s="12" t="e">
        <f>IF(AND(A275&lt;&gt;"",Статистика!$L$6="Вкл",Статистика!$K$6&gt;0),(Статистика!$K$6-Статистика!$C$10)/MAX(Статистика!$G$10-Статистика!$C$10,0.000001),NA())</f>
        <v>#N/A</v>
      </c>
      <c r="BQ275" s="12" t="e">
        <f>IF(AND(A275&lt;&gt;"",Статистика!$M$6="Вкл",Статистика!$O$6&gt;0),(Статистика!$O$6-Статистика!$C$10)/MAX(Статистика!$G$10-Статистика!$C$10,0.000001),NA())</f>
        <v>#N/A</v>
      </c>
      <c r="BR275" s="12">
        <f t="shared" si="8"/>
        <v>1</v>
      </c>
      <c r="BT275" s="12">
        <f>IF(Y275="","",MAX(0,MIN(1,(((IF(Статистика!$C$4="Параллельный режим (активная мощность)",Z275,AK275)+Статистика!$J$4))-Статистика!$C$10)/MAX(Статистика!$G$10-Статистика!$C$10,0.000001))))</f>
        <v>0.55406865105555581</v>
      </c>
      <c r="BU275" s="12">
        <f>IF(Y275="","",MAX(0,MAX(0,MIN(1,(((IF(Статистика!$C$4="Параллельный режим (активная мощность)",AB275,AM275)+Статистика!$J$4))-Статистика!$C$10)/MAX(Статистика!$G$10-Статистика!$C$10,0.000001)))-MAX(0,MIN(1,(((IF(Статистика!$C$4="Параллельный режим (активная мощность)",Z275,AK275)+Статистика!$J$4))-Статистика!$C$10)/MAX(Статистика!$G$10-Статистика!$C$10,0.000001)))))</f>
        <v>1.5180159499999957E-2</v>
      </c>
      <c r="BV275" s="12">
        <f>IF(Y275="","",MAX(0,MAX(0,MIN(1,(((IF(Статистика!$C$4="Параллельный режим (активная мощность)",AC275,AN275)+Статистика!$J$4))-Статистика!$C$10)/MAX(Статистика!$G$10-Статистика!$C$10,0.000001)))-MAX(0,MIN(1,(((IF(Статистика!$C$4="Параллельный режим (активная мощность)",AB275,AM275)+Статистика!$J$4))-Статистика!$C$10)/MAX(Статистика!$G$10-Статистика!$C$10,0.000001)))))</f>
        <v>5.2795689444443905E-2</v>
      </c>
      <c r="BW275" s="12">
        <f>IF(Y275="","",MAX(0,MAX(0,MIN(1,(((IF(Статистика!$C$4="Параллельный режим (активная мощность)",AD275,AO275)+Статистика!$J$4))-Статистика!$C$10)/MAX(Статистика!$G$10-Статистика!$C$10,0.000001)))-MAX(0,MIN(1,(((IF(Статистика!$C$4="Параллельный режим (активная мощность)",AC275,AN275)+Статистика!$J$4))-Статистика!$C$10)/MAX(Статистика!$G$10-Статистика!$C$10,0.000001)))))</f>
        <v>4.9645455555556217E-2</v>
      </c>
      <c r="BX275" s="12">
        <f>IF(Y275="","",MAX(0,MAX(0,MIN(1,(((IF(Статистика!$C$4="Параллельный режим (активная мощность)",AE275,AP275)+Статистика!$J$4))-Статистика!$C$10)/MAX(Статистика!$G$10-Статистика!$C$10,0.000001)))-MAX(0,MIN(1,(((IF(Статистика!$C$4="Параллельный режим (активная мощность)",AD275,AO275)+Статистика!$J$4))-Статистика!$C$10)/MAX(Статистика!$G$10-Статистика!$C$10,0.000001)))))</f>
        <v>5.9074913888888081E-2</v>
      </c>
      <c r="BY275" s="12">
        <f>IF(Y275="","",MAX(0,MAX(0,MIN(1,(((IF(Статистика!$C$4="Параллельный режим (активная мощность)",AF275,AQ275)+Статистика!$J$4))-Статистика!$C$10)/MAX(Статистика!$G$10-Статистика!$C$10,0.000001)))-MAX(0,MIN(1,(((IF(Статистика!$C$4="Параллельный режим (активная мощность)",AE275,AP275)+Статистика!$J$4))-Статистика!$C$10)/MAX(Статистика!$G$10-Статистика!$C$10,0.000001)))))</f>
        <v>8.9755352222222418E-2</v>
      </c>
      <c r="BZ275" s="12">
        <f>IF(Y275="","",MAX(0,MAX(0,MIN(1,(((IF(Статистика!$C$4="Параллельный режим (активная мощность)",AH275,AS275)+Статистика!$J$4))-Статистика!$C$10)/MAX(Статистика!$G$10-Статистика!$C$10,0.000001)))-MAX(0,MIN(1,(((IF(Статистика!$C$4="Параллельный режим (активная мощность)",AF275,AQ275)+Статистика!$J$4))-Статистика!$C$10)/MAX(Статистика!$G$10-Статистика!$C$10,0.000001)))))</f>
        <v>2.4810450499999748E-2</v>
      </c>
      <c r="CA275" s="12">
        <f>IF(Y275="","",MAX(0,1-MAX(0,MIN(1,(((IF(Статистика!$C$4="Параллельный режим (активная мощность)",AH275,AS275)+Статистика!$J$4))-Статистика!$C$10)/MAX(Статистика!$G$10-Статистика!$C$10,0.000001)))))</f>
        <v>0.15466932783333387</v>
      </c>
      <c r="CB275" s="12">
        <f>IF(Y275="",NA(),IF(Статистика!$B$8="Вкл",(((IF(Статистика!$C$4="Параллельный режим (активная мощность)",AD275,AO275)+Статистика!$J$4))-Статистика!$C$10)/MAX(Статистика!$G$10-Статистика!$C$10,0.000001),NA()))</f>
        <v>0.67168995555555588</v>
      </c>
      <c r="CC275" s="12">
        <f>IF(Y275="",NA(),IF(Статистика!$D$8="Вкл",(((IF(Статистика!$C$4="Параллельный режим (активная мощность)",AC275,AN275)+Статистика!$J$4))-Статистика!$C$10)/MAX(Статистика!$G$10-Статистика!$C$10,0.000001),NA()))</f>
        <v>0.62204449999999967</v>
      </c>
      <c r="CD275" s="12">
        <f>IF(Y275="",NA(),IF(Статистика!$D$8="Вкл",(((IF(Статистика!$C$4="Параллельный режим (активная мощность)",AE275,AP275)+Статистика!$J$4))-Статистика!$C$10)/MAX(Статистика!$G$10-Статистика!$C$10,0.000001),NA()))</f>
        <v>0.73076486944444397</v>
      </c>
      <c r="CE275" s="12">
        <f>IF(Y275="",NA(),IF(Статистика!$F$8="Вкл",(((IF(Статистика!$C$4="Параллельный режим (активная мощность)",AB275,AM275)+Статистика!$J$4))-Статистика!$C$10)/MAX(Статистика!$G$10-Статистика!$C$10,0.000001),NA()))</f>
        <v>0.56924881055555576</v>
      </c>
      <c r="CF275" s="12">
        <f>IF(Y275="",NA(),IF(Статистика!$F$8="Вкл",(((IF(Статистика!$C$4="Параллельный режим (активная мощность)",AF275,AQ275)+Статистика!$J$4))-Статистика!$C$10)/MAX(Статистика!$G$10-Статистика!$C$10,0.000001),NA()))</f>
        <v>0.82052022166666638</v>
      </c>
      <c r="CG275" s="12">
        <f>IF(Y275="",NA(),IF(Статистика!$H$8="Вкл",(((IF(Статистика!$C$4="Параллельный режим (активная мощность)",Z275,AK275)+Статистика!$J$4))-Статистика!$C$10)/MAX(Статистика!$G$10-Статистика!$C$10,0.000001),NA()))</f>
        <v>0.55406865105555581</v>
      </c>
      <c r="CH275" s="12">
        <f>IF(Y275="",NA(),IF(Статистика!$H$8="Вкл",(((IF(Статистика!$C$4="Параллельный режим (активная мощность)",AH275,AS275)+Статистика!$J$4))-Статистика!$C$10)/MAX(Статистика!$G$10-Статистика!$C$10,0.000001),NA()))</f>
        <v>0.84533067216666613</v>
      </c>
      <c r="CI275" s="12" t="e">
        <f>IF(Y275="",NA(),IF(Статистика!$J$8="Вкл",(((IF(Статистика!$C$4="Параллельный режим (активная мощность)",AI275,AT275)+Статистика!$J$4))-Статистика!$C$10)/MAX(Статистика!$G$10-Статистика!$C$10,0.000001),NA()))</f>
        <v>#N/A</v>
      </c>
      <c r="CJ275" s="12" t="e">
        <f>IF(AND(Y275&lt;&gt;"",Статистика!$C$6="Вкл",Статистика!$B$6&gt;0),(Статистика!$B$6-Статистика!$C$10)/MAX(Статистика!$G$10-Статистика!$C$10,0.000001),NA())</f>
        <v>#N/A</v>
      </c>
      <c r="CK275" s="12" t="e">
        <f>IF(AND(Y275&lt;&gt;"",Статистика!$F$6="Вкл",Статистика!$E$6&gt;0),(Статистика!$E$6-Статистика!$C$10)/MAX(Статистика!$G$10-Статистика!$C$10,0.000001),NA())</f>
        <v>#N/A</v>
      </c>
      <c r="CL275" s="12" t="e">
        <f>IF(AND(Y275&lt;&gt;"",Статистика!$I$6="Вкл",Статистика!$H$6&gt;0),(Статистика!$H$6-Статистика!$C$10)/MAX(Статистика!$G$10-Статистика!$C$10,0.000001),NA())</f>
        <v>#N/A</v>
      </c>
      <c r="CM275" s="12" t="e">
        <f>IF(AND(Y275&lt;&gt;"",Статистика!$L$6="Вкл",Статистика!$K$6&gt;0),(Статистика!$K$6-Статистика!$C$10)/MAX(Статистика!$G$10-Статистика!$C$10,0.000001),NA())</f>
        <v>#N/A</v>
      </c>
      <c r="CN275" s="12" t="e">
        <f>IF(AND(Y275&lt;&gt;"",Статистика!$M$6="Вкл",Статистика!$O$6&gt;0),(Статистика!$O$6-Статистика!$C$10)/MAX(Статистика!$G$10-Статистика!$C$10,0.000001),NA())</f>
        <v>#N/A</v>
      </c>
      <c r="CO275" s="12">
        <f t="shared" si="9"/>
        <v>1</v>
      </c>
    </row>
    <row r="276" spans="1:93" ht="15" customHeight="1">
      <c r="A276" s="12" t="s">
        <v>1143</v>
      </c>
      <c r="B276" s="12">
        <v>2305.8295428333331</v>
      </c>
      <c r="C276" s="12">
        <v>5779.1466475000007</v>
      </c>
      <c r="D276" s="12">
        <v>7502.5718283333335</v>
      </c>
      <c r="E276" s="12">
        <v>7845.3756000000012</v>
      </c>
      <c r="F276" s="12">
        <v>8016.7325833333343</v>
      </c>
      <c r="G276" s="12">
        <v>8192.7709666666669</v>
      </c>
      <c r="H276" s="12">
        <v>8416.713843333333</v>
      </c>
      <c r="I276" s="12">
        <v>8477.9439399999992</v>
      </c>
      <c r="J276" s="12">
        <v>8591.9620413333323</v>
      </c>
      <c r="K276" s="12">
        <v>8742.94</v>
      </c>
      <c r="L276" s="12" t="s">
        <v>1144</v>
      </c>
      <c r="M276" s="12">
        <v>2817.929344666667</v>
      </c>
      <c r="N276" s="12">
        <v>6637.4979233333352</v>
      </c>
      <c r="O276" s="12">
        <v>8529.8543566666667</v>
      </c>
      <c r="P276" s="12">
        <v>8933.5378083333344</v>
      </c>
      <c r="Q276" s="12">
        <v>9105.8439166666685</v>
      </c>
      <c r="R276" s="12">
        <v>9294.6900166666674</v>
      </c>
      <c r="S276" s="12">
        <v>9587.1604583333337</v>
      </c>
      <c r="T276" s="12">
        <v>9661.7473174999996</v>
      </c>
      <c r="U276" s="12">
        <v>9727.939836833335</v>
      </c>
      <c r="V276" s="12">
        <v>9862.25</v>
      </c>
      <c r="W276" s="12" t="s">
        <v>1145</v>
      </c>
      <c r="Y276" s="12" t="s">
        <v>1143</v>
      </c>
      <c r="Z276" s="12">
        <v>7712.0387298333344</v>
      </c>
      <c r="AA276" s="12">
        <v>7720.9787158333338</v>
      </c>
      <c r="AB276" s="12">
        <v>7732.1536983333344</v>
      </c>
      <c r="AC276" s="12">
        <v>7875.8412333333335</v>
      </c>
      <c r="AD276" s="12">
        <v>8006.5499000000009</v>
      </c>
      <c r="AE276" s="12">
        <v>8187.267291666667</v>
      </c>
      <c r="AF276" s="12">
        <v>8431.8628483333341</v>
      </c>
      <c r="AG276" s="12">
        <v>8462.6459908333345</v>
      </c>
      <c r="AH276" s="12">
        <v>8487.2725048333341</v>
      </c>
      <c r="AI276" s="12">
        <v>8624.4500000000007</v>
      </c>
      <c r="AJ276" s="12" t="s">
        <v>1146</v>
      </c>
      <c r="AK276" s="12">
        <v>8823.716551833335</v>
      </c>
      <c r="AL276" s="12">
        <v>8828.395959166668</v>
      </c>
      <c r="AM276" s="12">
        <v>8834.2452183333335</v>
      </c>
      <c r="AN276" s="12">
        <v>8983.640625</v>
      </c>
      <c r="AO276" s="12">
        <v>9064.7491999999984</v>
      </c>
      <c r="AP276" s="12">
        <v>9277.1611916666661</v>
      </c>
      <c r="AQ276" s="12">
        <v>9548.6182683333336</v>
      </c>
      <c r="AR276" s="12">
        <v>9575.395650833334</v>
      </c>
      <c r="AS276" s="12">
        <v>9596.8175568333336</v>
      </c>
      <c r="AT276" s="12">
        <v>9725.59</v>
      </c>
      <c r="AU276" s="12" t="s">
        <v>1146</v>
      </c>
      <c r="AW276" s="12">
        <f>IF(A276="","",MAX(0,MIN(1,(((IF(Статистика!$C$4="Параллельный режим (активная мощность)",B276,M276)+Статистика!$J$4))-Статистика!$C$10)/MAX(Статистика!$G$10-Статистика!$C$10,0.000001))))</f>
        <v>0</v>
      </c>
      <c r="AX276" s="12">
        <f>IF(A276="","",MAX(0,MAX(0,MIN(1,(((IF(Статистика!$C$4="Параллельный режим (активная мощность)",D276,O276)+Статистика!$J$4))-Статистика!$C$10)/MAX(Статистика!$G$10-Статистика!$C$10,0.000001)))-MAX(0,MIN(1,(((IF(Статистика!$C$4="Параллельный режим (активная мощность)",B276,M276)+Статистика!$J$4))-Статистика!$C$10)/MAX(Статистика!$G$10-Статистика!$C$10,0.000001)))))</f>
        <v>0.50085727611111119</v>
      </c>
      <c r="AY276" s="12">
        <f>IF(A276="","",MAX(0,MAX(0,MIN(1,(((IF(Статистика!$C$4="Параллельный режим (активная мощность)",E276,P276)+Статистика!$J$4))-Статистика!$C$10)/MAX(Статистика!$G$10-Статистика!$C$10,0.000001)))-MAX(0,MIN(1,(((IF(Статистика!$C$4="Параллельный режим (активная мощность)",D276,O276)+Статистика!$J$4))-Статистика!$C$10)/MAX(Статистика!$G$10-Статистика!$C$10,0.000001)))))</f>
        <v>0.11426792388888918</v>
      </c>
      <c r="AZ276" s="12">
        <f>IF(A276="","",MAX(0,MAX(0,MIN(1,(((IF(Статистика!$C$4="Параллельный режим (активная мощность)",F276,Q276)+Статистика!$J$4))-Статистика!$C$10)/MAX(Статистика!$G$10-Статистика!$C$10,0.000001)))-MAX(0,MIN(1,(((IF(Статистика!$C$4="Параллельный режим (активная мощность)",E276,P276)+Статистика!$J$4))-Статистика!$C$10)/MAX(Статистика!$G$10-Статистика!$C$10,0.000001)))))</f>
        <v>5.711899444444446E-2</v>
      </c>
      <c r="BA276" s="12">
        <f>IF(A276="","",MAX(0,MAX(0,MIN(1,(((IF(Статистика!$C$4="Параллельный режим (активная мощность)",G276,R276)+Статистика!$J$4))-Статистика!$C$10)/MAX(Статистика!$G$10-Статистика!$C$10,0.000001)))-MAX(0,MIN(1,(((IF(Статистика!$C$4="Параллельный режим (активная мощность)",F276,Q276)+Статистика!$J$4))-Статистика!$C$10)/MAX(Статистика!$G$10-Статистика!$C$10,0.000001)))))</f>
        <v>5.8679461111110776E-2</v>
      </c>
      <c r="BB276" s="12">
        <f>IF(A276="","",MAX(0,MAX(0,MIN(1,(((IF(Статистика!$C$4="Параллельный режим (активная мощность)",H276,S276)+Статистика!$J$4))-Статистика!$C$10)/MAX(Статистика!$G$10-Статистика!$C$10,0.000001)))-MAX(0,MIN(1,(((IF(Статистика!$C$4="Параллельный режим (активная мощность)",G276,R276)+Статистика!$J$4))-Статистика!$C$10)/MAX(Статистика!$G$10-Статистика!$C$10,0.000001)))))</f>
        <v>7.4647625555555375E-2</v>
      </c>
      <c r="BC276" s="12">
        <f>IF(A276="","",MAX(0,MAX(0,MIN(1,(((IF(Статистика!$C$4="Параллельный режим (активная мощность)",J276,U276)+Статистика!$J$4))-Статистика!$C$10)/MAX(Статистика!$G$10-Статистика!$C$10,0.000001)))-MAX(0,MIN(1,(((IF(Статистика!$C$4="Параллельный режим (активная мощность)",H276,S276)+Статистика!$J$4))-Статистика!$C$10)/MAX(Статистика!$G$10-Статистика!$C$10,0.000001)))))</f>
        <v>5.8416065999999822E-2</v>
      </c>
      <c r="BD276" s="12">
        <f>IF(A276="","",MAX(0,1-MAX(0,MIN(1,(((IF(Статистика!$C$4="Параллельный режим (активная мощность)",J276,U276)+Статистика!$J$4))-Статистика!$C$10)/MAX(Статистика!$G$10-Статистика!$C$10,0.000001)))))</f>
        <v>0.1360126528888892</v>
      </c>
      <c r="BE276" s="12">
        <f>IF(A276="",NA(),IF(Статистика!$B$8="Вкл",(((IF(Статистика!$C$4="Параллельный режим (активная мощность)",F276,Q276)+Статистика!$J$4))-Статистика!$C$10)/MAX(Статистика!$G$10-Статистика!$C$10,0.000001),NA()))</f>
        <v>0.67224419444444483</v>
      </c>
      <c r="BF276" s="12">
        <f>IF(A276="",NA(),IF(Статистика!$D$8="Вкл",(((IF(Статистика!$C$4="Параллельный режим (активная мощность)",E276,P276)+Статистика!$J$4))-Статистика!$C$10)/MAX(Статистика!$G$10-Статистика!$C$10,0.000001),NA()))</f>
        <v>0.61512520000000037</v>
      </c>
      <c r="BG276" s="12">
        <f>IF(A276="",NA(),IF(Статистика!$D$8="Вкл",(((IF(Статистика!$C$4="Параллельный режим (активная мощность)",G276,R276)+Статистика!$J$4))-Статистика!$C$10)/MAX(Статистика!$G$10-Статистика!$C$10,0.000001),NA()))</f>
        <v>0.73092365555555561</v>
      </c>
      <c r="BH276" s="12">
        <f>IF(A276="",NA(),IF(Статистика!$F$8="Вкл",(((IF(Статистика!$C$4="Параллельный режим (активная мощность)",D276,O276)+Статистика!$J$4))-Статистика!$C$10)/MAX(Статистика!$G$10-Статистика!$C$10,0.000001),NA()))</f>
        <v>0.50085727611111119</v>
      </c>
      <c r="BI276" s="12">
        <f>IF(A276="",NA(),IF(Статистика!$F$8="Вкл",(((IF(Статистика!$C$4="Параллельный режим (активная мощность)",H276,S276)+Статистика!$J$4))-Статистика!$C$10)/MAX(Статистика!$G$10-Статистика!$C$10,0.000001),NA()))</f>
        <v>0.80557128111111098</v>
      </c>
      <c r="BJ276" s="12">
        <f>IF(A276="",NA(),IF(Статистика!$H$8="Вкл",(((IF(Статистика!$C$4="Параллельный режим (активная мощность)",B276,M276)+Статистика!$J$4))-Статистика!$C$10)/MAX(Статистика!$G$10-Статистика!$C$10,0.000001),NA()))</f>
        <v>-1.231390152388889</v>
      </c>
      <c r="BK276" s="12">
        <f>IF(A276="",NA(),IF(Статистика!$H$8="Вкл",(((IF(Статистика!$C$4="Параллельный режим (активная мощность)",J276,U276)+Статистика!$J$4))-Статистика!$C$10)/MAX(Статистика!$G$10-Статистика!$C$10,0.000001),NA()))</f>
        <v>0.8639873471111108</v>
      </c>
      <c r="BL276" s="12" t="e">
        <f>IF(A276="",NA(),IF(Статистика!$J$8="Вкл",(((IF(Статистика!$C$4="Параллельный режим (активная мощность)",K276,V276)+Статистика!$J$4))-Статистика!$C$10)/MAX(Статистика!$G$10-Статистика!$C$10,0.000001),NA()))</f>
        <v>#N/A</v>
      </c>
      <c r="BM276" s="12" t="e">
        <f>IF(AND(A276&lt;&gt;"",Статистика!$C$6="Вкл",Статистика!$B$6&gt;0),(Статистика!$B$6-Статистика!$C$10)/MAX(Статистика!$G$10-Статистика!$C$10,0.000001),NA())</f>
        <v>#N/A</v>
      </c>
      <c r="BN276" s="12" t="e">
        <f>IF(AND(A276&lt;&gt;"",Статистика!$F$6="Вкл",Статистика!$E$6&gt;0),(Статистика!$E$6-Статистика!$C$10)/MAX(Статистика!$G$10-Статистика!$C$10,0.000001),NA())</f>
        <v>#N/A</v>
      </c>
      <c r="BO276" s="12" t="e">
        <f>IF(AND(A276&lt;&gt;"",Статистика!$I$6="Вкл",Статистика!$H$6&gt;0),(Статистика!$H$6-Статистика!$C$10)/MAX(Статистика!$G$10-Статистика!$C$10,0.000001),NA())</f>
        <v>#N/A</v>
      </c>
      <c r="BP276" s="12" t="e">
        <f>IF(AND(A276&lt;&gt;"",Статистика!$L$6="Вкл",Статистика!$K$6&gt;0),(Статистика!$K$6-Статистика!$C$10)/MAX(Статистика!$G$10-Статистика!$C$10,0.000001),NA())</f>
        <v>#N/A</v>
      </c>
      <c r="BQ276" s="12" t="e">
        <f>IF(AND(A276&lt;&gt;"",Статистика!$M$6="Вкл",Статистика!$O$6&gt;0),(Статистика!$O$6-Статистика!$C$10)/MAX(Статистика!$G$10-Статистика!$C$10,0.000001),NA())</f>
        <v>#N/A</v>
      </c>
      <c r="BR276" s="12">
        <f t="shared" si="8"/>
        <v>1</v>
      </c>
      <c r="BT276" s="12">
        <f>IF(Y276="","",MAX(0,MIN(1,(((IF(Статистика!$C$4="Параллельный режим (активная мощность)",Z276,AK276)+Статистика!$J$4))-Статистика!$C$10)/MAX(Статистика!$G$10-Статистика!$C$10,0.000001))))</f>
        <v>0.57067957661111146</v>
      </c>
      <c r="BU276" s="12">
        <f>IF(Y276="","",MAX(0,MAX(0,MIN(1,(((IF(Статистика!$C$4="Параллельный режим (активная мощность)",AB276,AM276)+Статистика!$J$4))-Статистика!$C$10)/MAX(Статистика!$G$10-Статистика!$C$10,0.000001)))-MAX(0,MIN(1,(((IF(Статистика!$C$4="Параллельный режим (активная мощность)",Z276,AK276)+Статистика!$J$4))-Статистика!$C$10)/MAX(Статистика!$G$10-Статистика!$C$10,0.000001)))))</f>
        <v>6.7049894999999804E-3</v>
      </c>
      <c r="BV276" s="12">
        <f>IF(Y276="","",MAX(0,MAX(0,MIN(1,(((IF(Статистика!$C$4="Параллельный режим (активная мощность)",AC276,AN276)+Статистика!$J$4))-Статистика!$C$10)/MAX(Статистика!$G$10-Статистика!$C$10,0.000001)))-MAX(0,MIN(1,(((IF(Статистика!$C$4="Параллельный режим (активная мощность)",AB276,AM276)+Статистика!$J$4))-Статистика!$C$10)/MAX(Статистика!$G$10-Статистика!$C$10,0.000001)))))</f>
        <v>4.789584499999977E-2</v>
      </c>
      <c r="BW276" s="12">
        <f>IF(Y276="","",MAX(0,MAX(0,MIN(1,(((IF(Статистика!$C$4="Параллельный режим (активная мощность)",AD276,AO276)+Статистика!$J$4))-Статистика!$C$10)/MAX(Статистика!$G$10-Статистика!$C$10,0.000001)))-MAX(0,MIN(1,(((IF(Статистика!$C$4="Параллельный режим (активная мощность)",AC276,AN276)+Статистика!$J$4))-Статистика!$C$10)/MAX(Статистика!$G$10-Статистика!$C$10,0.000001)))))</f>
        <v>4.356955555555575E-2</v>
      </c>
      <c r="BX276" s="12">
        <f>IF(Y276="","",MAX(0,MAX(0,MIN(1,(((IF(Статистика!$C$4="Параллельный режим (активная мощность)",AE276,AP276)+Статистика!$J$4))-Статистика!$C$10)/MAX(Статистика!$G$10-Статистика!$C$10,0.000001)))-MAX(0,MIN(1,(((IF(Статистика!$C$4="Параллельный режим (активная мощность)",AD276,AO276)+Статистика!$J$4))-Статистика!$C$10)/MAX(Статистика!$G$10-Статистика!$C$10,0.000001)))))</f>
        <v>6.0239130555555409E-2</v>
      </c>
      <c r="BY276" s="12">
        <f>IF(Y276="","",MAX(0,MAX(0,MIN(1,(((IF(Статистика!$C$4="Параллельный режим (активная мощность)",AF276,AQ276)+Статистика!$J$4))-Статистика!$C$10)/MAX(Статистика!$G$10-Статистика!$C$10,0.000001)))-MAX(0,MIN(1,(((IF(Статистика!$C$4="Параллельный режим (активная мощность)",AE276,AP276)+Статистика!$J$4))-Статистика!$C$10)/MAX(Статистика!$G$10-Статистика!$C$10,0.000001)))))</f>
        <v>8.1531852222222367E-2</v>
      </c>
      <c r="BZ276" s="12">
        <f>IF(Y276="","",MAX(0,MAX(0,MIN(1,(((IF(Статистика!$C$4="Параллельный режим (активная мощность)",AH276,AS276)+Статистика!$J$4))-Статистика!$C$10)/MAX(Статистика!$G$10-Статистика!$C$10,0.000001)))-MAX(0,MIN(1,(((IF(Статистика!$C$4="Параллельный режим (активная мощность)",AF276,AQ276)+Статистика!$J$4))-Статистика!$C$10)/MAX(Статистика!$G$10-Статистика!$C$10,0.000001)))))</f>
        <v>1.846988549999995E-2</v>
      </c>
      <c r="CA276" s="12">
        <f>IF(Y276="","",MAX(0,1-MAX(0,MIN(1,(((IF(Статистика!$C$4="Параллельный режим (активная мощность)",AH276,AS276)+Статистика!$J$4))-Статистика!$C$10)/MAX(Статистика!$G$10-Статистика!$C$10,0.000001)))))</f>
        <v>0.17090916505555531</v>
      </c>
      <c r="CB276" s="12">
        <f>IF(Y276="",NA(),IF(Статистика!$B$8="Вкл",(((IF(Статистика!$C$4="Параллельный режим (активная мощность)",AD276,AO276)+Статистика!$J$4))-Статистика!$C$10)/MAX(Статистика!$G$10-Статистика!$C$10,0.000001),NA()))</f>
        <v>0.66884996666666696</v>
      </c>
      <c r="CC276" s="12">
        <f>IF(Y276="",NA(),IF(Статистика!$D$8="Вкл",(((IF(Статистика!$C$4="Параллельный режим (активная мощность)",AC276,AN276)+Статистика!$J$4))-Статистика!$C$10)/MAX(Статистика!$G$10-Статистика!$C$10,0.000001),NA()))</f>
        <v>0.62528041111111121</v>
      </c>
      <c r="CD276" s="12">
        <f>IF(Y276="",NA(),IF(Статистика!$D$8="Вкл",(((IF(Статистика!$C$4="Параллельный режим (активная мощность)",AE276,AP276)+Статистика!$J$4))-Статистика!$C$10)/MAX(Статистика!$G$10-Статистика!$C$10,0.000001),NA()))</f>
        <v>0.72908909722222237</v>
      </c>
      <c r="CE276" s="12">
        <f>IF(Y276="",NA(),IF(Статистика!$F$8="Вкл",(((IF(Статистика!$C$4="Параллельный режим (активная мощность)",AB276,AM276)+Статистика!$J$4))-Статистика!$C$10)/MAX(Статистика!$G$10-Статистика!$C$10,0.000001),NA()))</f>
        <v>0.57738456611111144</v>
      </c>
      <c r="CF276" s="12">
        <f>IF(Y276="",NA(),IF(Статистика!$F$8="Вкл",(((IF(Статистика!$C$4="Параллельный режим (активная мощность)",AF276,AQ276)+Статистика!$J$4))-Статистика!$C$10)/MAX(Статистика!$G$10-Статистика!$C$10,0.000001),NA()))</f>
        <v>0.81062094944444474</v>
      </c>
      <c r="CG276" s="12">
        <f>IF(Y276="",NA(),IF(Статистика!$H$8="Вкл",(((IF(Статистика!$C$4="Параллельный режим (активная мощность)",Z276,AK276)+Статистика!$J$4))-Статистика!$C$10)/MAX(Статистика!$G$10-Статистика!$C$10,0.000001),NA()))</f>
        <v>0.57067957661111146</v>
      </c>
      <c r="CH276" s="12">
        <f>IF(Y276="",NA(),IF(Статистика!$H$8="Вкл",(((IF(Статистика!$C$4="Параллельный режим (активная мощность)",AH276,AS276)+Статистика!$J$4))-Статистика!$C$10)/MAX(Статистика!$G$10-Статистика!$C$10,0.000001),NA()))</f>
        <v>0.82909083494444469</v>
      </c>
      <c r="CI276" s="12" t="e">
        <f>IF(Y276="",NA(),IF(Статистика!$J$8="Вкл",(((IF(Статистика!$C$4="Параллельный режим (активная мощность)",AI276,AT276)+Статистика!$J$4))-Статистика!$C$10)/MAX(Статистика!$G$10-Статистика!$C$10,0.000001),NA()))</f>
        <v>#N/A</v>
      </c>
      <c r="CJ276" s="12" t="e">
        <f>IF(AND(Y276&lt;&gt;"",Статистика!$C$6="Вкл",Статистика!$B$6&gt;0),(Статистика!$B$6-Статистика!$C$10)/MAX(Статистика!$G$10-Статистика!$C$10,0.000001),NA())</f>
        <v>#N/A</v>
      </c>
      <c r="CK276" s="12" t="e">
        <f>IF(AND(Y276&lt;&gt;"",Статистика!$F$6="Вкл",Статистика!$E$6&gt;0),(Статистика!$E$6-Статистика!$C$10)/MAX(Статистика!$G$10-Статистика!$C$10,0.000001),NA())</f>
        <v>#N/A</v>
      </c>
      <c r="CL276" s="12" t="e">
        <f>IF(AND(Y276&lt;&gt;"",Статистика!$I$6="Вкл",Статистика!$H$6&gt;0),(Статистика!$H$6-Статистика!$C$10)/MAX(Статистика!$G$10-Статистика!$C$10,0.000001),NA())</f>
        <v>#N/A</v>
      </c>
      <c r="CM276" s="12" t="e">
        <f>IF(AND(Y276&lt;&gt;"",Статистика!$L$6="Вкл",Статистика!$K$6&gt;0),(Статистика!$K$6-Статистика!$C$10)/MAX(Статистика!$G$10-Статистика!$C$10,0.000001),NA())</f>
        <v>#N/A</v>
      </c>
      <c r="CN276" s="12" t="e">
        <f>IF(AND(Y276&lt;&gt;"",Статистика!$M$6="Вкл",Статистика!$O$6&gt;0),(Статистика!$O$6-Статистика!$C$10)/MAX(Статистика!$G$10-Статистика!$C$10,0.000001),NA())</f>
        <v>#N/A</v>
      </c>
      <c r="CO276" s="12">
        <f t="shared" si="9"/>
        <v>1</v>
      </c>
    </row>
    <row r="277" spans="1:93" ht="15" customHeight="1">
      <c r="A277" s="12" t="s">
        <v>1147</v>
      </c>
      <c r="B277" s="12">
        <v>2311.8778486666665</v>
      </c>
      <c r="C277" s="12">
        <v>5754.9037766666661</v>
      </c>
      <c r="D277" s="12">
        <v>7474.738816666666</v>
      </c>
      <c r="E277" s="12">
        <v>7844.0037083333336</v>
      </c>
      <c r="F277" s="12">
        <v>8012.5855999999994</v>
      </c>
      <c r="G277" s="12">
        <v>8205.5371083333339</v>
      </c>
      <c r="H277" s="12">
        <v>8396.6250733333327</v>
      </c>
      <c r="I277" s="12">
        <v>8466.040673333333</v>
      </c>
      <c r="J277" s="12">
        <v>8590.9132813333326</v>
      </c>
      <c r="K277" s="12">
        <v>8723.94</v>
      </c>
      <c r="L277" s="12" t="s">
        <v>1148</v>
      </c>
      <c r="M277" s="12">
        <v>2824.2919495000006</v>
      </c>
      <c r="N277" s="12">
        <v>6612.0108141666688</v>
      </c>
      <c r="O277" s="12">
        <v>8508.5308750000004</v>
      </c>
      <c r="P277" s="12">
        <v>8898.419233333334</v>
      </c>
      <c r="Q277" s="12">
        <v>9091.5566999999992</v>
      </c>
      <c r="R277" s="12">
        <v>9290.3290333333316</v>
      </c>
      <c r="S277" s="12">
        <v>9571.379761666667</v>
      </c>
      <c r="T277" s="12">
        <v>9650.0864633333349</v>
      </c>
      <c r="U277" s="12">
        <v>9724.1284126666669</v>
      </c>
      <c r="V277" s="12">
        <v>9839.3799999999992</v>
      </c>
      <c r="W277" s="12" t="s">
        <v>1148</v>
      </c>
      <c r="Y277" s="12" t="s">
        <v>1147</v>
      </c>
      <c r="Z277" s="12">
        <v>7718.4407693333342</v>
      </c>
      <c r="AA277" s="12">
        <v>7724.3797133333337</v>
      </c>
      <c r="AB277" s="12">
        <v>7731.8033933333327</v>
      </c>
      <c r="AC277" s="12">
        <v>7909.7460833333353</v>
      </c>
      <c r="AD277" s="12">
        <v>7978.475816666667</v>
      </c>
      <c r="AE277" s="12">
        <v>8163.6352083333322</v>
      </c>
      <c r="AF277" s="12">
        <v>8439.326348333334</v>
      </c>
      <c r="AG277" s="12">
        <v>8479.0752241666687</v>
      </c>
      <c r="AH277" s="12">
        <v>8510.8743248333358</v>
      </c>
      <c r="AI277" s="12">
        <v>8642.84</v>
      </c>
      <c r="AJ277" s="12" t="s">
        <v>1149</v>
      </c>
      <c r="AK277" s="12">
        <v>8827.0875636666678</v>
      </c>
      <c r="AL277" s="12">
        <v>8829.0174183333347</v>
      </c>
      <c r="AM277" s="12">
        <v>8831.4297366666669</v>
      </c>
      <c r="AN277" s="12">
        <v>8957.7629749999996</v>
      </c>
      <c r="AO277" s="12">
        <v>9058.8370166666664</v>
      </c>
      <c r="AP277" s="12">
        <v>9258.4572916666657</v>
      </c>
      <c r="AQ277" s="12">
        <v>9559.7021083333329</v>
      </c>
      <c r="AR277" s="12">
        <v>9603.3167874999981</v>
      </c>
      <c r="AS277" s="12">
        <v>9638.2085308333317</v>
      </c>
      <c r="AT277" s="12">
        <v>9784.61</v>
      </c>
      <c r="AU277" s="12" t="s">
        <v>1149</v>
      </c>
      <c r="AW277" s="12">
        <f>IF(A277="","",MAX(0,MIN(1,(((IF(Статистика!$C$4="Параллельный режим (активная мощность)",B277,M277)+Статистика!$J$4))-Статистика!$C$10)/MAX(Статистика!$G$10-Статистика!$C$10,0.000001))))</f>
        <v>0</v>
      </c>
      <c r="AX277" s="12">
        <f>IF(A277="","",MAX(0,MAX(0,MIN(1,(((IF(Статистика!$C$4="Параллельный режим (активная мощность)",D277,O277)+Статистика!$J$4))-Статистика!$C$10)/MAX(Статистика!$G$10-Статистика!$C$10,0.000001)))-MAX(0,MIN(1,(((IF(Статистика!$C$4="Параллельный режим (активная мощность)",B277,M277)+Статистика!$J$4))-Статистика!$C$10)/MAX(Статистика!$G$10-Статистика!$C$10,0.000001)))))</f>
        <v>0.49157960555555535</v>
      </c>
      <c r="AY277" s="12">
        <f>IF(A277="","",MAX(0,MAX(0,MIN(1,(((IF(Статистика!$C$4="Параллельный режим (активная мощность)",E277,P277)+Статистика!$J$4))-Статистика!$C$10)/MAX(Статистика!$G$10-Статистика!$C$10,0.000001)))-MAX(0,MIN(1,(((IF(Статистика!$C$4="Параллельный режим (активная мощность)",D277,O277)+Статистика!$J$4))-Статистика!$C$10)/MAX(Статистика!$G$10-Статистика!$C$10,0.000001)))))</f>
        <v>0.12308829722222248</v>
      </c>
      <c r="AZ277" s="12">
        <f>IF(A277="","",MAX(0,MAX(0,MIN(1,(((IF(Статистика!$C$4="Параллельный режим (активная мощность)",F277,Q277)+Статистика!$J$4))-Статистика!$C$10)/MAX(Статистика!$G$10-Статистика!$C$10,0.000001)))-MAX(0,MIN(1,(((IF(Статистика!$C$4="Параллельный режим (активная мощность)",E277,P277)+Статистика!$J$4))-Статистика!$C$10)/MAX(Статистика!$G$10-Статистика!$C$10,0.000001)))))</f>
        <v>5.6193963888888643E-2</v>
      </c>
      <c r="BA277" s="12">
        <f>IF(A277="","",MAX(0,MAX(0,MIN(1,(((IF(Статистика!$C$4="Параллельный режим (активная мощность)",G277,R277)+Статистика!$J$4))-Статистика!$C$10)/MAX(Статистика!$G$10-Статистика!$C$10,0.000001)))-MAX(0,MIN(1,(((IF(Статистика!$C$4="Параллельный режим (активная мощность)",F277,Q277)+Статистика!$J$4))-Статистика!$C$10)/MAX(Статистика!$G$10-Статистика!$C$10,0.000001)))))</f>
        <v>6.4317169444444877E-2</v>
      </c>
      <c r="BB277" s="12">
        <f>IF(A277="","",MAX(0,MAX(0,MIN(1,(((IF(Статистика!$C$4="Параллельный режим (активная мощность)",H277,S277)+Статистика!$J$4))-Статистика!$C$10)/MAX(Статистика!$G$10-Статистика!$C$10,0.000001)))-MAX(0,MIN(1,(((IF(Статистика!$C$4="Параллельный режим (активная мощность)",G277,R277)+Статистика!$J$4))-Статистика!$C$10)/MAX(Статистика!$G$10-Статистика!$C$10,0.000001)))))</f>
        <v>6.3695988333332898E-2</v>
      </c>
      <c r="BC277" s="12">
        <f>IF(A277="","",MAX(0,MAX(0,MIN(1,(((IF(Статистика!$C$4="Параллельный режим (активная мощность)",J277,U277)+Статистика!$J$4))-Статистика!$C$10)/MAX(Статистика!$G$10-Статистика!$C$10,0.000001)))-MAX(0,MIN(1,(((IF(Статистика!$C$4="Параллельный режим (активная мощность)",H277,S277)+Статистика!$J$4))-Статистика!$C$10)/MAX(Статистика!$G$10-Статистика!$C$10,0.000001)))))</f>
        <v>6.4762735999999932E-2</v>
      </c>
      <c r="BD277" s="12">
        <f>IF(A277="","",MAX(0,1-MAX(0,MIN(1,(((IF(Статистика!$C$4="Параллельный режим (активная мощность)",J277,U277)+Статистика!$J$4))-Статистика!$C$10)/MAX(Статистика!$G$10-Статистика!$C$10,0.000001)))))</f>
        <v>0.13636223955555582</v>
      </c>
      <c r="BE277" s="12">
        <f>IF(A277="",NA(),IF(Статистика!$B$8="Вкл",(((IF(Статистика!$C$4="Параллельный режим (активная мощность)",F277,Q277)+Статистика!$J$4))-Статистика!$C$10)/MAX(Статистика!$G$10-Статистика!$C$10,0.000001),NA()))</f>
        <v>0.67086186666666647</v>
      </c>
      <c r="BF277" s="12">
        <f>IF(A277="",NA(),IF(Статистика!$D$8="Вкл",(((IF(Статистика!$C$4="Параллельный режим (активная мощность)",E277,P277)+Статистика!$J$4))-Статистика!$C$10)/MAX(Статистика!$G$10-Статистика!$C$10,0.000001),NA()))</f>
        <v>0.61466790277777783</v>
      </c>
      <c r="BG277" s="12">
        <f>IF(A277="",NA(),IF(Статистика!$D$8="Вкл",(((IF(Статистика!$C$4="Параллельный режим (активная мощность)",G277,R277)+Статистика!$J$4))-Статистика!$C$10)/MAX(Статистика!$G$10-Статистика!$C$10,0.000001),NA()))</f>
        <v>0.73517903611111135</v>
      </c>
      <c r="BH277" s="12">
        <f>IF(A277="",NA(),IF(Статистика!$F$8="Вкл",(((IF(Статистика!$C$4="Параллельный режим (активная мощность)",D277,O277)+Статистика!$J$4))-Статистика!$C$10)/MAX(Статистика!$G$10-Статистика!$C$10,0.000001),NA()))</f>
        <v>0.49157960555555535</v>
      </c>
      <c r="BI277" s="12">
        <f>IF(A277="",NA(),IF(Статистика!$F$8="Вкл",(((IF(Статистика!$C$4="Параллельный режим (активная мощность)",H277,S277)+Статистика!$J$4))-Статистика!$C$10)/MAX(Статистика!$G$10-Статистика!$C$10,0.000001),NA()))</f>
        <v>0.79887502444444425</v>
      </c>
      <c r="BJ277" s="12">
        <f>IF(A277="",NA(),IF(Статистика!$H$8="Вкл",(((IF(Статистика!$C$4="Параллельный режим (активная мощность)",B277,M277)+Статистика!$J$4))-Статистика!$C$10)/MAX(Статистика!$G$10-Статистика!$C$10,0.000001),NA()))</f>
        <v>-1.2293740504444446</v>
      </c>
      <c r="BK277" s="12">
        <f>IF(A277="",NA(),IF(Статистика!$H$8="Вкл",(((IF(Статистика!$C$4="Параллельный режим (активная мощность)",J277,U277)+Статистика!$J$4))-Статистика!$C$10)/MAX(Статистика!$G$10-Статистика!$C$10,0.000001),NA()))</f>
        <v>0.86363776044444418</v>
      </c>
      <c r="BL277" s="12" t="e">
        <f>IF(A277="",NA(),IF(Статистика!$J$8="Вкл",(((IF(Статистика!$C$4="Параллельный режим (активная мощность)",K277,V277)+Статистика!$J$4))-Статистика!$C$10)/MAX(Статистика!$G$10-Статистика!$C$10,0.000001),NA()))</f>
        <v>#N/A</v>
      </c>
      <c r="BM277" s="12" t="e">
        <f>IF(AND(A277&lt;&gt;"",Статистика!$C$6="Вкл",Статистика!$B$6&gt;0),(Статистика!$B$6-Статистика!$C$10)/MAX(Статистика!$G$10-Статистика!$C$10,0.000001),NA())</f>
        <v>#N/A</v>
      </c>
      <c r="BN277" s="12" t="e">
        <f>IF(AND(A277&lt;&gt;"",Статистика!$F$6="Вкл",Статистика!$E$6&gt;0),(Статистика!$E$6-Статистика!$C$10)/MAX(Статистика!$G$10-Статистика!$C$10,0.000001),NA())</f>
        <v>#N/A</v>
      </c>
      <c r="BO277" s="12" t="e">
        <f>IF(AND(A277&lt;&gt;"",Статистика!$I$6="Вкл",Статистика!$H$6&gt;0),(Статистика!$H$6-Статистика!$C$10)/MAX(Статистика!$G$10-Статистика!$C$10,0.000001),NA())</f>
        <v>#N/A</v>
      </c>
      <c r="BP277" s="12" t="e">
        <f>IF(AND(A277&lt;&gt;"",Статистика!$L$6="Вкл",Статистика!$K$6&gt;0),(Статистика!$K$6-Статистика!$C$10)/MAX(Статистика!$G$10-Статистика!$C$10,0.000001),NA())</f>
        <v>#N/A</v>
      </c>
      <c r="BQ277" s="12" t="e">
        <f>IF(AND(A277&lt;&gt;"",Статистика!$M$6="Вкл",Статистика!$O$6&gt;0),(Статистика!$O$6-Статистика!$C$10)/MAX(Статистика!$G$10-Статистика!$C$10,0.000001),NA())</f>
        <v>#N/A</v>
      </c>
      <c r="BR277" s="12">
        <f t="shared" si="8"/>
        <v>1</v>
      </c>
      <c r="BT277" s="12">
        <f>IF(Y277="","",MAX(0,MIN(1,(((IF(Статистика!$C$4="Параллельный режим (активная мощность)",Z277,AK277)+Статистика!$J$4))-Статистика!$C$10)/MAX(Статистика!$G$10-Статистика!$C$10,0.000001))))</f>
        <v>0.57281358977777808</v>
      </c>
      <c r="BU277" s="12">
        <f>IF(Y277="","",MAX(0,MAX(0,MIN(1,(((IF(Статистика!$C$4="Параллельный режим (активная мощность)",AB277,AM277)+Статистика!$J$4))-Статистика!$C$10)/MAX(Статистика!$G$10-Статистика!$C$10,0.000001)))-MAX(0,MIN(1,(((IF(Статистика!$C$4="Параллельный режим (активная мощность)",Z277,AK277)+Статистика!$J$4))-Статистика!$C$10)/MAX(Статистика!$G$10-Статистика!$C$10,0.000001)))))</f>
        <v>4.4542079999995154E-3</v>
      </c>
      <c r="BV277" s="12">
        <f>IF(Y277="","",MAX(0,MAX(0,MIN(1,(((IF(Статистика!$C$4="Параллельный режим (активная мощность)",AC277,AN277)+Статистика!$J$4))-Статистика!$C$10)/MAX(Статистика!$G$10-Статистика!$C$10,0.000001)))-MAX(0,MIN(1,(((IF(Статистика!$C$4="Параллельный режим (активная мощность)",AB277,AM277)+Статистика!$J$4))-Статистика!$C$10)/MAX(Статистика!$G$10-Статистика!$C$10,0.000001)))))</f>
        <v>5.93142300000008E-2</v>
      </c>
      <c r="BW277" s="12">
        <f>IF(Y277="","",MAX(0,MAX(0,MIN(1,(((IF(Статистика!$C$4="Параллельный режим (активная мощность)",AD277,AO277)+Статистика!$J$4))-Статистика!$C$10)/MAX(Статистика!$G$10-Статистика!$C$10,0.000001)))-MAX(0,MIN(1,(((IF(Статистика!$C$4="Параллельный режим (активная мощность)",AC277,AN277)+Статистика!$J$4))-Статистика!$C$10)/MAX(Статистика!$G$10-Статистика!$C$10,0.000001)))))</f>
        <v>2.2909911111110626E-2</v>
      </c>
      <c r="BX277" s="12">
        <f>IF(Y277="","",MAX(0,MAX(0,MIN(1,(((IF(Статистика!$C$4="Параллельный режим (активная мощность)",AE277,AP277)+Статистика!$J$4))-Статистика!$C$10)/MAX(Статистика!$G$10-Статистика!$C$10,0.000001)))-MAX(0,MIN(1,(((IF(Статистика!$C$4="Параллельный режим (активная мощность)",AD277,AO277)+Статистика!$J$4))-Статистика!$C$10)/MAX(Статистика!$G$10-Статистика!$C$10,0.000001)))))</f>
        <v>6.1719797222221762E-2</v>
      </c>
      <c r="BY277" s="12">
        <f>IF(Y277="","",MAX(0,MAX(0,MIN(1,(((IF(Статистика!$C$4="Параллельный режим (активная мощность)",AF277,AQ277)+Статистика!$J$4))-Статистика!$C$10)/MAX(Статистика!$G$10-Статистика!$C$10,0.000001)))-MAX(0,MIN(1,(((IF(Статистика!$C$4="Параллельный режим (активная мощность)",AE277,AP277)+Статистика!$J$4))-Статистика!$C$10)/MAX(Статистика!$G$10-Статистика!$C$10,0.000001)))))</f>
        <v>9.1897046666667204E-2</v>
      </c>
      <c r="BZ277" s="12">
        <f>IF(Y277="","",MAX(0,MAX(0,MIN(1,(((IF(Статистика!$C$4="Параллельный режим (активная мощность)",AH277,AS277)+Статистика!$J$4))-Статистика!$C$10)/MAX(Статистика!$G$10-Статистика!$C$10,0.000001)))-MAX(0,MIN(1,(((IF(Статистика!$C$4="Параллельный режим (активная мощность)",AF277,AQ277)+Статистика!$J$4))-Статистика!$C$10)/MAX(Статистика!$G$10-Статистика!$C$10,0.000001)))))</f>
        <v>2.3849325500000629E-2</v>
      </c>
      <c r="CA277" s="12">
        <f>IF(Y277="","",MAX(0,1-MAX(0,MIN(1,(((IF(Статистика!$C$4="Параллельный режим (активная мощность)",AH277,AS277)+Статистика!$J$4))-Статистика!$C$10)/MAX(Статистика!$G$10-Статистика!$C$10,0.000001)))))</f>
        <v>0.16304189172222139</v>
      </c>
      <c r="CB277" s="12">
        <f>IF(Y277="",NA(),IF(Статистика!$B$8="Вкл",(((IF(Статистика!$C$4="Параллельный режим (активная мощность)",AD277,AO277)+Статистика!$J$4))-Статистика!$C$10)/MAX(Статистика!$G$10-Статистика!$C$10,0.000001),NA()))</f>
        <v>0.65949193888888902</v>
      </c>
      <c r="CC277" s="12">
        <f>IF(Y277="",NA(),IF(Статистика!$D$8="Вкл",(((IF(Статистика!$C$4="Параллельный режим (активная мощность)",AC277,AN277)+Статистика!$J$4))-Статистика!$C$10)/MAX(Статистика!$G$10-Статистика!$C$10,0.000001),NA()))</f>
        <v>0.63658202777777839</v>
      </c>
      <c r="CD277" s="12">
        <f>IF(Y277="",NA(),IF(Статистика!$D$8="Вкл",(((IF(Статистика!$C$4="Параллельный режим (активная мощность)",AE277,AP277)+Статистика!$J$4))-Статистика!$C$10)/MAX(Статистика!$G$10-Статистика!$C$10,0.000001),NA()))</f>
        <v>0.72121173611111078</v>
      </c>
      <c r="CE277" s="12">
        <f>IF(Y277="",NA(),IF(Статистика!$F$8="Вкл",(((IF(Статистика!$C$4="Параллельный режим (активная мощность)",AB277,AM277)+Статистика!$J$4))-Статистика!$C$10)/MAX(Статистика!$G$10-Статистика!$C$10,0.000001),NA()))</f>
        <v>0.57726779777777759</v>
      </c>
      <c r="CF277" s="12">
        <f>IF(Y277="",NA(),IF(Статистика!$F$8="Вкл",(((IF(Статистика!$C$4="Параллельный режим (активная мощность)",AF277,AQ277)+Статистика!$J$4))-Статистика!$C$10)/MAX(Статистика!$G$10-Статистика!$C$10,0.000001),NA()))</f>
        <v>0.81310878277777798</v>
      </c>
      <c r="CG277" s="12">
        <f>IF(Y277="",NA(),IF(Статистика!$H$8="Вкл",(((IF(Статистика!$C$4="Параллельный режим (активная мощность)",Z277,AK277)+Статистика!$J$4))-Статистика!$C$10)/MAX(Статистика!$G$10-Статистика!$C$10,0.000001),NA()))</f>
        <v>0.57281358977777808</v>
      </c>
      <c r="CH277" s="12">
        <f>IF(Y277="",NA(),IF(Статистика!$H$8="Вкл",(((IF(Статистика!$C$4="Параллельный режим (активная мощность)",AH277,AS277)+Статистика!$J$4))-Статистика!$C$10)/MAX(Статистика!$G$10-Статистика!$C$10,0.000001),NA()))</f>
        <v>0.83695810827777861</v>
      </c>
      <c r="CI277" s="12" t="e">
        <f>IF(Y277="",NA(),IF(Статистика!$J$8="Вкл",(((IF(Статистика!$C$4="Параллельный режим (активная мощность)",AI277,AT277)+Статистика!$J$4))-Статистика!$C$10)/MAX(Статистика!$G$10-Статистика!$C$10,0.000001),NA()))</f>
        <v>#N/A</v>
      </c>
      <c r="CJ277" s="12" t="e">
        <f>IF(AND(Y277&lt;&gt;"",Статистика!$C$6="Вкл",Статистика!$B$6&gt;0),(Статистика!$B$6-Статистика!$C$10)/MAX(Статистика!$G$10-Статистика!$C$10,0.000001),NA())</f>
        <v>#N/A</v>
      </c>
      <c r="CK277" s="12" t="e">
        <f>IF(AND(Y277&lt;&gt;"",Статистика!$F$6="Вкл",Статистика!$E$6&gt;0),(Статистика!$E$6-Статистика!$C$10)/MAX(Статистика!$G$10-Статистика!$C$10,0.000001),NA())</f>
        <v>#N/A</v>
      </c>
      <c r="CL277" s="12" t="e">
        <f>IF(AND(Y277&lt;&gt;"",Статистика!$I$6="Вкл",Статистика!$H$6&gt;0),(Статистика!$H$6-Статистика!$C$10)/MAX(Статистика!$G$10-Статистика!$C$10,0.000001),NA())</f>
        <v>#N/A</v>
      </c>
      <c r="CM277" s="12" t="e">
        <f>IF(AND(Y277&lt;&gt;"",Статистика!$L$6="Вкл",Статистика!$K$6&gt;0),(Статистика!$K$6-Статистика!$C$10)/MAX(Статистика!$G$10-Статистика!$C$10,0.000001),NA())</f>
        <v>#N/A</v>
      </c>
      <c r="CN277" s="12" t="e">
        <f>IF(AND(Y277&lt;&gt;"",Статистика!$M$6="Вкл",Статистика!$O$6&gt;0),(Статистика!$O$6-Статистика!$C$10)/MAX(Статистика!$G$10-Статистика!$C$10,0.000001),NA())</f>
        <v>#N/A</v>
      </c>
      <c r="CO277" s="12">
        <f t="shared" si="9"/>
        <v>1</v>
      </c>
    </row>
    <row r="278" spans="1:93" ht="15" customHeight="1">
      <c r="A278" s="12" t="s">
        <v>1150</v>
      </c>
      <c r="B278" s="12">
        <v>2306.9934101666668</v>
      </c>
      <c r="C278" s="12">
        <v>5768.6733175000008</v>
      </c>
      <c r="D278" s="12">
        <v>7501.0039616666672</v>
      </c>
      <c r="E278" s="12">
        <v>7799.7610083333329</v>
      </c>
      <c r="F278" s="12">
        <v>8012.8758666666672</v>
      </c>
      <c r="G278" s="12">
        <v>8192.1187916666677</v>
      </c>
      <c r="H278" s="12">
        <v>8398.0845500000014</v>
      </c>
      <c r="I278" s="12">
        <v>8448.7907733333341</v>
      </c>
      <c r="J278" s="12">
        <v>8548.5138079999997</v>
      </c>
      <c r="K278" s="12">
        <v>8645.36</v>
      </c>
      <c r="L278" s="12" t="s">
        <v>1151</v>
      </c>
      <c r="M278" s="12">
        <v>2824.6738921666665</v>
      </c>
      <c r="N278" s="12">
        <v>6637.3533275000009</v>
      </c>
      <c r="O278" s="12">
        <v>8541.0832516666669</v>
      </c>
      <c r="P278" s="12">
        <v>8878.0675250000004</v>
      </c>
      <c r="Q278" s="12">
        <v>9116.3829666666661</v>
      </c>
      <c r="R278" s="12">
        <v>9293.6245833333323</v>
      </c>
      <c r="S278" s="12">
        <v>9579.5469316666677</v>
      </c>
      <c r="T278" s="12">
        <v>9625.7670241666674</v>
      </c>
      <c r="U278" s="12">
        <v>9680.9652181666661</v>
      </c>
      <c r="V278" s="12">
        <v>9813.0300000000007</v>
      </c>
      <c r="W278" s="12" t="s">
        <v>1152</v>
      </c>
      <c r="Y278" s="12" t="s">
        <v>1150</v>
      </c>
      <c r="Z278" s="12">
        <v>7728.3880468333318</v>
      </c>
      <c r="AA278" s="12">
        <v>7732.2466341666659</v>
      </c>
      <c r="AB278" s="12">
        <v>7737.069868333333</v>
      </c>
      <c r="AC278" s="12">
        <v>7828.9345833333327</v>
      </c>
      <c r="AD278" s="12">
        <v>7979.5058666666673</v>
      </c>
      <c r="AE278" s="12">
        <v>8180.8319083333336</v>
      </c>
      <c r="AF278" s="12">
        <v>8476.0063733333336</v>
      </c>
      <c r="AG278" s="12">
        <v>8535.0272033333331</v>
      </c>
      <c r="AH278" s="12">
        <v>8582.2438673333345</v>
      </c>
      <c r="AI278" s="12">
        <v>8703.09</v>
      </c>
      <c r="AJ278" s="12" t="s">
        <v>1153</v>
      </c>
      <c r="AK278" s="12">
        <v>8812.1395261666657</v>
      </c>
      <c r="AL278" s="12">
        <v>8821.3214974999992</v>
      </c>
      <c r="AM278" s="12">
        <v>8832.7989616666673</v>
      </c>
      <c r="AN278" s="12">
        <v>8951.6519083333333</v>
      </c>
      <c r="AO278" s="12">
        <v>9037.0950000000012</v>
      </c>
      <c r="AP278" s="12">
        <v>9278.9502499999999</v>
      </c>
      <c r="AQ278" s="12">
        <v>9599.5604483333336</v>
      </c>
      <c r="AR278" s="12">
        <v>9661.7014741666662</v>
      </c>
      <c r="AS278" s="12">
        <v>9711.4142948333338</v>
      </c>
      <c r="AT278" s="12">
        <v>9830.2000000000007</v>
      </c>
      <c r="AU278" s="12" t="s">
        <v>1153</v>
      </c>
      <c r="AW278" s="12">
        <f>IF(A278="","",MAX(0,MIN(1,(((IF(Статистика!$C$4="Параллельный режим (активная мощность)",B278,M278)+Статистика!$J$4))-Статистика!$C$10)/MAX(Статистика!$G$10-Статистика!$C$10,0.000001))))</f>
        <v>0</v>
      </c>
      <c r="AX278" s="12">
        <f>IF(A278="","",MAX(0,MAX(0,MIN(1,(((IF(Статистика!$C$4="Параллельный режим (активная мощность)",D278,O278)+Статистика!$J$4))-Статистика!$C$10)/MAX(Статистика!$G$10-Статистика!$C$10,0.000001)))-MAX(0,MIN(1,(((IF(Статистика!$C$4="Параллельный режим (активная мощность)",B278,M278)+Статистика!$J$4))-Статистика!$C$10)/MAX(Статистика!$G$10-Статистика!$C$10,0.000001)))))</f>
        <v>0.50033465388888909</v>
      </c>
      <c r="AY278" s="12">
        <f>IF(A278="","",MAX(0,MAX(0,MIN(1,(((IF(Статистика!$C$4="Параллельный режим (активная мощность)",E278,P278)+Статистика!$J$4))-Статистика!$C$10)/MAX(Статистика!$G$10-Статистика!$C$10,0.000001)))-MAX(0,MIN(1,(((IF(Статистика!$C$4="Параллельный режим (активная мощность)",D278,O278)+Статистика!$J$4))-Статистика!$C$10)/MAX(Статистика!$G$10-Статистика!$C$10,0.000001)))))</f>
        <v>9.9585682222221861E-2</v>
      </c>
      <c r="AZ278" s="12">
        <f>IF(A278="","",MAX(0,MAX(0,MIN(1,(((IF(Статистика!$C$4="Параллельный режим (активная мощность)",F278,Q278)+Статистика!$J$4))-Статистика!$C$10)/MAX(Статистика!$G$10-Статистика!$C$10,0.000001)))-MAX(0,MIN(1,(((IF(Статистика!$C$4="Параллельный режим (активная мощность)",E278,P278)+Статистика!$J$4))-Статистика!$C$10)/MAX(Статистика!$G$10-Статистика!$C$10,0.000001)))))</f>
        <v>7.1038286111111404E-2</v>
      </c>
      <c r="BA278" s="12">
        <f>IF(A278="","",MAX(0,MAX(0,MIN(1,(((IF(Статистика!$C$4="Параллельный режим (активная мощность)",G278,R278)+Статистика!$J$4))-Статистика!$C$10)/MAX(Статистика!$G$10-Статистика!$C$10,0.000001)))-MAX(0,MIN(1,(((IF(Статистика!$C$4="Параллельный режим (активная мощность)",F278,Q278)+Статистика!$J$4))-Статистика!$C$10)/MAX(Статистика!$G$10-Статистика!$C$10,0.000001)))))</f>
        <v>5.9747641666666906E-2</v>
      </c>
      <c r="BB278" s="12">
        <f>IF(A278="","",MAX(0,MAX(0,MIN(1,(((IF(Статистика!$C$4="Параллельный режим (активная мощность)",H278,S278)+Статистика!$J$4))-Статистика!$C$10)/MAX(Статистика!$G$10-Статистика!$C$10,0.000001)))-MAX(0,MIN(1,(((IF(Статистика!$C$4="Параллельный режим (активная мощность)",G278,R278)+Статистика!$J$4))-Статистика!$C$10)/MAX(Статистика!$G$10-Статистика!$C$10,0.000001)))))</f>
        <v>6.8655252777777842E-2</v>
      </c>
      <c r="BC278" s="12">
        <f>IF(A278="","",MAX(0,MAX(0,MIN(1,(((IF(Статистика!$C$4="Параллельный режим (активная мощность)",J278,U278)+Статистика!$J$4))-Статистика!$C$10)/MAX(Статистика!$G$10-Статистика!$C$10,0.000001)))-MAX(0,MIN(1,(((IF(Статистика!$C$4="Параллельный режим (активная мощность)",H278,S278)+Статистика!$J$4))-Статистика!$C$10)/MAX(Статистика!$G$10-Статистика!$C$10,0.000001)))))</f>
        <v>5.0143085999999504E-2</v>
      </c>
      <c r="BD278" s="12">
        <f>IF(A278="","",MAX(0,1-MAX(0,MIN(1,(((IF(Статистика!$C$4="Параллельный режим (активная мощность)",J278,U278)+Статистика!$J$4))-Статистика!$C$10)/MAX(Статистика!$G$10-Статистика!$C$10,0.000001)))))</f>
        <v>0.15049539733333339</v>
      </c>
      <c r="BE278" s="12">
        <f>IF(A278="",NA(),IF(Статистика!$B$8="Вкл",(((IF(Статистика!$C$4="Параллельный режим (активная мощность)",F278,Q278)+Статистика!$J$4))-Статистика!$C$10)/MAX(Статистика!$G$10-Статистика!$C$10,0.000001),NA()))</f>
        <v>0.67095862222222236</v>
      </c>
      <c r="BF278" s="12">
        <f>IF(A278="",NA(),IF(Статистика!$D$8="Вкл",(((IF(Статистика!$C$4="Параллельный режим (активная мощность)",E278,P278)+Статистика!$J$4))-Статистика!$C$10)/MAX(Статистика!$G$10-Статистика!$C$10,0.000001),NA()))</f>
        <v>0.59992033611111095</v>
      </c>
      <c r="BG278" s="12">
        <f>IF(A278="",NA(),IF(Статистика!$D$8="Вкл",(((IF(Статистика!$C$4="Параллельный режим (активная мощность)",G278,R278)+Статистика!$J$4))-Статистика!$C$10)/MAX(Статистика!$G$10-Статистика!$C$10,0.000001),NA()))</f>
        <v>0.73070626388888926</v>
      </c>
      <c r="BH278" s="12">
        <f>IF(A278="",NA(),IF(Статистика!$F$8="Вкл",(((IF(Статистика!$C$4="Параллельный режим (активная мощность)",D278,O278)+Статистика!$J$4))-Статистика!$C$10)/MAX(Статистика!$G$10-Статистика!$C$10,0.000001),NA()))</f>
        <v>0.50033465388888909</v>
      </c>
      <c r="BI278" s="12">
        <f>IF(A278="",NA(),IF(Статистика!$F$8="Вкл",(((IF(Статистика!$C$4="Параллельный режим (активная мощность)",H278,S278)+Статистика!$J$4))-Статистика!$C$10)/MAX(Статистика!$G$10-Статистика!$C$10,0.000001),NA()))</f>
        <v>0.7993615166666671</v>
      </c>
      <c r="BJ278" s="12">
        <f>IF(A278="",NA(),IF(Статистика!$H$8="Вкл",(((IF(Статистика!$C$4="Параллельный режим (активная мощность)",B278,M278)+Статистика!$J$4))-Статистика!$C$10)/MAX(Статистика!$G$10-Статистика!$C$10,0.000001),NA()))</f>
        <v>-1.2310021966111111</v>
      </c>
      <c r="BK278" s="12">
        <f>IF(A278="",NA(),IF(Статистика!$H$8="Вкл",(((IF(Статистика!$C$4="Параллельный режим (активная мощность)",J278,U278)+Статистика!$J$4))-Статистика!$C$10)/MAX(Статистика!$G$10-Статистика!$C$10,0.000001),NA()))</f>
        <v>0.84950460266666661</v>
      </c>
      <c r="BL278" s="12" t="e">
        <f>IF(A278="",NA(),IF(Статистика!$J$8="Вкл",(((IF(Статистика!$C$4="Параллельный режим (активная мощность)",K278,V278)+Статистика!$J$4))-Статистика!$C$10)/MAX(Статистика!$G$10-Статистика!$C$10,0.000001),NA()))</f>
        <v>#N/A</v>
      </c>
      <c r="BM278" s="12" t="e">
        <f>IF(AND(A278&lt;&gt;"",Статистика!$C$6="Вкл",Статистика!$B$6&gt;0),(Статистика!$B$6-Статистика!$C$10)/MAX(Статистика!$G$10-Статистика!$C$10,0.000001),NA())</f>
        <v>#N/A</v>
      </c>
      <c r="BN278" s="12" t="e">
        <f>IF(AND(A278&lt;&gt;"",Статистика!$F$6="Вкл",Статистика!$E$6&gt;0),(Статистика!$E$6-Статистика!$C$10)/MAX(Статистика!$G$10-Статистика!$C$10,0.000001),NA())</f>
        <v>#N/A</v>
      </c>
      <c r="BO278" s="12" t="e">
        <f>IF(AND(A278&lt;&gt;"",Статистика!$I$6="Вкл",Статистика!$H$6&gt;0),(Статистика!$H$6-Статистика!$C$10)/MAX(Статистика!$G$10-Статистика!$C$10,0.000001),NA())</f>
        <v>#N/A</v>
      </c>
      <c r="BP278" s="12" t="e">
        <f>IF(AND(A278&lt;&gt;"",Статистика!$L$6="Вкл",Статистика!$K$6&gt;0),(Статистика!$K$6-Статистика!$C$10)/MAX(Статистика!$G$10-Статистика!$C$10,0.000001),NA())</f>
        <v>#N/A</v>
      </c>
      <c r="BQ278" s="12" t="e">
        <f>IF(AND(A278&lt;&gt;"",Статистика!$M$6="Вкл",Статистика!$O$6&gt;0),(Статистика!$O$6-Статистика!$C$10)/MAX(Статистика!$G$10-Статистика!$C$10,0.000001),NA())</f>
        <v>#N/A</v>
      </c>
      <c r="BR278" s="12">
        <f t="shared" si="8"/>
        <v>1</v>
      </c>
      <c r="BT278" s="12">
        <f>IF(Y278="","",MAX(0,MIN(1,(((IF(Статистика!$C$4="Параллельный режим (активная мощность)",Z278,AK278)+Статистика!$J$4))-Статистика!$C$10)/MAX(Статистика!$G$10-Статистика!$C$10,0.000001))))</f>
        <v>0.5761293489444439</v>
      </c>
      <c r="BU278" s="12">
        <f>IF(Y278="","",MAX(0,MAX(0,MIN(1,(((IF(Статистика!$C$4="Параллельный режим (активная мощность)",AB278,AM278)+Статистика!$J$4))-Статистика!$C$10)/MAX(Статистика!$G$10-Статистика!$C$10,0.000001)))-MAX(0,MIN(1,(((IF(Статистика!$C$4="Параллельный режим (активная мощность)",Z278,AK278)+Статистика!$J$4))-Статистика!$C$10)/MAX(Статистика!$G$10-Статистика!$C$10,0.000001)))))</f>
        <v>2.8939405000004692E-3</v>
      </c>
      <c r="BV278" s="12">
        <f>IF(Y278="","",MAX(0,MAX(0,MIN(1,(((IF(Статистика!$C$4="Параллельный режим (активная мощность)",AC278,AN278)+Статистика!$J$4))-Статистика!$C$10)/MAX(Статистика!$G$10-Статистика!$C$10,0.000001)))-MAX(0,MIN(1,(((IF(Статистика!$C$4="Параллельный режим (активная мощность)",AB278,AM278)+Статистика!$J$4))-Статистика!$C$10)/MAX(Статистика!$G$10-Статистика!$C$10,0.000001)))))</f>
        <v>3.0621571666666569E-2</v>
      </c>
      <c r="BW278" s="12">
        <f>IF(Y278="","",MAX(0,MAX(0,MIN(1,(((IF(Статистика!$C$4="Параллельный режим (активная мощность)",AD278,AO278)+Статистика!$J$4))-Статистика!$C$10)/MAX(Статистика!$G$10-Статистика!$C$10,0.000001)))-MAX(0,MIN(1,(((IF(Статистика!$C$4="Параллельный режим (активная мощность)",AC278,AN278)+Статистика!$J$4))-Статистика!$C$10)/MAX(Статистика!$G$10-Статистика!$C$10,0.000001)))))</f>
        <v>5.0190427777778157E-2</v>
      </c>
      <c r="BX278" s="12">
        <f>IF(Y278="","",MAX(0,MAX(0,MIN(1,(((IF(Статистика!$C$4="Параллельный режим (активная мощность)",AE278,AP278)+Статистика!$J$4))-Статистика!$C$10)/MAX(Статистика!$G$10-Статистика!$C$10,0.000001)))-MAX(0,MIN(1,(((IF(Статистика!$C$4="Параллельный режим (активная мощность)",AD278,AO278)+Статистика!$J$4))-Статистика!$C$10)/MAX(Статистика!$G$10-Статистика!$C$10,0.000001)))))</f>
        <v>6.7108680555555411E-2</v>
      </c>
      <c r="BY278" s="12">
        <f>IF(Y278="","",MAX(0,MAX(0,MIN(1,(((IF(Статистика!$C$4="Параллельный режим (активная мощность)",AF278,AQ278)+Статистика!$J$4))-Статистика!$C$10)/MAX(Статистика!$G$10-Статистика!$C$10,0.000001)))-MAX(0,MIN(1,(((IF(Статистика!$C$4="Параллельный режим (активная мощность)",AE278,AP278)+Статистика!$J$4))-Статистика!$C$10)/MAX(Статистика!$G$10-Статистика!$C$10,0.000001)))))</f>
        <v>9.8391488333333332E-2</v>
      </c>
      <c r="BZ278" s="12">
        <f>IF(Y278="","",MAX(0,MAX(0,MIN(1,(((IF(Статистика!$C$4="Параллельный режим (активная мощность)",AH278,AS278)+Статистика!$J$4))-Статистика!$C$10)/MAX(Статистика!$G$10-Статистика!$C$10,0.000001)))-MAX(0,MIN(1,(((IF(Статистика!$C$4="Параллельный режим (активная мощность)",AF278,AQ278)+Статистика!$J$4))-Статистика!$C$10)/MAX(Статистика!$G$10-Статистика!$C$10,0.000001)))))</f>
        <v>3.5412498000000348E-2</v>
      </c>
      <c r="CA278" s="12">
        <f>IF(Y278="","",MAX(0,1-MAX(0,MIN(1,(((IF(Статистика!$C$4="Параллельный режим (активная мощность)",AH278,AS278)+Статистика!$J$4))-Статистика!$C$10)/MAX(Статистика!$G$10-Статистика!$C$10,0.000001)))))</f>
        <v>0.13925204422222182</v>
      </c>
      <c r="CB278" s="12">
        <f>IF(Y278="",NA(),IF(Статистика!$B$8="Вкл",(((IF(Статистика!$C$4="Параллельный режим (активная мощность)",AD278,AO278)+Статистика!$J$4))-Статистика!$C$10)/MAX(Статистика!$G$10-Статистика!$C$10,0.000001),NA()))</f>
        <v>0.65983528888888909</v>
      </c>
      <c r="CC278" s="12">
        <f>IF(Y278="",NA(),IF(Статистика!$D$8="Вкл",(((IF(Статистика!$C$4="Параллельный режим (активная мощность)",AC278,AN278)+Статистика!$J$4))-Статистика!$C$10)/MAX(Статистика!$G$10-Статистика!$C$10,0.000001),NA()))</f>
        <v>0.60964486111111094</v>
      </c>
      <c r="CD278" s="12">
        <f>IF(Y278="",NA(),IF(Статистика!$D$8="Вкл",(((IF(Статистика!$C$4="Параллельный режим (активная мощность)",AE278,AP278)+Статистика!$J$4))-Статистика!$C$10)/MAX(Статистика!$G$10-Статистика!$C$10,0.000001),NA()))</f>
        <v>0.7269439694444445</v>
      </c>
      <c r="CE278" s="12">
        <f>IF(Y278="",NA(),IF(Статистика!$F$8="Вкл",(((IF(Статистика!$C$4="Параллельный режим (активная мощность)",AB278,AM278)+Статистика!$J$4))-Статистика!$C$10)/MAX(Статистика!$G$10-Статистика!$C$10,0.000001),NA()))</f>
        <v>0.57902328944444437</v>
      </c>
      <c r="CF278" s="12">
        <f>IF(Y278="",NA(),IF(Статистика!$F$8="Вкл",(((IF(Статистика!$C$4="Параллельный режим (активная мощность)",AF278,AQ278)+Статистика!$J$4))-Статистика!$C$10)/MAX(Статистика!$G$10-Статистика!$C$10,0.000001),NA()))</f>
        <v>0.82533545777777784</v>
      </c>
      <c r="CG278" s="12">
        <f>IF(Y278="",NA(),IF(Статистика!$H$8="Вкл",(((IF(Статистика!$C$4="Параллельный режим (активная мощность)",Z278,AK278)+Статистика!$J$4))-Статистика!$C$10)/MAX(Статистика!$G$10-Статистика!$C$10,0.000001),NA()))</f>
        <v>0.5761293489444439</v>
      </c>
      <c r="CH278" s="12">
        <f>IF(Y278="",NA(),IF(Статистика!$H$8="Вкл",(((IF(Статистика!$C$4="Параллельный режим (активная мощность)",AH278,AS278)+Статистика!$J$4))-Статистика!$C$10)/MAX(Статистика!$G$10-Статистика!$C$10,0.000001),NA()))</f>
        <v>0.86074795577777818</v>
      </c>
      <c r="CI278" s="12" t="e">
        <f>IF(Y278="",NA(),IF(Статистика!$J$8="Вкл",(((IF(Статистика!$C$4="Параллельный режим (активная мощность)",AI278,AT278)+Статистика!$J$4))-Статистика!$C$10)/MAX(Статистика!$G$10-Статистика!$C$10,0.000001),NA()))</f>
        <v>#N/A</v>
      </c>
      <c r="CJ278" s="12" t="e">
        <f>IF(AND(Y278&lt;&gt;"",Статистика!$C$6="Вкл",Статистика!$B$6&gt;0),(Статистика!$B$6-Статистика!$C$10)/MAX(Статистика!$G$10-Статистика!$C$10,0.000001),NA())</f>
        <v>#N/A</v>
      </c>
      <c r="CK278" s="12" t="e">
        <f>IF(AND(Y278&lt;&gt;"",Статистика!$F$6="Вкл",Статистика!$E$6&gt;0),(Статистика!$E$6-Статистика!$C$10)/MAX(Статистика!$G$10-Статистика!$C$10,0.000001),NA())</f>
        <v>#N/A</v>
      </c>
      <c r="CL278" s="12" t="e">
        <f>IF(AND(Y278&lt;&gt;"",Статистика!$I$6="Вкл",Статистика!$H$6&gt;0),(Статистика!$H$6-Статистика!$C$10)/MAX(Статистика!$G$10-Статистика!$C$10,0.000001),NA())</f>
        <v>#N/A</v>
      </c>
      <c r="CM278" s="12" t="e">
        <f>IF(AND(Y278&lt;&gt;"",Статистика!$L$6="Вкл",Статистика!$K$6&gt;0),(Статистика!$K$6-Статистика!$C$10)/MAX(Статистика!$G$10-Статистика!$C$10,0.000001),NA())</f>
        <v>#N/A</v>
      </c>
      <c r="CN278" s="12" t="e">
        <f>IF(AND(Y278&lt;&gt;"",Статистика!$M$6="Вкл",Статистика!$O$6&gt;0),(Статистика!$O$6-Статистика!$C$10)/MAX(Статистика!$G$10-Статистика!$C$10,0.000001),NA())</f>
        <v>#N/A</v>
      </c>
      <c r="CO278" s="12">
        <f t="shared" si="9"/>
        <v>1</v>
      </c>
    </row>
    <row r="279" spans="1:93" ht="15" customHeight="1">
      <c r="A279" s="12" t="s">
        <v>1154</v>
      </c>
      <c r="B279" s="12">
        <v>2318.9952886666665</v>
      </c>
      <c r="C279" s="12">
        <v>5833.9095100000004</v>
      </c>
      <c r="D279" s="12">
        <v>7583.0772466666667</v>
      </c>
      <c r="E279" s="12">
        <v>7774.4459999999999</v>
      </c>
      <c r="F279" s="12">
        <v>7998.7814500000004</v>
      </c>
      <c r="G279" s="12">
        <v>8209.9510333333346</v>
      </c>
      <c r="H279" s="12">
        <v>8407.5798866666664</v>
      </c>
      <c r="I279" s="12">
        <v>8485.0129416666678</v>
      </c>
      <c r="J279" s="12">
        <v>8577.7996016666675</v>
      </c>
      <c r="K279" s="12">
        <v>8697.1</v>
      </c>
      <c r="L279" s="12" t="s">
        <v>1155</v>
      </c>
      <c r="M279" s="12">
        <v>2847.4881628333333</v>
      </c>
      <c r="N279" s="12">
        <v>6732.8117475000008</v>
      </c>
      <c r="O279" s="12">
        <v>8668.0344433333339</v>
      </c>
      <c r="P279" s="12">
        <v>8866.0362166666655</v>
      </c>
      <c r="Q279" s="12">
        <v>9100.2709333333332</v>
      </c>
      <c r="R279" s="12">
        <v>9347.874041666666</v>
      </c>
      <c r="S279" s="12">
        <v>9569.6755366666675</v>
      </c>
      <c r="T279" s="12">
        <v>9616.7003325000005</v>
      </c>
      <c r="U279" s="12">
        <v>9701.7358531666669</v>
      </c>
      <c r="V279" s="12">
        <v>9892.11</v>
      </c>
      <c r="W279" s="12" t="s">
        <v>1156</v>
      </c>
      <c r="Y279" s="12" t="s">
        <v>1154</v>
      </c>
      <c r="Z279" s="12">
        <v>7779.3664305000002</v>
      </c>
      <c r="AA279" s="12">
        <v>7780.5694858333336</v>
      </c>
      <c r="AB279" s="12">
        <v>7782.0733049999999</v>
      </c>
      <c r="AC279" s="12">
        <v>7854.9250499999998</v>
      </c>
      <c r="AD279" s="12">
        <v>8016.8110333333334</v>
      </c>
      <c r="AE279" s="12">
        <v>8201.618683333334</v>
      </c>
      <c r="AF279" s="12">
        <v>8453.2007316666659</v>
      </c>
      <c r="AG279" s="12">
        <v>8509.6189158333327</v>
      </c>
      <c r="AH279" s="12">
        <v>8554.7534631666658</v>
      </c>
      <c r="AI279" s="12">
        <v>8669.49</v>
      </c>
      <c r="AJ279" s="12" t="s">
        <v>1157</v>
      </c>
      <c r="AK279" s="12">
        <v>8882.2629466666676</v>
      </c>
      <c r="AL279" s="12">
        <v>8886.1076666666668</v>
      </c>
      <c r="AM279" s="12">
        <v>8890.9135666666662</v>
      </c>
      <c r="AN279" s="12">
        <v>8968.5320416666673</v>
      </c>
      <c r="AO279" s="12">
        <v>9070.9067166666682</v>
      </c>
      <c r="AP279" s="12">
        <v>9294.6532999999999</v>
      </c>
      <c r="AQ279" s="12">
        <v>9569.0639899999987</v>
      </c>
      <c r="AR279" s="12">
        <v>9622.5761116666654</v>
      </c>
      <c r="AS279" s="12">
        <v>9665.3858089999994</v>
      </c>
      <c r="AT279" s="12">
        <v>9777.49</v>
      </c>
      <c r="AU279" s="12" t="s">
        <v>1157</v>
      </c>
      <c r="AW279" s="12">
        <f>IF(A279="","",MAX(0,MIN(1,(((IF(Статистика!$C$4="Параллельный режим (активная мощность)",B279,M279)+Статистика!$J$4))-Статистика!$C$10)/MAX(Статистика!$G$10-Статистика!$C$10,0.000001))))</f>
        <v>0</v>
      </c>
      <c r="AX279" s="12">
        <f>IF(A279="","",MAX(0,MAX(0,MIN(1,(((IF(Статистика!$C$4="Параллельный режим (активная мощность)",D279,O279)+Статистика!$J$4))-Статистика!$C$10)/MAX(Статистика!$G$10-Статистика!$C$10,0.000001)))-MAX(0,MIN(1,(((IF(Статистика!$C$4="Параллельный режим (активная мощность)",B279,M279)+Статистика!$J$4))-Статистика!$C$10)/MAX(Статистика!$G$10-Статистика!$C$10,0.000001)))))</f>
        <v>0.52769241555555557</v>
      </c>
      <c r="AY279" s="12">
        <f>IF(A279="","",MAX(0,MAX(0,MIN(1,(((IF(Статистика!$C$4="Параллельный режим (активная мощность)",E279,P279)+Статистика!$J$4))-Статистика!$C$10)/MAX(Статистика!$G$10-Статистика!$C$10,0.000001)))-MAX(0,MIN(1,(((IF(Статистика!$C$4="Параллельный режим (активная мощность)",D279,O279)+Статистика!$J$4))-Статистика!$C$10)/MAX(Статистика!$G$10-Статистика!$C$10,0.000001)))))</f>
        <v>6.378958444444438E-2</v>
      </c>
      <c r="AZ279" s="12">
        <f>IF(A279="","",MAX(0,MAX(0,MIN(1,(((IF(Статистика!$C$4="Параллельный режим (активная мощность)",F279,Q279)+Статистика!$J$4))-Статистика!$C$10)/MAX(Статистика!$G$10-Статистика!$C$10,0.000001)))-MAX(0,MIN(1,(((IF(Статистика!$C$4="Параллельный режим (активная мощность)",E279,P279)+Статистика!$J$4))-Статистика!$C$10)/MAX(Статистика!$G$10-Статистика!$C$10,0.000001)))))</f>
        <v>7.4778483333333479E-2</v>
      </c>
      <c r="BA279" s="12">
        <f>IF(A279="","",MAX(0,MAX(0,MIN(1,(((IF(Статистика!$C$4="Параллельный режим (активная мощность)",G279,R279)+Статистика!$J$4))-Статистика!$C$10)/MAX(Статистика!$G$10-Статистика!$C$10,0.000001)))-MAX(0,MIN(1,(((IF(Статистика!$C$4="Параллельный режим (активная мощность)",F279,Q279)+Статистика!$J$4))-Статистика!$C$10)/MAX(Статистика!$G$10-Статистика!$C$10,0.000001)))))</f>
        <v>7.0389861111111451E-2</v>
      </c>
      <c r="BB279" s="12">
        <f>IF(A279="","",MAX(0,MAX(0,MIN(1,(((IF(Статистика!$C$4="Параллельный режим (активная мощность)",H279,S279)+Статистика!$J$4))-Статистика!$C$10)/MAX(Статистика!$G$10-Статистика!$C$10,0.000001)))-MAX(0,MIN(1,(((IF(Статистика!$C$4="Параллельный режим (активная мощность)",G279,R279)+Статистика!$J$4))-Статистика!$C$10)/MAX(Статистика!$G$10-Статистика!$C$10,0.000001)))))</f>
        <v>6.5876284444443933E-2</v>
      </c>
      <c r="BC279" s="12">
        <f>IF(A279="","",MAX(0,MAX(0,MIN(1,(((IF(Статистика!$C$4="Параллельный режим (активная мощность)",J279,U279)+Статистика!$J$4))-Статистика!$C$10)/MAX(Статистика!$G$10-Статистика!$C$10,0.000001)))-MAX(0,MIN(1,(((IF(Статистика!$C$4="Параллельный режим (активная мощность)",H279,S279)+Статистика!$J$4))-Статистика!$C$10)/MAX(Статистика!$G$10-Статистика!$C$10,0.000001)))))</f>
        <v>5.6739905000000368E-2</v>
      </c>
      <c r="BD279" s="12">
        <f>IF(A279="","",MAX(0,1-MAX(0,MIN(1,(((IF(Статистика!$C$4="Параллельный режим (активная мощность)",J279,U279)+Статистика!$J$4))-Статистика!$C$10)/MAX(Статистика!$G$10-Статистика!$C$10,0.000001)))))</f>
        <v>0.14073346611111082</v>
      </c>
      <c r="BE279" s="12">
        <f>IF(A279="",NA(),IF(Статистика!$B$8="Вкл",(((IF(Статистика!$C$4="Параллельный режим (активная мощность)",F279,Q279)+Статистика!$J$4))-Статистика!$C$10)/MAX(Статистика!$G$10-Статистика!$C$10,0.000001),NA()))</f>
        <v>0.66626048333333343</v>
      </c>
      <c r="BF279" s="12">
        <f>IF(A279="",NA(),IF(Статистика!$D$8="Вкл",(((IF(Статистика!$C$4="Параллельный режим (активная мощность)",E279,P279)+Статистика!$J$4))-Статистика!$C$10)/MAX(Статистика!$G$10-Статистика!$C$10,0.000001),NA()))</f>
        <v>0.59148199999999995</v>
      </c>
      <c r="BG279" s="12">
        <f>IF(A279="",NA(),IF(Статистика!$D$8="Вкл",(((IF(Статистика!$C$4="Параллельный режим (активная мощность)",G279,R279)+Статистика!$J$4))-Статистика!$C$10)/MAX(Статистика!$G$10-Статистика!$C$10,0.000001),NA()))</f>
        <v>0.73665034444444488</v>
      </c>
      <c r="BH279" s="12">
        <f>IF(A279="",NA(),IF(Статистика!$F$8="Вкл",(((IF(Статистика!$C$4="Параллельный режим (активная мощность)",D279,O279)+Статистика!$J$4))-Статистика!$C$10)/MAX(Статистика!$G$10-Статистика!$C$10,0.000001),NA()))</f>
        <v>0.52769241555555557</v>
      </c>
      <c r="BI279" s="12">
        <f>IF(A279="",NA(),IF(Статистика!$F$8="Вкл",(((IF(Статистика!$C$4="Параллельный режим (активная мощность)",H279,S279)+Статистика!$J$4))-Статистика!$C$10)/MAX(Статистика!$G$10-Статистика!$C$10,0.000001),NA()))</f>
        <v>0.80252662888888882</v>
      </c>
      <c r="BJ279" s="12">
        <f>IF(A279="",NA(),IF(Статистика!$H$8="Вкл",(((IF(Статистика!$C$4="Параллельный режим (активная мощность)",B279,M279)+Статистика!$J$4))-Статистика!$C$10)/MAX(Статистика!$G$10-Статистика!$C$10,0.000001),NA()))</f>
        <v>-1.2270015704444446</v>
      </c>
      <c r="BK279" s="12">
        <f>IF(A279="",NA(),IF(Статистика!$H$8="Вкл",(((IF(Статистика!$C$4="Параллельный режим (активная мощность)",J279,U279)+Статистика!$J$4))-Статистика!$C$10)/MAX(Статистика!$G$10-Статистика!$C$10,0.000001),NA()))</f>
        <v>0.85926653388888918</v>
      </c>
      <c r="BL279" s="12" t="e">
        <f>IF(A279="",NA(),IF(Статистика!$J$8="Вкл",(((IF(Статистика!$C$4="Параллельный режим (активная мощность)",K279,V279)+Статистика!$J$4))-Статистика!$C$10)/MAX(Статистика!$G$10-Статистика!$C$10,0.000001),NA()))</f>
        <v>#N/A</v>
      </c>
      <c r="BM279" s="12" t="e">
        <f>IF(AND(A279&lt;&gt;"",Статистика!$C$6="Вкл",Статистика!$B$6&gt;0),(Статистика!$B$6-Статистика!$C$10)/MAX(Статистика!$G$10-Статистика!$C$10,0.000001),NA())</f>
        <v>#N/A</v>
      </c>
      <c r="BN279" s="12" t="e">
        <f>IF(AND(A279&lt;&gt;"",Статистика!$F$6="Вкл",Статистика!$E$6&gt;0),(Статистика!$E$6-Статистика!$C$10)/MAX(Статистика!$G$10-Статистика!$C$10,0.000001),NA())</f>
        <v>#N/A</v>
      </c>
      <c r="BO279" s="12" t="e">
        <f>IF(AND(A279&lt;&gt;"",Статистика!$I$6="Вкл",Статистика!$H$6&gt;0),(Статистика!$H$6-Статистика!$C$10)/MAX(Статистика!$G$10-Статистика!$C$10,0.000001),NA())</f>
        <v>#N/A</v>
      </c>
      <c r="BP279" s="12" t="e">
        <f>IF(AND(A279&lt;&gt;"",Статистика!$L$6="Вкл",Статистика!$K$6&gt;0),(Статистика!$K$6-Статистика!$C$10)/MAX(Статистика!$G$10-Статистика!$C$10,0.000001),NA())</f>
        <v>#N/A</v>
      </c>
      <c r="BQ279" s="12" t="e">
        <f>IF(AND(A279&lt;&gt;"",Статистика!$M$6="Вкл",Статистика!$O$6&gt;0),(Статистика!$O$6-Статистика!$C$10)/MAX(Статистика!$G$10-Статистика!$C$10,0.000001),NA())</f>
        <v>#N/A</v>
      </c>
      <c r="BR279" s="12">
        <f t="shared" si="8"/>
        <v>1</v>
      </c>
      <c r="BT279" s="12">
        <f>IF(Y279="","",MAX(0,MIN(1,(((IF(Статистика!$C$4="Параллельный режим (активная мощность)",Z279,AK279)+Статистика!$J$4))-Статистика!$C$10)/MAX(Статистика!$G$10-Статистика!$C$10,0.000001))))</f>
        <v>0.59312214350000003</v>
      </c>
      <c r="BU279" s="12">
        <f>IF(Y279="","",MAX(0,MAX(0,MIN(1,(((IF(Статистика!$C$4="Параллельный режим (активная мощность)",AB279,AM279)+Статистика!$J$4))-Статистика!$C$10)/MAX(Статистика!$G$10-Статистика!$C$10,0.000001)))-MAX(0,MIN(1,(((IF(Статистика!$C$4="Параллельный режим (активная мощность)",Z279,AK279)+Статистика!$J$4))-Статистика!$C$10)/MAX(Статистика!$G$10-Статистика!$C$10,0.000001)))))</f>
        <v>9.0229149999998537E-4</v>
      </c>
      <c r="BV279" s="12">
        <f>IF(Y279="","",MAX(0,MAX(0,MIN(1,(((IF(Статистика!$C$4="Параллельный режим (активная мощность)",AC279,AN279)+Статистика!$J$4))-Статистика!$C$10)/MAX(Статистика!$G$10-Статистика!$C$10,0.000001)))-MAX(0,MIN(1,(((IF(Статистика!$C$4="Параллельный режим (активная мощность)",AB279,AM279)+Статистика!$J$4))-Статистика!$C$10)/MAX(Статистика!$G$10-Статистика!$C$10,0.000001)))))</f>
        <v>2.4283914999999934E-2</v>
      </c>
      <c r="BW279" s="12">
        <f>IF(Y279="","",MAX(0,MAX(0,MIN(1,(((IF(Статистика!$C$4="Параллельный режим (активная мощность)",AD279,AO279)+Статистика!$J$4))-Статистика!$C$10)/MAX(Статистика!$G$10-Статистика!$C$10,0.000001)))-MAX(0,MIN(1,(((IF(Статистика!$C$4="Параллельный режим (активная мощность)",AC279,AN279)+Статистика!$J$4))-Статистика!$C$10)/MAX(Статистика!$G$10-Статистика!$C$10,0.000001)))))</f>
        <v>5.3961994444444494E-2</v>
      </c>
      <c r="BX279" s="12">
        <f>IF(Y279="","",MAX(0,MAX(0,MIN(1,(((IF(Статистика!$C$4="Параллельный режим (активная мощность)",AE279,AP279)+Статистика!$J$4))-Статистика!$C$10)/MAX(Статистика!$G$10-Статистика!$C$10,0.000001)))-MAX(0,MIN(1,(((IF(Статистика!$C$4="Параллельный режим (активная мощность)",AD279,AO279)+Статистика!$J$4))-Статистика!$C$10)/MAX(Статистика!$G$10-Статистика!$C$10,0.000001)))))</f>
        <v>6.1602550000000256E-2</v>
      </c>
      <c r="BY279" s="12">
        <f>IF(Y279="","",MAX(0,MAX(0,MIN(1,(((IF(Статистика!$C$4="Параллельный режим (активная мощность)",AF279,AQ279)+Статистика!$J$4))-Статистика!$C$10)/MAX(Статистика!$G$10-Статистика!$C$10,0.000001)))-MAX(0,MIN(1,(((IF(Статистика!$C$4="Параллельный режим (активная мощность)",AE279,AP279)+Статистика!$J$4))-Статистика!$C$10)/MAX(Статистика!$G$10-Статистика!$C$10,0.000001)))))</f>
        <v>8.3860682777777251E-2</v>
      </c>
      <c r="BZ279" s="12">
        <f>IF(Y279="","",MAX(0,MAX(0,MIN(1,(((IF(Статистика!$C$4="Параллельный режим (активная мощность)",AH279,AS279)+Статистика!$J$4))-Статистика!$C$10)/MAX(Статистика!$G$10-Статистика!$C$10,0.000001)))-MAX(0,MIN(1,(((IF(Статистика!$C$4="Параллельный режим (активная мощность)",AF279,AQ279)+Статистика!$J$4))-Статистика!$C$10)/MAX(Статистика!$G$10-Статистика!$C$10,0.000001)))))</f>
        <v>3.3850910499999998E-2</v>
      </c>
      <c r="CA279" s="12">
        <f>IF(Y279="","",MAX(0,1-MAX(0,MIN(1,(((IF(Статистика!$C$4="Параллельный режим (активная мощность)",AH279,AS279)+Статистика!$J$4))-Статистика!$C$10)/MAX(Статистика!$G$10-Статистика!$C$10,0.000001)))))</f>
        <v>0.14841551227777805</v>
      </c>
      <c r="CB279" s="12">
        <f>IF(Y279="",NA(),IF(Статистика!$B$8="Вкл",(((IF(Статистика!$C$4="Параллельный режим (активная мощность)",AD279,AO279)+Статистика!$J$4))-Статистика!$C$10)/MAX(Статистика!$G$10-Статистика!$C$10,0.000001),NA()))</f>
        <v>0.67227034444444445</v>
      </c>
      <c r="CC279" s="12">
        <f>IF(Y279="",NA(),IF(Статистика!$D$8="Вкл",(((IF(Статистика!$C$4="Параллельный режим (активная мощность)",AC279,AN279)+Статистика!$J$4))-Статистика!$C$10)/MAX(Статистика!$G$10-Статистика!$C$10,0.000001),NA()))</f>
        <v>0.61830834999999995</v>
      </c>
      <c r="CD279" s="12">
        <f>IF(Y279="",NA(),IF(Статистика!$D$8="Вкл",(((IF(Статистика!$C$4="Параллельный режим (активная мощность)",AE279,AP279)+Статистика!$J$4))-Статистика!$C$10)/MAX(Статистика!$G$10-Статистика!$C$10,0.000001),NA()))</f>
        <v>0.7338728944444447</v>
      </c>
      <c r="CE279" s="12">
        <f>IF(Y279="",NA(),IF(Статистика!$F$8="Вкл",(((IF(Статистика!$C$4="Параллельный режим (активная мощность)",AB279,AM279)+Статистика!$J$4))-Статистика!$C$10)/MAX(Статистика!$G$10-Статистика!$C$10,0.000001),NA()))</f>
        <v>0.59402443500000002</v>
      </c>
      <c r="CF279" s="12">
        <f>IF(Y279="",NA(),IF(Статистика!$F$8="Вкл",(((IF(Статистика!$C$4="Параллельный режим (активная мощность)",AF279,AQ279)+Статистика!$J$4))-Статистика!$C$10)/MAX(Статистика!$G$10-Статистика!$C$10,0.000001),NA()))</f>
        <v>0.81773357722222195</v>
      </c>
      <c r="CG279" s="12">
        <f>IF(Y279="",NA(),IF(Статистика!$H$8="Вкл",(((IF(Статистика!$C$4="Параллельный режим (активная мощность)",Z279,AK279)+Статистика!$J$4))-Статистика!$C$10)/MAX(Статистика!$G$10-Статистика!$C$10,0.000001),NA()))</f>
        <v>0.59312214350000003</v>
      </c>
      <c r="CH279" s="12">
        <f>IF(Y279="",NA(),IF(Статистика!$H$8="Вкл",(((IF(Статистика!$C$4="Параллельный режим (активная мощность)",AH279,AS279)+Статистика!$J$4))-Статистика!$C$10)/MAX(Статистика!$G$10-Статистика!$C$10,0.000001),NA()))</f>
        <v>0.85158448772222195</v>
      </c>
      <c r="CI279" s="12" t="e">
        <f>IF(Y279="",NA(),IF(Статистика!$J$8="Вкл",(((IF(Статистика!$C$4="Параллельный режим (активная мощность)",AI279,AT279)+Статистика!$J$4))-Статистика!$C$10)/MAX(Статистика!$G$10-Статистика!$C$10,0.000001),NA()))</f>
        <v>#N/A</v>
      </c>
      <c r="CJ279" s="12" t="e">
        <f>IF(AND(Y279&lt;&gt;"",Статистика!$C$6="Вкл",Статистика!$B$6&gt;0),(Статистика!$B$6-Статистика!$C$10)/MAX(Статистика!$G$10-Статистика!$C$10,0.000001),NA())</f>
        <v>#N/A</v>
      </c>
      <c r="CK279" s="12" t="e">
        <f>IF(AND(Y279&lt;&gt;"",Статистика!$F$6="Вкл",Статистика!$E$6&gt;0),(Статистика!$E$6-Статистика!$C$10)/MAX(Статистика!$G$10-Статистика!$C$10,0.000001),NA())</f>
        <v>#N/A</v>
      </c>
      <c r="CL279" s="12" t="e">
        <f>IF(AND(Y279&lt;&gt;"",Статистика!$I$6="Вкл",Статистика!$H$6&gt;0),(Статистика!$H$6-Статистика!$C$10)/MAX(Статистика!$G$10-Статистика!$C$10,0.000001),NA())</f>
        <v>#N/A</v>
      </c>
      <c r="CM279" s="12" t="e">
        <f>IF(AND(Y279&lt;&gt;"",Статистика!$L$6="Вкл",Статистика!$K$6&gt;0),(Статистика!$K$6-Статистика!$C$10)/MAX(Статистика!$G$10-Статистика!$C$10,0.000001),NA())</f>
        <v>#N/A</v>
      </c>
      <c r="CN279" s="12" t="e">
        <f>IF(AND(Y279&lt;&gt;"",Статистика!$M$6="Вкл",Статистика!$O$6&gt;0),(Статистика!$O$6-Статистика!$C$10)/MAX(Статистика!$G$10-Статистика!$C$10,0.000001),NA())</f>
        <v>#N/A</v>
      </c>
      <c r="CO279" s="12">
        <f t="shared" si="9"/>
        <v>1</v>
      </c>
    </row>
    <row r="280" spans="1:93" ht="15" customHeight="1">
      <c r="A280" s="12" t="s">
        <v>1158</v>
      </c>
      <c r="B280" s="12">
        <v>2327.7047128333334</v>
      </c>
      <c r="C280" s="12">
        <v>5834.6459641666679</v>
      </c>
      <c r="D280" s="12">
        <v>7552.3881883333343</v>
      </c>
      <c r="E280" s="12">
        <v>7781.1655083333335</v>
      </c>
      <c r="F280" s="12">
        <v>7972.9879499999988</v>
      </c>
      <c r="G280" s="12">
        <v>8223.0402749999994</v>
      </c>
      <c r="H280" s="12">
        <v>8417.1254549999994</v>
      </c>
      <c r="I280" s="12">
        <v>8492.9271658333328</v>
      </c>
      <c r="J280" s="12">
        <v>8570.6755665000001</v>
      </c>
      <c r="K280" s="12">
        <v>8728.64</v>
      </c>
      <c r="L280" s="12" t="s">
        <v>1159</v>
      </c>
      <c r="M280" s="12">
        <v>2860.3713791666664</v>
      </c>
      <c r="N280" s="12">
        <v>6740.5206291666673</v>
      </c>
      <c r="O280" s="12">
        <v>8634.5708216666662</v>
      </c>
      <c r="P280" s="12">
        <v>8848.2164750000011</v>
      </c>
      <c r="Q280" s="12">
        <v>9105.2071166666665</v>
      </c>
      <c r="R280" s="12">
        <v>9354.4383749999997</v>
      </c>
      <c r="S280" s="12">
        <v>9573.1630449999993</v>
      </c>
      <c r="T280" s="12">
        <v>9623.5209958333326</v>
      </c>
      <c r="U280" s="12">
        <v>9676.9124124999998</v>
      </c>
      <c r="V280" s="12">
        <v>9880.06</v>
      </c>
      <c r="W280" s="12" t="s">
        <v>1159</v>
      </c>
      <c r="Y280" s="12" t="s">
        <v>1158</v>
      </c>
      <c r="Z280" s="12">
        <v>7774.0370543333347</v>
      </c>
      <c r="AA280" s="12">
        <v>7775.4411383333345</v>
      </c>
      <c r="AB280" s="12">
        <v>7777.1962433333338</v>
      </c>
      <c r="AC280" s="12">
        <v>7839.252108333334</v>
      </c>
      <c r="AD280" s="12">
        <v>7985.8415999999997</v>
      </c>
      <c r="AE280" s="12">
        <v>8180.6016916666667</v>
      </c>
      <c r="AF280" s="12">
        <v>8461.3659233333328</v>
      </c>
      <c r="AG280" s="12">
        <v>8495.5985283333321</v>
      </c>
      <c r="AH280" s="12">
        <v>8522.9846123333336</v>
      </c>
      <c r="AI280" s="12">
        <v>8599.83</v>
      </c>
      <c r="AJ280" s="12" t="s">
        <v>1160</v>
      </c>
      <c r="AK280" s="12">
        <v>8871.7895783333315</v>
      </c>
      <c r="AL280" s="12">
        <v>8883.896691666665</v>
      </c>
      <c r="AM280" s="12">
        <v>8899.0305833333332</v>
      </c>
      <c r="AN280" s="12">
        <v>8966.4104499999994</v>
      </c>
      <c r="AO280" s="12">
        <v>9084.5849666666672</v>
      </c>
      <c r="AP280" s="12">
        <v>9276.9714249999997</v>
      </c>
      <c r="AQ280" s="12">
        <v>9571.1058633333341</v>
      </c>
      <c r="AR280" s="12">
        <v>9599.9062649999996</v>
      </c>
      <c r="AS280" s="12">
        <v>9622.9465863333335</v>
      </c>
      <c r="AT280" s="12">
        <v>9692</v>
      </c>
      <c r="AU280" s="12" t="s">
        <v>1160</v>
      </c>
      <c r="AW280" s="12">
        <f>IF(A280="","",MAX(0,MIN(1,(((IF(Статистика!$C$4="Параллельный режим (активная мощность)",B280,M280)+Статистика!$J$4))-Статистика!$C$10)/MAX(Статистика!$G$10-Статистика!$C$10,0.000001))))</f>
        <v>0</v>
      </c>
      <c r="AX280" s="12">
        <f>IF(A280="","",MAX(0,MAX(0,MIN(1,(((IF(Статистика!$C$4="Параллельный режим (активная мощность)",D280,O280)+Статистика!$J$4))-Статистика!$C$10)/MAX(Статистика!$G$10-Статистика!$C$10,0.000001)))-MAX(0,MIN(1,(((IF(Статистика!$C$4="Параллельный режим (активная мощность)",B280,M280)+Статистика!$J$4))-Статистика!$C$10)/MAX(Статистика!$G$10-Статистика!$C$10,0.000001)))))</f>
        <v>0.51746272944444471</v>
      </c>
      <c r="AY280" s="12">
        <f>IF(A280="","",MAX(0,MAX(0,MIN(1,(((IF(Статистика!$C$4="Параллельный режим (активная мощность)",E280,P280)+Статистика!$J$4))-Статистика!$C$10)/MAX(Статистика!$G$10-Статистика!$C$10,0.000001)))-MAX(0,MIN(1,(((IF(Статистика!$C$4="Параллельный режим (активная мощность)",D280,O280)+Статистика!$J$4))-Статистика!$C$10)/MAX(Статистика!$G$10-Статистика!$C$10,0.000001)))))</f>
        <v>7.6259106666666465E-2</v>
      </c>
      <c r="AZ280" s="12">
        <f>IF(A280="","",MAX(0,MAX(0,MIN(1,(((IF(Статистика!$C$4="Параллельный режим (активная мощность)",F280,Q280)+Статистика!$J$4))-Статистика!$C$10)/MAX(Статистика!$G$10-Статистика!$C$10,0.000001)))-MAX(0,MIN(1,(((IF(Статистика!$C$4="Параллельный режим (активная мощность)",E280,P280)+Статистика!$J$4))-Статистика!$C$10)/MAX(Статистика!$G$10-Статистика!$C$10,0.000001)))))</f>
        <v>6.3940813888888393E-2</v>
      </c>
      <c r="BA280" s="12">
        <f>IF(A280="","",MAX(0,MAX(0,MIN(1,(((IF(Статистика!$C$4="Параллельный режим (активная мощность)",G280,R280)+Статистика!$J$4))-Статистика!$C$10)/MAX(Статистика!$G$10-Статистика!$C$10,0.000001)))-MAX(0,MIN(1,(((IF(Статистика!$C$4="Параллельный режим (активная мощность)",F280,Q280)+Статистика!$J$4))-Статистика!$C$10)/MAX(Статистика!$G$10-Статистика!$C$10,0.000001)))))</f>
        <v>8.335077500000021E-2</v>
      </c>
      <c r="BB280" s="12">
        <f>IF(A280="","",MAX(0,MAX(0,MIN(1,(((IF(Статистика!$C$4="Параллельный режим (активная мощность)",H280,S280)+Статистика!$J$4))-Статистика!$C$10)/MAX(Статистика!$G$10-Статистика!$C$10,0.000001)))-MAX(0,MIN(1,(((IF(Статистика!$C$4="Параллельный режим (активная мощность)",G280,R280)+Статистика!$J$4))-Статистика!$C$10)/MAX(Статистика!$G$10-Статистика!$C$10,0.000001)))))</f>
        <v>6.4695060000000026E-2</v>
      </c>
      <c r="BC280" s="12">
        <f>IF(A280="","",MAX(0,MAX(0,MIN(1,(((IF(Статистика!$C$4="Параллельный режим (активная мощность)",J280,U280)+Статистика!$J$4))-Статистика!$C$10)/MAX(Статистика!$G$10-Статистика!$C$10,0.000001)))-MAX(0,MIN(1,(((IF(Статистика!$C$4="Параллельный режим (активная мощность)",H280,S280)+Статистика!$J$4))-Статистика!$C$10)/MAX(Статистика!$G$10-Статистика!$C$10,0.000001)))))</f>
        <v>5.1183370500000214E-2</v>
      </c>
      <c r="BD280" s="12">
        <f>IF(A280="","",MAX(0,1-MAX(0,MIN(1,(((IF(Статистика!$C$4="Параллельный режим (активная мощность)",J280,U280)+Статистика!$J$4))-Статистика!$C$10)/MAX(Статистика!$G$10-Статистика!$C$10,0.000001)))))</f>
        <v>0.14310814449999998</v>
      </c>
      <c r="BE280" s="12">
        <f>IF(A280="",NA(),IF(Статистика!$B$8="Вкл",(((IF(Статистика!$C$4="Параллельный режим (активная мощность)",F280,Q280)+Статистика!$J$4))-Статистика!$C$10)/MAX(Статистика!$G$10-Статистика!$C$10,0.000001),NA()))</f>
        <v>0.65766264999999957</v>
      </c>
      <c r="BF280" s="12">
        <f>IF(A280="",NA(),IF(Статистика!$D$8="Вкл",(((IF(Статистика!$C$4="Параллельный режим (активная мощность)",E280,P280)+Статистика!$J$4))-Статистика!$C$10)/MAX(Статистика!$G$10-Статистика!$C$10,0.000001),NA()))</f>
        <v>0.59372183611111118</v>
      </c>
      <c r="BG280" s="12">
        <f>IF(A280="",NA(),IF(Статистика!$D$8="Вкл",(((IF(Статистика!$C$4="Параллельный режим (активная мощность)",G280,R280)+Статистика!$J$4))-Статистика!$C$10)/MAX(Статистика!$G$10-Статистика!$C$10,0.000001),NA()))</f>
        <v>0.74101342499999978</v>
      </c>
      <c r="BH280" s="12">
        <f>IF(A280="",NA(),IF(Статистика!$F$8="Вкл",(((IF(Статистика!$C$4="Параллельный режим (активная мощность)",D280,O280)+Статистика!$J$4))-Статистика!$C$10)/MAX(Статистика!$G$10-Статистика!$C$10,0.000001),NA()))</f>
        <v>0.51746272944444471</v>
      </c>
      <c r="BI280" s="12">
        <f>IF(A280="",NA(),IF(Статистика!$F$8="Вкл",(((IF(Статистика!$C$4="Параллельный режим (активная мощность)",H280,S280)+Статистика!$J$4))-Статистика!$C$10)/MAX(Статистика!$G$10-Статистика!$C$10,0.000001),NA()))</f>
        <v>0.80570848499999981</v>
      </c>
      <c r="BJ280" s="12">
        <f>IF(A280="",NA(),IF(Статистика!$H$8="Вкл",(((IF(Статистика!$C$4="Параллельный режим (активная мощность)",B280,M280)+Статистика!$J$4))-Статистика!$C$10)/MAX(Статистика!$G$10-Статистика!$C$10,0.000001),NA()))</f>
        <v>-1.2240984290555554</v>
      </c>
      <c r="BK280" s="12">
        <f>IF(A280="",NA(),IF(Статистика!$H$8="Вкл",(((IF(Статистика!$C$4="Параллельный режим (активная мощность)",J280,U280)+Статистика!$J$4))-Статистика!$C$10)/MAX(Статистика!$G$10-Статистика!$C$10,0.000001),NA()))</f>
        <v>0.85689185550000002</v>
      </c>
      <c r="BL280" s="12" t="e">
        <f>IF(A280="",NA(),IF(Статистика!$J$8="Вкл",(((IF(Статистика!$C$4="Параллельный режим (активная мощность)",K280,V280)+Статистика!$J$4))-Статистика!$C$10)/MAX(Статистика!$G$10-Статистика!$C$10,0.000001),NA()))</f>
        <v>#N/A</v>
      </c>
      <c r="BM280" s="12" t="e">
        <f>IF(AND(A280&lt;&gt;"",Статистика!$C$6="Вкл",Статистика!$B$6&gt;0),(Статистика!$B$6-Статистика!$C$10)/MAX(Статистика!$G$10-Статистика!$C$10,0.000001),NA())</f>
        <v>#N/A</v>
      </c>
      <c r="BN280" s="12" t="e">
        <f>IF(AND(A280&lt;&gt;"",Статистика!$F$6="Вкл",Статистика!$E$6&gt;0),(Статистика!$E$6-Статистика!$C$10)/MAX(Статистика!$G$10-Статистика!$C$10,0.000001),NA())</f>
        <v>#N/A</v>
      </c>
      <c r="BO280" s="12" t="e">
        <f>IF(AND(A280&lt;&gt;"",Статистика!$I$6="Вкл",Статистика!$H$6&gt;0),(Статистика!$H$6-Статистика!$C$10)/MAX(Статистика!$G$10-Статистика!$C$10,0.000001),NA())</f>
        <v>#N/A</v>
      </c>
      <c r="BP280" s="12" t="e">
        <f>IF(AND(A280&lt;&gt;"",Статистика!$L$6="Вкл",Статистика!$K$6&gt;0),(Статистика!$K$6-Статистика!$C$10)/MAX(Статистика!$G$10-Статистика!$C$10,0.000001),NA())</f>
        <v>#N/A</v>
      </c>
      <c r="BQ280" s="12" t="e">
        <f>IF(AND(A280&lt;&gt;"",Статистика!$M$6="Вкл",Статистика!$O$6&gt;0),(Статистика!$O$6-Статистика!$C$10)/MAX(Статистика!$G$10-Статистика!$C$10,0.000001),NA())</f>
        <v>#N/A</v>
      </c>
      <c r="BR280" s="12">
        <f t="shared" si="8"/>
        <v>1</v>
      </c>
      <c r="BT280" s="12">
        <f>IF(Y280="","",MAX(0,MIN(1,(((IF(Статистика!$C$4="Параллельный режим (активная мощность)",Z280,AK280)+Статистика!$J$4))-Статистика!$C$10)/MAX(Статистика!$G$10-Статистика!$C$10,0.000001))))</f>
        <v>0.59134568477777827</v>
      </c>
      <c r="BU280" s="12">
        <f>IF(Y280="","",MAX(0,MAX(0,MIN(1,(((IF(Статистика!$C$4="Параллельный режим (активная мощность)",AB280,AM280)+Статистика!$J$4))-Статистика!$C$10)/MAX(Статистика!$G$10-Статистика!$C$10,0.000001)))-MAX(0,MIN(1,(((IF(Статистика!$C$4="Параллельный режим (активная мощность)",Z280,AK280)+Статистика!$J$4))-Статистика!$C$10)/MAX(Статистика!$G$10-Статистика!$C$10,0.000001)))))</f>
        <v>1.0530629999996322E-3</v>
      </c>
      <c r="BV280" s="12">
        <f>IF(Y280="","",MAX(0,MAX(0,MIN(1,(((IF(Статистика!$C$4="Параллельный режим (активная мощность)",AC280,AN280)+Статистика!$J$4))-Статистика!$C$10)/MAX(Статистика!$G$10-Статистика!$C$10,0.000001)))-MAX(0,MIN(1,(((IF(Статистика!$C$4="Параллельный режим (активная мощность)",AB280,AM280)+Статистика!$J$4))-Статистика!$C$10)/MAX(Статистика!$G$10-Статистика!$C$10,0.000001)))))</f>
        <v>2.0685288333333496E-2</v>
      </c>
      <c r="BW280" s="12">
        <f>IF(Y280="","",MAX(0,MAX(0,MIN(1,(((IF(Статистика!$C$4="Параллельный режим (активная мощность)",AD280,AO280)+Статистика!$J$4))-Статистика!$C$10)/MAX(Статистика!$G$10-Статистика!$C$10,0.000001)))-MAX(0,MIN(1,(((IF(Статистика!$C$4="Параллельный режим (активная мощность)",AC280,AN280)+Статистика!$J$4))-Статистика!$C$10)/MAX(Статистика!$G$10-Статистика!$C$10,0.000001)))))</f>
        <v>4.8863163888888561E-2</v>
      </c>
      <c r="BX280" s="12">
        <f>IF(Y280="","",MAX(0,MAX(0,MIN(1,(((IF(Статистика!$C$4="Параллельный режим (активная мощность)",AE280,AP280)+Статистика!$J$4))-Статистика!$C$10)/MAX(Статистика!$G$10-Статистика!$C$10,0.000001)))-MAX(0,MIN(1,(((IF(Статистика!$C$4="Параллельный режим (активная мощность)",AD280,AO280)+Статистика!$J$4))-Статистика!$C$10)/MAX(Статистика!$G$10-Статистика!$C$10,0.000001)))))</f>
        <v>6.4920030555555619E-2</v>
      </c>
      <c r="BY280" s="12">
        <f>IF(Y280="","",MAX(0,MAX(0,MIN(1,(((IF(Статистика!$C$4="Параллельный режим (активная мощность)",AF280,AQ280)+Статистика!$J$4))-Статистика!$C$10)/MAX(Статистика!$G$10-Статистика!$C$10,0.000001)))-MAX(0,MIN(1,(((IF(Статистика!$C$4="Параллельный режим (активная мощность)",AE280,AP280)+Статистика!$J$4))-Статистика!$C$10)/MAX(Статистика!$G$10-Статистика!$C$10,0.000001)))))</f>
        <v>9.3588077222222066E-2</v>
      </c>
      <c r="BZ280" s="12">
        <f>IF(Y280="","",MAX(0,MAX(0,MIN(1,(((IF(Статистика!$C$4="Параллельный режим (активная мощность)",AH280,AS280)+Статистика!$J$4))-Статистика!$C$10)/MAX(Статистика!$G$10-Статистика!$C$10,0.000001)))-MAX(0,MIN(1,(((IF(Статистика!$C$4="Параллельный режим (активная мощность)",AF280,AQ280)+Статистика!$J$4))-Статистика!$C$10)/MAX(Статистика!$G$10-Статистика!$C$10,0.000001)))))</f>
        <v>2.053956300000026E-2</v>
      </c>
      <c r="CA280" s="12">
        <f>IF(Y280="","",MAX(0,1-MAX(0,MIN(1,(((IF(Статистика!$C$4="Параллельный режим (активная мощность)",AH280,AS280)+Статистика!$J$4))-Статистика!$C$10)/MAX(Статистика!$G$10-Статистика!$C$10,0.000001)))))</f>
        <v>0.1590051292222221</v>
      </c>
      <c r="CB280" s="12">
        <f>IF(Y280="",NA(),IF(Статистика!$B$8="Вкл",(((IF(Статистика!$C$4="Параллельный режим (активная мощность)",AD280,AO280)+Статистика!$J$4))-Статистика!$C$10)/MAX(Статистика!$G$10-Статистика!$C$10,0.000001),NA()))</f>
        <v>0.66194719999999996</v>
      </c>
      <c r="CC280" s="12">
        <f>IF(Y280="",NA(),IF(Статистика!$D$8="Вкл",(((IF(Статистика!$C$4="Параллельный режим (активная мощность)",AC280,AN280)+Статистика!$J$4))-Статистика!$C$10)/MAX(Статистика!$G$10-Статистика!$C$10,0.000001),NA()))</f>
        <v>0.6130840361111114</v>
      </c>
      <c r="CD280" s="12">
        <f>IF(Y280="",NA(),IF(Статистика!$D$8="Вкл",(((IF(Статистика!$C$4="Параллельный режим (активная мощность)",AE280,AP280)+Статистика!$J$4))-Статистика!$C$10)/MAX(Статистика!$G$10-Статистика!$C$10,0.000001),NA()))</f>
        <v>0.72686723055555558</v>
      </c>
      <c r="CE280" s="12">
        <f>IF(Y280="",NA(),IF(Статистика!$F$8="Вкл",(((IF(Статистика!$C$4="Параллельный режим (активная мощность)",AB280,AM280)+Статистика!$J$4))-Статистика!$C$10)/MAX(Статистика!$G$10-Статистика!$C$10,0.000001),NA()))</f>
        <v>0.5923987477777779</v>
      </c>
      <c r="CF280" s="12">
        <f>IF(Y280="",NA(),IF(Статистика!$F$8="Вкл",(((IF(Статистика!$C$4="Параллельный режим (активная мощность)",AF280,AQ280)+Статистика!$J$4))-Статистика!$C$10)/MAX(Статистика!$G$10-Статистика!$C$10,0.000001),NA()))</f>
        <v>0.82045530777777764</v>
      </c>
      <c r="CG280" s="12">
        <f>IF(Y280="",NA(),IF(Статистика!$H$8="Вкл",(((IF(Статистика!$C$4="Параллельный режим (активная мощность)",Z280,AK280)+Статистика!$J$4))-Статистика!$C$10)/MAX(Статистика!$G$10-Статистика!$C$10,0.000001),NA()))</f>
        <v>0.59134568477777827</v>
      </c>
      <c r="CH280" s="12">
        <f>IF(Y280="",NA(),IF(Статистика!$H$8="Вкл",(((IF(Статистика!$C$4="Параллельный режим (активная мощность)",AH280,AS280)+Статистика!$J$4))-Статистика!$C$10)/MAX(Статистика!$G$10-Статистика!$C$10,0.000001),NA()))</f>
        <v>0.8409948707777779</v>
      </c>
      <c r="CI280" s="12" t="e">
        <f>IF(Y280="",NA(),IF(Статистика!$J$8="Вкл",(((IF(Статистика!$C$4="Параллельный режим (активная мощность)",AI280,AT280)+Статистика!$J$4))-Статистика!$C$10)/MAX(Статистика!$G$10-Статистика!$C$10,0.000001),NA()))</f>
        <v>#N/A</v>
      </c>
      <c r="CJ280" s="12" t="e">
        <f>IF(AND(Y280&lt;&gt;"",Статистика!$C$6="Вкл",Статистика!$B$6&gt;0),(Статистика!$B$6-Статистика!$C$10)/MAX(Статистика!$G$10-Статистика!$C$10,0.000001),NA())</f>
        <v>#N/A</v>
      </c>
      <c r="CK280" s="12" t="e">
        <f>IF(AND(Y280&lt;&gt;"",Статистика!$F$6="Вкл",Статистика!$E$6&gt;0),(Статистика!$E$6-Статистика!$C$10)/MAX(Статистика!$G$10-Статистика!$C$10,0.000001),NA())</f>
        <v>#N/A</v>
      </c>
      <c r="CL280" s="12" t="e">
        <f>IF(AND(Y280&lt;&gt;"",Статистика!$I$6="Вкл",Статистика!$H$6&gt;0),(Статистика!$H$6-Статистика!$C$10)/MAX(Статистика!$G$10-Статистика!$C$10,0.000001),NA())</f>
        <v>#N/A</v>
      </c>
      <c r="CM280" s="12" t="e">
        <f>IF(AND(Y280&lt;&gt;"",Статистика!$L$6="Вкл",Статистика!$K$6&gt;0),(Статистика!$K$6-Статистика!$C$10)/MAX(Статистика!$G$10-Статистика!$C$10,0.000001),NA())</f>
        <v>#N/A</v>
      </c>
      <c r="CN280" s="12" t="e">
        <f>IF(AND(Y280&lt;&gt;"",Статистика!$M$6="Вкл",Статистика!$O$6&gt;0),(Статистика!$O$6-Статистика!$C$10)/MAX(Статистика!$G$10-Статистика!$C$10,0.000001),NA())</f>
        <v>#N/A</v>
      </c>
      <c r="CO280" s="12">
        <f t="shared" si="9"/>
        <v>1</v>
      </c>
    </row>
    <row r="281" spans="1:93" ht="15" customHeight="1">
      <c r="A281" s="12" t="s">
        <v>1161</v>
      </c>
      <c r="B281" s="12">
        <v>2328.9974888333331</v>
      </c>
      <c r="C281" s="12">
        <v>5820.3186441666667</v>
      </c>
      <c r="D281" s="12">
        <v>7520.3572733333331</v>
      </c>
      <c r="E281" s="12">
        <v>7772.5624583333329</v>
      </c>
      <c r="F281" s="12">
        <v>7954.6820499999994</v>
      </c>
      <c r="G281" s="12">
        <v>8174.9797333333336</v>
      </c>
      <c r="H281" s="12">
        <v>8390.3285566666673</v>
      </c>
      <c r="I281" s="12">
        <v>8442.7730783333336</v>
      </c>
      <c r="J281" s="12">
        <v>8488.0114156666659</v>
      </c>
      <c r="K281" s="12">
        <v>8639.5499999999993</v>
      </c>
      <c r="L281" s="12" t="s">
        <v>1162</v>
      </c>
      <c r="M281" s="12">
        <v>2872.072820166667</v>
      </c>
      <c r="N281" s="12">
        <v>6733.1241008333345</v>
      </c>
      <c r="O281" s="12">
        <v>8591.0572116666681</v>
      </c>
      <c r="P281" s="12">
        <v>8856.5561749999997</v>
      </c>
      <c r="Q281" s="12">
        <v>9085.5683666666664</v>
      </c>
      <c r="R281" s="12">
        <v>9322.6776833333333</v>
      </c>
      <c r="S281" s="12">
        <v>9538.0972750000001</v>
      </c>
      <c r="T281" s="12">
        <v>9574.695034166667</v>
      </c>
      <c r="U281" s="12">
        <v>9636.4389534999991</v>
      </c>
      <c r="V281" s="12">
        <v>9829.15</v>
      </c>
      <c r="W281" s="12" t="s">
        <v>1163</v>
      </c>
      <c r="Y281" s="12" t="s">
        <v>1161</v>
      </c>
      <c r="Z281" s="12">
        <v>7762.8262503333335</v>
      </c>
      <c r="AA281" s="12">
        <v>7763.764051666667</v>
      </c>
      <c r="AB281" s="12">
        <v>7764.9363033333329</v>
      </c>
      <c r="AC281" s="12">
        <v>7813.0555333333323</v>
      </c>
      <c r="AD281" s="12">
        <v>7939.4465666666665</v>
      </c>
      <c r="AE281" s="12">
        <v>8162.307025000001</v>
      </c>
      <c r="AF281" s="12">
        <v>8418.0508183333332</v>
      </c>
      <c r="AG281" s="12">
        <v>8486.6387425000012</v>
      </c>
      <c r="AH281" s="12">
        <v>8541.5090818333338</v>
      </c>
      <c r="AI281" s="12">
        <v>8676.36</v>
      </c>
      <c r="AJ281" s="12" t="s">
        <v>1164</v>
      </c>
      <c r="AK281" s="12">
        <v>8860.3404258333321</v>
      </c>
      <c r="AL281" s="12">
        <v>8871.0874624999997</v>
      </c>
      <c r="AM281" s="12">
        <v>8884.5212583333323</v>
      </c>
      <c r="AN281" s="12">
        <v>8946.8351750000002</v>
      </c>
      <c r="AO281" s="12">
        <v>9021.0996500000001</v>
      </c>
      <c r="AP281" s="12">
        <v>9253.7220583333328</v>
      </c>
      <c r="AQ281" s="12">
        <v>9518.8608949999998</v>
      </c>
      <c r="AR281" s="12">
        <v>9594.9201474999991</v>
      </c>
      <c r="AS281" s="12">
        <v>9655.7675495000003</v>
      </c>
      <c r="AT281" s="12">
        <v>9802.08</v>
      </c>
      <c r="AU281" s="12" t="s">
        <v>1164</v>
      </c>
      <c r="AW281" s="12">
        <f>IF(A281="","",MAX(0,MIN(1,(((IF(Статистика!$C$4="Параллельный режим (активная мощность)",B281,M281)+Статистика!$J$4))-Статистика!$C$10)/MAX(Статистика!$G$10-Статистика!$C$10,0.000001))))</f>
        <v>0</v>
      </c>
      <c r="AX281" s="12">
        <f>IF(A281="","",MAX(0,MAX(0,MIN(1,(((IF(Статистика!$C$4="Параллельный режим (активная мощность)",D281,O281)+Статистика!$J$4))-Статистика!$C$10)/MAX(Статистика!$G$10-Статистика!$C$10,0.000001)))-MAX(0,MIN(1,(((IF(Статистика!$C$4="Параллельный режим (активная мощность)",B281,M281)+Статистика!$J$4))-Статистика!$C$10)/MAX(Статистика!$G$10-Статистика!$C$10,0.000001)))))</f>
        <v>0.50678575777777768</v>
      </c>
      <c r="AY281" s="12">
        <f>IF(A281="","",MAX(0,MAX(0,MIN(1,(((IF(Статистика!$C$4="Параллельный режим (активная мощность)",E281,P281)+Статистика!$J$4))-Статистика!$C$10)/MAX(Статистика!$G$10-Статистика!$C$10,0.000001)))-MAX(0,MIN(1,(((IF(Статистика!$C$4="Параллельный режим (активная мощность)",D281,O281)+Статистика!$J$4))-Статистика!$C$10)/MAX(Статистика!$G$10-Статистика!$C$10,0.000001)))))</f>
        <v>8.4068394999999962E-2</v>
      </c>
      <c r="AZ281" s="12">
        <f>IF(A281="","",MAX(0,MAX(0,MIN(1,(((IF(Статистика!$C$4="Параллельный режим (активная мощность)",F281,Q281)+Статистика!$J$4))-Статистика!$C$10)/MAX(Статистика!$G$10-Статистика!$C$10,0.000001)))-MAX(0,MIN(1,(((IF(Статистика!$C$4="Параллельный режим (активная мощность)",E281,P281)+Статистика!$J$4))-Статистика!$C$10)/MAX(Статистика!$G$10-Статистика!$C$10,0.000001)))))</f>
        <v>6.0706530555555527E-2</v>
      </c>
      <c r="BA281" s="12">
        <f>IF(A281="","",MAX(0,MAX(0,MIN(1,(((IF(Статистика!$C$4="Параллельный режим (активная мощность)",G281,R281)+Статистика!$J$4))-Статистика!$C$10)/MAX(Статистика!$G$10-Статистика!$C$10,0.000001)))-MAX(0,MIN(1,(((IF(Статистика!$C$4="Параллельный режим (активная мощность)",F281,Q281)+Статистика!$J$4))-Статистика!$C$10)/MAX(Статистика!$G$10-Статистика!$C$10,0.000001)))))</f>
        <v>7.3432561111111405E-2</v>
      </c>
      <c r="BB281" s="12">
        <f>IF(A281="","",MAX(0,MAX(0,MIN(1,(((IF(Статистика!$C$4="Параллельный режим (активная мощность)",H281,S281)+Статистика!$J$4))-Статистика!$C$10)/MAX(Статистика!$G$10-Статистика!$C$10,0.000001)))-MAX(0,MIN(1,(((IF(Статистика!$C$4="Параллельный режим (активная мощность)",G281,R281)+Статистика!$J$4))-Статистика!$C$10)/MAX(Статистика!$G$10-Статистика!$C$10,0.000001)))))</f>
        <v>7.1782941111111165E-2</v>
      </c>
      <c r="BC281" s="12">
        <f>IF(A281="","",MAX(0,MAX(0,MIN(1,(((IF(Статистика!$C$4="Параллельный режим (активная мощность)",J281,U281)+Статистика!$J$4))-Статистика!$C$10)/MAX(Статистика!$G$10-Статистика!$C$10,0.000001)))-MAX(0,MIN(1,(((IF(Статистика!$C$4="Параллельный режим (активная мощность)",H281,S281)+Статистика!$J$4))-Статистика!$C$10)/MAX(Статистика!$G$10-Статистика!$C$10,0.000001)))))</f>
        <v>3.2560952999999615E-2</v>
      </c>
      <c r="BD281" s="12">
        <f>IF(A281="","",MAX(0,1-MAX(0,MIN(1,(((IF(Статистика!$C$4="Параллельный режим (активная мощность)",J281,U281)+Статистика!$J$4))-Статистика!$C$10)/MAX(Статистика!$G$10-Статистика!$C$10,0.000001)))))</f>
        <v>0.17066286144444465</v>
      </c>
      <c r="BE281" s="12">
        <f>IF(A281="",NA(),IF(Статистика!$B$8="Вкл",(((IF(Статистика!$C$4="Параллельный режим (активная мощность)",F281,Q281)+Статистика!$J$4))-Статистика!$C$10)/MAX(Статистика!$G$10-Статистика!$C$10,0.000001),NA()))</f>
        <v>0.65156068333333317</v>
      </c>
      <c r="BF281" s="12">
        <f>IF(A281="",NA(),IF(Статистика!$D$8="Вкл",(((IF(Статистика!$C$4="Параллельный режим (активная мощность)",E281,P281)+Статистика!$J$4))-Статистика!$C$10)/MAX(Статистика!$G$10-Статистика!$C$10,0.000001),NA()))</f>
        <v>0.59085415277777764</v>
      </c>
      <c r="BG281" s="12">
        <f>IF(A281="",NA(),IF(Статистика!$D$8="Вкл",(((IF(Статистика!$C$4="Параллельный режим (активная мощность)",G281,R281)+Статистика!$J$4))-Статистика!$C$10)/MAX(Статистика!$G$10-Статистика!$C$10,0.000001),NA()))</f>
        <v>0.72499324444444457</v>
      </c>
      <c r="BH281" s="12">
        <f>IF(A281="",NA(),IF(Статистика!$F$8="Вкл",(((IF(Статистика!$C$4="Параллельный режим (активная мощность)",D281,O281)+Статистика!$J$4))-Статистика!$C$10)/MAX(Статистика!$G$10-Статистика!$C$10,0.000001),NA()))</f>
        <v>0.50678575777777768</v>
      </c>
      <c r="BI281" s="12">
        <f>IF(A281="",NA(),IF(Статистика!$F$8="Вкл",(((IF(Статистика!$C$4="Параллельный режим (активная мощность)",H281,S281)+Статистика!$J$4))-Статистика!$C$10)/MAX(Статистика!$G$10-Статистика!$C$10,0.000001),NA()))</f>
        <v>0.79677618555555574</v>
      </c>
      <c r="BJ281" s="12">
        <f>IF(A281="",NA(),IF(Статистика!$H$8="Вкл",(((IF(Статистика!$C$4="Параллельный режим (активная мощность)",B281,M281)+Статистика!$J$4))-Статистика!$C$10)/MAX(Статистика!$G$10-Статистика!$C$10,0.000001),NA()))</f>
        <v>-1.2236675037222222</v>
      </c>
      <c r="BK281" s="12">
        <f>IF(A281="",NA(),IF(Статистика!$H$8="Вкл",(((IF(Статистика!$C$4="Параллельный режим (активная мощность)",J281,U281)+Статистика!$J$4))-Статистика!$C$10)/MAX(Статистика!$G$10-Статистика!$C$10,0.000001),NA()))</f>
        <v>0.82933713855555535</v>
      </c>
      <c r="BL281" s="12" t="e">
        <f>IF(A281="",NA(),IF(Статистика!$J$8="Вкл",(((IF(Статистика!$C$4="Параллельный режим (активная мощность)",K281,V281)+Статистика!$J$4))-Статистика!$C$10)/MAX(Статистика!$G$10-Статистика!$C$10,0.000001),NA()))</f>
        <v>#N/A</v>
      </c>
      <c r="BM281" s="12" t="e">
        <f>IF(AND(A281&lt;&gt;"",Статистика!$C$6="Вкл",Статистика!$B$6&gt;0),(Статистика!$B$6-Статистика!$C$10)/MAX(Статистика!$G$10-Статистика!$C$10,0.000001),NA())</f>
        <v>#N/A</v>
      </c>
      <c r="BN281" s="12" t="e">
        <f>IF(AND(A281&lt;&gt;"",Статистика!$F$6="Вкл",Статистика!$E$6&gt;0),(Статистика!$E$6-Статистика!$C$10)/MAX(Статистика!$G$10-Статистика!$C$10,0.000001),NA())</f>
        <v>#N/A</v>
      </c>
      <c r="BO281" s="12" t="e">
        <f>IF(AND(A281&lt;&gt;"",Статистика!$I$6="Вкл",Статистика!$H$6&gt;0),(Статистика!$H$6-Статистика!$C$10)/MAX(Статистика!$G$10-Статистика!$C$10,0.000001),NA())</f>
        <v>#N/A</v>
      </c>
      <c r="BP281" s="12" t="e">
        <f>IF(AND(A281&lt;&gt;"",Статистика!$L$6="Вкл",Статистика!$K$6&gt;0),(Статистика!$K$6-Статистика!$C$10)/MAX(Статистика!$G$10-Статистика!$C$10,0.000001),NA())</f>
        <v>#N/A</v>
      </c>
      <c r="BQ281" s="12" t="e">
        <f>IF(AND(A281&lt;&gt;"",Статистика!$M$6="Вкл",Статистика!$O$6&gt;0),(Статистика!$O$6-Статистика!$C$10)/MAX(Статистика!$G$10-Статистика!$C$10,0.000001),NA())</f>
        <v>#N/A</v>
      </c>
      <c r="BR281" s="12">
        <f t="shared" si="8"/>
        <v>1</v>
      </c>
      <c r="BT281" s="12">
        <f>IF(Y281="","",MAX(0,MIN(1,(((IF(Статистика!$C$4="Параллельный режим (активная мощность)",Z281,AK281)+Статистика!$J$4))-Статистика!$C$10)/MAX(Статистика!$G$10-Статистика!$C$10,0.000001))))</f>
        <v>0.58760875011111113</v>
      </c>
      <c r="BU281" s="12">
        <f>IF(Y281="","",MAX(0,MAX(0,MIN(1,(((IF(Статистика!$C$4="Параллельный режим (активная мощность)",AB281,AM281)+Статистика!$J$4))-Статистика!$C$10)/MAX(Статистика!$G$10-Статистика!$C$10,0.000001)))-MAX(0,MIN(1,(((IF(Статистика!$C$4="Параллельный режим (активная мощность)",Z281,AK281)+Статистика!$J$4))-Статистика!$C$10)/MAX(Статистика!$G$10-Статистика!$C$10,0.000001)))))</f>
        <v>7.0335099999985218E-4</v>
      </c>
      <c r="BV281" s="12">
        <f>IF(Y281="","",MAX(0,MAX(0,MIN(1,(((IF(Статистика!$C$4="Параллельный режим (активная мощность)",AC281,AN281)+Статистика!$J$4))-Статистика!$C$10)/MAX(Статистика!$G$10-Статистика!$C$10,0.000001)))-MAX(0,MIN(1,(((IF(Статистика!$C$4="Параллельный режим (активная мощность)",AB281,AM281)+Статистика!$J$4))-Статистика!$C$10)/MAX(Статистика!$G$10-Статистика!$C$10,0.000001)))))</f>
        <v>1.6039743333333134E-2</v>
      </c>
      <c r="BW281" s="12">
        <f>IF(Y281="","",MAX(0,MAX(0,MIN(1,(((IF(Статистика!$C$4="Параллельный режим (активная мощность)",AD281,AO281)+Статистика!$J$4))-Статистика!$C$10)/MAX(Статистика!$G$10-Статистика!$C$10,0.000001)))-MAX(0,MIN(1,(((IF(Статистика!$C$4="Параллельный режим (активная мощность)",AC281,AN281)+Статистика!$J$4))-Статистика!$C$10)/MAX(Статистика!$G$10-Статистика!$C$10,0.000001)))))</f>
        <v>4.2130344444444745E-2</v>
      </c>
      <c r="BX281" s="12">
        <f>IF(Y281="","",MAX(0,MAX(0,MIN(1,(((IF(Статистика!$C$4="Параллельный режим (активная мощность)",AE281,AP281)+Статистика!$J$4))-Статистика!$C$10)/MAX(Статистика!$G$10-Статистика!$C$10,0.000001)))-MAX(0,MIN(1,(((IF(Статистика!$C$4="Параллельный режим (активная мощность)",AD281,AO281)+Статистика!$J$4))-Статистика!$C$10)/MAX(Статистика!$G$10-Статистика!$C$10,0.000001)))))</f>
        <v>7.4286819444444818E-2</v>
      </c>
      <c r="BY281" s="12">
        <f>IF(Y281="","",MAX(0,MAX(0,MIN(1,(((IF(Статистика!$C$4="Параллельный режим (активная мощность)",AF281,AQ281)+Статистика!$J$4))-Статистика!$C$10)/MAX(Статистика!$G$10-Статистика!$C$10,0.000001)))-MAX(0,MIN(1,(((IF(Статистика!$C$4="Параллельный режим (активная мощность)",AE281,AP281)+Статистика!$J$4))-Статистика!$C$10)/MAX(Статистика!$G$10-Статистика!$C$10,0.000001)))))</f>
        <v>8.5247931111110731E-2</v>
      </c>
      <c r="BZ281" s="12">
        <f>IF(Y281="","",MAX(0,MAX(0,MIN(1,(((IF(Статистика!$C$4="Параллельный режим (активная мощность)",AH281,AS281)+Статистика!$J$4))-Статистика!$C$10)/MAX(Статистика!$G$10-Статистика!$C$10,0.000001)))-MAX(0,MIN(1,(((IF(Статистика!$C$4="Параллельный режим (активная мощность)",AF281,AQ281)+Статистика!$J$4))-Статистика!$C$10)/MAX(Статистика!$G$10-Статистика!$C$10,0.000001)))))</f>
        <v>4.1152754500000222E-2</v>
      </c>
      <c r="CA281" s="12">
        <f>IF(Y281="","",MAX(0,1-MAX(0,MIN(1,(((IF(Статистика!$C$4="Параллельный режим (активная мощность)",AH281,AS281)+Статистика!$J$4))-Статистика!$C$10)/MAX(Статистика!$G$10-Статистика!$C$10,0.000001)))))</f>
        <v>0.15283030605555536</v>
      </c>
      <c r="CB281" s="12">
        <f>IF(Y281="",NA(),IF(Статистика!$B$8="Вкл",(((IF(Статистика!$C$4="Параллельный режим (активная мощность)",AD281,AO281)+Статистика!$J$4))-Статистика!$C$10)/MAX(Статистика!$G$10-Статистика!$C$10,0.000001),NA()))</f>
        <v>0.64648218888888886</v>
      </c>
      <c r="CC281" s="12">
        <f>IF(Y281="",NA(),IF(Статистика!$D$8="Вкл",(((IF(Статистика!$C$4="Параллельный режим (активная мощность)",AC281,AN281)+Статистика!$J$4))-Статистика!$C$10)/MAX(Статистика!$G$10-Статистика!$C$10,0.000001),NA()))</f>
        <v>0.60435184444444412</v>
      </c>
      <c r="CD281" s="12">
        <f>IF(Y281="",NA(),IF(Статистика!$D$8="Вкл",(((IF(Статистика!$C$4="Параллельный режим (активная мощность)",AE281,AP281)+Статистика!$J$4))-Статистика!$C$10)/MAX(Статистика!$G$10-Статистика!$C$10,0.000001),NA()))</f>
        <v>0.72076900833333368</v>
      </c>
      <c r="CE281" s="12">
        <f>IF(Y281="",NA(),IF(Статистика!$F$8="Вкл",(((IF(Статистика!$C$4="Параллельный режим (активная мощность)",AB281,AM281)+Статистика!$J$4))-Статистика!$C$10)/MAX(Статистика!$G$10-Статистика!$C$10,0.000001),NA()))</f>
        <v>0.58831210111111099</v>
      </c>
      <c r="CF281" s="12">
        <f>IF(Y281="",NA(),IF(Статистика!$F$8="Вкл",(((IF(Статистика!$C$4="Параллельный режим (активная мощность)",AF281,AQ281)+Статистика!$J$4))-Статистика!$C$10)/MAX(Статистика!$G$10-Статистика!$C$10,0.000001),NA()))</f>
        <v>0.80601693944444441</v>
      </c>
      <c r="CG281" s="12">
        <f>IF(Y281="",NA(),IF(Статистика!$H$8="Вкл",(((IF(Статистика!$C$4="Параллельный режим (активная мощность)",Z281,AK281)+Статистика!$J$4))-Статистика!$C$10)/MAX(Статистика!$G$10-Статистика!$C$10,0.000001),NA()))</f>
        <v>0.58760875011111113</v>
      </c>
      <c r="CH281" s="12">
        <f>IF(Y281="",NA(),IF(Статистика!$H$8="Вкл",(((IF(Статистика!$C$4="Параллельный режим (активная мощность)",AH281,AS281)+Статистика!$J$4))-Статистика!$C$10)/MAX(Статистика!$G$10-Статистика!$C$10,0.000001),NA()))</f>
        <v>0.84716969394444464</v>
      </c>
      <c r="CI281" s="12" t="e">
        <f>IF(Y281="",NA(),IF(Статистика!$J$8="Вкл",(((IF(Статистика!$C$4="Параллельный режим (активная мощность)",AI281,AT281)+Статистика!$J$4))-Статистика!$C$10)/MAX(Статистика!$G$10-Статистика!$C$10,0.000001),NA()))</f>
        <v>#N/A</v>
      </c>
      <c r="CJ281" s="12" t="e">
        <f>IF(AND(Y281&lt;&gt;"",Статистика!$C$6="Вкл",Статистика!$B$6&gt;0),(Статистика!$B$6-Статистика!$C$10)/MAX(Статистика!$G$10-Статистика!$C$10,0.000001),NA())</f>
        <v>#N/A</v>
      </c>
      <c r="CK281" s="12" t="e">
        <f>IF(AND(Y281&lt;&gt;"",Статистика!$F$6="Вкл",Статистика!$E$6&gt;0),(Статистика!$E$6-Статистика!$C$10)/MAX(Статистика!$G$10-Статистика!$C$10,0.000001),NA())</f>
        <v>#N/A</v>
      </c>
      <c r="CL281" s="12" t="e">
        <f>IF(AND(Y281&lt;&gt;"",Статистика!$I$6="Вкл",Статистика!$H$6&gt;0),(Статистика!$H$6-Статистика!$C$10)/MAX(Статистика!$G$10-Статистика!$C$10,0.000001),NA())</f>
        <v>#N/A</v>
      </c>
      <c r="CM281" s="12" t="e">
        <f>IF(AND(Y281&lt;&gt;"",Статистика!$L$6="Вкл",Статистика!$K$6&gt;0),(Статистика!$K$6-Статистика!$C$10)/MAX(Статистика!$G$10-Статистика!$C$10,0.000001),NA())</f>
        <v>#N/A</v>
      </c>
      <c r="CN281" s="12" t="e">
        <f>IF(AND(Y281&lt;&gt;"",Статистика!$M$6="Вкл",Статистика!$O$6&gt;0),(Статистика!$O$6-Статистика!$C$10)/MAX(Статистика!$G$10-Статистика!$C$10,0.000001),NA())</f>
        <v>#N/A</v>
      </c>
      <c r="CO281" s="12">
        <f t="shared" si="9"/>
        <v>1</v>
      </c>
    </row>
    <row r="282" spans="1:93" ht="15" customHeight="1">
      <c r="A282" s="12" t="s">
        <v>1165</v>
      </c>
      <c r="B282" s="12">
        <v>2326.5624936666663</v>
      </c>
      <c r="C282" s="12">
        <v>5785.8019350000004</v>
      </c>
      <c r="D282" s="12">
        <v>7475.8465866666666</v>
      </c>
      <c r="E282" s="12">
        <v>7774.6795333333339</v>
      </c>
      <c r="F282" s="12">
        <v>8014.3821499999995</v>
      </c>
      <c r="G282" s="12">
        <v>8166.0885250000001</v>
      </c>
      <c r="H282" s="12">
        <v>8405.0199383333329</v>
      </c>
      <c r="I282" s="12">
        <v>8452.1976049999994</v>
      </c>
      <c r="J282" s="12">
        <v>8476.6849343333342</v>
      </c>
      <c r="K282" s="12">
        <v>8563.83</v>
      </c>
      <c r="L282" s="12" t="s">
        <v>1166</v>
      </c>
      <c r="M282" s="12">
        <v>2876.1300369999999</v>
      </c>
      <c r="N282" s="12">
        <v>6699.7436516666685</v>
      </c>
      <c r="O282" s="12">
        <v>8550.8145850000001</v>
      </c>
      <c r="P282" s="12">
        <v>8865.6818999999996</v>
      </c>
      <c r="Q282" s="12">
        <v>9118.7206333333343</v>
      </c>
      <c r="R282" s="12">
        <v>9295.6644166666665</v>
      </c>
      <c r="S282" s="12">
        <v>9551.8194400000011</v>
      </c>
      <c r="T282" s="12">
        <v>9585.2714316666679</v>
      </c>
      <c r="U282" s="12">
        <v>9625.719433000002</v>
      </c>
      <c r="V282" s="12">
        <v>9708.6200000000008</v>
      </c>
      <c r="W282" s="12" t="s">
        <v>1166</v>
      </c>
      <c r="Y282" s="12" t="s">
        <v>1165</v>
      </c>
      <c r="Z282" s="12">
        <v>7748.5510390000009</v>
      </c>
      <c r="AA282" s="12">
        <v>7748.985861666667</v>
      </c>
      <c r="AB282" s="12">
        <v>7749.5293899999997</v>
      </c>
      <c r="AC282" s="12">
        <v>7821.8890916666669</v>
      </c>
      <c r="AD282" s="12">
        <v>8024.5037833333326</v>
      </c>
      <c r="AE282" s="12">
        <v>8173.3072499999998</v>
      </c>
      <c r="AF282" s="12">
        <v>8389.9596250000013</v>
      </c>
      <c r="AG282" s="12">
        <v>8465.6060291666672</v>
      </c>
      <c r="AH282" s="12">
        <v>8526.1231525000021</v>
      </c>
      <c r="AI282" s="12">
        <v>8625.25</v>
      </c>
      <c r="AJ282" s="12" t="s">
        <v>1167</v>
      </c>
      <c r="AK282" s="12">
        <v>8835.6871626666671</v>
      </c>
      <c r="AL282" s="12">
        <v>8857.5655466666667</v>
      </c>
      <c r="AM282" s="12">
        <v>8884.9135266666672</v>
      </c>
      <c r="AN282" s="12">
        <v>8943.6620000000003</v>
      </c>
      <c r="AO282" s="12">
        <v>9075.9303333333337</v>
      </c>
      <c r="AP282" s="12">
        <v>9260.2924583333315</v>
      </c>
      <c r="AQ282" s="12">
        <v>9491.2198283333328</v>
      </c>
      <c r="AR282" s="12">
        <v>9576.2886308333327</v>
      </c>
      <c r="AS282" s="12">
        <v>9644.3436728333327</v>
      </c>
      <c r="AT282" s="12">
        <v>9725.5499999999993</v>
      </c>
      <c r="AU282" s="12" t="s">
        <v>1167</v>
      </c>
      <c r="AW282" s="12">
        <f>IF(A282="","",MAX(0,MIN(1,(((IF(Статистика!$C$4="Параллельный режим (активная мощность)",B282,M282)+Статистика!$J$4))-Статистика!$C$10)/MAX(Статистика!$G$10-Статистика!$C$10,0.000001))))</f>
        <v>0</v>
      </c>
      <c r="AX282" s="12">
        <f>IF(A282="","",MAX(0,MAX(0,MIN(1,(((IF(Статистика!$C$4="Параллельный режим (активная мощность)",D282,O282)+Статистика!$J$4))-Статистика!$C$10)/MAX(Статистика!$G$10-Статистика!$C$10,0.000001)))-MAX(0,MIN(1,(((IF(Статистика!$C$4="Параллельный режим (активная мощность)",B282,M282)+Статистика!$J$4))-Статистика!$C$10)/MAX(Статистика!$G$10-Статистика!$C$10,0.000001)))))</f>
        <v>0.49194886222222217</v>
      </c>
      <c r="AY282" s="12">
        <f>IF(A282="","",MAX(0,MAX(0,MIN(1,(((IF(Статистика!$C$4="Параллельный режим (активная мощность)",E282,P282)+Статистика!$J$4))-Статистика!$C$10)/MAX(Статистика!$G$10-Статистика!$C$10,0.000001)))-MAX(0,MIN(1,(((IF(Статистика!$C$4="Параллельный режим (активная мощность)",D282,O282)+Статистика!$J$4))-Статистика!$C$10)/MAX(Статистика!$G$10-Статистика!$C$10,0.000001)))))</f>
        <v>9.9610982222222477E-2</v>
      </c>
      <c r="AZ282" s="12">
        <f>IF(A282="","",MAX(0,MAX(0,MIN(1,(((IF(Статистика!$C$4="Параллельный режим (активная мощность)",F282,Q282)+Статистика!$J$4))-Статистика!$C$10)/MAX(Статистика!$G$10-Статистика!$C$10,0.000001)))-MAX(0,MIN(1,(((IF(Статистика!$C$4="Параллельный режим (активная мощность)",E282,P282)+Статистика!$J$4))-Статистика!$C$10)/MAX(Статистика!$G$10-Статистика!$C$10,0.000001)))))</f>
        <v>7.9900872222221864E-2</v>
      </c>
      <c r="BA282" s="12">
        <f>IF(A282="","",MAX(0,MAX(0,MIN(1,(((IF(Статистика!$C$4="Параллельный режим (активная мощность)",G282,R282)+Статистика!$J$4))-Статистика!$C$10)/MAX(Статистика!$G$10-Статистика!$C$10,0.000001)))-MAX(0,MIN(1,(((IF(Статистика!$C$4="Параллельный режим (активная мощность)",F282,Q282)+Статистика!$J$4))-Статистика!$C$10)/MAX(Статистика!$G$10-Статистика!$C$10,0.000001)))))</f>
        <v>5.0568791666666835E-2</v>
      </c>
      <c r="BB282" s="12">
        <f>IF(A282="","",MAX(0,MAX(0,MIN(1,(((IF(Статистика!$C$4="Параллельный режим (активная мощность)",H282,S282)+Статистика!$J$4))-Статистика!$C$10)/MAX(Статистика!$G$10-Статистика!$C$10,0.000001)))-MAX(0,MIN(1,(((IF(Статистика!$C$4="Параллельный режим (активная мощность)",G282,R282)+Статистика!$J$4))-Статистика!$C$10)/MAX(Статистика!$G$10-Статистика!$C$10,0.000001)))))</f>
        <v>7.9643804444444299E-2</v>
      </c>
      <c r="BC282" s="12">
        <f>IF(A282="","",MAX(0,MAX(0,MIN(1,(((IF(Статистика!$C$4="Параллельный режим (активная мощность)",J282,U282)+Статистика!$J$4))-Статистика!$C$10)/MAX(Статистика!$G$10-Статистика!$C$10,0.000001)))-MAX(0,MIN(1,(((IF(Статистика!$C$4="Параллельный режим (активная мощность)",H282,S282)+Статистика!$J$4))-Статистика!$C$10)/MAX(Статистика!$G$10-Статистика!$C$10,0.000001)))))</f>
        <v>2.3888332000000401E-2</v>
      </c>
      <c r="BD282" s="12">
        <f>IF(A282="","",MAX(0,1-MAX(0,MIN(1,(((IF(Статистика!$C$4="Параллельный режим (активная мощность)",J282,U282)+Статистика!$J$4))-Статистика!$C$10)/MAX(Статистика!$G$10-Статистика!$C$10,0.000001)))))</f>
        <v>0.17443835522222195</v>
      </c>
      <c r="BE282" s="12">
        <f>IF(A282="",NA(),IF(Статистика!$B$8="Вкл",(((IF(Статистика!$C$4="Параллельный режим (активная мощность)",F282,Q282)+Статистика!$J$4))-Статистика!$C$10)/MAX(Статистика!$G$10-Статистика!$C$10,0.000001),NA()))</f>
        <v>0.67146071666666651</v>
      </c>
      <c r="BF282" s="12">
        <f>IF(A282="",NA(),IF(Статистика!$D$8="Вкл",(((IF(Статистика!$C$4="Параллельный режим (активная мощность)",E282,P282)+Статистика!$J$4))-Статистика!$C$10)/MAX(Статистика!$G$10-Статистика!$C$10,0.000001),NA()))</f>
        <v>0.59155984444444465</v>
      </c>
      <c r="BG282" s="12">
        <f>IF(A282="",NA(),IF(Статистика!$D$8="Вкл",(((IF(Статистика!$C$4="Параллельный режим (активная мощность)",G282,R282)+Статистика!$J$4))-Статистика!$C$10)/MAX(Статистика!$G$10-Статистика!$C$10,0.000001),NA()))</f>
        <v>0.72202950833333335</v>
      </c>
      <c r="BH282" s="12">
        <f>IF(A282="",NA(),IF(Статистика!$F$8="Вкл",(((IF(Статистика!$C$4="Параллельный режим (активная мощность)",D282,O282)+Статистика!$J$4))-Статистика!$C$10)/MAX(Статистика!$G$10-Статистика!$C$10,0.000001),NA()))</f>
        <v>0.49194886222222217</v>
      </c>
      <c r="BI282" s="12">
        <f>IF(A282="",NA(),IF(Статистика!$F$8="Вкл",(((IF(Статистика!$C$4="Параллельный режим (активная мощность)",H282,S282)+Статистика!$J$4))-Статистика!$C$10)/MAX(Статистика!$G$10-Статистика!$C$10,0.000001),NA()))</f>
        <v>0.80167331277777765</v>
      </c>
      <c r="BJ282" s="12">
        <f>IF(A282="",NA(),IF(Статистика!$H$8="Вкл",(((IF(Статистика!$C$4="Параллельный режим (активная мощность)",B282,M282)+Статистика!$J$4))-Статистика!$C$10)/MAX(Статистика!$G$10-Статистика!$C$10,0.000001),NA()))</f>
        <v>-1.2244791687777778</v>
      </c>
      <c r="BK282" s="12">
        <f>IF(A282="",NA(),IF(Статистика!$H$8="Вкл",(((IF(Статистика!$C$4="Параллельный режим (активная мощность)",J282,U282)+Статистика!$J$4))-Статистика!$C$10)/MAX(Статистика!$G$10-Статистика!$C$10,0.000001),NA()))</f>
        <v>0.82556164477777805</v>
      </c>
      <c r="BL282" s="12" t="e">
        <f>IF(A282="",NA(),IF(Статистика!$J$8="Вкл",(((IF(Статистика!$C$4="Параллельный режим (активная мощность)",K282,V282)+Статистика!$J$4))-Статистика!$C$10)/MAX(Статистика!$G$10-Статистика!$C$10,0.000001),NA()))</f>
        <v>#N/A</v>
      </c>
      <c r="BM282" s="12" t="e">
        <f>IF(AND(A282&lt;&gt;"",Статистика!$C$6="Вкл",Статистика!$B$6&gt;0),(Статистика!$B$6-Статистика!$C$10)/MAX(Статистика!$G$10-Статистика!$C$10,0.000001),NA())</f>
        <v>#N/A</v>
      </c>
      <c r="BN282" s="12" t="e">
        <f>IF(AND(A282&lt;&gt;"",Статистика!$F$6="Вкл",Статистика!$E$6&gt;0),(Статистика!$E$6-Статистика!$C$10)/MAX(Статистика!$G$10-Статистика!$C$10,0.000001),NA())</f>
        <v>#N/A</v>
      </c>
      <c r="BO282" s="12" t="e">
        <f>IF(AND(A282&lt;&gt;"",Статистика!$I$6="Вкл",Статистика!$H$6&gt;0),(Статистика!$H$6-Статистика!$C$10)/MAX(Статистика!$G$10-Статистика!$C$10,0.000001),NA())</f>
        <v>#N/A</v>
      </c>
      <c r="BP282" s="12" t="e">
        <f>IF(AND(A282&lt;&gt;"",Статистика!$L$6="Вкл",Статистика!$K$6&gt;0),(Статистика!$K$6-Статистика!$C$10)/MAX(Статистика!$G$10-Статистика!$C$10,0.000001),NA())</f>
        <v>#N/A</v>
      </c>
      <c r="BQ282" s="12" t="e">
        <f>IF(AND(A282&lt;&gt;"",Статистика!$M$6="Вкл",Статистика!$O$6&gt;0),(Статистика!$O$6-Статистика!$C$10)/MAX(Статистика!$G$10-Статистика!$C$10,0.000001),NA())</f>
        <v>#N/A</v>
      </c>
      <c r="BR282" s="12">
        <f t="shared" si="8"/>
        <v>1</v>
      </c>
      <c r="BT282" s="12">
        <f>IF(Y282="","",MAX(0,MIN(1,(((IF(Статистика!$C$4="Параллельный режим (активная мощность)",Z282,AK282)+Статистика!$J$4))-Статистика!$C$10)/MAX(Статистика!$G$10-Статистика!$C$10,0.000001))))</f>
        <v>0.58285034633333366</v>
      </c>
      <c r="BU282" s="12">
        <f>IF(Y282="","",MAX(0,MAX(0,MIN(1,(((IF(Статистика!$C$4="Параллельный режим (активная мощность)",AB282,AM282)+Статистика!$J$4))-Статистика!$C$10)/MAX(Статистика!$G$10-Статистика!$C$10,0.000001)))-MAX(0,MIN(1,(((IF(Статистика!$C$4="Параллельный режим (активная мощность)",Z282,AK282)+Статистика!$J$4))-Статистика!$C$10)/MAX(Статистика!$G$10-Статистика!$C$10,0.000001)))))</f>
        <v>3.2611699999962607E-4</v>
      </c>
      <c r="BV282" s="12">
        <f>IF(Y282="","",MAX(0,MAX(0,MIN(1,(((IF(Статистика!$C$4="Параллельный режим (активная мощность)",AC282,AN282)+Статистика!$J$4))-Статистика!$C$10)/MAX(Статистика!$G$10-Статистика!$C$10,0.000001)))-MAX(0,MIN(1,(((IF(Статистика!$C$4="Параллельный режим (активная мощность)",AB282,AM282)+Статистика!$J$4))-Статистика!$C$10)/MAX(Статистика!$G$10-Статистика!$C$10,0.000001)))))</f>
        <v>2.4119900555555684E-2</v>
      </c>
      <c r="BW282" s="12">
        <f>IF(Y282="","",MAX(0,MAX(0,MIN(1,(((IF(Статистика!$C$4="Параллельный режим (активная мощность)",AD282,AO282)+Статистика!$J$4))-Статистика!$C$10)/MAX(Статистика!$G$10-Статистика!$C$10,0.000001)))-MAX(0,MIN(1,(((IF(Статистика!$C$4="Параллельный режим (активная мощность)",AC282,AN282)+Статистика!$J$4))-Статистика!$C$10)/MAX(Статистика!$G$10-Статистика!$C$10,0.000001)))))</f>
        <v>6.7538230555555301E-2</v>
      </c>
      <c r="BX282" s="12">
        <f>IF(Y282="","",MAX(0,MAX(0,MIN(1,(((IF(Статистика!$C$4="Параллельный режим (активная мощность)",AE282,AP282)+Статистика!$J$4))-Статистика!$C$10)/MAX(Статистика!$G$10-Статистика!$C$10,0.000001)))-MAX(0,MIN(1,(((IF(Статистика!$C$4="Параллельный режим (активная мощность)",AD282,AO282)+Статистика!$J$4))-Статистика!$C$10)/MAX(Статистика!$G$10-Статистика!$C$10,0.000001)))))</f>
        <v>4.9601155555555665E-2</v>
      </c>
      <c r="BY282" s="12">
        <f>IF(Y282="","",MAX(0,MAX(0,MIN(1,(((IF(Статистика!$C$4="Параллельный режим (активная мощность)",AF282,AQ282)+Статистика!$J$4))-Статистика!$C$10)/MAX(Статистика!$G$10-Статистика!$C$10,0.000001)))-MAX(0,MIN(1,(((IF(Статистика!$C$4="Параллельный режим (активная мощность)",AE282,AP282)+Статистика!$J$4))-Статистика!$C$10)/MAX(Статистика!$G$10-Статистика!$C$10,0.000001)))))</f>
        <v>7.2217458333333817E-2</v>
      </c>
      <c r="BZ282" s="12">
        <f>IF(Y282="","",MAX(0,MAX(0,MIN(1,(((IF(Статистика!$C$4="Параллельный режим (активная мощность)",AH282,AS282)+Статистика!$J$4))-Статистика!$C$10)/MAX(Статистика!$G$10-Статистика!$C$10,0.000001)))-MAX(0,MIN(1,(((IF(Статистика!$C$4="Параллельный режим (активная мощность)",AF282,AQ282)+Статистика!$J$4))-Статистика!$C$10)/MAX(Статистика!$G$10-Статистика!$C$10,0.000001)))))</f>
        <v>4.5387842500000275E-2</v>
      </c>
      <c r="CA282" s="12">
        <f>IF(Y282="","",MAX(0,1-MAX(0,MIN(1,(((IF(Статистика!$C$4="Параллельный режим (активная мощность)",AH282,AS282)+Статистика!$J$4))-Статистика!$C$10)/MAX(Статистика!$G$10-Статистика!$C$10,0.000001)))))</f>
        <v>0.15795894916666597</v>
      </c>
      <c r="CB282" s="12">
        <f>IF(Y282="",NA(),IF(Статистика!$B$8="Вкл",(((IF(Статистика!$C$4="Параллельный режим (активная мощность)",AD282,AO282)+Статистика!$J$4))-Статистика!$C$10)/MAX(Статистика!$G$10-Статистика!$C$10,0.000001),NA()))</f>
        <v>0.67483459444444427</v>
      </c>
      <c r="CC282" s="12">
        <f>IF(Y282="",NA(),IF(Статистика!$D$8="Вкл",(((IF(Статистика!$C$4="Параллельный режим (активная мощность)",AC282,AN282)+Статистика!$J$4))-Статистика!$C$10)/MAX(Статистика!$G$10-Статистика!$C$10,0.000001),NA()))</f>
        <v>0.60729636388888897</v>
      </c>
      <c r="CD282" s="12">
        <f>IF(Y282="",NA(),IF(Статистика!$D$8="Вкл",(((IF(Статистика!$C$4="Параллельный режим (активная мощность)",AE282,AP282)+Статистика!$J$4))-Статистика!$C$10)/MAX(Статистика!$G$10-Статистика!$C$10,0.000001),NA()))</f>
        <v>0.72443574999999993</v>
      </c>
      <c r="CE282" s="12">
        <f>IF(Y282="",NA(),IF(Статистика!$F$8="Вкл",(((IF(Статистика!$C$4="Параллельный режим (активная мощность)",AB282,AM282)+Статистика!$J$4))-Статистика!$C$10)/MAX(Статистика!$G$10-Статистика!$C$10,0.000001),NA()))</f>
        <v>0.58317646333333328</v>
      </c>
      <c r="CF282" s="12">
        <f>IF(Y282="",NA(),IF(Статистика!$F$8="Вкл",(((IF(Статистика!$C$4="Параллельный режим (активная мощность)",AF282,AQ282)+Статистика!$J$4))-Статистика!$C$10)/MAX(Статистика!$G$10-Статистика!$C$10,0.000001),NA()))</f>
        <v>0.79665320833333375</v>
      </c>
      <c r="CG282" s="12">
        <f>IF(Y282="",NA(),IF(Статистика!$H$8="Вкл",(((IF(Статистика!$C$4="Параллельный режим (активная мощность)",Z282,AK282)+Статистика!$J$4))-Статистика!$C$10)/MAX(Статистика!$G$10-Статистика!$C$10,0.000001),NA()))</f>
        <v>0.58285034633333366</v>
      </c>
      <c r="CH282" s="12">
        <f>IF(Y282="",NA(),IF(Статистика!$H$8="Вкл",(((IF(Статистика!$C$4="Параллельный режим (активная мощность)",AH282,AS282)+Статистика!$J$4))-Статистика!$C$10)/MAX(Статистика!$G$10-Статистика!$C$10,0.000001),NA()))</f>
        <v>0.84204105083333403</v>
      </c>
      <c r="CI282" s="12" t="e">
        <f>IF(Y282="",NA(),IF(Статистика!$J$8="Вкл",(((IF(Статистика!$C$4="Параллельный режим (активная мощность)",AI282,AT282)+Статистика!$J$4))-Статистика!$C$10)/MAX(Статистика!$G$10-Статистика!$C$10,0.000001),NA()))</f>
        <v>#N/A</v>
      </c>
      <c r="CJ282" s="12" t="e">
        <f>IF(AND(Y282&lt;&gt;"",Статистика!$C$6="Вкл",Статистика!$B$6&gt;0),(Статистика!$B$6-Статистика!$C$10)/MAX(Статистика!$G$10-Статистика!$C$10,0.000001),NA())</f>
        <v>#N/A</v>
      </c>
      <c r="CK282" s="12" t="e">
        <f>IF(AND(Y282&lt;&gt;"",Статистика!$F$6="Вкл",Статистика!$E$6&gt;0),(Статистика!$E$6-Статистика!$C$10)/MAX(Статистика!$G$10-Статистика!$C$10,0.000001),NA())</f>
        <v>#N/A</v>
      </c>
      <c r="CL282" s="12" t="e">
        <f>IF(AND(Y282&lt;&gt;"",Статистика!$I$6="Вкл",Статистика!$H$6&gt;0),(Статистика!$H$6-Статистика!$C$10)/MAX(Статистика!$G$10-Статистика!$C$10,0.000001),NA())</f>
        <v>#N/A</v>
      </c>
      <c r="CM282" s="12" t="e">
        <f>IF(AND(Y282&lt;&gt;"",Статистика!$L$6="Вкл",Статистика!$K$6&gt;0),(Статистика!$K$6-Статистика!$C$10)/MAX(Статистика!$G$10-Статистика!$C$10,0.000001),NA())</f>
        <v>#N/A</v>
      </c>
      <c r="CN282" s="12" t="e">
        <f>IF(AND(Y282&lt;&gt;"",Статистика!$M$6="Вкл",Статистика!$O$6&gt;0),(Статистика!$O$6-Статистика!$C$10)/MAX(Статистика!$G$10-Статистика!$C$10,0.000001),NA())</f>
        <v>#N/A</v>
      </c>
      <c r="CO282" s="12">
        <f t="shared" si="9"/>
        <v>1</v>
      </c>
    </row>
    <row r="283" spans="1:93" ht="15" customHeight="1">
      <c r="A283" s="12" t="s">
        <v>1168</v>
      </c>
      <c r="B283" s="12">
        <v>2320.3051004999998</v>
      </c>
      <c r="C283" s="12">
        <v>5755.4480358333331</v>
      </c>
      <c r="D283" s="12">
        <v>7439.60358</v>
      </c>
      <c r="E283" s="12">
        <v>7731.7984499999984</v>
      </c>
      <c r="F283" s="12">
        <v>7976.4805500000002</v>
      </c>
      <c r="G283" s="12">
        <v>8165.1013833333327</v>
      </c>
      <c r="H283" s="12">
        <v>8355.2476683333334</v>
      </c>
      <c r="I283" s="12">
        <v>8410.9374941666683</v>
      </c>
      <c r="J283" s="12">
        <v>8524.3894188333325</v>
      </c>
      <c r="K283" s="12">
        <v>8622.0499999999993</v>
      </c>
      <c r="L283" s="12" t="s">
        <v>1169</v>
      </c>
      <c r="M283" s="12">
        <v>2867.4836829999999</v>
      </c>
      <c r="N283" s="12">
        <v>6659.3914816666675</v>
      </c>
      <c r="O283" s="12">
        <v>8512.6709350000001</v>
      </c>
      <c r="P283" s="12">
        <v>8882.175858333334</v>
      </c>
      <c r="Q283" s="12">
        <v>9076.3948333333337</v>
      </c>
      <c r="R283" s="12">
        <v>9312.3311083333319</v>
      </c>
      <c r="S283" s="12">
        <v>9495.6683616666669</v>
      </c>
      <c r="T283" s="12">
        <v>9561.7340908333335</v>
      </c>
      <c r="U283" s="12">
        <v>9681.7376181666659</v>
      </c>
      <c r="V283" s="12">
        <v>9772.2900000000009</v>
      </c>
      <c r="W283" s="12" t="s">
        <v>1170</v>
      </c>
      <c r="Y283" s="12" t="s">
        <v>1168</v>
      </c>
      <c r="Z283" s="12">
        <v>7711.3802761666675</v>
      </c>
      <c r="AA283" s="12">
        <v>7714.9001808333333</v>
      </c>
      <c r="AB283" s="12">
        <v>7719.3000616666668</v>
      </c>
      <c r="AC283" s="12">
        <v>7846.6508083333347</v>
      </c>
      <c r="AD283" s="12">
        <v>8016.7878166666669</v>
      </c>
      <c r="AE283" s="12">
        <v>8182.5710083333333</v>
      </c>
      <c r="AF283" s="12">
        <v>8567.33727</v>
      </c>
      <c r="AG283" s="12">
        <v>8580.0704850000002</v>
      </c>
      <c r="AH283" s="12">
        <v>8590.2570570000007</v>
      </c>
      <c r="AI283" s="12">
        <v>8746.65</v>
      </c>
      <c r="AJ283" s="12" t="s">
        <v>1171</v>
      </c>
      <c r="AK283" s="12">
        <v>8831.4523896666669</v>
      </c>
      <c r="AL283" s="12">
        <v>8846.8828816666664</v>
      </c>
      <c r="AM283" s="12">
        <v>8866.1709966666658</v>
      </c>
      <c r="AN283" s="12">
        <v>8971.359241666667</v>
      </c>
      <c r="AO283" s="12">
        <v>9064.977866666668</v>
      </c>
      <c r="AP283" s="12">
        <v>9286.7311333333328</v>
      </c>
      <c r="AQ283" s="12">
        <v>9660.8008966666694</v>
      </c>
      <c r="AR283" s="12">
        <v>9662.3337650000012</v>
      </c>
      <c r="AS283" s="12">
        <v>9663.5600596666682</v>
      </c>
      <c r="AT283" s="12">
        <v>9805.14</v>
      </c>
      <c r="AU283" s="12" t="s">
        <v>1172</v>
      </c>
      <c r="AW283" s="12">
        <f>IF(A283="","",MAX(0,MIN(1,(((IF(Статистика!$C$4="Параллельный режим (активная мощность)",B283,M283)+Статистика!$J$4))-Статистика!$C$10)/MAX(Статистика!$G$10-Статистика!$C$10,0.000001))))</f>
        <v>0</v>
      </c>
      <c r="AX283" s="12">
        <f>IF(A283="","",MAX(0,MAX(0,MIN(1,(((IF(Статистика!$C$4="Параллельный режим (активная мощность)",D283,O283)+Статистика!$J$4))-Статистика!$C$10)/MAX(Статистика!$G$10-Статистика!$C$10,0.000001)))-MAX(0,MIN(1,(((IF(Статистика!$C$4="Параллельный режим (активная мощность)",B283,M283)+Статистика!$J$4))-Статистика!$C$10)/MAX(Статистика!$G$10-Статистика!$C$10,0.000001)))))</f>
        <v>0.47986785999999998</v>
      </c>
      <c r="AY283" s="12">
        <f>IF(A283="","",MAX(0,MAX(0,MIN(1,(((IF(Статистика!$C$4="Параллельный режим (активная мощность)",E283,P283)+Статистика!$J$4))-Статистика!$C$10)/MAX(Статистика!$G$10-Статистика!$C$10,0.000001)))-MAX(0,MIN(1,(((IF(Статистика!$C$4="Параллельный режим (активная мощность)",D283,O283)+Статистика!$J$4))-Статистика!$C$10)/MAX(Статистика!$G$10-Статистика!$C$10,0.000001)))))</f>
        <v>9.7398289999999499E-2</v>
      </c>
      <c r="AZ283" s="12">
        <f>IF(A283="","",MAX(0,MAX(0,MIN(1,(((IF(Статистика!$C$4="Параллельный режим (активная мощность)",F283,Q283)+Статистика!$J$4))-Статистика!$C$10)/MAX(Статистика!$G$10-Статистика!$C$10,0.000001)))-MAX(0,MIN(1,(((IF(Статистика!$C$4="Параллельный режим (активная мощность)",E283,P283)+Статистика!$J$4))-Статистика!$C$10)/MAX(Статистика!$G$10-Статистика!$C$10,0.000001)))))</f>
        <v>8.1560700000000597E-2</v>
      </c>
      <c r="BA283" s="12">
        <f>IF(A283="","",MAX(0,MAX(0,MIN(1,(((IF(Статистика!$C$4="Параллельный режим (активная мощность)",G283,R283)+Статистика!$J$4))-Статистика!$C$10)/MAX(Статистика!$G$10-Статистика!$C$10,0.000001)))-MAX(0,MIN(1,(((IF(Статистика!$C$4="Параллельный режим (активная мощность)",F283,Q283)+Статистика!$J$4))-Статистика!$C$10)/MAX(Статистика!$G$10-Статистика!$C$10,0.000001)))))</f>
        <v>6.2873611111110783E-2</v>
      </c>
      <c r="BB283" s="12">
        <f>IF(A283="","",MAX(0,MAX(0,MIN(1,(((IF(Статистика!$C$4="Параллельный режим (активная мощность)",H283,S283)+Статистика!$J$4))-Статистика!$C$10)/MAX(Статистика!$G$10-Статистика!$C$10,0.000001)))-MAX(0,MIN(1,(((IF(Статистика!$C$4="Параллельный режим (активная мощность)",G283,R283)+Статистика!$J$4))-Статистика!$C$10)/MAX(Статистика!$G$10-Статистика!$C$10,0.000001)))))</f>
        <v>6.3382095000000249E-2</v>
      </c>
      <c r="BC283" s="12">
        <f>IF(A283="","",MAX(0,MAX(0,MIN(1,(((IF(Статистика!$C$4="Параллельный режим (активная мощность)",J283,U283)+Статистика!$J$4))-Статистика!$C$10)/MAX(Статистика!$G$10-Статистика!$C$10,0.000001)))-MAX(0,MIN(1,(((IF(Статистика!$C$4="Параллельный режим (активная мощность)",H283,S283)+Статистика!$J$4))-Статистика!$C$10)/MAX(Статистика!$G$10-Статистика!$C$10,0.000001)))))</f>
        <v>5.6380583499999748E-2</v>
      </c>
      <c r="BD283" s="12">
        <f>IF(A283="","",MAX(0,1-MAX(0,MIN(1,(((IF(Статистика!$C$4="Параллельный режим (активная мощность)",J283,U283)+Статистика!$J$4))-Статистика!$C$10)/MAX(Статистика!$G$10-Статистика!$C$10,0.000001)))))</f>
        <v>0.15853686038888914</v>
      </c>
      <c r="BE283" s="12">
        <f>IF(A283="",NA(),IF(Статистика!$B$8="Вкл",(((IF(Статистика!$C$4="Параллельный режим (активная мощность)",F283,Q283)+Статистика!$J$4))-Статистика!$C$10)/MAX(Статистика!$G$10-Статистика!$C$10,0.000001),NA()))</f>
        <v>0.65882685000000007</v>
      </c>
      <c r="BF283" s="12">
        <f>IF(A283="",NA(),IF(Статистика!$D$8="Вкл",(((IF(Статистика!$C$4="Параллельный режим (активная мощность)",E283,P283)+Статистика!$J$4))-Статистика!$C$10)/MAX(Статистика!$G$10-Статистика!$C$10,0.000001),NA()))</f>
        <v>0.57726614999999948</v>
      </c>
      <c r="BG283" s="12">
        <f>IF(A283="",NA(),IF(Статистика!$D$8="Вкл",(((IF(Статистика!$C$4="Параллельный режим (активная мощность)",G283,R283)+Статистика!$J$4))-Статистика!$C$10)/MAX(Статистика!$G$10-Статистика!$C$10,0.000001),NA()))</f>
        <v>0.72170046111111086</v>
      </c>
      <c r="BH283" s="12">
        <f>IF(A283="",NA(),IF(Статистика!$F$8="Вкл",(((IF(Статистика!$C$4="Параллельный режим (активная мощность)",D283,O283)+Статистика!$J$4))-Статистика!$C$10)/MAX(Статистика!$G$10-Статистика!$C$10,0.000001),NA()))</f>
        <v>0.47986785999999998</v>
      </c>
      <c r="BI283" s="12">
        <f>IF(A283="",NA(),IF(Статистика!$F$8="Вкл",(((IF(Статистика!$C$4="Параллельный режим (активная мощность)",H283,S283)+Статистика!$J$4))-Статистика!$C$10)/MAX(Статистика!$G$10-Статистика!$C$10,0.000001),NA()))</f>
        <v>0.78508255611111111</v>
      </c>
      <c r="BJ283" s="12">
        <f>IF(A283="",NA(),IF(Статистика!$H$8="Вкл",(((IF(Статистика!$C$4="Параллельный режим (активная мощность)",B283,M283)+Статистика!$J$4))-Статистика!$C$10)/MAX(Статистика!$G$10-Статистика!$C$10,0.000001),NA()))</f>
        <v>-1.2265649665</v>
      </c>
      <c r="BK283" s="12">
        <f>IF(A283="",NA(),IF(Статистика!$H$8="Вкл",(((IF(Статистика!$C$4="Параллельный режим (активная мощность)",J283,U283)+Статистика!$J$4))-Статистика!$C$10)/MAX(Статистика!$G$10-Статистика!$C$10,0.000001),NA()))</f>
        <v>0.84146313961111086</v>
      </c>
      <c r="BL283" s="12" t="e">
        <f>IF(A283="",NA(),IF(Статистика!$J$8="Вкл",(((IF(Статистика!$C$4="Параллельный режим (активная мощность)",K283,V283)+Статистика!$J$4))-Статистика!$C$10)/MAX(Статистика!$G$10-Статистика!$C$10,0.000001),NA()))</f>
        <v>#N/A</v>
      </c>
      <c r="BM283" s="12" t="e">
        <f>IF(AND(A283&lt;&gt;"",Статистика!$C$6="Вкл",Статистика!$B$6&gt;0),(Статистика!$B$6-Статистика!$C$10)/MAX(Статистика!$G$10-Статистика!$C$10,0.000001),NA())</f>
        <v>#N/A</v>
      </c>
      <c r="BN283" s="12" t="e">
        <f>IF(AND(A283&lt;&gt;"",Статистика!$F$6="Вкл",Статистика!$E$6&gt;0),(Статистика!$E$6-Статистика!$C$10)/MAX(Статистика!$G$10-Статистика!$C$10,0.000001),NA())</f>
        <v>#N/A</v>
      </c>
      <c r="BO283" s="12" t="e">
        <f>IF(AND(A283&lt;&gt;"",Статистика!$I$6="Вкл",Статистика!$H$6&gt;0),(Статистика!$H$6-Статистика!$C$10)/MAX(Статистика!$G$10-Статистика!$C$10,0.000001),NA())</f>
        <v>#N/A</v>
      </c>
      <c r="BP283" s="12" t="e">
        <f>IF(AND(A283&lt;&gt;"",Статистика!$L$6="Вкл",Статистика!$K$6&gt;0),(Статистика!$K$6-Статистика!$C$10)/MAX(Статистика!$G$10-Статистика!$C$10,0.000001),NA())</f>
        <v>#N/A</v>
      </c>
      <c r="BQ283" s="12" t="e">
        <f>IF(AND(A283&lt;&gt;"",Статистика!$M$6="Вкл",Статистика!$O$6&gt;0),(Статистика!$O$6-Статистика!$C$10)/MAX(Статистика!$G$10-Статистика!$C$10,0.000001),NA())</f>
        <v>#N/A</v>
      </c>
      <c r="BR283" s="12">
        <f t="shared" si="8"/>
        <v>1</v>
      </c>
      <c r="BT283" s="12">
        <f>IF(Y283="","",MAX(0,MIN(1,(((IF(Статистика!$C$4="Параллельный режим (активная мощность)",Z283,AK283)+Статистика!$J$4))-Статистика!$C$10)/MAX(Статистика!$G$10-Статистика!$C$10,0.000001))))</f>
        <v>0.57046009205555581</v>
      </c>
      <c r="BU283" s="12">
        <f>IF(Y283="","",MAX(0,MAX(0,MIN(1,(((IF(Статистика!$C$4="Параллельный режим (активная мощность)",AB283,AM283)+Статистика!$J$4))-Статистика!$C$10)/MAX(Статистика!$G$10-Статистика!$C$10,0.000001)))-MAX(0,MIN(1,(((IF(Статистика!$C$4="Параллельный режим (активная мощность)",Z283,AK283)+Статистика!$J$4))-Статистика!$C$10)/MAX(Статистика!$G$10-Статистика!$C$10,0.000001)))))</f>
        <v>2.6399284999998329E-3</v>
      </c>
      <c r="BV283" s="12">
        <f>IF(Y283="","",MAX(0,MAX(0,MIN(1,(((IF(Статистика!$C$4="Параллельный режим (активная мощность)",AC283,AN283)+Статистика!$J$4))-Статистика!$C$10)/MAX(Статистика!$G$10-Статистика!$C$10,0.000001)))-MAX(0,MIN(1,(((IF(Статистика!$C$4="Параллельный режим (активная мощность)",AB283,AM283)+Статистика!$J$4))-Статистика!$C$10)/MAX(Статистика!$G$10-Статистика!$C$10,0.000001)))))</f>
        <v>4.2450248888889264E-2</v>
      </c>
      <c r="BW283" s="12">
        <f>IF(Y283="","",MAX(0,MAX(0,MIN(1,(((IF(Статистика!$C$4="Параллельный режим (активная мощность)",AD283,AO283)+Статистика!$J$4))-Статистика!$C$10)/MAX(Статистика!$G$10-Статистика!$C$10,0.000001)))-MAX(0,MIN(1,(((IF(Статистика!$C$4="Параллельный режим (активная мощность)",AC283,AN283)+Статистика!$J$4))-Статистика!$C$10)/MAX(Статистика!$G$10-Статистика!$C$10,0.000001)))))</f>
        <v>5.6712336111110706E-2</v>
      </c>
      <c r="BX283" s="12">
        <f>IF(Y283="","",MAX(0,MAX(0,MIN(1,(((IF(Статистика!$C$4="Параллельный режим (активная мощность)",AE283,AP283)+Статистика!$J$4))-Статистика!$C$10)/MAX(Статистика!$G$10-Статистика!$C$10,0.000001)))-MAX(0,MIN(1,(((IF(Статистика!$C$4="Параллельный режим (активная мощность)",AD283,AO283)+Статистика!$J$4))-Статистика!$C$10)/MAX(Статистика!$G$10-Статистика!$C$10,0.000001)))))</f>
        <v>5.5261063888888851E-2</v>
      </c>
      <c r="BY283" s="12">
        <f>IF(Y283="","",MAX(0,MAX(0,MIN(1,(((IF(Статистика!$C$4="Параллельный режим (активная мощность)",AF283,AQ283)+Статистика!$J$4))-Статистика!$C$10)/MAX(Статистика!$G$10-Статистика!$C$10,0.000001)))-MAX(0,MIN(1,(((IF(Статистика!$C$4="Параллельный режим (активная мощность)",AE283,AP283)+Статистика!$J$4))-Статистика!$C$10)/MAX(Статистика!$G$10-Статистика!$C$10,0.000001)))))</f>
        <v>0.1282554205555555</v>
      </c>
      <c r="BZ283" s="12">
        <f>IF(Y283="","",MAX(0,MAX(0,MIN(1,(((IF(Статистика!$C$4="Параллельный режим (активная мощность)",AH283,AS283)+Статистика!$J$4))-Статистика!$C$10)/MAX(Статистика!$G$10-Статистика!$C$10,0.000001)))-MAX(0,MIN(1,(((IF(Статистика!$C$4="Параллельный режим (активная мощность)",AF283,AQ283)+Статистика!$J$4))-Статистика!$C$10)/MAX(Статистика!$G$10-Статистика!$C$10,0.000001)))))</f>
        <v>7.6399290000003228E-3</v>
      </c>
      <c r="CA283" s="12">
        <f>IF(Y283="","",MAX(0,1-MAX(0,MIN(1,(((IF(Статистика!$C$4="Параллельный режим (активная мощность)",AH283,AS283)+Статистика!$J$4))-Статистика!$C$10)/MAX(Статистика!$G$10-Статистика!$C$10,0.000001)))))</f>
        <v>0.13658098099999971</v>
      </c>
      <c r="CB283" s="12">
        <f>IF(Y283="",NA(),IF(Статистика!$B$8="Вкл",(((IF(Статистика!$C$4="Параллельный режим (активная мощность)",AD283,AO283)+Статистика!$J$4))-Статистика!$C$10)/MAX(Статистика!$G$10-Статистика!$C$10,0.000001),NA()))</f>
        <v>0.67226260555555561</v>
      </c>
      <c r="CC283" s="12">
        <f>IF(Y283="",NA(),IF(Статистика!$D$8="Вкл",(((IF(Статистика!$C$4="Параллельный режим (активная мощность)",AC283,AN283)+Статистика!$J$4))-Статистика!$C$10)/MAX(Статистика!$G$10-Статистика!$C$10,0.000001),NA()))</f>
        <v>0.61555026944444491</v>
      </c>
      <c r="CD283" s="12">
        <f>IF(Y283="",NA(),IF(Статистика!$D$8="Вкл",(((IF(Статистика!$C$4="Параллельный режим (активная мощность)",AE283,AP283)+Статистика!$J$4))-Статистика!$C$10)/MAX(Статистика!$G$10-Статистика!$C$10,0.000001),NA()))</f>
        <v>0.72752366944444447</v>
      </c>
      <c r="CE283" s="12">
        <f>IF(Y283="",NA(),IF(Статистика!$F$8="Вкл",(((IF(Статистика!$C$4="Параллельный режим (активная мощность)",AB283,AM283)+Статистика!$J$4))-Статистика!$C$10)/MAX(Статистика!$G$10-Статистика!$C$10,0.000001),NA()))</f>
        <v>0.57310002055555564</v>
      </c>
      <c r="CF283" s="12">
        <f>IF(Y283="",NA(),IF(Статистика!$F$8="Вкл",(((IF(Статистика!$C$4="Параллельный режим (активная мощность)",AF283,AQ283)+Статистика!$J$4))-Статистика!$C$10)/MAX(Статистика!$G$10-Статистика!$C$10,0.000001),NA()))</f>
        <v>0.85577908999999996</v>
      </c>
      <c r="CG283" s="12">
        <f>IF(Y283="",NA(),IF(Статистика!$H$8="Вкл",(((IF(Статистика!$C$4="Параллельный режим (активная мощность)",Z283,AK283)+Статистика!$J$4))-Статистика!$C$10)/MAX(Статистика!$G$10-Статистика!$C$10,0.000001),NA()))</f>
        <v>0.57046009205555581</v>
      </c>
      <c r="CH283" s="12">
        <f>IF(Y283="",NA(),IF(Статистика!$H$8="Вкл",(((IF(Статистика!$C$4="Параллельный режим (активная мощность)",AH283,AS283)+Статистика!$J$4))-Статистика!$C$10)/MAX(Статистика!$G$10-Статистика!$C$10,0.000001),NA()))</f>
        <v>0.86341901900000029</v>
      </c>
      <c r="CI283" s="12" t="e">
        <f>IF(Y283="",NA(),IF(Статистика!$J$8="Вкл",(((IF(Статистика!$C$4="Параллельный режим (активная мощность)",AI283,AT283)+Статистика!$J$4))-Статистика!$C$10)/MAX(Статистика!$G$10-Статистика!$C$10,0.000001),NA()))</f>
        <v>#N/A</v>
      </c>
      <c r="CJ283" s="12" t="e">
        <f>IF(AND(Y283&lt;&gt;"",Статистика!$C$6="Вкл",Статистика!$B$6&gt;0),(Статистика!$B$6-Статистика!$C$10)/MAX(Статистика!$G$10-Статистика!$C$10,0.000001),NA())</f>
        <v>#N/A</v>
      </c>
      <c r="CK283" s="12" t="e">
        <f>IF(AND(Y283&lt;&gt;"",Статистика!$F$6="Вкл",Статистика!$E$6&gt;0),(Статистика!$E$6-Статистика!$C$10)/MAX(Статистика!$G$10-Статистика!$C$10,0.000001),NA())</f>
        <v>#N/A</v>
      </c>
      <c r="CL283" s="12" t="e">
        <f>IF(AND(Y283&lt;&gt;"",Статистика!$I$6="Вкл",Статистика!$H$6&gt;0),(Статистика!$H$6-Статистика!$C$10)/MAX(Статистика!$G$10-Статистика!$C$10,0.000001),NA())</f>
        <v>#N/A</v>
      </c>
      <c r="CM283" s="12" t="e">
        <f>IF(AND(Y283&lt;&gt;"",Статистика!$L$6="Вкл",Статистика!$K$6&gt;0),(Статистика!$K$6-Статистика!$C$10)/MAX(Статистика!$G$10-Статистика!$C$10,0.000001),NA())</f>
        <v>#N/A</v>
      </c>
      <c r="CN283" s="12" t="e">
        <f>IF(AND(Y283&lt;&gt;"",Статистика!$M$6="Вкл",Статистика!$O$6&gt;0),(Статистика!$O$6-Статистика!$C$10)/MAX(Статистика!$G$10-Статистика!$C$10,0.000001),NA())</f>
        <v>#N/A</v>
      </c>
      <c r="CO283" s="12">
        <f t="shared" si="9"/>
        <v>1</v>
      </c>
    </row>
    <row r="284" spans="1:93" ht="15" customHeight="1">
      <c r="A284" s="12" t="s">
        <v>1173</v>
      </c>
      <c r="B284" s="12">
        <v>1984.4258935</v>
      </c>
      <c r="C284" s="12">
        <v>4047.2788008333337</v>
      </c>
      <c r="D284" s="12">
        <v>6625.844935000001</v>
      </c>
      <c r="E284" s="12">
        <v>7653.3165916666658</v>
      </c>
      <c r="F284" s="12">
        <v>7955.1771333333345</v>
      </c>
      <c r="G284" s="12">
        <v>8166.0782249999993</v>
      </c>
      <c r="H284" s="12">
        <v>8375.9452516666661</v>
      </c>
      <c r="I284" s="12">
        <v>8462.599309166666</v>
      </c>
      <c r="J284" s="12">
        <v>8531.9225551666659</v>
      </c>
      <c r="K284" s="12">
        <v>8634.19</v>
      </c>
      <c r="L284" s="12" t="s">
        <v>1174</v>
      </c>
      <c r="M284" s="12">
        <v>2493.9920838333333</v>
      </c>
      <c r="N284" s="12">
        <v>4736.5477524999997</v>
      </c>
      <c r="O284" s="12">
        <v>7539.7423383333335</v>
      </c>
      <c r="P284" s="12">
        <v>8777.8661249999986</v>
      </c>
      <c r="Q284" s="12">
        <v>9083.4209666666666</v>
      </c>
      <c r="R284" s="12">
        <v>9289.4308916666669</v>
      </c>
      <c r="S284" s="12">
        <v>9439.2022966666664</v>
      </c>
      <c r="T284" s="12">
        <v>9578.7794649999996</v>
      </c>
      <c r="U284" s="12">
        <v>9690.4411996666659</v>
      </c>
      <c r="V284" s="12">
        <v>9801.41</v>
      </c>
      <c r="W284" s="12" t="s">
        <v>1174</v>
      </c>
      <c r="Y284" s="12" t="s">
        <v>1173</v>
      </c>
      <c r="Z284" s="12">
        <v>7702.4659119999997</v>
      </c>
      <c r="AA284" s="12">
        <v>7707.9759599999998</v>
      </c>
      <c r="AB284" s="12">
        <v>7714.8635199999999</v>
      </c>
      <c r="AC284" s="12">
        <v>7865.6208666666662</v>
      </c>
      <c r="AD284" s="12">
        <v>7898.5988333333335</v>
      </c>
      <c r="AE284" s="12">
        <v>8174.520833333333</v>
      </c>
      <c r="AF284" s="12">
        <v>8574.7926866666658</v>
      </c>
      <c r="AG284" s="12">
        <v>8585.6441933333335</v>
      </c>
      <c r="AH284" s="12">
        <v>8594.3253986666659</v>
      </c>
      <c r="AI284" s="12">
        <v>8673.44</v>
      </c>
      <c r="AJ284" s="12" t="s">
        <v>1175</v>
      </c>
      <c r="AK284" s="12">
        <v>8814.1231986666662</v>
      </c>
      <c r="AL284" s="12">
        <v>8832.9249266666666</v>
      </c>
      <c r="AM284" s="12">
        <v>8856.4270866666666</v>
      </c>
      <c r="AN284" s="12">
        <v>8946.1895999999997</v>
      </c>
      <c r="AO284" s="12">
        <v>9047.5013999999992</v>
      </c>
      <c r="AP284" s="12">
        <v>9296.1042666666672</v>
      </c>
      <c r="AQ284" s="12">
        <v>9660.3077733333321</v>
      </c>
      <c r="AR284" s="12">
        <v>9665.6860533333329</v>
      </c>
      <c r="AS284" s="12">
        <v>9669.9886773333328</v>
      </c>
      <c r="AT284" s="12">
        <v>9744.4</v>
      </c>
      <c r="AU284" s="12" t="s">
        <v>1175</v>
      </c>
      <c r="AW284" s="12">
        <f>IF(A284="","",MAX(0,MIN(1,(((IF(Статистика!$C$4="Параллельный режим (активная мощность)",B284,M284)+Статистика!$J$4))-Статистика!$C$10)/MAX(Статистика!$G$10-Статистика!$C$10,0.000001))))</f>
        <v>0</v>
      </c>
      <c r="AX284" s="12">
        <f>IF(A284="","",MAX(0,MAX(0,MIN(1,(((IF(Статистика!$C$4="Параллельный режим (активная мощность)",D284,O284)+Статистика!$J$4))-Статистика!$C$10)/MAX(Статистика!$G$10-Статистика!$C$10,0.000001)))-MAX(0,MIN(1,(((IF(Статистика!$C$4="Параллельный режим (активная мощность)",B284,M284)+Статистика!$J$4))-Статистика!$C$10)/MAX(Статистика!$G$10-Статистика!$C$10,0.000001)))))</f>
        <v>0.20861497833333367</v>
      </c>
      <c r="AY284" s="12">
        <f>IF(A284="","",MAX(0,MAX(0,MIN(1,(((IF(Статистика!$C$4="Параллельный режим (активная мощность)",E284,P284)+Статистика!$J$4))-Статистика!$C$10)/MAX(Статистика!$G$10-Статистика!$C$10,0.000001)))-MAX(0,MIN(1,(((IF(Статистика!$C$4="Параллельный режим (активная мощность)",D284,O284)+Статистика!$J$4))-Статистика!$C$10)/MAX(Статистика!$G$10-Статистика!$C$10,0.000001)))))</f>
        <v>0.34249055222222158</v>
      </c>
      <c r="AZ284" s="12">
        <f>IF(A284="","",MAX(0,MAX(0,MIN(1,(((IF(Статистика!$C$4="Параллельный режим (активная мощность)",F284,Q284)+Статистика!$J$4))-Статистика!$C$10)/MAX(Статистика!$G$10-Статистика!$C$10,0.000001)))-MAX(0,MIN(1,(((IF(Статистика!$C$4="Параллельный режим (активная мощность)",E284,P284)+Статистика!$J$4))-Статистика!$C$10)/MAX(Статистика!$G$10-Статистика!$C$10,0.000001)))))</f>
        <v>0.10062018055555633</v>
      </c>
      <c r="BA284" s="12">
        <f>IF(A284="","",MAX(0,MAX(0,MIN(1,(((IF(Статистика!$C$4="Параллельный режим (активная мощность)",G284,R284)+Статистика!$J$4))-Статистика!$C$10)/MAX(Статистика!$G$10-Статистика!$C$10,0.000001)))-MAX(0,MIN(1,(((IF(Статистика!$C$4="Параллельный режим (активная мощность)",F284,Q284)+Статистика!$J$4))-Статистика!$C$10)/MAX(Статистика!$G$10-Статистика!$C$10,0.000001)))))</f>
        <v>7.0300363888888162E-2</v>
      </c>
      <c r="BB284" s="12">
        <f>IF(A284="","",MAX(0,MAX(0,MIN(1,(((IF(Статистика!$C$4="Параллельный режим (активная мощность)",H284,S284)+Статистика!$J$4))-Статистика!$C$10)/MAX(Статистика!$G$10-Статистика!$C$10,0.000001)))-MAX(0,MIN(1,(((IF(Статистика!$C$4="Параллельный режим (активная мощность)",G284,R284)+Статистика!$J$4))-Статистика!$C$10)/MAX(Статистика!$G$10-Статистика!$C$10,0.000001)))))</f>
        <v>6.9955675555555596E-2</v>
      </c>
      <c r="BC284" s="12">
        <f>IF(A284="","",MAX(0,MAX(0,MIN(1,(((IF(Статистика!$C$4="Параллельный режим (активная мощность)",J284,U284)+Статистика!$J$4))-Статистика!$C$10)/MAX(Статистика!$G$10-Статистика!$C$10,0.000001)))-MAX(0,MIN(1,(((IF(Статистика!$C$4="Параллельный режим (активная мощность)",H284,S284)+Статистика!$J$4))-Статистика!$C$10)/MAX(Статистика!$G$10-Статистика!$C$10,0.000001)))))</f>
        <v>5.1992434500000018E-2</v>
      </c>
      <c r="BD284" s="12">
        <f>IF(A284="","",MAX(0,1-MAX(0,MIN(1,(((IF(Статистика!$C$4="Параллельный режим (активная мощность)",J284,U284)+Статистика!$J$4))-Статистика!$C$10)/MAX(Статистика!$G$10-Статистика!$C$10,0.000001)))))</f>
        <v>0.15602581494444467</v>
      </c>
      <c r="BE284" s="12">
        <f>IF(A284="",NA(),IF(Статистика!$B$8="Вкл",(((IF(Статистика!$C$4="Параллельный режим (активная мощность)",F284,Q284)+Статистика!$J$4))-Статистика!$C$10)/MAX(Статистика!$G$10-Статистика!$C$10,0.000001),NA()))</f>
        <v>0.65172571111111155</v>
      </c>
      <c r="BF284" s="12">
        <f>IF(A284="",NA(),IF(Статистика!$D$8="Вкл",(((IF(Статистика!$C$4="Параллельный режим (активная мощность)",E284,P284)+Статистика!$J$4))-Статистика!$C$10)/MAX(Статистика!$G$10-Статистика!$C$10,0.000001),NA()))</f>
        <v>0.55110553055555522</v>
      </c>
      <c r="BG284" s="12">
        <f>IF(A284="",NA(),IF(Статистика!$D$8="Вкл",(((IF(Статистика!$C$4="Параллельный режим (активная мощность)",G284,R284)+Статистика!$J$4))-Статистика!$C$10)/MAX(Статистика!$G$10-Статистика!$C$10,0.000001),NA()))</f>
        <v>0.72202607499999971</v>
      </c>
      <c r="BH284" s="12">
        <f>IF(A284="",NA(),IF(Статистика!$F$8="Вкл",(((IF(Статистика!$C$4="Параллельный режим (активная мощность)",D284,O284)+Статистика!$J$4))-Статистика!$C$10)/MAX(Статистика!$G$10-Статистика!$C$10,0.000001),NA()))</f>
        <v>0.20861497833333367</v>
      </c>
      <c r="BI284" s="12">
        <f>IF(A284="",NA(),IF(Статистика!$F$8="Вкл",(((IF(Статистика!$C$4="Параллельный режим (активная мощность)",H284,S284)+Статистика!$J$4))-Статистика!$C$10)/MAX(Статистика!$G$10-Статистика!$C$10,0.000001),NA()))</f>
        <v>0.79198175055555531</v>
      </c>
      <c r="BJ284" s="12">
        <f>IF(A284="",NA(),IF(Статистика!$H$8="Вкл",(((IF(Статистика!$C$4="Параллельный режим (активная мощность)",B284,M284)+Статистика!$J$4))-Статистика!$C$10)/MAX(Статистика!$G$10-Статистика!$C$10,0.000001),NA()))</f>
        <v>-1.3385247021666666</v>
      </c>
      <c r="BK284" s="12">
        <f>IF(A284="",NA(),IF(Статистика!$H$8="Вкл",(((IF(Статистика!$C$4="Параллельный режим (активная мощность)",J284,U284)+Статистика!$J$4))-Статистика!$C$10)/MAX(Статистика!$G$10-Статистика!$C$10,0.000001),NA()))</f>
        <v>0.84397418505555533</v>
      </c>
      <c r="BL284" s="12" t="e">
        <f>IF(A284="",NA(),IF(Статистика!$J$8="Вкл",(((IF(Статистика!$C$4="Параллельный режим (активная мощность)",K284,V284)+Статистика!$J$4))-Статистика!$C$10)/MAX(Статистика!$G$10-Статистика!$C$10,0.000001),NA()))</f>
        <v>#N/A</v>
      </c>
      <c r="BM284" s="12" t="e">
        <f>IF(AND(A284&lt;&gt;"",Статистика!$C$6="Вкл",Статистика!$B$6&gt;0),(Статистика!$B$6-Статистика!$C$10)/MAX(Статистика!$G$10-Статистика!$C$10,0.000001),NA())</f>
        <v>#N/A</v>
      </c>
      <c r="BN284" s="12" t="e">
        <f>IF(AND(A284&lt;&gt;"",Статистика!$F$6="Вкл",Статистика!$E$6&gt;0),(Статистика!$E$6-Статистика!$C$10)/MAX(Статистика!$G$10-Статистика!$C$10,0.000001),NA())</f>
        <v>#N/A</v>
      </c>
      <c r="BO284" s="12" t="e">
        <f>IF(AND(A284&lt;&gt;"",Статистика!$I$6="Вкл",Статистика!$H$6&gt;0),(Статистика!$H$6-Статистика!$C$10)/MAX(Статистика!$G$10-Статистика!$C$10,0.000001),NA())</f>
        <v>#N/A</v>
      </c>
      <c r="BP284" s="12" t="e">
        <f>IF(AND(A284&lt;&gt;"",Статистика!$L$6="Вкл",Статистика!$K$6&gt;0),(Статистика!$K$6-Статистика!$C$10)/MAX(Статистика!$G$10-Статистика!$C$10,0.000001),NA())</f>
        <v>#N/A</v>
      </c>
      <c r="BQ284" s="12" t="e">
        <f>IF(AND(A284&lt;&gt;"",Статистика!$M$6="Вкл",Статистика!$O$6&gt;0),(Статистика!$O$6-Статистика!$C$10)/MAX(Статистика!$G$10-Статистика!$C$10,0.000001),NA())</f>
        <v>#N/A</v>
      </c>
      <c r="BR284" s="12">
        <f t="shared" si="8"/>
        <v>1</v>
      </c>
      <c r="BT284" s="12">
        <f>IF(Y284="","",MAX(0,MIN(1,(((IF(Статистика!$C$4="Параллельный режим (активная мощность)",Z284,AK284)+Статистика!$J$4))-Статистика!$C$10)/MAX(Статистика!$G$10-Статистика!$C$10,0.000001))))</f>
        <v>0.56748863733333321</v>
      </c>
      <c r="BU284" s="12">
        <f>IF(Y284="","",MAX(0,MAX(0,MIN(1,(((IF(Статистика!$C$4="Параллельный режим (активная мощность)",AB284,AM284)+Статистика!$J$4))-Статистика!$C$10)/MAX(Статистика!$G$10-Статистика!$C$10,0.000001)))-MAX(0,MIN(1,(((IF(Статистика!$C$4="Параллельный режим (активная мощность)",Z284,AK284)+Статистика!$J$4))-Статистика!$C$10)/MAX(Статистика!$G$10-Статистика!$C$10,0.000001)))))</f>
        <v>4.1325360000000755E-3</v>
      </c>
      <c r="BV284" s="12">
        <f>IF(Y284="","",MAX(0,MAX(0,MIN(1,(((IF(Статистика!$C$4="Параллельный режим (активная мощность)",AC284,AN284)+Статистика!$J$4))-Статистика!$C$10)/MAX(Статистика!$G$10-Статистика!$C$10,0.000001)))-MAX(0,MIN(1,(((IF(Статистика!$C$4="Параллельный режим (активная мощность)",AB284,AM284)+Статистика!$J$4))-Статистика!$C$10)/MAX(Статистика!$G$10-Статистика!$C$10,0.000001)))))</f>
        <v>5.0252448888888801E-2</v>
      </c>
      <c r="BW284" s="12">
        <f>IF(Y284="","",MAX(0,MAX(0,MIN(1,(((IF(Статистика!$C$4="Параллельный режим (активная мощность)",AD284,AO284)+Статистика!$J$4))-Статистика!$C$10)/MAX(Статистика!$G$10-Статистика!$C$10,0.000001)))-MAX(0,MIN(1,(((IF(Статистика!$C$4="Параллельный режим (активная мощность)",AC284,AN284)+Статистика!$J$4))-Статистика!$C$10)/MAX(Статистика!$G$10-Статистика!$C$10,0.000001)))))</f>
        <v>1.099265555555573E-2</v>
      </c>
      <c r="BX284" s="12">
        <f>IF(Y284="","",MAX(0,MAX(0,MIN(1,(((IF(Статистика!$C$4="Параллельный режим (активная мощность)",AE284,AP284)+Статистика!$J$4))-Статистика!$C$10)/MAX(Статистика!$G$10-Статистика!$C$10,0.000001)))-MAX(0,MIN(1,(((IF(Статистика!$C$4="Параллельный режим (активная мощность)",AD284,AO284)+Статистика!$J$4))-Статистика!$C$10)/MAX(Статистика!$G$10-Статистика!$C$10,0.000001)))))</f>
        <v>9.1973999999999889E-2</v>
      </c>
      <c r="BY284" s="12">
        <f>IF(Y284="","",MAX(0,MAX(0,MIN(1,(((IF(Статистика!$C$4="Параллельный режим (активная мощность)",AF284,AQ284)+Статистика!$J$4))-Статистика!$C$10)/MAX(Статистика!$G$10-Статистика!$C$10,0.000001)))-MAX(0,MIN(1,(((IF(Статистика!$C$4="Параллельный режим (активная мощность)",AE284,AP284)+Статистика!$J$4))-Статистика!$C$10)/MAX(Статистика!$G$10-Статистика!$C$10,0.000001)))))</f>
        <v>0.13342395111111083</v>
      </c>
      <c r="BZ284" s="12">
        <f>IF(Y284="","",MAX(0,MAX(0,MIN(1,(((IF(Статистика!$C$4="Параллельный режим (активная мощность)",AH284,AS284)+Статистика!$J$4))-Статистика!$C$10)/MAX(Статистика!$G$10-Статистика!$C$10,0.000001)))-MAX(0,MIN(1,(((IF(Статистика!$C$4="Параллельный режим (активная мощность)",AF284,AQ284)+Статистика!$J$4))-Статистика!$C$10)/MAX(Статистика!$G$10-Статистика!$C$10,0.000001)))))</f>
        <v>6.5109040000000951E-3</v>
      </c>
      <c r="CA284" s="12">
        <f>IF(Y284="","",MAX(0,1-MAX(0,MIN(1,(((IF(Статистика!$C$4="Параллельный режим (активная мощность)",AH284,AS284)+Статистика!$J$4))-Статистика!$C$10)/MAX(Статистика!$G$10-Статистика!$C$10,0.000001)))))</f>
        <v>0.13522486711111137</v>
      </c>
      <c r="CB284" s="12">
        <f>IF(Y284="",NA(),IF(Статистика!$B$8="Вкл",(((IF(Статистика!$C$4="Параллельный режим (активная мощность)",AD284,AO284)+Статистика!$J$4))-Статистика!$C$10)/MAX(Статистика!$G$10-Статистика!$C$10,0.000001),NA()))</f>
        <v>0.63286627777777782</v>
      </c>
      <c r="CC284" s="12">
        <f>IF(Y284="",NA(),IF(Статистика!$D$8="Вкл",(((IF(Статистика!$C$4="Параллельный режим (активная мощность)",AC284,AN284)+Статистика!$J$4))-Статистика!$C$10)/MAX(Статистика!$G$10-Статистика!$C$10,0.000001),NA()))</f>
        <v>0.62187362222222209</v>
      </c>
      <c r="CD284" s="12">
        <f>IF(Y284="",NA(),IF(Статистика!$D$8="Вкл",(((IF(Статистика!$C$4="Параллельный режим (активная мощность)",AE284,AP284)+Статистика!$J$4))-Статистика!$C$10)/MAX(Статистика!$G$10-Статистика!$C$10,0.000001),NA()))</f>
        <v>0.72484027777777771</v>
      </c>
      <c r="CE284" s="12">
        <f>IF(Y284="",NA(),IF(Статистика!$F$8="Вкл",(((IF(Статистика!$C$4="Параллельный режим (активная мощность)",AB284,AM284)+Статистика!$J$4))-Статистика!$C$10)/MAX(Статистика!$G$10-Статистика!$C$10,0.000001),NA()))</f>
        <v>0.57162117333333329</v>
      </c>
      <c r="CF284" s="12">
        <f>IF(Y284="",NA(),IF(Статистика!$F$8="Вкл",(((IF(Статистика!$C$4="Параллельный режим (активная мощность)",AF284,AQ284)+Статистика!$J$4))-Статистика!$C$10)/MAX(Статистика!$G$10-Статистика!$C$10,0.000001),NA()))</f>
        <v>0.85826422888888854</v>
      </c>
      <c r="CG284" s="12">
        <f>IF(Y284="",NA(),IF(Статистика!$H$8="Вкл",(((IF(Статистика!$C$4="Параллельный режим (активная мощность)",Z284,AK284)+Статистика!$J$4))-Статистика!$C$10)/MAX(Статистика!$G$10-Статистика!$C$10,0.000001),NA()))</f>
        <v>0.56748863733333321</v>
      </c>
      <c r="CH284" s="12">
        <f>IF(Y284="",NA(),IF(Статистика!$H$8="Вкл",(((IF(Статистика!$C$4="Параллельный режим (активная мощность)",AH284,AS284)+Статистика!$J$4))-Статистика!$C$10)/MAX(Статистика!$G$10-Статистика!$C$10,0.000001),NA()))</f>
        <v>0.86477513288888863</v>
      </c>
      <c r="CI284" s="12" t="e">
        <f>IF(Y284="",NA(),IF(Статистика!$J$8="Вкл",(((IF(Статистика!$C$4="Параллельный режим (активная мощность)",AI284,AT284)+Статистика!$J$4))-Статистика!$C$10)/MAX(Статистика!$G$10-Статистика!$C$10,0.000001),NA()))</f>
        <v>#N/A</v>
      </c>
      <c r="CJ284" s="12" t="e">
        <f>IF(AND(Y284&lt;&gt;"",Статистика!$C$6="Вкл",Статистика!$B$6&gt;0),(Статистика!$B$6-Статистика!$C$10)/MAX(Статистика!$G$10-Статистика!$C$10,0.000001),NA())</f>
        <v>#N/A</v>
      </c>
      <c r="CK284" s="12" t="e">
        <f>IF(AND(Y284&lt;&gt;"",Статистика!$F$6="Вкл",Статистика!$E$6&gt;0),(Статистика!$E$6-Статистика!$C$10)/MAX(Статистика!$G$10-Статистика!$C$10,0.000001),NA())</f>
        <v>#N/A</v>
      </c>
      <c r="CL284" s="12" t="e">
        <f>IF(AND(Y284&lt;&gt;"",Статистика!$I$6="Вкл",Статистика!$H$6&gt;0),(Статистика!$H$6-Статистика!$C$10)/MAX(Статистика!$G$10-Статистика!$C$10,0.000001),NA())</f>
        <v>#N/A</v>
      </c>
      <c r="CM284" s="12" t="e">
        <f>IF(AND(Y284&lt;&gt;"",Статистика!$L$6="Вкл",Статистика!$K$6&gt;0),(Статистика!$K$6-Статистика!$C$10)/MAX(Статистика!$G$10-Статистика!$C$10,0.000001),NA())</f>
        <v>#N/A</v>
      </c>
      <c r="CN284" s="12" t="e">
        <f>IF(AND(Y284&lt;&gt;"",Статистика!$M$6="Вкл",Статистика!$O$6&gt;0),(Статистика!$O$6-Статистика!$C$10)/MAX(Статистика!$G$10-Статистика!$C$10,0.000001),NA())</f>
        <v>#N/A</v>
      </c>
      <c r="CO284" s="12">
        <f t="shared" si="9"/>
        <v>1</v>
      </c>
    </row>
    <row r="285" spans="1:93" ht="15" customHeight="1">
      <c r="A285" s="12" t="s">
        <v>1176</v>
      </c>
      <c r="B285" s="12">
        <v>2308.9540511666664</v>
      </c>
      <c r="C285" s="12">
        <v>5757.672389166667</v>
      </c>
      <c r="D285" s="12">
        <v>7461.6549716666668</v>
      </c>
      <c r="E285" s="12">
        <v>7755.8955833333339</v>
      </c>
      <c r="F285" s="12">
        <v>7935.0119000000004</v>
      </c>
      <c r="G285" s="12">
        <v>8205.6450333333323</v>
      </c>
      <c r="H285" s="12">
        <v>8340.7013499999994</v>
      </c>
      <c r="I285" s="12">
        <v>8402.6677266666666</v>
      </c>
      <c r="J285" s="12">
        <v>8532.963412000001</v>
      </c>
      <c r="K285" s="12">
        <v>8646.7199999999993</v>
      </c>
      <c r="L285" s="12" t="s">
        <v>1177</v>
      </c>
      <c r="M285" s="12">
        <v>2866.1926020000001</v>
      </c>
      <c r="N285" s="12">
        <v>6670.1734100000003</v>
      </c>
      <c r="O285" s="12">
        <v>8491.3302299999996</v>
      </c>
      <c r="P285" s="12">
        <v>8828.2953999999991</v>
      </c>
      <c r="Q285" s="12">
        <v>9100.7469166666669</v>
      </c>
      <c r="R285" s="12">
        <v>9336.3264916666667</v>
      </c>
      <c r="S285" s="12">
        <v>9446.183579999999</v>
      </c>
      <c r="T285" s="12">
        <v>9532.0607549999986</v>
      </c>
      <c r="U285" s="12">
        <v>9693.6674309999999</v>
      </c>
      <c r="V285" s="12">
        <v>9805.27</v>
      </c>
      <c r="W285" s="12" t="s">
        <v>1178</v>
      </c>
      <c r="Y285" s="12" t="s">
        <v>1176</v>
      </c>
      <c r="Z285" s="12">
        <v>7724.3308248333324</v>
      </c>
      <c r="AA285" s="12">
        <v>7728.4357241666658</v>
      </c>
      <c r="AB285" s="12">
        <v>7733.566848333332</v>
      </c>
      <c r="AC285" s="12">
        <v>7836.3229083333335</v>
      </c>
      <c r="AD285" s="12">
        <v>7934.2383833333333</v>
      </c>
      <c r="AE285" s="12">
        <v>8141.5209666666669</v>
      </c>
      <c r="AF285" s="12">
        <v>8495.4856683333346</v>
      </c>
      <c r="AG285" s="12">
        <v>8524.3655175000022</v>
      </c>
      <c r="AH285" s="12">
        <v>8547.469396833334</v>
      </c>
      <c r="AI285" s="12">
        <v>8636.0400000000009</v>
      </c>
      <c r="AJ285" s="12" t="s">
        <v>1179</v>
      </c>
      <c r="AK285" s="12">
        <v>8819.3742308333331</v>
      </c>
      <c r="AL285" s="12">
        <v>8831.4700874999999</v>
      </c>
      <c r="AM285" s="12">
        <v>8846.5899083333334</v>
      </c>
      <c r="AN285" s="12">
        <v>8946.2217083333344</v>
      </c>
      <c r="AO285" s="12">
        <v>9042.7796500000004</v>
      </c>
      <c r="AP285" s="12">
        <v>9259.261716666666</v>
      </c>
      <c r="AQ285" s="12">
        <v>9578.3413216666668</v>
      </c>
      <c r="AR285" s="12">
        <v>9615.5542941666663</v>
      </c>
      <c r="AS285" s="12">
        <v>9645.3246721666656</v>
      </c>
      <c r="AT285" s="12">
        <v>9724.24</v>
      </c>
      <c r="AU285" s="12" t="s">
        <v>1180</v>
      </c>
      <c r="AW285" s="12">
        <f>IF(A285="","",MAX(0,MIN(1,(((IF(Статистика!$C$4="Параллельный режим (активная мощность)",B285,M285)+Статистика!$J$4))-Статистика!$C$10)/MAX(Статистика!$G$10-Статистика!$C$10,0.000001))))</f>
        <v>0</v>
      </c>
      <c r="AX285" s="12">
        <f>IF(A285="","",MAX(0,MAX(0,MIN(1,(((IF(Статистика!$C$4="Параллельный режим (активная мощность)",D285,O285)+Статистика!$J$4))-Статистика!$C$10)/MAX(Статистика!$G$10-Статистика!$C$10,0.000001)))-MAX(0,MIN(1,(((IF(Статистика!$C$4="Параллельный режим (активная мощность)",B285,M285)+Статистика!$J$4))-Статистика!$C$10)/MAX(Статистика!$G$10-Статистика!$C$10,0.000001)))))</f>
        <v>0.48721832388888892</v>
      </c>
      <c r="AY285" s="12">
        <f>IF(A285="","",MAX(0,MAX(0,MIN(1,(((IF(Статистика!$C$4="Параллельный режим (активная мощность)",E285,P285)+Статистика!$J$4))-Статистика!$C$10)/MAX(Статистика!$G$10-Статистика!$C$10,0.000001)))-MAX(0,MIN(1,(((IF(Статистика!$C$4="Параллельный режим (активная мощность)",D285,O285)+Статистика!$J$4))-Статистика!$C$10)/MAX(Статистика!$G$10-Статистика!$C$10,0.000001)))))</f>
        <v>9.8080203888888995E-2</v>
      </c>
      <c r="AZ285" s="12">
        <f>IF(A285="","",MAX(0,MAX(0,MIN(1,(((IF(Статистика!$C$4="Параллельный режим (активная мощность)",F285,Q285)+Статистика!$J$4))-Статистика!$C$10)/MAX(Статистика!$G$10-Статистика!$C$10,0.000001)))-MAX(0,MIN(1,(((IF(Статистика!$C$4="Параллельный режим (активная мощность)",E285,P285)+Статистика!$J$4))-Статистика!$C$10)/MAX(Статистика!$G$10-Статистика!$C$10,0.000001)))))</f>
        <v>5.9705438888888906E-2</v>
      </c>
      <c r="BA285" s="12">
        <f>IF(A285="","",MAX(0,MAX(0,MIN(1,(((IF(Статистика!$C$4="Параллельный режим (активная мощность)",G285,R285)+Статистика!$J$4))-Статистика!$C$10)/MAX(Статистика!$G$10-Статистика!$C$10,0.000001)))-MAX(0,MIN(1,(((IF(Статистика!$C$4="Параллельный режим (активная мощность)",F285,Q285)+Статистика!$J$4))-Статистика!$C$10)/MAX(Статистика!$G$10-Статистика!$C$10,0.000001)))))</f>
        <v>9.0211044444443944E-2</v>
      </c>
      <c r="BB285" s="12">
        <f>IF(A285="","",MAX(0,MAX(0,MIN(1,(((IF(Статистика!$C$4="Параллельный режим (активная мощность)",H285,S285)+Статистика!$J$4))-Статистика!$C$10)/MAX(Статистика!$G$10-Статистика!$C$10,0.000001)))-MAX(0,MIN(1,(((IF(Статистика!$C$4="Параллельный режим (активная мощность)",G285,R285)+Статистика!$J$4))-Статистика!$C$10)/MAX(Статистика!$G$10-Статистика!$C$10,0.000001)))))</f>
        <v>4.5018772222222392E-2</v>
      </c>
      <c r="BC285" s="12">
        <f>IF(A285="","",MAX(0,MAX(0,MIN(1,(((IF(Статистика!$C$4="Параллельный режим (активная мощность)",J285,U285)+Статистика!$J$4))-Статистика!$C$10)/MAX(Статистика!$G$10-Статистика!$C$10,0.000001)))-MAX(0,MIN(1,(((IF(Статистика!$C$4="Параллельный режим (активная мощность)",H285,S285)+Статистика!$J$4))-Статистика!$C$10)/MAX(Статистика!$G$10-Статистика!$C$10,0.000001)))))</f>
        <v>6.408735400000054E-2</v>
      </c>
      <c r="BD285" s="12">
        <f>IF(A285="","",MAX(0,1-MAX(0,MIN(1,(((IF(Статистика!$C$4="Параллельный режим (активная мощность)",J285,U285)+Статистика!$J$4))-Статистика!$C$10)/MAX(Статистика!$G$10-Статистика!$C$10,0.000001)))))</f>
        <v>0.15567886266666631</v>
      </c>
      <c r="BE285" s="12">
        <f>IF(A285="",NA(),IF(Статистика!$B$8="Вкл",(((IF(Статистика!$C$4="Параллельный режим (активная мощность)",F285,Q285)+Статистика!$J$4))-Статистика!$C$10)/MAX(Статистика!$G$10-Статистика!$C$10,0.000001),NA()))</f>
        <v>0.64500396666666682</v>
      </c>
      <c r="BF285" s="12">
        <f>IF(A285="",NA(),IF(Статистика!$D$8="Вкл",(((IF(Статистика!$C$4="Параллельный режим (активная мощность)",E285,P285)+Статистика!$J$4))-Статистика!$C$10)/MAX(Статистика!$G$10-Статистика!$C$10,0.000001),NA()))</f>
        <v>0.58529852777777791</v>
      </c>
      <c r="BG285" s="12">
        <f>IF(A285="",NA(),IF(Статистика!$D$8="Вкл",(((IF(Статистика!$C$4="Параллельный режим (активная мощность)",G285,R285)+Статистика!$J$4))-Статистика!$C$10)/MAX(Статистика!$G$10-Статистика!$C$10,0.000001),NA()))</f>
        <v>0.73521501111111076</v>
      </c>
      <c r="BH285" s="12">
        <f>IF(A285="",NA(),IF(Статистика!$F$8="Вкл",(((IF(Статистика!$C$4="Параллельный режим (активная мощность)",D285,O285)+Статистика!$J$4))-Статистика!$C$10)/MAX(Статистика!$G$10-Статистика!$C$10,0.000001),NA()))</f>
        <v>0.48721832388888892</v>
      </c>
      <c r="BI285" s="12">
        <f>IF(A285="",NA(),IF(Статистика!$F$8="Вкл",(((IF(Статистика!$C$4="Параллельный режим (активная мощность)",H285,S285)+Статистика!$J$4))-Статистика!$C$10)/MAX(Статистика!$G$10-Статистика!$C$10,0.000001),NA()))</f>
        <v>0.78023378333333315</v>
      </c>
      <c r="BJ285" s="12">
        <f>IF(A285="",NA(),IF(Статистика!$H$8="Вкл",(((IF(Статистика!$C$4="Параллельный режим (активная мощность)",B285,M285)+Статистика!$J$4))-Статистика!$C$10)/MAX(Статистика!$G$10-Статистика!$C$10,0.000001),NA()))</f>
        <v>-1.2303486496111111</v>
      </c>
      <c r="BK285" s="12">
        <f>IF(A285="",NA(),IF(Статистика!$H$8="Вкл",(((IF(Статистика!$C$4="Параллельный режим (активная мощность)",J285,U285)+Статистика!$J$4))-Статистика!$C$10)/MAX(Статистика!$G$10-Статистика!$C$10,0.000001),NA()))</f>
        <v>0.84432113733333369</v>
      </c>
      <c r="BL285" s="12" t="e">
        <f>IF(A285="",NA(),IF(Статистика!$J$8="Вкл",(((IF(Статистика!$C$4="Параллельный режим (активная мощность)",K285,V285)+Статистика!$J$4))-Статистика!$C$10)/MAX(Статистика!$G$10-Статистика!$C$10,0.000001),NA()))</f>
        <v>#N/A</v>
      </c>
      <c r="BM285" s="12" t="e">
        <f>IF(AND(A285&lt;&gt;"",Статистика!$C$6="Вкл",Статистика!$B$6&gt;0),(Статистика!$B$6-Статистика!$C$10)/MAX(Статистика!$G$10-Статистика!$C$10,0.000001),NA())</f>
        <v>#N/A</v>
      </c>
      <c r="BN285" s="12" t="e">
        <f>IF(AND(A285&lt;&gt;"",Статистика!$F$6="Вкл",Статистика!$E$6&gt;0),(Статистика!$E$6-Статистика!$C$10)/MAX(Статистика!$G$10-Статистика!$C$10,0.000001),NA())</f>
        <v>#N/A</v>
      </c>
      <c r="BO285" s="12" t="e">
        <f>IF(AND(A285&lt;&gt;"",Статистика!$I$6="Вкл",Статистика!$H$6&gt;0),(Статистика!$H$6-Статистика!$C$10)/MAX(Статистика!$G$10-Статистика!$C$10,0.000001),NA())</f>
        <v>#N/A</v>
      </c>
      <c r="BP285" s="12" t="e">
        <f>IF(AND(A285&lt;&gt;"",Статистика!$L$6="Вкл",Статистика!$K$6&gt;0),(Статистика!$K$6-Статистика!$C$10)/MAX(Статистика!$G$10-Статистика!$C$10,0.000001),NA())</f>
        <v>#N/A</v>
      </c>
      <c r="BQ285" s="12" t="e">
        <f>IF(AND(A285&lt;&gt;"",Статистика!$M$6="Вкл",Статистика!$O$6&gt;0),(Статистика!$O$6-Статистика!$C$10)/MAX(Статистика!$G$10-Статистика!$C$10,0.000001),NA())</f>
        <v>#N/A</v>
      </c>
      <c r="BR285" s="12">
        <f t="shared" si="8"/>
        <v>1</v>
      </c>
      <c r="BT285" s="12">
        <f>IF(Y285="","",MAX(0,MIN(1,(((IF(Статистика!$C$4="Параллельный режим (активная мощность)",Z285,AK285)+Статистика!$J$4))-Статистика!$C$10)/MAX(Статистика!$G$10-Статистика!$C$10,0.000001))))</f>
        <v>0.57477694161111081</v>
      </c>
      <c r="BU285" s="12">
        <f>IF(Y285="","",MAX(0,MAX(0,MIN(1,(((IF(Статистика!$C$4="Параллельный режим (активная мощность)",AB285,AM285)+Статистика!$J$4))-Статистика!$C$10)/MAX(Статистика!$G$10-Статистика!$C$10,0.000001)))-MAX(0,MIN(1,(((IF(Статистика!$C$4="Параллельный режим (активная мощность)",Z285,AK285)+Статистика!$J$4))-Статистика!$C$10)/MAX(Статистика!$G$10-Статистика!$C$10,0.000001)))))</f>
        <v>3.0786744999998783E-3</v>
      </c>
      <c r="BV285" s="12">
        <f>IF(Y285="","",MAX(0,MAX(0,MIN(1,(((IF(Статистика!$C$4="Параллельный режим (активная мощность)",AC285,AN285)+Статистика!$J$4))-Статистика!$C$10)/MAX(Статистика!$G$10-Статистика!$C$10,0.000001)))-MAX(0,MIN(1,(((IF(Статистика!$C$4="Параллельный режим (активная мощность)",AB285,AM285)+Статистика!$J$4))-Статистика!$C$10)/MAX(Статистика!$G$10-Статистика!$C$10,0.000001)))))</f>
        <v>3.4252020000000494E-2</v>
      </c>
      <c r="BW285" s="12">
        <f>IF(Y285="","",MAX(0,MAX(0,MIN(1,(((IF(Статистика!$C$4="Параллельный режим (активная мощность)",AD285,AO285)+Статистика!$J$4))-Статистика!$C$10)/MAX(Статистика!$G$10-Статистика!$C$10,0.000001)))-MAX(0,MIN(1,(((IF(Статистика!$C$4="Параллельный режим (активная мощность)",AC285,AN285)+Статистика!$J$4))-Статистика!$C$10)/MAX(Статистика!$G$10-Статистика!$C$10,0.000001)))))</f>
        <v>3.2638491666666547E-2</v>
      </c>
      <c r="BX285" s="12">
        <f>IF(Y285="","",MAX(0,MAX(0,MIN(1,(((IF(Статистика!$C$4="Параллельный режим (активная мощность)",AE285,AP285)+Статистика!$J$4))-Статистика!$C$10)/MAX(Статистика!$G$10-Статистика!$C$10,0.000001)))-MAX(0,MIN(1,(((IF(Статистика!$C$4="Параллельный режим (активная мощность)",AD285,AO285)+Статистика!$J$4))-Статистика!$C$10)/MAX(Статистика!$G$10-Статистика!$C$10,0.000001)))))</f>
        <v>6.9094194444444534E-2</v>
      </c>
      <c r="BY285" s="12">
        <f>IF(Y285="","",MAX(0,MAX(0,MIN(1,(((IF(Статистика!$C$4="Параллельный режим (активная мощность)",AF285,AQ285)+Статистика!$J$4))-Статистика!$C$10)/MAX(Статистика!$G$10-Статистика!$C$10,0.000001)))-MAX(0,MIN(1,(((IF(Статистика!$C$4="Параллельный режим (активная мощность)",AE285,AP285)+Статистика!$J$4))-Статистика!$C$10)/MAX(Статистика!$G$10-Статистика!$C$10,0.000001)))))</f>
        <v>0.11798823388888924</v>
      </c>
      <c r="BZ285" s="12">
        <f>IF(Y285="","",MAX(0,MAX(0,MIN(1,(((IF(Статистика!$C$4="Параллельный режим (активная мощность)",AH285,AS285)+Статистика!$J$4))-Статистика!$C$10)/MAX(Статистика!$G$10-Статистика!$C$10,0.000001)))-MAX(0,MIN(1,(((IF(Статистика!$C$4="Параллельный режим (активная мощность)",AF285,AQ285)+Статистика!$J$4))-Статистика!$C$10)/MAX(Статистика!$G$10-Статистика!$C$10,0.000001)))))</f>
        <v>1.732790949999985E-2</v>
      </c>
      <c r="CA285" s="12">
        <f>IF(Y285="","",MAX(0,1-MAX(0,MIN(1,(((IF(Статистика!$C$4="Параллельный режим (активная мощность)",AH285,AS285)+Статистика!$J$4))-Статистика!$C$10)/MAX(Статистика!$G$10-Статистика!$C$10,0.000001)))))</f>
        <v>0.15084353438888864</v>
      </c>
      <c r="CB285" s="12">
        <f>IF(Y285="",NA(),IF(Статистика!$B$8="Вкл",(((IF(Статистика!$C$4="Параллельный режим (активная мощность)",AD285,AO285)+Статистика!$J$4))-Статистика!$C$10)/MAX(Статистика!$G$10-Статистика!$C$10,0.000001),NA()))</f>
        <v>0.64474612777777773</v>
      </c>
      <c r="CC285" s="12">
        <f>IF(Y285="",NA(),IF(Статистика!$D$8="Вкл",(((IF(Статистика!$C$4="Параллельный режим (активная мощность)",AC285,AN285)+Статистика!$J$4))-Статистика!$C$10)/MAX(Статистика!$G$10-Статистика!$C$10,0.000001),NA()))</f>
        <v>0.61210763611111119</v>
      </c>
      <c r="CD285" s="12">
        <f>IF(Y285="",NA(),IF(Статистика!$D$8="Вкл",(((IF(Статистика!$C$4="Параллельный режим (активная мощность)",AE285,AP285)+Статистика!$J$4))-Статистика!$C$10)/MAX(Статистика!$G$10-Статистика!$C$10,0.000001),NA()))</f>
        <v>0.71384032222222227</v>
      </c>
      <c r="CE285" s="12">
        <f>IF(Y285="",NA(),IF(Статистика!$F$8="Вкл",(((IF(Статистика!$C$4="Параллельный режим (активная мощность)",AB285,AM285)+Статистика!$J$4))-Статистика!$C$10)/MAX(Статистика!$G$10-Статистика!$C$10,0.000001),NA()))</f>
        <v>0.57785561611111069</v>
      </c>
      <c r="CF285" s="12">
        <f>IF(Y285="",NA(),IF(Статистика!$F$8="Вкл",(((IF(Статистика!$C$4="Параллельный режим (активная мощность)",AF285,AQ285)+Статистика!$J$4))-Статистика!$C$10)/MAX(Статистика!$G$10-Статистика!$C$10,0.000001),NA()))</f>
        <v>0.83182855611111151</v>
      </c>
      <c r="CG285" s="12">
        <f>IF(Y285="",NA(),IF(Статистика!$H$8="Вкл",(((IF(Статистика!$C$4="Параллельный режим (активная мощность)",Z285,AK285)+Статистика!$J$4))-Статистика!$C$10)/MAX(Статистика!$G$10-Статистика!$C$10,0.000001),NA()))</f>
        <v>0.57477694161111081</v>
      </c>
      <c r="CH285" s="12">
        <f>IF(Y285="",NA(),IF(Статистика!$H$8="Вкл",(((IF(Статистика!$C$4="Параллельный режим (активная мощность)",AH285,AS285)+Статистика!$J$4))-Статистика!$C$10)/MAX(Статистика!$G$10-Статистика!$C$10,0.000001),NA()))</f>
        <v>0.84915646561111136</v>
      </c>
      <c r="CI285" s="12" t="e">
        <f>IF(Y285="",NA(),IF(Статистика!$J$8="Вкл",(((IF(Статистика!$C$4="Параллельный режим (активная мощность)",AI285,AT285)+Статистика!$J$4))-Статистика!$C$10)/MAX(Статистика!$G$10-Статистика!$C$10,0.000001),NA()))</f>
        <v>#N/A</v>
      </c>
      <c r="CJ285" s="12" t="e">
        <f>IF(AND(Y285&lt;&gt;"",Статистика!$C$6="Вкл",Статистика!$B$6&gt;0),(Статистика!$B$6-Статистика!$C$10)/MAX(Статистика!$G$10-Статистика!$C$10,0.000001),NA())</f>
        <v>#N/A</v>
      </c>
      <c r="CK285" s="12" t="e">
        <f>IF(AND(Y285&lt;&gt;"",Статистика!$F$6="Вкл",Статистика!$E$6&gt;0),(Статистика!$E$6-Статистика!$C$10)/MAX(Статистика!$G$10-Статистика!$C$10,0.000001),NA())</f>
        <v>#N/A</v>
      </c>
      <c r="CL285" s="12" t="e">
        <f>IF(AND(Y285&lt;&gt;"",Статистика!$I$6="Вкл",Статистика!$H$6&gt;0),(Статистика!$H$6-Статистика!$C$10)/MAX(Статистика!$G$10-Статистика!$C$10,0.000001),NA())</f>
        <v>#N/A</v>
      </c>
      <c r="CM285" s="12" t="e">
        <f>IF(AND(Y285&lt;&gt;"",Статистика!$L$6="Вкл",Статистика!$K$6&gt;0),(Статистика!$K$6-Статистика!$C$10)/MAX(Статистика!$G$10-Статистика!$C$10,0.000001),NA())</f>
        <v>#N/A</v>
      </c>
      <c r="CN285" s="12" t="e">
        <f>IF(AND(Y285&lt;&gt;"",Статистика!$M$6="Вкл",Статистика!$O$6&gt;0),(Статистика!$O$6-Статистика!$C$10)/MAX(Статистика!$G$10-Статистика!$C$10,0.000001),NA())</f>
        <v>#N/A</v>
      </c>
      <c r="CO285" s="12">
        <f t="shared" si="9"/>
        <v>1</v>
      </c>
    </row>
    <row r="286" spans="1:93" ht="15" customHeight="1">
      <c r="A286" s="12" t="s">
        <v>1181</v>
      </c>
      <c r="B286" s="12">
        <v>2318.6780045</v>
      </c>
      <c r="C286" s="12">
        <v>5757.1628225000004</v>
      </c>
      <c r="D286" s="12">
        <v>7450.0634300000002</v>
      </c>
      <c r="E286" s="12">
        <v>7735.7924249999996</v>
      </c>
      <c r="F286" s="12">
        <v>7889.5337333333327</v>
      </c>
      <c r="G286" s="12">
        <v>8204.8796499999989</v>
      </c>
      <c r="H286" s="12">
        <v>8327.2039716666677</v>
      </c>
      <c r="I286" s="12">
        <v>8386.6879333333345</v>
      </c>
      <c r="J286" s="12">
        <v>8459.6086266666662</v>
      </c>
      <c r="K286" s="12">
        <v>8572.2000000000007</v>
      </c>
      <c r="L286" s="12" t="s">
        <v>1182</v>
      </c>
      <c r="M286" s="12">
        <v>2878.1383465000004</v>
      </c>
      <c r="N286" s="12">
        <v>6670.859865833334</v>
      </c>
      <c r="O286" s="12">
        <v>8493.935845</v>
      </c>
      <c r="P286" s="12">
        <v>8831.061008333334</v>
      </c>
      <c r="Q286" s="12">
        <v>9055.0650166666674</v>
      </c>
      <c r="R286" s="12">
        <v>9289.3439249999992</v>
      </c>
      <c r="S286" s="12">
        <v>9444.4128766666654</v>
      </c>
      <c r="T286" s="12">
        <v>9500.9880391666647</v>
      </c>
      <c r="U286" s="12">
        <v>9595.7089411666657</v>
      </c>
      <c r="V286" s="12">
        <v>9718.75</v>
      </c>
      <c r="W286" s="12" t="s">
        <v>1183</v>
      </c>
      <c r="Y286" s="12" t="s">
        <v>1181</v>
      </c>
      <c r="Z286" s="12">
        <v>7673.5975210000006</v>
      </c>
      <c r="AA286" s="12">
        <v>7691.0616050000008</v>
      </c>
      <c r="AB286" s="12">
        <v>7712.8917099999999</v>
      </c>
      <c r="AC286" s="12">
        <v>7759.313533333333</v>
      </c>
      <c r="AD286" s="12">
        <v>7916.4532166666677</v>
      </c>
      <c r="AE286" s="12">
        <v>8155.2749250000015</v>
      </c>
      <c r="AF286" s="12">
        <v>8446.3838650000016</v>
      </c>
      <c r="AG286" s="12">
        <v>8503.4314325000014</v>
      </c>
      <c r="AH286" s="12">
        <v>8549.0694865000005</v>
      </c>
      <c r="AI286" s="12">
        <v>8657.4500000000007</v>
      </c>
      <c r="AJ286" s="12" t="s">
        <v>1184</v>
      </c>
      <c r="AK286" s="12">
        <v>8711.7154146666671</v>
      </c>
      <c r="AL286" s="12">
        <v>8739.7493400000003</v>
      </c>
      <c r="AM286" s="12">
        <v>8774.7917466666659</v>
      </c>
      <c r="AN286" s="12">
        <v>8906.3818416666654</v>
      </c>
      <c r="AO286" s="12">
        <v>8983.2663166666662</v>
      </c>
      <c r="AP286" s="12">
        <v>9246.9883416666653</v>
      </c>
      <c r="AQ286" s="12">
        <v>9529.7657966666666</v>
      </c>
      <c r="AR286" s="12">
        <v>9605.1447816666678</v>
      </c>
      <c r="AS286" s="12">
        <v>9665.4479696666676</v>
      </c>
      <c r="AT286" s="12">
        <v>9773.41</v>
      </c>
      <c r="AU286" s="12" t="s">
        <v>1184</v>
      </c>
      <c r="AW286" s="12">
        <f>IF(A286="","",MAX(0,MIN(1,(((IF(Статистика!$C$4="Параллельный режим (активная мощность)",B286,M286)+Статистика!$J$4))-Статистика!$C$10)/MAX(Статистика!$G$10-Статистика!$C$10,0.000001))))</f>
        <v>0</v>
      </c>
      <c r="AX286" s="12">
        <f>IF(A286="","",MAX(0,MAX(0,MIN(1,(((IF(Статистика!$C$4="Параллельный режим (активная мощность)",D286,O286)+Статистика!$J$4))-Статистика!$C$10)/MAX(Статистика!$G$10-Статистика!$C$10,0.000001)))-MAX(0,MIN(1,(((IF(Статистика!$C$4="Параллельный режим (активная мощность)",B286,M286)+Статистика!$J$4))-Статистика!$C$10)/MAX(Статистика!$G$10-Статистика!$C$10,0.000001)))))</f>
        <v>0.4833544766666667</v>
      </c>
      <c r="AY286" s="12">
        <f>IF(A286="","",MAX(0,MAX(0,MIN(1,(((IF(Статистика!$C$4="Параллельный режим (активная мощность)",E286,P286)+Статистика!$J$4))-Статистика!$C$10)/MAX(Статистика!$G$10-Статистика!$C$10,0.000001)))-MAX(0,MIN(1,(((IF(Статистика!$C$4="Параллельный режим (активная мощность)",D286,O286)+Статистика!$J$4))-Статистика!$C$10)/MAX(Статистика!$G$10-Статистика!$C$10,0.000001)))))</f>
        <v>9.5242998333333218E-2</v>
      </c>
      <c r="AZ286" s="12">
        <f>IF(A286="","",MAX(0,MAX(0,MIN(1,(((IF(Статистика!$C$4="Параллельный режим (активная мощность)",F286,Q286)+Статистика!$J$4))-Статистика!$C$10)/MAX(Статистика!$G$10-Статистика!$C$10,0.000001)))-MAX(0,MIN(1,(((IF(Статистика!$C$4="Параллельный режим (активная мощность)",E286,P286)+Статистика!$J$4))-Статистика!$C$10)/MAX(Статистика!$G$10-Статистика!$C$10,0.000001)))))</f>
        <v>5.1247102777777664E-2</v>
      </c>
      <c r="BA286" s="12">
        <f>IF(A286="","",MAX(0,MAX(0,MIN(1,(((IF(Статистика!$C$4="Параллельный режим (активная мощность)",G286,R286)+Статистика!$J$4))-Статистика!$C$10)/MAX(Статистика!$G$10-Статистика!$C$10,0.000001)))-MAX(0,MIN(1,(((IF(Статистика!$C$4="Параллельный режим (активная мощность)",F286,Q286)+Статистика!$J$4))-Статистика!$C$10)/MAX(Статистика!$G$10-Статистика!$C$10,0.000001)))))</f>
        <v>0.10511530555555537</v>
      </c>
      <c r="BB286" s="12">
        <f>IF(A286="","",MAX(0,MAX(0,MIN(1,(((IF(Статистика!$C$4="Параллельный режим (активная мощность)",H286,S286)+Статистика!$J$4))-Статистика!$C$10)/MAX(Статистика!$G$10-Статистика!$C$10,0.000001)))-MAX(0,MIN(1,(((IF(Статистика!$C$4="Параллельный режим (активная мощность)",G286,R286)+Статистика!$J$4))-Статистика!$C$10)/MAX(Статистика!$G$10-Статистика!$C$10,0.000001)))))</f>
        <v>4.0774773888889615E-2</v>
      </c>
      <c r="BC286" s="12">
        <f>IF(A286="","",MAX(0,MAX(0,MIN(1,(((IF(Статистика!$C$4="Параллельный режим (активная мощность)",J286,U286)+Статистика!$J$4))-Статистика!$C$10)/MAX(Статистика!$G$10-Статистика!$C$10,0.000001)))-MAX(0,MIN(1,(((IF(Статистика!$C$4="Параллельный режим (активная мощность)",H286,S286)+Статистика!$J$4))-Статистика!$C$10)/MAX(Статистика!$G$10-Статистика!$C$10,0.000001)))))</f>
        <v>4.4134884999999513E-2</v>
      </c>
      <c r="BD286" s="12">
        <f>IF(A286="","",MAX(0,1-MAX(0,MIN(1,(((IF(Статистика!$C$4="Параллельный режим (активная мощность)",J286,U286)+Статистика!$J$4))-Статистика!$C$10)/MAX(Статистика!$G$10-Статистика!$C$10,0.000001)))))</f>
        <v>0.18013045777777792</v>
      </c>
      <c r="BE286" s="12">
        <f>IF(A286="",NA(),IF(Статистика!$B$8="Вкл",(((IF(Статистика!$C$4="Параллельный режим (активная мощность)",F286,Q286)+Статистика!$J$4))-Статистика!$C$10)/MAX(Статистика!$G$10-Статистика!$C$10,0.000001),NA()))</f>
        <v>0.62984457777777758</v>
      </c>
      <c r="BF286" s="12">
        <f>IF(A286="",NA(),IF(Статистика!$D$8="Вкл",(((IF(Статистика!$C$4="Параллельный режим (активная мощность)",E286,P286)+Статистика!$J$4))-Статистика!$C$10)/MAX(Статистика!$G$10-Статистика!$C$10,0.000001),NA()))</f>
        <v>0.57859747499999992</v>
      </c>
      <c r="BG286" s="12">
        <f>IF(A286="",NA(),IF(Статистика!$D$8="Вкл",(((IF(Статистика!$C$4="Параллельный режим (активная мощность)",G286,R286)+Статистика!$J$4))-Статистика!$C$10)/MAX(Статистика!$G$10-Статистика!$C$10,0.000001),NA()))</f>
        <v>0.73495988333333295</v>
      </c>
      <c r="BH286" s="12">
        <f>IF(A286="",NA(),IF(Статистика!$F$8="Вкл",(((IF(Статистика!$C$4="Параллельный режим (активная мощность)",D286,O286)+Статистика!$J$4))-Статистика!$C$10)/MAX(Статистика!$G$10-Статистика!$C$10,0.000001),NA()))</f>
        <v>0.4833544766666667</v>
      </c>
      <c r="BI286" s="12">
        <f>IF(A286="",NA(),IF(Статистика!$F$8="Вкл",(((IF(Статистика!$C$4="Параллельный режим (активная мощность)",H286,S286)+Статистика!$J$4))-Статистика!$C$10)/MAX(Статистика!$G$10-Статистика!$C$10,0.000001),NA()))</f>
        <v>0.77573465722222257</v>
      </c>
      <c r="BJ286" s="12">
        <f>IF(A286="",NA(),IF(Статистика!$H$8="Вкл",(((IF(Статистика!$C$4="Параллельный режим (активная мощность)",B286,M286)+Статистика!$J$4))-Статистика!$C$10)/MAX(Статистика!$G$10-Статистика!$C$10,0.000001),NA()))</f>
        <v>-1.2271073318333334</v>
      </c>
      <c r="BK286" s="12">
        <f>IF(A286="",NA(),IF(Статистика!$H$8="Вкл",(((IF(Статистика!$C$4="Параллельный режим (активная мощность)",J286,U286)+Статистика!$J$4))-Статистика!$C$10)/MAX(Статистика!$G$10-Статистика!$C$10,0.000001),NA()))</f>
        <v>0.81986954222222208</v>
      </c>
      <c r="BL286" s="12" t="e">
        <f>IF(A286="",NA(),IF(Статистика!$J$8="Вкл",(((IF(Статистика!$C$4="Параллельный режим (активная мощность)",K286,V286)+Статистика!$J$4))-Статистика!$C$10)/MAX(Статистика!$G$10-Статистика!$C$10,0.000001),NA()))</f>
        <v>#N/A</v>
      </c>
      <c r="BM286" s="12" t="e">
        <f>IF(AND(A286&lt;&gt;"",Статистика!$C$6="Вкл",Статистика!$B$6&gt;0),(Статистика!$B$6-Статистика!$C$10)/MAX(Статистика!$G$10-Статистика!$C$10,0.000001),NA())</f>
        <v>#N/A</v>
      </c>
      <c r="BN286" s="12" t="e">
        <f>IF(AND(A286&lt;&gt;"",Статистика!$F$6="Вкл",Статистика!$E$6&gt;0),(Статистика!$E$6-Статистика!$C$10)/MAX(Статистика!$G$10-Статистика!$C$10,0.000001),NA())</f>
        <v>#N/A</v>
      </c>
      <c r="BO286" s="12" t="e">
        <f>IF(AND(A286&lt;&gt;"",Статистика!$I$6="Вкл",Статистика!$H$6&gt;0),(Статистика!$H$6-Статистика!$C$10)/MAX(Статистика!$G$10-Статистика!$C$10,0.000001),NA())</f>
        <v>#N/A</v>
      </c>
      <c r="BP286" s="12" t="e">
        <f>IF(AND(A286&lt;&gt;"",Статистика!$L$6="Вкл",Статистика!$K$6&gt;0),(Статистика!$K$6-Статистика!$C$10)/MAX(Статистика!$G$10-Статистика!$C$10,0.000001),NA())</f>
        <v>#N/A</v>
      </c>
      <c r="BQ286" s="12" t="e">
        <f>IF(AND(A286&lt;&gt;"",Статистика!$M$6="Вкл",Статистика!$O$6&gt;0),(Статистика!$O$6-Статистика!$C$10)/MAX(Статистика!$G$10-Статистика!$C$10,0.000001),NA())</f>
        <v>#N/A</v>
      </c>
      <c r="BR286" s="12">
        <f t="shared" si="8"/>
        <v>1</v>
      </c>
      <c r="BT286" s="12">
        <f>IF(Y286="","",MAX(0,MIN(1,(((IF(Статистика!$C$4="Параллельный режим (активная мощность)",Z286,AK286)+Статистика!$J$4))-Статистика!$C$10)/MAX(Статистика!$G$10-Статистика!$C$10,0.000001))))</f>
        <v>0.55786584033333353</v>
      </c>
      <c r="BU286" s="12">
        <f>IF(Y286="","",MAX(0,MAX(0,MIN(1,(((IF(Статистика!$C$4="Параллельный режим (активная мощность)",AB286,AM286)+Статистика!$J$4))-Статистика!$C$10)/MAX(Статистика!$G$10-Статистика!$C$10,0.000001)))-MAX(0,MIN(1,(((IF(Статистика!$C$4="Параллельный режим (активная мощность)",Z286,AK286)+Статистика!$J$4))-Статистика!$C$10)/MAX(Статистика!$G$10-Статистика!$C$10,0.000001)))))</f>
        <v>1.3098062999999716E-2</v>
      </c>
      <c r="BV286" s="12">
        <f>IF(Y286="","",MAX(0,MAX(0,MIN(1,(((IF(Статистика!$C$4="Параллельный режим (активная мощность)",AC286,AN286)+Статистика!$J$4))-Статистика!$C$10)/MAX(Статистика!$G$10-Статистика!$C$10,0.000001)))-MAX(0,MIN(1,(((IF(Статистика!$C$4="Параллельный режим (активная мощность)",AB286,AM286)+Статистика!$J$4))-Статистика!$C$10)/MAX(Статистика!$G$10-Статистика!$C$10,0.000001)))))</f>
        <v>1.5473941111111111E-2</v>
      </c>
      <c r="BW286" s="12">
        <f>IF(Y286="","",MAX(0,MAX(0,MIN(1,(((IF(Статистика!$C$4="Параллельный режим (активная мощность)",AD286,AO286)+Статистика!$J$4))-Статистика!$C$10)/MAX(Статистика!$G$10-Статистика!$C$10,0.000001)))-MAX(0,MIN(1,(((IF(Статистика!$C$4="Параллельный режим (активная мощность)",AC286,AN286)+Статистика!$J$4))-Статистика!$C$10)/MAX(Статистика!$G$10-Статистика!$C$10,0.000001)))))</f>
        <v>5.2379894444444908E-2</v>
      </c>
      <c r="BX286" s="12">
        <f>IF(Y286="","",MAX(0,MAX(0,MIN(1,(((IF(Статистика!$C$4="Параллельный режим (активная мощность)",AE286,AP286)+Статистика!$J$4))-Статистика!$C$10)/MAX(Статистика!$G$10-Статистика!$C$10,0.000001)))-MAX(0,MIN(1,(((IF(Статистика!$C$4="Параллельный режим (активная мощность)",AD286,AO286)+Статистика!$J$4))-Статистика!$C$10)/MAX(Статистика!$G$10-Статистика!$C$10,0.000001)))))</f>
        <v>7.9607236111111201E-2</v>
      </c>
      <c r="BY286" s="12">
        <f>IF(Y286="","",MAX(0,MAX(0,MIN(1,(((IF(Статистика!$C$4="Параллельный режим (активная мощность)",AF286,AQ286)+Статистика!$J$4))-Статистика!$C$10)/MAX(Статистика!$G$10-Статистика!$C$10,0.000001)))-MAX(0,MIN(1,(((IF(Статистика!$C$4="Параллельный режим (активная мощность)",AE286,AP286)+Статистика!$J$4))-Статистика!$C$10)/MAX(Статистика!$G$10-Статистика!$C$10,0.000001)))))</f>
        <v>9.7036313333333402E-2</v>
      </c>
      <c r="BZ286" s="12">
        <f>IF(Y286="","",MAX(0,MAX(0,MIN(1,(((IF(Статистика!$C$4="Параллельный режим (активная мощность)",AH286,AS286)+Статистика!$J$4))-Статистика!$C$10)/MAX(Статистика!$G$10-Статистика!$C$10,0.000001)))-MAX(0,MIN(1,(((IF(Статистика!$C$4="Параллельный режим (активная мощность)",AF286,AQ286)+Статистика!$J$4))-Статистика!$C$10)/MAX(Статистика!$G$10-Статистика!$C$10,0.000001)))))</f>
        <v>3.4228540499999682E-2</v>
      </c>
      <c r="CA286" s="12">
        <f>IF(Y286="","",MAX(0,1-MAX(0,MIN(1,(((IF(Статистика!$C$4="Параллельный режим (активная мощность)",AH286,AS286)+Статистика!$J$4))-Статистика!$C$10)/MAX(Статистика!$G$10-Статистика!$C$10,0.000001)))))</f>
        <v>0.15031017116666645</v>
      </c>
      <c r="CB286" s="12">
        <f>IF(Y286="",NA(),IF(Статистика!$B$8="Вкл",(((IF(Статистика!$C$4="Параллельный режим (активная мощность)",AD286,AO286)+Статистика!$J$4))-Статистика!$C$10)/MAX(Статистика!$G$10-Статистика!$C$10,0.000001),NA()))</f>
        <v>0.63881773888888926</v>
      </c>
      <c r="CC286" s="12">
        <f>IF(Y286="",NA(),IF(Статистика!$D$8="Вкл",(((IF(Статистика!$C$4="Параллельный режим (активная мощность)",AC286,AN286)+Статистика!$J$4))-Статистика!$C$10)/MAX(Статистика!$G$10-Статистика!$C$10,0.000001),NA()))</f>
        <v>0.58643784444444436</v>
      </c>
      <c r="CD286" s="12">
        <f>IF(Y286="",NA(),IF(Статистика!$D$8="Вкл",(((IF(Статистика!$C$4="Параллельный режим (активная мощность)",AE286,AP286)+Статистика!$J$4))-Статистика!$C$10)/MAX(Статистика!$G$10-Статистика!$C$10,0.000001),NA()))</f>
        <v>0.71842497500000047</v>
      </c>
      <c r="CE286" s="12">
        <f>IF(Y286="",NA(),IF(Статистика!$F$8="Вкл",(((IF(Статистика!$C$4="Параллельный режим (активная мощность)",AB286,AM286)+Статистика!$J$4))-Статистика!$C$10)/MAX(Статистика!$G$10-Статистика!$C$10,0.000001),NA()))</f>
        <v>0.57096390333333324</v>
      </c>
      <c r="CF286" s="12">
        <f>IF(Y286="",NA(),IF(Статистика!$F$8="Вкл",(((IF(Статистика!$C$4="Параллельный режим (активная мощность)",AF286,AQ286)+Статистика!$J$4))-Статистика!$C$10)/MAX(Статистика!$G$10-Статистика!$C$10,0.000001),NA()))</f>
        <v>0.81546128833333387</v>
      </c>
      <c r="CG286" s="12">
        <f>IF(Y286="",NA(),IF(Статистика!$H$8="Вкл",(((IF(Статистика!$C$4="Параллельный режим (активная мощность)",Z286,AK286)+Статистика!$J$4))-Статистика!$C$10)/MAX(Статистика!$G$10-Статистика!$C$10,0.000001),NA()))</f>
        <v>0.55786584033333353</v>
      </c>
      <c r="CH286" s="12">
        <f>IF(Y286="",NA(),IF(Статистика!$H$8="Вкл",(((IF(Статистика!$C$4="Параллельный режим (активная мощность)",AH286,AS286)+Статистика!$J$4))-Статистика!$C$10)/MAX(Статистика!$G$10-Статистика!$C$10,0.000001),NA()))</f>
        <v>0.84968982883333355</v>
      </c>
      <c r="CI286" s="12" t="e">
        <f>IF(Y286="",NA(),IF(Статистика!$J$8="Вкл",(((IF(Статистика!$C$4="Параллельный режим (активная мощность)",AI286,AT286)+Статистика!$J$4))-Статистика!$C$10)/MAX(Статистика!$G$10-Статистика!$C$10,0.000001),NA()))</f>
        <v>#N/A</v>
      </c>
      <c r="CJ286" s="12" t="e">
        <f>IF(AND(Y286&lt;&gt;"",Статистика!$C$6="Вкл",Статистика!$B$6&gt;0),(Статистика!$B$6-Статистика!$C$10)/MAX(Статистика!$G$10-Статистика!$C$10,0.000001),NA())</f>
        <v>#N/A</v>
      </c>
      <c r="CK286" s="12" t="e">
        <f>IF(AND(Y286&lt;&gt;"",Статистика!$F$6="Вкл",Статистика!$E$6&gt;0),(Статистика!$E$6-Статистика!$C$10)/MAX(Статистика!$G$10-Статистика!$C$10,0.000001),NA())</f>
        <v>#N/A</v>
      </c>
      <c r="CL286" s="12" t="e">
        <f>IF(AND(Y286&lt;&gt;"",Статистика!$I$6="Вкл",Статистика!$H$6&gt;0),(Статистика!$H$6-Статистика!$C$10)/MAX(Статистика!$G$10-Статистика!$C$10,0.000001),NA())</f>
        <v>#N/A</v>
      </c>
      <c r="CM286" s="12" t="e">
        <f>IF(AND(Y286&lt;&gt;"",Статистика!$L$6="Вкл",Статистика!$K$6&gt;0),(Статистика!$K$6-Статистика!$C$10)/MAX(Статистика!$G$10-Статистика!$C$10,0.000001),NA())</f>
        <v>#N/A</v>
      </c>
      <c r="CN286" s="12" t="e">
        <f>IF(AND(Y286&lt;&gt;"",Статистика!$M$6="Вкл",Статистика!$O$6&gt;0),(Статистика!$O$6-Статистика!$C$10)/MAX(Статистика!$G$10-Статистика!$C$10,0.000001),NA())</f>
        <v>#N/A</v>
      </c>
      <c r="CO286" s="12">
        <f t="shared" si="9"/>
        <v>1</v>
      </c>
    </row>
    <row r="287" spans="1:93" ht="15" customHeight="1">
      <c r="A287" s="12" t="s">
        <v>1185</v>
      </c>
      <c r="B287" s="12">
        <v>2302.0150619999995</v>
      </c>
      <c r="C287" s="12">
        <v>5748.6818433333328</v>
      </c>
      <c r="D287" s="12">
        <v>7431.4230149999994</v>
      </c>
      <c r="E287" s="12">
        <v>7714.7631500000007</v>
      </c>
      <c r="F287" s="12">
        <v>7955.5519166666672</v>
      </c>
      <c r="G287" s="12">
        <v>8173.8241666666672</v>
      </c>
      <c r="H287" s="12">
        <v>8380.2467233333336</v>
      </c>
      <c r="I287" s="12">
        <v>8418.8769100000009</v>
      </c>
      <c r="J287" s="12">
        <v>8420.5970353333341</v>
      </c>
      <c r="K287" s="12">
        <v>8573.26</v>
      </c>
      <c r="L287" s="12" t="s">
        <v>1186</v>
      </c>
      <c r="M287" s="12">
        <v>2849.0148646666667</v>
      </c>
      <c r="N287" s="12">
        <v>6638.9701900000009</v>
      </c>
      <c r="O287" s="12">
        <v>8462.6818516666663</v>
      </c>
      <c r="P287" s="12">
        <v>8838.7753833333336</v>
      </c>
      <c r="Q287" s="12">
        <v>9040.3780333333343</v>
      </c>
      <c r="R287" s="12">
        <v>9265.8944333333329</v>
      </c>
      <c r="S287" s="12">
        <v>9496.4750516666663</v>
      </c>
      <c r="T287" s="12">
        <v>9568.1736716666674</v>
      </c>
      <c r="U287" s="12">
        <v>9586.3312676666683</v>
      </c>
      <c r="V287" s="12">
        <v>9731.4699999999993</v>
      </c>
      <c r="W287" s="12" t="s">
        <v>1186</v>
      </c>
      <c r="Y287" s="12" t="s">
        <v>1185</v>
      </c>
      <c r="Z287" s="12">
        <v>7648.141789833333</v>
      </c>
      <c r="AA287" s="12">
        <v>7656.8761491666664</v>
      </c>
      <c r="AB287" s="12">
        <v>7667.7940983333337</v>
      </c>
      <c r="AC287" s="12">
        <v>7740.4827499999992</v>
      </c>
      <c r="AD287" s="12">
        <v>7893.0609499999991</v>
      </c>
      <c r="AE287" s="12">
        <v>8132.4888333333329</v>
      </c>
      <c r="AF287" s="12">
        <v>8461.6274966666679</v>
      </c>
      <c r="AG287" s="12">
        <v>8511.7061150000009</v>
      </c>
      <c r="AH287" s="12">
        <v>8551.7690096666665</v>
      </c>
      <c r="AI287" s="12">
        <v>8652.15</v>
      </c>
      <c r="AJ287" s="12" t="s">
        <v>1187</v>
      </c>
      <c r="AK287" s="12">
        <v>8675.5223713333344</v>
      </c>
      <c r="AL287" s="12">
        <v>8706.077056666667</v>
      </c>
      <c r="AM287" s="12">
        <v>8744.2704133333336</v>
      </c>
      <c r="AN287" s="12">
        <v>8892.1109250000009</v>
      </c>
      <c r="AO287" s="12">
        <v>8950.4747666666663</v>
      </c>
      <c r="AP287" s="12">
        <v>9223.3085833333334</v>
      </c>
      <c r="AQ287" s="12">
        <v>9553.4429249999994</v>
      </c>
      <c r="AR287" s="12">
        <v>9623.5535791666643</v>
      </c>
      <c r="AS287" s="12">
        <v>9679.6421024999981</v>
      </c>
      <c r="AT287" s="12">
        <v>9797.7900000000009</v>
      </c>
      <c r="AU287" s="12" t="s">
        <v>1187</v>
      </c>
      <c r="AW287" s="12">
        <f>IF(A287="","",MAX(0,MIN(1,(((IF(Статистика!$C$4="Параллельный режим (активная мощность)",B287,M287)+Статистика!$J$4))-Статистика!$C$10)/MAX(Статистика!$G$10-Статистика!$C$10,0.000001))))</f>
        <v>0</v>
      </c>
      <c r="AX287" s="12">
        <f>IF(A287="","",MAX(0,MAX(0,MIN(1,(((IF(Статистика!$C$4="Параллельный режим (активная мощность)",D287,O287)+Статистика!$J$4))-Статистика!$C$10)/MAX(Статистика!$G$10-Статистика!$C$10,0.000001)))-MAX(0,MIN(1,(((IF(Статистика!$C$4="Параллельный режим (активная мощность)",B287,M287)+Статистика!$J$4))-Статистика!$C$10)/MAX(Статистика!$G$10-Статистика!$C$10,0.000001)))))</f>
        <v>0.47714100499999978</v>
      </c>
      <c r="AY287" s="12">
        <f>IF(A287="","",MAX(0,MAX(0,MIN(1,(((IF(Статистика!$C$4="Параллельный режим (активная мощность)",E287,P287)+Статистика!$J$4))-Статистика!$C$10)/MAX(Статистика!$G$10-Статистика!$C$10,0.000001)))-MAX(0,MIN(1,(((IF(Статистика!$C$4="Параллельный режим (активная мощность)",D287,O287)+Статистика!$J$4))-Статистика!$C$10)/MAX(Статистика!$G$10-Статистика!$C$10,0.000001)))))</f>
        <v>9.4446711666667071E-2</v>
      </c>
      <c r="AZ287" s="12">
        <f>IF(A287="","",MAX(0,MAX(0,MIN(1,(((IF(Статистика!$C$4="Параллельный режим (активная мощность)",F287,Q287)+Статистика!$J$4))-Статистика!$C$10)/MAX(Статистика!$G$10-Статистика!$C$10,0.000001)))-MAX(0,MIN(1,(((IF(Статистика!$C$4="Параллельный режим (активная мощность)",E287,P287)+Статистика!$J$4))-Статистика!$C$10)/MAX(Статистика!$G$10-Статистика!$C$10,0.000001)))))</f>
        <v>8.0262922222222199E-2</v>
      </c>
      <c r="BA287" s="12">
        <f>IF(A287="","",MAX(0,MAX(0,MIN(1,(((IF(Статистика!$C$4="Параллельный режим (активная мощность)",G287,R287)+Статистика!$J$4))-Статистика!$C$10)/MAX(Статистика!$G$10-Статистика!$C$10,0.000001)))-MAX(0,MIN(1,(((IF(Статистика!$C$4="Параллельный режим (активная мощность)",F287,Q287)+Статистика!$J$4))-Статистика!$C$10)/MAX(Статистика!$G$10-Статистика!$C$10,0.000001)))))</f>
        <v>7.2757416666666686E-2</v>
      </c>
      <c r="BB287" s="12">
        <f>IF(A287="","",MAX(0,MAX(0,MIN(1,(((IF(Статистика!$C$4="Параллельный режим (активная мощность)",H287,S287)+Статистика!$J$4))-Статистика!$C$10)/MAX(Статистика!$G$10-Статистика!$C$10,0.000001)))-MAX(0,MIN(1,(((IF(Статистика!$C$4="Параллельный режим (активная мощность)",G287,R287)+Статистика!$J$4))-Статистика!$C$10)/MAX(Статистика!$G$10-Статистика!$C$10,0.000001)))))</f>
        <v>6.8807518888888808E-2</v>
      </c>
      <c r="BC287" s="12">
        <f>IF(A287="","",MAX(0,MAX(0,MIN(1,(((IF(Статистика!$C$4="Параллельный режим (активная мощность)",J287,U287)+Статистика!$J$4))-Статистика!$C$10)/MAX(Статистика!$G$10-Статистика!$C$10,0.000001)))-MAX(0,MIN(1,(((IF(Статистика!$C$4="Параллельный режим (активная мощность)",H287,S287)+Статистика!$J$4))-Статистика!$C$10)/MAX(Статистика!$G$10-Статистика!$C$10,0.000001)))))</f>
        <v>1.3450104000000129E-2</v>
      </c>
      <c r="BD287" s="12">
        <f>IF(A287="","",MAX(0,1-MAX(0,MIN(1,(((IF(Статистика!$C$4="Параллельный режим (активная мощность)",J287,U287)+Статистика!$J$4))-Статистика!$C$10)/MAX(Статистика!$G$10-Статистика!$C$10,0.000001)))))</f>
        <v>0.19313432155555532</v>
      </c>
      <c r="BE287" s="12">
        <f>IF(A287="",NA(),IF(Статистика!$B$8="Вкл",(((IF(Статистика!$C$4="Параллельный режим (активная мощность)",F287,Q287)+Статистика!$J$4))-Статистика!$C$10)/MAX(Статистика!$G$10-Статистика!$C$10,0.000001),NA()))</f>
        <v>0.65185063888888906</v>
      </c>
      <c r="BF287" s="12">
        <f>IF(A287="",NA(),IF(Статистика!$D$8="Вкл",(((IF(Статистика!$C$4="Параллельный режим (активная мощность)",E287,P287)+Статистика!$J$4))-Статистика!$C$10)/MAX(Статистика!$G$10-Статистика!$C$10,0.000001),NA()))</f>
        <v>0.57158771666666686</v>
      </c>
      <c r="BG287" s="12">
        <f>IF(A287="",NA(),IF(Статистика!$D$8="Вкл",(((IF(Статистика!$C$4="Параллельный режим (активная мощность)",G287,R287)+Статистика!$J$4))-Статистика!$C$10)/MAX(Статистика!$G$10-Статистика!$C$10,0.000001),NA()))</f>
        <v>0.72460805555555574</v>
      </c>
      <c r="BH287" s="12">
        <f>IF(A287="",NA(),IF(Статистика!$F$8="Вкл",(((IF(Статистика!$C$4="Параллельный режим (активная мощность)",D287,O287)+Статистика!$J$4))-Статистика!$C$10)/MAX(Статистика!$G$10-Статистика!$C$10,0.000001),NA()))</f>
        <v>0.47714100499999978</v>
      </c>
      <c r="BI287" s="12">
        <f>IF(A287="",NA(),IF(Статистика!$F$8="Вкл",(((IF(Статистика!$C$4="Параллельный режим (активная мощность)",H287,S287)+Статистика!$J$4))-Статистика!$C$10)/MAX(Статистика!$G$10-Статистика!$C$10,0.000001),NA()))</f>
        <v>0.79341557444444455</v>
      </c>
      <c r="BJ287" s="12">
        <f>IF(A287="",NA(),IF(Статистика!$H$8="Вкл",(((IF(Статистика!$C$4="Параллельный режим (активная мощность)",B287,M287)+Статистика!$J$4))-Статистика!$C$10)/MAX(Статистика!$G$10-Статистика!$C$10,0.000001),NA()))</f>
        <v>-1.2326616460000002</v>
      </c>
      <c r="BK287" s="12">
        <f>IF(A287="",NA(),IF(Статистика!$H$8="Вкл",(((IF(Статистика!$C$4="Параллельный режим (активная мощность)",J287,U287)+Статистика!$J$4))-Статистика!$C$10)/MAX(Статистика!$G$10-Статистика!$C$10,0.000001),NA()))</f>
        <v>0.80686567844444468</v>
      </c>
      <c r="BL287" s="12" t="e">
        <f>IF(A287="",NA(),IF(Статистика!$J$8="Вкл",(((IF(Статистика!$C$4="Параллельный режим (активная мощность)",K287,V287)+Статистика!$J$4))-Статистика!$C$10)/MAX(Статистика!$G$10-Статистика!$C$10,0.000001),NA()))</f>
        <v>#N/A</v>
      </c>
      <c r="BM287" s="12" t="e">
        <f>IF(AND(A287&lt;&gt;"",Статистика!$C$6="Вкл",Статистика!$B$6&gt;0),(Статистика!$B$6-Статистика!$C$10)/MAX(Статистика!$G$10-Статистика!$C$10,0.000001),NA())</f>
        <v>#N/A</v>
      </c>
      <c r="BN287" s="12" t="e">
        <f>IF(AND(A287&lt;&gt;"",Статистика!$F$6="Вкл",Статистика!$E$6&gt;0),(Статистика!$E$6-Статистика!$C$10)/MAX(Статистика!$G$10-Статистика!$C$10,0.000001),NA())</f>
        <v>#N/A</v>
      </c>
      <c r="BO287" s="12" t="e">
        <f>IF(AND(A287&lt;&gt;"",Статистика!$I$6="Вкл",Статистика!$H$6&gt;0),(Статистика!$H$6-Статистика!$C$10)/MAX(Статистика!$G$10-Статистика!$C$10,0.000001),NA())</f>
        <v>#N/A</v>
      </c>
      <c r="BP287" s="12" t="e">
        <f>IF(AND(A287&lt;&gt;"",Статистика!$L$6="Вкл",Статистика!$K$6&gt;0),(Статистика!$K$6-Статистика!$C$10)/MAX(Статистика!$G$10-Статистика!$C$10,0.000001),NA())</f>
        <v>#N/A</v>
      </c>
      <c r="BQ287" s="12" t="e">
        <f>IF(AND(A287&lt;&gt;"",Статистика!$M$6="Вкл",Статистика!$O$6&gt;0),(Статистика!$O$6-Статистика!$C$10)/MAX(Статистика!$G$10-Статистика!$C$10,0.000001),NA())</f>
        <v>#N/A</v>
      </c>
      <c r="BR287" s="12">
        <f t="shared" si="8"/>
        <v>1</v>
      </c>
      <c r="BT287" s="12">
        <f>IF(Y287="","",MAX(0,MIN(1,(((IF(Статистика!$C$4="Параллельный режим (активная мощность)",Z287,AK287)+Статистика!$J$4))-Статистика!$C$10)/MAX(Статистика!$G$10-Статистика!$C$10,0.000001))))</f>
        <v>0.54938059661111094</v>
      </c>
      <c r="BU287" s="12">
        <f>IF(Y287="","",MAX(0,MAX(0,MIN(1,(((IF(Статистика!$C$4="Параллельный режим (активная мощность)",AB287,AM287)+Статистика!$J$4))-Статистика!$C$10)/MAX(Статистика!$G$10-Статистика!$C$10,0.000001)))-MAX(0,MIN(1,(((IF(Статистика!$C$4="Параллельный режим (активная мощность)",Z287,AK287)+Статистика!$J$4))-Статистика!$C$10)/MAX(Статистика!$G$10-Статистика!$C$10,0.000001)))))</f>
        <v>6.5507695000003308E-3</v>
      </c>
      <c r="BV287" s="12">
        <f>IF(Y287="","",MAX(0,MAX(0,MIN(1,(((IF(Статистика!$C$4="Параллельный режим (активная мощность)",AC287,AN287)+Статистика!$J$4))-Статистика!$C$10)/MAX(Статистика!$G$10-Статистика!$C$10,0.000001)))-MAX(0,MIN(1,(((IF(Статистика!$C$4="Параллельный режим (активная мощность)",AB287,AM287)+Статистика!$J$4))-Статистика!$C$10)/MAX(Статистика!$G$10-Статистика!$C$10,0.000001)))))</f>
        <v>2.4229550555555091E-2</v>
      </c>
      <c r="BW287" s="12">
        <f>IF(Y287="","",MAX(0,MAX(0,MIN(1,(((IF(Статистика!$C$4="Параллельный режим (активная мощность)",AD287,AO287)+Статистика!$J$4))-Статистика!$C$10)/MAX(Статистика!$G$10-Статистика!$C$10,0.000001)))-MAX(0,MIN(1,(((IF(Статистика!$C$4="Параллельный режим (активная мощность)",AC287,AN287)+Статистика!$J$4))-Статистика!$C$10)/MAX(Статистика!$G$10-Статистика!$C$10,0.000001)))))</f>
        <v>5.0859399999999999E-2</v>
      </c>
      <c r="BX287" s="12">
        <f>IF(Y287="","",MAX(0,MAX(0,MIN(1,(((IF(Статистика!$C$4="Параллельный режим (активная мощность)",AE287,AP287)+Статистика!$J$4))-Статистика!$C$10)/MAX(Статистика!$G$10-Статистика!$C$10,0.000001)))-MAX(0,MIN(1,(((IF(Статистика!$C$4="Параллельный режим (активная мощность)",AD287,AO287)+Статистика!$J$4))-Статистика!$C$10)/MAX(Статистика!$G$10-Статистика!$C$10,0.000001)))))</f>
        <v>7.9809294444444623E-2</v>
      </c>
      <c r="BY287" s="12">
        <f>IF(Y287="","",MAX(0,MAX(0,MIN(1,(((IF(Статистика!$C$4="Параллельный режим (активная мощность)",AF287,AQ287)+Статистика!$J$4))-Статистика!$C$10)/MAX(Статистика!$G$10-Статистика!$C$10,0.000001)))-MAX(0,MIN(1,(((IF(Статистика!$C$4="Параллельный режим (активная мощность)",AE287,AP287)+Статистика!$J$4))-Статистика!$C$10)/MAX(Статистика!$G$10-Статистика!$C$10,0.000001)))))</f>
        <v>0.10971288777777832</v>
      </c>
      <c r="BZ287" s="12">
        <f>IF(Y287="","",MAX(0,MAX(0,MIN(1,(((IF(Статистика!$C$4="Параллельный режим (активная мощность)",AH287,AS287)+Статистика!$J$4))-Статистика!$C$10)/MAX(Статистика!$G$10-Статистика!$C$10,0.000001)))-MAX(0,MIN(1,(((IF(Статистика!$C$4="Параллельный режим (активная мощность)",AF287,AQ287)+Статистика!$J$4))-Статистика!$C$10)/MAX(Статистика!$G$10-Статистика!$C$10,0.000001)))))</f>
        <v>3.004717099999954E-2</v>
      </c>
      <c r="CA287" s="12">
        <f>IF(Y287="","",MAX(0,1-MAX(0,MIN(1,(((IF(Статистика!$C$4="Параллельный режим (активная мощность)",AH287,AS287)+Статистика!$J$4))-Статистика!$C$10)/MAX(Статистика!$G$10-Статистика!$C$10,0.000001)))))</f>
        <v>0.14941033011111116</v>
      </c>
      <c r="CB287" s="12">
        <f>IF(Y287="",NA(),IF(Статистика!$B$8="Вкл",(((IF(Статистика!$C$4="Параллельный режим (активная мощность)",AD287,AO287)+Статистика!$J$4))-Статистика!$C$10)/MAX(Статистика!$G$10-Статистика!$C$10,0.000001),NA()))</f>
        <v>0.63102031666666636</v>
      </c>
      <c r="CC287" s="12">
        <f>IF(Y287="",NA(),IF(Статистика!$D$8="Вкл",(((IF(Статистика!$C$4="Параллельный режим (активная мощность)",AC287,AN287)+Статистика!$J$4))-Статистика!$C$10)/MAX(Статистика!$G$10-Статистика!$C$10,0.000001),NA()))</f>
        <v>0.58016091666666636</v>
      </c>
      <c r="CD287" s="12">
        <f>IF(Y287="",NA(),IF(Статистика!$D$8="Вкл",(((IF(Статистика!$C$4="Параллельный режим (активная мощность)",AE287,AP287)+Статистика!$J$4))-Статистика!$C$10)/MAX(Статистика!$G$10-Статистика!$C$10,0.000001),NA()))</f>
        <v>0.71082961111111098</v>
      </c>
      <c r="CE287" s="12">
        <f>IF(Y287="",NA(),IF(Статистика!$F$8="Вкл",(((IF(Статистика!$C$4="Параллельный режим (активная мощность)",AB287,AM287)+Статистика!$J$4))-Статистика!$C$10)/MAX(Статистика!$G$10-Статистика!$C$10,0.000001),NA()))</f>
        <v>0.55593136611111127</v>
      </c>
      <c r="CF287" s="12">
        <f>IF(Y287="",NA(),IF(Статистика!$F$8="Вкл",(((IF(Статистика!$C$4="Параллельный режим (активная мощность)",AF287,AQ287)+Статистика!$J$4))-Статистика!$C$10)/MAX(Статистика!$G$10-Статистика!$C$10,0.000001),NA()))</f>
        <v>0.8205424988888893</v>
      </c>
      <c r="CG287" s="12">
        <f>IF(Y287="",NA(),IF(Статистика!$H$8="Вкл",(((IF(Статистика!$C$4="Параллельный режим (активная мощность)",Z287,AK287)+Статистика!$J$4))-Статистика!$C$10)/MAX(Статистика!$G$10-Статистика!$C$10,0.000001),NA()))</f>
        <v>0.54938059661111094</v>
      </c>
      <c r="CH287" s="12">
        <f>IF(Y287="",NA(),IF(Статистика!$H$8="Вкл",(((IF(Статистика!$C$4="Параллельный режим (активная мощность)",AH287,AS287)+Статистика!$J$4))-Статистика!$C$10)/MAX(Статистика!$G$10-Статистика!$C$10,0.000001),NA()))</f>
        <v>0.85058966988888884</v>
      </c>
      <c r="CI287" s="12" t="e">
        <f>IF(Y287="",NA(),IF(Статистика!$J$8="Вкл",(((IF(Статистика!$C$4="Параллельный режим (активная мощность)",AI287,AT287)+Статистика!$J$4))-Статистика!$C$10)/MAX(Статистика!$G$10-Статистика!$C$10,0.000001),NA()))</f>
        <v>#N/A</v>
      </c>
      <c r="CJ287" s="12" t="e">
        <f>IF(AND(Y287&lt;&gt;"",Статистика!$C$6="Вкл",Статистика!$B$6&gt;0),(Статистика!$B$6-Статистика!$C$10)/MAX(Статистика!$G$10-Статистика!$C$10,0.000001),NA())</f>
        <v>#N/A</v>
      </c>
      <c r="CK287" s="12" t="e">
        <f>IF(AND(Y287&lt;&gt;"",Статистика!$F$6="Вкл",Статистика!$E$6&gt;0),(Статистика!$E$6-Статистика!$C$10)/MAX(Статистика!$G$10-Статистика!$C$10,0.000001),NA())</f>
        <v>#N/A</v>
      </c>
      <c r="CL287" s="12" t="e">
        <f>IF(AND(Y287&lt;&gt;"",Статистика!$I$6="Вкл",Статистика!$H$6&gt;0),(Статистика!$H$6-Статистика!$C$10)/MAX(Статистика!$G$10-Статистика!$C$10,0.000001),NA())</f>
        <v>#N/A</v>
      </c>
      <c r="CM287" s="12" t="e">
        <f>IF(AND(Y287&lt;&gt;"",Статистика!$L$6="Вкл",Статистика!$K$6&gt;0),(Статистика!$K$6-Статистика!$C$10)/MAX(Статистика!$G$10-Статистика!$C$10,0.000001),NA())</f>
        <v>#N/A</v>
      </c>
      <c r="CN287" s="12" t="e">
        <f>IF(AND(Y287&lt;&gt;"",Статистика!$M$6="Вкл",Статистика!$O$6&gt;0),(Статистика!$O$6-Статистика!$C$10)/MAX(Статистика!$G$10-Статистика!$C$10,0.000001),NA())</f>
        <v>#N/A</v>
      </c>
      <c r="CO287" s="12">
        <f t="shared" si="9"/>
        <v>1</v>
      </c>
    </row>
    <row r="288" spans="1:93" ht="15" customHeight="1">
      <c r="A288" s="12" t="s">
        <v>1188</v>
      </c>
      <c r="B288" s="12">
        <v>2292.721575</v>
      </c>
      <c r="C288" s="12">
        <v>5685.6258750000015</v>
      </c>
      <c r="D288" s="12">
        <v>7370.6252249999998</v>
      </c>
      <c r="E288" s="12">
        <v>7674.7445333333326</v>
      </c>
      <c r="F288" s="12">
        <v>7885.1233999999986</v>
      </c>
      <c r="G288" s="12">
        <v>8135.9881083333339</v>
      </c>
      <c r="H288" s="12">
        <v>8350.9991533333323</v>
      </c>
      <c r="I288" s="12">
        <v>8433.2448649999988</v>
      </c>
      <c r="J288" s="12">
        <v>8492.4964663333321</v>
      </c>
      <c r="K288" s="12">
        <v>8580.83</v>
      </c>
      <c r="L288" s="12" t="s">
        <v>1189</v>
      </c>
      <c r="M288" s="12">
        <v>2839.3874961666661</v>
      </c>
      <c r="N288" s="12">
        <v>6556.0896141666663</v>
      </c>
      <c r="O288" s="12">
        <v>8384.9498316666668</v>
      </c>
      <c r="P288" s="12">
        <v>8801.6614416666671</v>
      </c>
      <c r="Q288" s="12">
        <v>8939.6166333333331</v>
      </c>
      <c r="R288" s="12">
        <v>9217.9258666666665</v>
      </c>
      <c r="S288" s="12">
        <v>9481.5468483333334</v>
      </c>
      <c r="T288" s="12">
        <v>9588.4635808333333</v>
      </c>
      <c r="U288" s="12">
        <v>9640.2024228333321</v>
      </c>
      <c r="V288" s="12">
        <v>9742.17</v>
      </c>
      <c r="W288" s="12" t="s">
        <v>1189</v>
      </c>
      <c r="Y288" s="12" t="s">
        <v>1188</v>
      </c>
      <c r="Z288" s="12">
        <v>7582.915250666666</v>
      </c>
      <c r="AA288" s="12">
        <v>7602.8873199999998</v>
      </c>
      <c r="AB288" s="12">
        <v>7627.8524066666669</v>
      </c>
      <c r="AC288" s="12">
        <v>7715.3800333333338</v>
      </c>
      <c r="AD288" s="12">
        <v>7858.4896000000008</v>
      </c>
      <c r="AE288" s="12">
        <v>8070.7608916666668</v>
      </c>
      <c r="AF288" s="12">
        <v>8428.5667916666662</v>
      </c>
      <c r="AG288" s="12">
        <v>8482.2403291666651</v>
      </c>
      <c r="AH288" s="12">
        <v>8525.1791591666661</v>
      </c>
      <c r="AI288" s="12">
        <v>8629.6200000000008</v>
      </c>
      <c r="AJ288" s="12" t="s">
        <v>1190</v>
      </c>
      <c r="AK288" s="12">
        <v>8642.6601413333337</v>
      </c>
      <c r="AL288" s="12">
        <v>8647.9003066666664</v>
      </c>
      <c r="AM288" s="12">
        <v>8654.4505133333332</v>
      </c>
      <c r="AN288" s="12">
        <v>8857.8194416666665</v>
      </c>
      <c r="AO288" s="12">
        <v>8897.5037333333348</v>
      </c>
      <c r="AP288" s="12">
        <v>9129.5521750000007</v>
      </c>
      <c r="AQ288" s="12">
        <v>9506.253983333334</v>
      </c>
      <c r="AR288" s="12">
        <v>9575.7817749999995</v>
      </c>
      <c r="AS288" s="12">
        <v>9631.404008333333</v>
      </c>
      <c r="AT288" s="12">
        <v>9735.59</v>
      </c>
      <c r="AU288" s="12" t="s">
        <v>1190</v>
      </c>
      <c r="AW288" s="12">
        <f>IF(A288="","",MAX(0,MIN(1,(((IF(Статистика!$C$4="Параллельный режим (активная мощность)",B288,M288)+Статистика!$J$4))-Статистика!$C$10)/MAX(Статистика!$G$10-Статистика!$C$10,0.000001))))</f>
        <v>0</v>
      </c>
      <c r="AX288" s="12">
        <f>IF(A288="","",MAX(0,MAX(0,MIN(1,(((IF(Статистика!$C$4="Параллельный режим (активная мощность)",D288,O288)+Статистика!$J$4))-Статистика!$C$10)/MAX(Статистика!$G$10-Статистика!$C$10,0.000001)))-MAX(0,MIN(1,(((IF(Статистика!$C$4="Параллельный режим (активная мощность)",B288,M288)+Статистика!$J$4))-Статистика!$C$10)/MAX(Статистика!$G$10-Статистика!$C$10,0.000001)))))</f>
        <v>0.45687507499999991</v>
      </c>
      <c r="AY288" s="12">
        <f>IF(A288="","",MAX(0,MAX(0,MIN(1,(((IF(Статистика!$C$4="Параллельный режим (активная мощность)",E288,P288)+Статистика!$J$4))-Статистика!$C$10)/MAX(Статистика!$G$10-Статистика!$C$10,0.000001)))-MAX(0,MIN(1,(((IF(Статистика!$C$4="Параллельный режим (активная мощность)",D288,O288)+Статистика!$J$4))-Статистика!$C$10)/MAX(Статистика!$G$10-Статистика!$C$10,0.000001)))))</f>
        <v>0.10137310277777767</v>
      </c>
      <c r="AZ288" s="12">
        <f>IF(A288="","",MAX(0,MAX(0,MIN(1,(((IF(Статистика!$C$4="Параллельный режим (активная мощность)",F288,Q288)+Статистика!$J$4))-Статистика!$C$10)/MAX(Статистика!$G$10-Статистика!$C$10,0.000001)))-MAX(0,MIN(1,(((IF(Статистика!$C$4="Параллельный режим (активная мощность)",E288,P288)+Статистика!$J$4))-Статистика!$C$10)/MAX(Статистика!$G$10-Статистика!$C$10,0.000001)))))</f>
        <v>7.012628888888861E-2</v>
      </c>
      <c r="BA288" s="12">
        <f>IF(A288="","",MAX(0,MAX(0,MIN(1,(((IF(Статистика!$C$4="Параллельный режим (активная мощность)",G288,R288)+Статистика!$J$4))-Статистика!$C$10)/MAX(Статистика!$G$10-Статистика!$C$10,0.000001)))-MAX(0,MIN(1,(((IF(Статистика!$C$4="Параллельный режим (активная мощность)",F288,Q288)+Статистика!$J$4))-Статистика!$C$10)/MAX(Статистика!$G$10-Статистика!$C$10,0.000001)))))</f>
        <v>8.3621569444445099E-2</v>
      </c>
      <c r="BB288" s="12">
        <f>IF(A288="","",MAX(0,MAX(0,MIN(1,(((IF(Статистика!$C$4="Параллельный режим (активная мощность)",H288,S288)+Статистика!$J$4))-Статистика!$C$10)/MAX(Статистика!$G$10-Статистика!$C$10,0.000001)))-MAX(0,MIN(1,(((IF(Статистика!$C$4="Параллельный режим (активная мощность)",G288,R288)+Статистика!$J$4))-Статистика!$C$10)/MAX(Статистика!$G$10-Статистика!$C$10,0.000001)))))</f>
        <v>7.1670348333332856E-2</v>
      </c>
      <c r="BC288" s="12">
        <f>IF(A288="","",MAX(0,MAX(0,MIN(1,(((IF(Статистика!$C$4="Параллельный режим (активная мощность)",J288,U288)+Статистика!$J$4))-Статистика!$C$10)/MAX(Статистика!$G$10-Статистика!$C$10,0.000001)))-MAX(0,MIN(1,(((IF(Статистика!$C$4="Параллельный режим (активная мощность)",H288,S288)+Статистика!$J$4))-Статистика!$C$10)/MAX(Статистика!$G$10-Статистика!$C$10,0.000001)))))</f>
        <v>4.7165770999999856E-2</v>
      </c>
      <c r="BD288" s="12">
        <f>IF(A288="","",MAX(0,1-MAX(0,MIN(1,(((IF(Статистика!$C$4="Параллельный режим (активная мощность)",J288,U288)+Статистика!$J$4))-Статистика!$C$10)/MAX(Статистика!$G$10-Статистика!$C$10,0.000001)))))</f>
        <v>0.169167844555556</v>
      </c>
      <c r="BE288" s="12">
        <f>IF(A288="",NA(),IF(Статистика!$B$8="Вкл",(((IF(Статистика!$C$4="Параллельный режим (активная мощность)",F288,Q288)+Статистика!$J$4))-Статистика!$C$10)/MAX(Статистика!$G$10-Статистика!$C$10,0.000001),NA()))</f>
        <v>0.62837446666666619</v>
      </c>
      <c r="BF288" s="12">
        <f>IF(A288="",NA(),IF(Статистика!$D$8="Вкл",(((IF(Статистика!$C$4="Параллельный режим (активная мощность)",E288,P288)+Статистика!$J$4))-Статистика!$C$10)/MAX(Статистика!$G$10-Статистика!$C$10,0.000001),NA()))</f>
        <v>0.55824817777777758</v>
      </c>
      <c r="BG288" s="12">
        <f>IF(A288="",NA(),IF(Статистика!$D$8="Вкл",(((IF(Статистика!$C$4="Параллельный режим (активная мощность)",G288,R288)+Статистика!$J$4))-Статистика!$C$10)/MAX(Статистика!$G$10-Статистика!$C$10,0.000001),NA()))</f>
        <v>0.71199603611111129</v>
      </c>
      <c r="BH288" s="12">
        <f>IF(A288="",NA(),IF(Статистика!$F$8="Вкл",(((IF(Статистика!$C$4="Параллельный режим (активная мощность)",D288,O288)+Статистика!$J$4))-Статистика!$C$10)/MAX(Статистика!$G$10-Статистика!$C$10,0.000001),NA()))</f>
        <v>0.45687507499999991</v>
      </c>
      <c r="BI288" s="12">
        <f>IF(A288="",NA(),IF(Статистика!$F$8="Вкл",(((IF(Статистика!$C$4="Параллельный режим (активная мощность)",H288,S288)+Статистика!$J$4))-Статистика!$C$10)/MAX(Статистика!$G$10-Статистика!$C$10,0.000001),NA()))</f>
        <v>0.78366638444444414</v>
      </c>
      <c r="BJ288" s="12">
        <f>IF(A288="",NA(),IF(Статистика!$H$8="Вкл",(((IF(Статистика!$C$4="Параллельный режим (активная мощность)",B288,M288)+Статистика!$J$4))-Статистика!$C$10)/MAX(Статистика!$G$10-Статистика!$C$10,0.000001),NA()))</f>
        <v>-1.2357594750000001</v>
      </c>
      <c r="BK288" s="12">
        <f>IF(A288="",NA(),IF(Статистика!$H$8="Вкл",(((IF(Статистика!$C$4="Параллельный режим (активная мощность)",J288,U288)+Статистика!$J$4))-Статистика!$C$10)/MAX(Статистика!$G$10-Статистика!$C$10,0.000001),NA()))</f>
        <v>0.830832155444444</v>
      </c>
      <c r="BL288" s="12" t="e">
        <f>IF(A288="",NA(),IF(Статистика!$J$8="Вкл",(((IF(Статистика!$C$4="Параллельный режим (активная мощность)",K288,V288)+Статистика!$J$4))-Статистика!$C$10)/MAX(Статистика!$G$10-Статистика!$C$10,0.000001),NA()))</f>
        <v>#N/A</v>
      </c>
      <c r="BM288" s="12" t="e">
        <f>IF(AND(A288&lt;&gt;"",Статистика!$C$6="Вкл",Статистика!$B$6&gt;0),(Статистика!$B$6-Статистика!$C$10)/MAX(Статистика!$G$10-Статистика!$C$10,0.000001),NA())</f>
        <v>#N/A</v>
      </c>
      <c r="BN288" s="12" t="e">
        <f>IF(AND(A288&lt;&gt;"",Статистика!$F$6="Вкл",Статистика!$E$6&gt;0),(Статистика!$E$6-Статистика!$C$10)/MAX(Статистика!$G$10-Статистика!$C$10,0.000001),NA())</f>
        <v>#N/A</v>
      </c>
      <c r="BO288" s="12" t="e">
        <f>IF(AND(A288&lt;&gt;"",Статистика!$I$6="Вкл",Статистика!$H$6&gt;0),(Статистика!$H$6-Статистика!$C$10)/MAX(Статистика!$G$10-Статистика!$C$10,0.000001),NA())</f>
        <v>#N/A</v>
      </c>
      <c r="BP288" s="12" t="e">
        <f>IF(AND(A288&lt;&gt;"",Статистика!$L$6="Вкл",Статистика!$K$6&gt;0),(Статистика!$K$6-Статистика!$C$10)/MAX(Статистика!$G$10-Статистика!$C$10,0.000001),NA())</f>
        <v>#N/A</v>
      </c>
      <c r="BQ288" s="12" t="e">
        <f>IF(AND(A288&lt;&gt;"",Статистика!$M$6="Вкл",Статистика!$O$6&gt;0),(Статистика!$O$6-Статистика!$C$10)/MAX(Статистика!$G$10-Статистика!$C$10,0.000001),NA())</f>
        <v>#N/A</v>
      </c>
      <c r="BR288" s="12">
        <f t="shared" si="8"/>
        <v>1</v>
      </c>
      <c r="BT288" s="12">
        <f>IF(Y288="","",MAX(0,MIN(1,(((IF(Статистика!$C$4="Параллельный режим (активная мощность)",Z288,AK288)+Статистика!$J$4))-Статистика!$C$10)/MAX(Статистика!$G$10-Статистика!$C$10,0.000001))))</f>
        <v>0.52763841688888868</v>
      </c>
      <c r="BU288" s="12">
        <f>IF(Y288="","",MAX(0,MAX(0,MIN(1,(((IF(Статистика!$C$4="Параллельный режим (активная мощность)",AB288,AM288)+Статистика!$J$4))-Статистика!$C$10)/MAX(Статистика!$G$10-Статистика!$C$10,0.000001)))-MAX(0,MIN(1,(((IF(Статистика!$C$4="Параллельный режим (активная мощность)",Z288,AK288)+Статистика!$J$4))-Статистика!$C$10)/MAX(Статистика!$G$10-Статистика!$C$10,0.000001)))))</f>
        <v>1.497905200000027E-2</v>
      </c>
      <c r="BV288" s="12">
        <f>IF(Y288="","",MAX(0,MAX(0,MIN(1,(((IF(Статистика!$C$4="Параллельный режим (активная мощность)",AC288,AN288)+Статистика!$J$4))-Статистика!$C$10)/MAX(Статистика!$G$10-Статистика!$C$10,0.000001)))-MAX(0,MIN(1,(((IF(Статистика!$C$4="Параллельный режим (активная мощность)",AB288,AM288)+Статистика!$J$4))-Статистика!$C$10)/MAX(Статистика!$G$10-Статистика!$C$10,0.000001)))))</f>
        <v>2.9175875555555675E-2</v>
      </c>
      <c r="BW288" s="12">
        <f>IF(Y288="","",MAX(0,MAX(0,MIN(1,(((IF(Статистика!$C$4="Параллельный режим (активная мощность)",AD288,AO288)+Статистика!$J$4))-Статистика!$C$10)/MAX(Статистика!$G$10-Статистика!$C$10,0.000001)))-MAX(0,MIN(1,(((IF(Статистика!$C$4="Параллельный режим (активная мощность)",AC288,AN288)+Статистика!$J$4))-Статистика!$C$10)/MAX(Статистика!$G$10-Статистика!$C$10,0.000001)))))</f>
        <v>4.7703188888888914E-2</v>
      </c>
      <c r="BX288" s="12">
        <f>IF(Y288="","",MAX(0,MAX(0,MIN(1,(((IF(Статистика!$C$4="Параллельный режим (активная мощность)",AE288,AP288)+Статистика!$J$4))-Статистика!$C$10)/MAX(Статистика!$G$10-Статистика!$C$10,0.000001)))-MAX(0,MIN(1,(((IF(Статистика!$C$4="Параллельный режим (активная мощность)",AD288,AO288)+Статистика!$J$4))-Статистика!$C$10)/MAX(Статистика!$G$10-Статистика!$C$10,0.000001)))))</f>
        <v>7.075709722222201E-2</v>
      </c>
      <c r="BY288" s="12">
        <f>IF(Y288="","",MAX(0,MAX(0,MIN(1,(((IF(Статистика!$C$4="Параллельный режим (активная мощность)",AF288,AQ288)+Статистика!$J$4))-Статистика!$C$10)/MAX(Статистика!$G$10-Статистика!$C$10,0.000001)))-MAX(0,MIN(1,(((IF(Статистика!$C$4="Параллельный режим (активная мощность)",AE288,AP288)+Статистика!$J$4))-Статистика!$C$10)/MAX(Статистика!$G$10-Статистика!$C$10,0.000001)))))</f>
        <v>0.11926863333333315</v>
      </c>
      <c r="BZ288" s="12">
        <f>IF(Y288="","",MAX(0,MAX(0,MIN(1,(((IF(Статистика!$C$4="Параллельный режим (активная мощность)",AH288,AS288)+Статистика!$J$4))-Статистика!$C$10)/MAX(Статистика!$G$10-Статистика!$C$10,0.000001)))-MAX(0,MIN(1,(((IF(Статистика!$C$4="Параллельный режим (активная мощность)",AF288,AQ288)+Статистика!$J$4))-Статистика!$C$10)/MAX(Статистика!$G$10-Статистика!$C$10,0.000001)))))</f>
        <v>3.2204122499999932E-2</v>
      </c>
      <c r="CA288" s="12">
        <f>IF(Y288="","",MAX(0,1-MAX(0,MIN(1,(((IF(Статистика!$C$4="Параллельный режим (активная мощность)",AH288,AS288)+Статистика!$J$4))-Статистика!$C$10)/MAX(Статистика!$G$10-Статистика!$C$10,0.000001)))))</f>
        <v>0.15827361361111136</v>
      </c>
      <c r="CB288" s="12">
        <f>IF(Y288="",NA(),IF(Статистика!$B$8="Вкл",(((IF(Статистика!$C$4="Параллельный режим (активная мощность)",AD288,AO288)+Статистика!$J$4))-Статистика!$C$10)/MAX(Статистика!$G$10-Статистика!$C$10,0.000001),NA()))</f>
        <v>0.61949653333333354</v>
      </c>
      <c r="CC288" s="12">
        <f>IF(Y288="",NA(),IF(Статистика!$D$8="Вкл",(((IF(Статистика!$C$4="Параллельный режим (активная мощность)",AC288,AN288)+Статистика!$J$4))-Статистика!$C$10)/MAX(Статистика!$G$10-Статистика!$C$10,0.000001),NA()))</f>
        <v>0.57179334444444463</v>
      </c>
      <c r="CD288" s="12">
        <f>IF(Y288="",NA(),IF(Статистика!$D$8="Вкл",(((IF(Статистика!$C$4="Параллельный режим (активная мощность)",AE288,AP288)+Статистика!$J$4))-Статистика!$C$10)/MAX(Статистика!$G$10-Статистика!$C$10,0.000001),NA()))</f>
        <v>0.69025363055555555</v>
      </c>
      <c r="CE288" s="12">
        <f>IF(Y288="",NA(),IF(Статистика!$F$8="Вкл",(((IF(Статистика!$C$4="Параллельный режим (активная мощность)",AB288,AM288)+Статистика!$J$4))-Статистика!$C$10)/MAX(Статистика!$G$10-Статистика!$C$10,0.000001),NA()))</f>
        <v>0.54261746888888895</v>
      </c>
      <c r="CF288" s="12">
        <f>IF(Y288="",NA(),IF(Статистика!$F$8="Вкл",(((IF(Статистика!$C$4="Параллельный режим (активная мощность)",AF288,AQ288)+Статистика!$J$4))-Статистика!$C$10)/MAX(Статистика!$G$10-Статистика!$C$10,0.000001),NA()))</f>
        <v>0.8095222638888887</v>
      </c>
      <c r="CG288" s="12">
        <f>IF(Y288="",NA(),IF(Статистика!$H$8="Вкл",(((IF(Статистика!$C$4="Параллельный режим (активная мощность)",Z288,AK288)+Статистика!$J$4))-Статистика!$C$10)/MAX(Статистика!$G$10-Статистика!$C$10,0.000001),NA()))</f>
        <v>0.52763841688888868</v>
      </c>
      <c r="CH288" s="12">
        <f>IF(Y288="",NA(),IF(Статистика!$H$8="Вкл",(((IF(Статистика!$C$4="Параллельный режим (активная мощность)",AH288,AS288)+Статистика!$J$4))-Статистика!$C$10)/MAX(Статистика!$G$10-Статистика!$C$10,0.000001),NA()))</f>
        <v>0.84172638638888864</v>
      </c>
      <c r="CI288" s="12" t="e">
        <f>IF(Y288="",NA(),IF(Статистика!$J$8="Вкл",(((IF(Статистика!$C$4="Параллельный режим (активная мощность)",AI288,AT288)+Статистика!$J$4))-Статистика!$C$10)/MAX(Статистика!$G$10-Статистика!$C$10,0.000001),NA()))</f>
        <v>#N/A</v>
      </c>
      <c r="CJ288" s="12" t="e">
        <f>IF(AND(Y288&lt;&gt;"",Статистика!$C$6="Вкл",Статистика!$B$6&gt;0),(Статистика!$B$6-Статистика!$C$10)/MAX(Статистика!$G$10-Статистика!$C$10,0.000001),NA())</f>
        <v>#N/A</v>
      </c>
      <c r="CK288" s="12" t="e">
        <f>IF(AND(Y288&lt;&gt;"",Статистика!$F$6="Вкл",Статистика!$E$6&gt;0),(Статистика!$E$6-Статистика!$C$10)/MAX(Статистика!$G$10-Статистика!$C$10,0.000001),NA())</f>
        <v>#N/A</v>
      </c>
      <c r="CL288" s="12" t="e">
        <f>IF(AND(Y288&lt;&gt;"",Статистика!$I$6="Вкл",Статистика!$H$6&gt;0),(Статистика!$H$6-Статистика!$C$10)/MAX(Статистика!$G$10-Статистика!$C$10,0.000001),NA())</f>
        <v>#N/A</v>
      </c>
      <c r="CM288" s="12" t="e">
        <f>IF(AND(Y288&lt;&gt;"",Статистика!$L$6="Вкл",Статистика!$K$6&gt;0),(Статистика!$K$6-Статистика!$C$10)/MAX(Статистика!$G$10-Статистика!$C$10,0.000001),NA())</f>
        <v>#N/A</v>
      </c>
      <c r="CN288" s="12" t="e">
        <f>IF(AND(Y288&lt;&gt;"",Статистика!$M$6="Вкл",Статистика!$O$6&gt;0),(Статистика!$O$6-Статистика!$C$10)/MAX(Статистика!$G$10-Статистика!$C$10,0.000001),NA())</f>
        <v>#N/A</v>
      </c>
      <c r="CO288" s="12">
        <f t="shared" si="9"/>
        <v>1</v>
      </c>
    </row>
    <row r="289" spans="1:93" ht="15" customHeight="1">
      <c r="A289" s="12" t="s">
        <v>1191</v>
      </c>
      <c r="B289" s="12">
        <v>2286.3504591666665</v>
      </c>
      <c r="C289" s="12">
        <v>5647.6456291666673</v>
      </c>
      <c r="D289" s="12">
        <v>7348.124976666667</v>
      </c>
      <c r="E289" s="12">
        <v>7610.8970666666664</v>
      </c>
      <c r="F289" s="12">
        <v>7796.6694500000012</v>
      </c>
      <c r="G289" s="12">
        <v>8118.9439749999992</v>
      </c>
      <c r="H289" s="12">
        <v>8287.4042366666654</v>
      </c>
      <c r="I289" s="12">
        <v>8367.3633416666653</v>
      </c>
      <c r="J289" s="12">
        <v>8409.114641666667</v>
      </c>
      <c r="K289" s="12">
        <v>8564.33</v>
      </c>
      <c r="L289" s="12" t="s">
        <v>1192</v>
      </c>
      <c r="M289" s="12">
        <v>2829.4159850000001</v>
      </c>
      <c r="N289" s="12">
        <v>6499.6209916666685</v>
      </c>
      <c r="O289" s="12">
        <v>8349.1066550000014</v>
      </c>
      <c r="P289" s="12">
        <v>8684.2414083333333</v>
      </c>
      <c r="Q289" s="12">
        <v>8819.1013000000003</v>
      </c>
      <c r="R289" s="12">
        <v>9128.7467666666671</v>
      </c>
      <c r="S289" s="12">
        <v>9392.5343250000005</v>
      </c>
      <c r="T289" s="12">
        <v>9490.0276391666666</v>
      </c>
      <c r="U289" s="12">
        <v>9542.5740345000013</v>
      </c>
      <c r="V289" s="12">
        <v>9736.6200000000008</v>
      </c>
      <c r="W289" s="12" t="s">
        <v>1193</v>
      </c>
      <c r="Y289" s="12" t="s">
        <v>1191</v>
      </c>
      <c r="Z289" s="12">
        <v>7615.1969161666675</v>
      </c>
      <c r="AA289" s="12">
        <v>7615.654714166667</v>
      </c>
      <c r="AB289" s="12">
        <v>7616.2269616666663</v>
      </c>
      <c r="AC289" s="12">
        <v>7697.3890250000004</v>
      </c>
      <c r="AD289" s="12">
        <v>7808.8397166666655</v>
      </c>
      <c r="AE289" s="12">
        <v>7991.966816666667</v>
      </c>
      <c r="AF289" s="12">
        <v>8401.6370899999984</v>
      </c>
      <c r="AG289" s="12">
        <v>8436.5643449999989</v>
      </c>
      <c r="AH289" s="12">
        <v>8464.5061489999989</v>
      </c>
      <c r="AI289" s="12">
        <v>8574.86</v>
      </c>
      <c r="AJ289" s="12" t="s">
        <v>1194</v>
      </c>
      <c r="AK289" s="12">
        <v>8682.1667896666659</v>
      </c>
      <c r="AL289" s="12">
        <v>8690.6423483333328</v>
      </c>
      <c r="AM289" s="12">
        <v>8701.2367966666661</v>
      </c>
      <c r="AN289" s="12">
        <v>8750.7808000000005</v>
      </c>
      <c r="AO289" s="12">
        <v>8803.8452333333335</v>
      </c>
      <c r="AP289" s="12">
        <v>8981.1865166666685</v>
      </c>
      <c r="AQ289" s="12">
        <v>9465.4600899999987</v>
      </c>
      <c r="AR289" s="12">
        <v>9510.4418949999999</v>
      </c>
      <c r="AS289" s="12">
        <v>9546.4273389999998</v>
      </c>
      <c r="AT289" s="12">
        <v>9666.42</v>
      </c>
      <c r="AU289" s="12" t="s">
        <v>1195</v>
      </c>
      <c r="AW289" s="12">
        <f>IF(A289="","",MAX(0,MIN(1,(((IF(Статистика!$C$4="Параллельный режим (активная мощность)",B289,M289)+Статистика!$J$4))-Статистика!$C$10)/MAX(Статистика!$G$10-Статистика!$C$10,0.000001))))</f>
        <v>0</v>
      </c>
      <c r="AX289" s="12">
        <f>IF(A289="","",MAX(0,MAX(0,MIN(1,(((IF(Статистика!$C$4="Параллельный режим (активная мощность)",D289,O289)+Статистика!$J$4))-Статистика!$C$10)/MAX(Статистика!$G$10-Статистика!$C$10,0.000001)))-MAX(0,MIN(1,(((IF(Статистика!$C$4="Параллельный режим (активная мощность)",B289,M289)+Статистика!$J$4))-Статистика!$C$10)/MAX(Статистика!$G$10-Статистика!$C$10,0.000001)))))</f>
        <v>0.44937499222222232</v>
      </c>
      <c r="AY289" s="12">
        <f>IF(A289="","",MAX(0,MAX(0,MIN(1,(((IF(Статистика!$C$4="Параллельный режим (активная мощность)",E289,P289)+Статистика!$J$4))-Статистика!$C$10)/MAX(Статистика!$G$10-Статистика!$C$10,0.000001)))-MAX(0,MIN(1,(((IF(Статистика!$C$4="Параллельный режим (активная мощность)",D289,O289)+Статистика!$J$4))-Статистика!$C$10)/MAX(Статистика!$G$10-Статистика!$C$10,0.000001)))))</f>
        <v>8.7590696666666523E-2</v>
      </c>
      <c r="AZ289" s="12">
        <f>IF(A289="","",MAX(0,MAX(0,MIN(1,(((IF(Статистика!$C$4="Параллельный режим (активная мощность)",F289,Q289)+Статистика!$J$4))-Статистика!$C$10)/MAX(Статистика!$G$10-Статистика!$C$10,0.000001)))-MAX(0,MIN(1,(((IF(Статистика!$C$4="Параллельный режим (активная мощность)",E289,P289)+Статистика!$J$4))-Статистика!$C$10)/MAX(Статистика!$G$10-Статистика!$C$10,0.000001)))))</f>
        <v>6.1924127777778226E-2</v>
      </c>
      <c r="BA289" s="12">
        <f>IF(A289="","",MAX(0,MAX(0,MIN(1,(((IF(Статистика!$C$4="Параллельный режим (активная мощность)",G289,R289)+Статистика!$J$4))-Статистика!$C$10)/MAX(Статистика!$G$10-Статистика!$C$10,0.000001)))-MAX(0,MIN(1,(((IF(Статистика!$C$4="Параллельный режим (активная мощность)",F289,Q289)+Статистика!$J$4))-Статистика!$C$10)/MAX(Статистика!$G$10-Статистика!$C$10,0.000001)))))</f>
        <v>0.10742484166666599</v>
      </c>
      <c r="BB289" s="12">
        <f>IF(A289="","",MAX(0,MAX(0,MIN(1,(((IF(Статистика!$C$4="Параллельный режим (активная мощность)",H289,S289)+Статистика!$J$4))-Статистика!$C$10)/MAX(Статистика!$G$10-Статистика!$C$10,0.000001)))-MAX(0,MIN(1,(((IF(Статистика!$C$4="Параллельный режим (активная мощность)",G289,R289)+Статистика!$J$4))-Статистика!$C$10)/MAX(Статистика!$G$10-Статистика!$C$10,0.000001)))))</f>
        <v>5.6153420555555389E-2</v>
      </c>
      <c r="BC289" s="12">
        <f>IF(A289="","",MAX(0,MAX(0,MIN(1,(((IF(Статистика!$C$4="Параллельный режим (активная мощность)",J289,U289)+Статистика!$J$4))-Статистика!$C$10)/MAX(Статистика!$G$10-Статистика!$C$10,0.000001)))-MAX(0,MIN(1,(((IF(Статистика!$C$4="Параллельный режим (активная мощность)",H289,S289)+Статистика!$J$4))-Статистика!$C$10)/MAX(Статистика!$G$10-Статистика!$C$10,0.000001)))))</f>
        <v>4.0570135000000507E-2</v>
      </c>
      <c r="BD289" s="12">
        <f>IF(A289="","",MAX(0,1-MAX(0,MIN(1,(((IF(Статистика!$C$4="Параллельный режим (активная мощность)",J289,U289)+Статистика!$J$4))-Статистика!$C$10)/MAX(Статистика!$G$10-Статистика!$C$10,0.000001)))))</f>
        <v>0.19696178611111104</v>
      </c>
      <c r="BE289" s="12">
        <f>IF(A289="",NA(),IF(Статистика!$B$8="Вкл",(((IF(Статистика!$C$4="Параллельный режим (активная мощность)",F289,Q289)+Статистика!$J$4))-Статистика!$C$10)/MAX(Статистика!$G$10-Статистика!$C$10,0.000001),NA()))</f>
        <v>0.59888981666666707</v>
      </c>
      <c r="BF289" s="12">
        <f>IF(A289="",NA(),IF(Статистика!$D$8="Вкл",(((IF(Статистика!$C$4="Параллельный режим (активная мощность)",E289,P289)+Статистика!$J$4))-Статистика!$C$10)/MAX(Статистика!$G$10-Статистика!$C$10,0.000001),NA()))</f>
        <v>0.53696568888888885</v>
      </c>
      <c r="BG289" s="12">
        <f>IF(A289="",NA(),IF(Статистика!$D$8="Вкл",(((IF(Статистика!$C$4="Параллельный режим (активная мощность)",G289,R289)+Статистика!$J$4))-Статистика!$C$10)/MAX(Статистика!$G$10-Статистика!$C$10,0.000001),NA()))</f>
        <v>0.70631465833333307</v>
      </c>
      <c r="BH289" s="12">
        <f>IF(A289="",NA(),IF(Статистика!$F$8="Вкл",(((IF(Статистика!$C$4="Параллельный режим (активная мощность)",D289,O289)+Статистика!$J$4))-Статистика!$C$10)/MAX(Статистика!$G$10-Статистика!$C$10,0.000001),NA()))</f>
        <v>0.44937499222222232</v>
      </c>
      <c r="BI289" s="12">
        <f>IF(A289="",NA(),IF(Статистика!$F$8="Вкл",(((IF(Статистика!$C$4="Параллельный режим (активная мощность)",H289,S289)+Статистика!$J$4))-Статистика!$C$10)/MAX(Статистика!$G$10-Статистика!$C$10,0.000001),NA()))</f>
        <v>0.76246807888888846</v>
      </c>
      <c r="BJ289" s="12">
        <f>IF(A289="",NA(),IF(Статистика!$H$8="Вкл",(((IF(Статистика!$C$4="Параллельный режим (активная мощность)",B289,M289)+Статистика!$J$4))-Статистика!$C$10)/MAX(Статистика!$G$10-Статистика!$C$10,0.000001),NA()))</f>
        <v>-1.2378831802777779</v>
      </c>
      <c r="BK289" s="12">
        <f>IF(A289="",NA(),IF(Статистика!$H$8="Вкл",(((IF(Статистика!$C$4="Параллельный режим (активная мощность)",J289,U289)+Статистика!$J$4))-Статистика!$C$10)/MAX(Статистика!$G$10-Статистика!$C$10,0.000001),NA()))</f>
        <v>0.80303821388888896</v>
      </c>
      <c r="BL289" s="12" t="e">
        <f>IF(A289="",NA(),IF(Статистика!$J$8="Вкл",(((IF(Статистика!$C$4="Параллельный режим (активная мощность)",K289,V289)+Статистика!$J$4))-Статистика!$C$10)/MAX(Статистика!$G$10-Статистика!$C$10,0.000001),NA()))</f>
        <v>#N/A</v>
      </c>
      <c r="BM289" s="12" t="e">
        <f>IF(AND(A289&lt;&gt;"",Статистика!$C$6="Вкл",Статистика!$B$6&gt;0),(Статистика!$B$6-Статистика!$C$10)/MAX(Статистика!$G$10-Статистика!$C$10,0.000001),NA())</f>
        <v>#N/A</v>
      </c>
      <c r="BN289" s="12" t="e">
        <f>IF(AND(A289&lt;&gt;"",Статистика!$F$6="Вкл",Статистика!$E$6&gt;0),(Статистика!$E$6-Статистика!$C$10)/MAX(Статистика!$G$10-Статистика!$C$10,0.000001),NA())</f>
        <v>#N/A</v>
      </c>
      <c r="BO289" s="12" t="e">
        <f>IF(AND(A289&lt;&gt;"",Статистика!$I$6="Вкл",Статистика!$H$6&gt;0),(Статистика!$H$6-Статистика!$C$10)/MAX(Статистика!$G$10-Статистика!$C$10,0.000001),NA())</f>
        <v>#N/A</v>
      </c>
      <c r="BP289" s="12" t="e">
        <f>IF(AND(A289&lt;&gt;"",Статистика!$L$6="Вкл",Статистика!$K$6&gt;0),(Статистика!$K$6-Статистика!$C$10)/MAX(Статистика!$G$10-Статистика!$C$10,0.000001),NA())</f>
        <v>#N/A</v>
      </c>
      <c r="BQ289" s="12" t="e">
        <f>IF(AND(A289&lt;&gt;"",Статистика!$M$6="Вкл",Статистика!$O$6&gt;0),(Статистика!$O$6-Статистика!$C$10)/MAX(Статистика!$G$10-Статистика!$C$10,0.000001),NA())</f>
        <v>#N/A</v>
      </c>
      <c r="BR289" s="12">
        <f t="shared" si="8"/>
        <v>1</v>
      </c>
      <c r="BT289" s="12">
        <f>IF(Y289="","",MAX(0,MIN(1,(((IF(Статистика!$C$4="Параллельный режим (активная мощность)",Z289,AK289)+Статистика!$J$4))-Статистика!$C$10)/MAX(Статистика!$G$10-Статистика!$C$10,0.000001))))</f>
        <v>0.53839897205555587</v>
      </c>
      <c r="BU289" s="12">
        <f>IF(Y289="","",MAX(0,MAX(0,MIN(1,(((IF(Статистика!$C$4="Параллельный режим (активная мощность)",AB289,AM289)+Статистика!$J$4))-Статистика!$C$10)/MAX(Статистика!$G$10-Статистика!$C$10,0.000001)))-MAX(0,MIN(1,(((IF(Статистика!$C$4="Параллельный режим (активная мощность)",Z289,AK289)+Статистика!$J$4))-Статистика!$C$10)/MAX(Статистика!$G$10-Статистика!$C$10,0.000001)))))</f>
        <v>3.4334849999950734E-4</v>
      </c>
      <c r="BV289" s="12">
        <f>IF(Y289="","",MAX(0,MAX(0,MIN(1,(((IF(Статистика!$C$4="Параллельный режим (активная мощность)",AC289,AN289)+Статистика!$J$4))-Статистика!$C$10)/MAX(Статистика!$G$10-Статистика!$C$10,0.000001)))-MAX(0,MIN(1,(((IF(Статистика!$C$4="Параллельный режим (активная мощность)",AB289,AM289)+Статистика!$J$4))-Статистика!$C$10)/MAX(Статистика!$G$10-Статистика!$C$10,0.000001)))))</f>
        <v>2.7054021111111437E-2</v>
      </c>
      <c r="BW289" s="12">
        <f>IF(Y289="","",MAX(0,MAX(0,MIN(1,(((IF(Статистика!$C$4="Параллельный режим (активная мощность)",AD289,AO289)+Статистика!$J$4))-Статистика!$C$10)/MAX(Статистика!$G$10-Статистика!$C$10,0.000001)))-MAX(0,MIN(1,(((IF(Статистика!$C$4="Параллельный режим (активная мощность)",AC289,AN289)+Статистика!$J$4))-Статистика!$C$10)/MAX(Статистика!$G$10-Статистика!$C$10,0.000001)))))</f>
        <v>3.7150230555554997E-2</v>
      </c>
      <c r="BX289" s="12">
        <f>IF(Y289="","",MAX(0,MAX(0,MIN(1,(((IF(Статистика!$C$4="Параллельный режим (активная мощность)",AE289,AP289)+Статистика!$J$4))-Статистика!$C$10)/MAX(Статистика!$G$10-Статистика!$C$10,0.000001)))-MAX(0,MIN(1,(((IF(Статистика!$C$4="Параллельный режим (активная мощность)",AD289,AO289)+Статистика!$J$4))-Статистика!$C$10)/MAX(Статистика!$G$10-Статистика!$C$10,0.000001)))))</f>
        <v>6.104236666666718E-2</v>
      </c>
      <c r="BY289" s="12">
        <f>IF(Y289="","",MAX(0,MAX(0,MIN(1,(((IF(Статистика!$C$4="Параллельный режим (активная мощность)",AF289,AQ289)+Статистика!$J$4))-Статистика!$C$10)/MAX(Статистика!$G$10-Статистика!$C$10,0.000001)))-MAX(0,MIN(1,(((IF(Статистика!$C$4="Параллельный режим (активная мощность)",AE289,AP289)+Статистика!$J$4))-Статистика!$C$10)/MAX(Статистика!$G$10-Статистика!$C$10,0.000001)))))</f>
        <v>0.13655675777777709</v>
      </c>
      <c r="BZ289" s="12">
        <f>IF(Y289="","",MAX(0,MAX(0,MIN(1,(((IF(Статистика!$C$4="Параллельный режим (активная мощность)",AH289,AS289)+Статистика!$J$4))-Статистика!$C$10)/MAX(Статистика!$G$10-Статистика!$C$10,0.000001)))-MAX(0,MIN(1,(((IF(Статистика!$C$4="Параллельный режим (активная мощность)",AF289,AQ289)+Статистика!$J$4))-Статистика!$C$10)/MAX(Статистика!$G$10-Статистика!$C$10,0.000001)))))</f>
        <v>2.0956353000000205E-2</v>
      </c>
      <c r="CA289" s="12">
        <f>IF(Y289="","",MAX(0,1-MAX(0,MIN(1,(((IF(Статистика!$C$4="Параллельный режим (активная мощность)",AH289,AS289)+Статистика!$J$4))-Статистика!$C$10)/MAX(Статистика!$G$10-Статистика!$C$10,0.000001)))))</f>
        <v>0.17849795033333371</v>
      </c>
      <c r="CB289" s="12">
        <f>IF(Y289="",NA(),IF(Статистика!$B$8="Вкл",(((IF(Статистика!$C$4="Параллельный режим (активная мощность)",AD289,AO289)+Статистика!$J$4))-Статистика!$C$10)/MAX(Статистика!$G$10-Статистика!$C$10,0.000001),NA()))</f>
        <v>0.60294657222222181</v>
      </c>
      <c r="CC289" s="12">
        <f>IF(Y289="",NA(),IF(Статистика!$D$8="Вкл",(((IF(Статистика!$C$4="Параллельный режим (активная мощность)",AC289,AN289)+Статистика!$J$4))-Статистика!$C$10)/MAX(Статистика!$G$10-Статистика!$C$10,0.000001),NA()))</f>
        <v>0.56579634166666681</v>
      </c>
      <c r="CD289" s="12">
        <f>IF(Y289="",NA(),IF(Статистика!$D$8="Вкл",(((IF(Статистика!$C$4="Параллельный режим (активная мощность)",AE289,AP289)+Статистика!$J$4))-Статистика!$C$10)/MAX(Статистика!$G$10-Статистика!$C$10,0.000001),NA()))</f>
        <v>0.66398893888888899</v>
      </c>
      <c r="CE289" s="12">
        <f>IF(Y289="",NA(),IF(Статистика!$F$8="Вкл",(((IF(Статистика!$C$4="Параллельный режим (активная мощность)",AB289,AM289)+Статистика!$J$4))-Статистика!$C$10)/MAX(Статистика!$G$10-Статистика!$C$10,0.000001),NA()))</f>
        <v>0.53874232055555538</v>
      </c>
      <c r="CF289" s="12">
        <f>IF(Y289="",NA(),IF(Статистика!$F$8="Вкл",(((IF(Статистика!$C$4="Параллельный режим (активная мощность)",AF289,AQ289)+Статистика!$J$4))-Статистика!$C$10)/MAX(Статистика!$G$10-Статистика!$C$10,0.000001),NA()))</f>
        <v>0.80054569666666608</v>
      </c>
      <c r="CG289" s="12">
        <f>IF(Y289="",NA(),IF(Статистика!$H$8="Вкл",(((IF(Статистика!$C$4="Параллельный режим (активная мощность)",Z289,AK289)+Статистика!$J$4))-Статистика!$C$10)/MAX(Статистика!$G$10-Статистика!$C$10,0.000001),NA()))</f>
        <v>0.53839897205555587</v>
      </c>
      <c r="CH289" s="12">
        <f>IF(Y289="",NA(),IF(Статистика!$H$8="Вкл",(((IF(Статистика!$C$4="Параллельный режим (активная мощность)",AH289,AS289)+Статистика!$J$4))-Статистика!$C$10)/MAX(Статистика!$G$10-Статистика!$C$10,0.000001),NA()))</f>
        <v>0.82150204966666629</v>
      </c>
      <c r="CI289" s="12" t="e">
        <f>IF(Y289="",NA(),IF(Статистика!$J$8="Вкл",(((IF(Статистика!$C$4="Параллельный режим (активная мощность)",AI289,AT289)+Статистика!$J$4))-Статистика!$C$10)/MAX(Статистика!$G$10-Статистика!$C$10,0.000001),NA()))</f>
        <v>#N/A</v>
      </c>
      <c r="CJ289" s="12" t="e">
        <f>IF(AND(Y289&lt;&gt;"",Статистика!$C$6="Вкл",Статистика!$B$6&gt;0),(Статистика!$B$6-Статистика!$C$10)/MAX(Статистика!$G$10-Статистика!$C$10,0.000001),NA())</f>
        <v>#N/A</v>
      </c>
      <c r="CK289" s="12" t="e">
        <f>IF(AND(Y289&lt;&gt;"",Статистика!$F$6="Вкл",Статистика!$E$6&gt;0),(Статистика!$E$6-Статистика!$C$10)/MAX(Статистика!$G$10-Статистика!$C$10,0.000001),NA())</f>
        <v>#N/A</v>
      </c>
      <c r="CL289" s="12" t="e">
        <f>IF(AND(Y289&lt;&gt;"",Статистика!$I$6="Вкл",Статистика!$H$6&gt;0),(Статистика!$H$6-Статистика!$C$10)/MAX(Статистика!$G$10-Статистика!$C$10,0.000001),NA())</f>
        <v>#N/A</v>
      </c>
      <c r="CM289" s="12" t="e">
        <f>IF(AND(Y289&lt;&gt;"",Статистика!$L$6="Вкл",Статистика!$K$6&gt;0),(Статистика!$K$6-Статистика!$C$10)/MAX(Статистика!$G$10-Статистика!$C$10,0.000001),NA())</f>
        <v>#N/A</v>
      </c>
      <c r="CN289" s="12" t="e">
        <f>IF(AND(Y289&lt;&gt;"",Статистика!$M$6="Вкл",Статистика!$O$6&gt;0),(Статистика!$O$6-Статистика!$C$10)/MAX(Статистика!$G$10-Статистика!$C$10,0.000001),NA())</f>
        <v>#N/A</v>
      </c>
      <c r="CO289" s="12">
        <f t="shared" si="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Гранковский</cp:lastModifiedBy>
  <dcterms:modified xsi:type="dcterms:W3CDTF">2026-08-28T10:03:30Z</dcterms:modified>
</cp:coreProperties>
</file>